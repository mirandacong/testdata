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080" windowHeight="11775" tabRatio="897"/>
  </bookViews>
  <sheets>
    <sheet name="ImportantDisclosures" sheetId="52" r:id="rId1"/>
    <sheet name="IS" sheetId="1" r:id="rId2"/>
    <sheet name="MW-Cache" sheetId="7" state="veryHidden" r:id="rId3"/>
    <sheet name="BS" sheetId="2" r:id="rId4"/>
    <sheet name="CFS" sheetId="3" r:id="rId5"/>
    <sheet name="BU-Segment" sheetId="9" r:id="rId6"/>
    <sheet name="IndexInformation" sheetId="53" r:id="rId7"/>
    <sheet name="ModPubIndex" sheetId="54" r:id="rId8"/>
    <sheet name="__FDSCACHE__" sheetId="14" state="veryHidden" r:id="rId9"/>
  </sheets>
  <externalReferences>
    <externalReference r:id="rId10"/>
    <externalReference r:id="rId11"/>
    <externalReference r:id="rId12"/>
  </externalReferences>
  <definedNames>
    <definedName name="__FDS_HYPERLINK_TOGGLE_STATE__" hidden="1">"ON"</definedName>
    <definedName name="__FDS_UNIQUE_RANGE_ID_GENERATOR_COUNTER">4</definedName>
    <definedName name="_1__FDSAUDITLINK__" hidden="1">{"fdsup://Directions/FactSet Auditing Viewer?action=AUDIT_VALUE&amp;DB=129&amp;ID1=651053&amp;VALUEID=02001&amp;SDATE=201003&amp;PERIODTYPE=QTR_STD&amp;window=popup_no_bar&amp;width=385&amp;height=120&amp;START_MAXIMIZED=FALSE&amp;creator=factset&amp;display_string=Audit"}</definedName>
    <definedName name="_10__FDSAUDITLINK__" hidden="1">{"fdsup://Directions/FactSet Auditing Viewer?action=AUDIT_VALUE&amp;DB=129&amp;ID1=G3727Q10&amp;VALUEID=02001&amp;SDATE=201103&amp;PERIODTYPE=QTR_STD&amp;SCFT=3&amp;window=popup_no_bar&amp;width=385&amp;height=120&amp;START_MAXIMIZED=FALSE&amp;creator=factset&amp;display_string=Audit"}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Viewer?action=AUDIT_VALUE&amp;DB=129&amp;ID1=29384R10&amp;VALUEID=02001&amp;SDATE=201103&amp;PERIODTYPE=QTR_STD&amp;SCFT=3&amp;window=popup_no_bar&amp;width=385&amp;height=120&amp;START_MAXIMIZED=FALSE&amp;creator=factset&amp;display_string=Audit"}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Viewer?action=AUDIT_VALUE&amp;DB=129&amp;ID1=23280610&amp;VALUEID=02001&amp;SDATE=201103&amp;PERIODTYPE=QTR_STD&amp;SCFT=3&amp;window=popup_no_bar&amp;width=385&amp;height=120&amp;START_MAXIMIZED=FALSE&amp;creator=factset&amp;display_string=Audit"}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Viewer?action=AUDIT_VALUE&amp;DB=129&amp;ID1=04951310&amp;VALUEID=02001&amp;SDATE=201103&amp;PERIODTYPE=QTR_STD&amp;SCFT=3&amp;window=popup_no_bar&amp;width=385&amp;height=120&amp;START_MAXIMIZED=FALSE&amp;creator=factset&amp;display_string=Audit"}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Viewer?action=AUDIT_VALUE&amp;DB=129&amp;ID1=68218910&amp;VALUEID=02001&amp;SDATE=201103&amp;PERIODTYPE=QTR_STD&amp;SCFT=3&amp;window=popup_no_bar&amp;width=385&amp;height=120&amp;START_MAXIMIZED=FALSE&amp;creator=factset&amp;display_string=Audit"}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Viewer?action=AUDIT_VALUE&amp;DB=129&amp;ID1=46025410&amp;VALUEID=02001&amp;SDATE=201201&amp;PERIODTYPE=QTR_STD&amp;SCFT=3&amp;window=popup_no_bar&amp;width=385&amp;height=120&amp;START_MAXIMIZED=FALSE&amp;creator=factset&amp;display_string=Audit"}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Viewer?action=AUDIT_VALUE&amp;DB=129&amp;ID1=30372610&amp;VALUEID=02001&amp;SDATE=201103&amp;PERIODTYPE=QTR_STD&amp;SCFT=3&amp;window=popup_no_bar&amp;width=385&amp;height=120&amp;START_MAXIMIZED=FALSE&amp;creator=factset&amp;display_string=Audit"}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Viewer?action=AUDIT_VALUE&amp;DB=129&amp;ID1=89674K10&amp;VALUEID=02001&amp;SDATE=201103&amp;PERIODTYPE=QTR_STD&amp;SCFT=3&amp;window=popup_no_bar&amp;width=385&amp;height=120&amp;START_MAXIMIZED=FALSE&amp;creator=factset&amp;display_string=Audit"}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Viewer?action=AUDIT_VALUE&amp;DB=129&amp;ID1=87157D10&amp;VALUEID=02001&amp;SDATE=201201&amp;PERIODTYPE=QTR_STD&amp;SCFT=3&amp;window=popup_no_bar&amp;width=385&amp;height=120&amp;START_MAXIMIZED=FALSE&amp;creator=factset&amp;display_string=Audit"}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Viewer?action=AUDIT_VALUE&amp;DB=129&amp;ID1=82691910&amp;VALUEID=02001&amp;SDATE=201103&amp;PERIODTYPE=QTR_STD&amp;SCFT=3&amp;window=popup_no_bar&amp;width=385&amp;height=120&amp;START_MAXIMIZED=FALSE&amp;creator=factset&amp;display_string=Audit"}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Viewer?action=AUDIT_VALUE&amp;DB=129&amp;ID1=11132010&amp;VALUEID=02001&amp;SDATE=201003&amp;PERIODTYPE=QTR_STD&amp;window=popup_no_bar&amp;width=385&amp;height=120&amp;START_MAXIMIZED=FALSE&amp;creator=factset&amp;display_string=Audit"}</definedName>
    <definedName name="_20__FDSAUDITLINK__" hidden="1">{"fdsup://Directions/FactSet Auditing Viewer?action=AUDIT_VALUE&amp;DB=129&amp;ID1=74994110&amp;VALUEID=02001&amp;SDATE=201102&amp;PERIODTYPE=QTR_STD&amp;SCFT=3&amp;window=popup_no_bar&amp;width=385&amp;height=120&amp;START_MAXIMIZED=FALSE&amp;creator=factset&amp;display_string=Audit"}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Viewer?action=AUDIT_VALUE&amp;DB=129&amp;ID1=69344F10&amp;VALUEID=02001&amp;SDATE=201103&amp;PERIODTYPE=QTR_STD&amp;SCFT=3&amp;window=popup_no_bar&amp;width=385&amp;height=120&amp;START_MAXIMIZED=FALSE&amp;creator=factset&amp;display_string=Audit"}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Viewer?action=AUDIT_VALUE&amp;DB=129&amp;ID1=68212810&amp;VALUEID=02001&amp;SDATE=201102&amp;PERIODTYPE=QTR_STD&amp;SCFT=3&amp;window=popup_no_bar&amp;width=385&amp;height=120&amp;START_MAXIMIZED=FALSE&amp;creator=factset&amp;display_string=Audit"}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Viewer?action=AUDIT_VALUE&amp;DB=129&amp;ID1=59501710&amp;VALUEID=02001&amp;SDATE=201102&amp;PERIODTYPE=QTR_STD&amp;SCFT=3&amp;window=popup_no_bar&amp;width=385&amp;height=120&amp;START_MAXIMIZED=FALSE&amp;creator=factset&amp;display_string=Audit"}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Viewer?action=AUDIT_VALUE&amp;DB=129&amp;ID1=M5136311&amp;VALUEID=02001&amp;SDATE=201103&amp;PERIODTYPE=QTR_STD&amp;SCFT=3&amp;window=popup_no_bar&amp;width=385&amp;height=120&amp;START_MAXIMIZED=FALSE&amp;creator=factset&amp;display_string=Audit"}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Viewer?action=AUDIT_VALUE&amp;DB=129&amp;ID1=45811810&amp;VALUEID=02001&amp;SDATE=201102&amp;PERIODTYPE=QTR_STD&amp;SCFT=3&amp;window=popup_no_bar&amp;width=385&amp;height=120&amp;START_MAXIMIZED=FALSE&amp;creator=factset&amp;display_string=Audit"}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Viewer?action=AUDIT_VALUE&amp;DB=129&amp;ID1=G3727Q10&amp;VALUEID=02001&amp;SDATE=201103&amp;PERIODTYPE=QTR_STD&amp;SCFT=3&amp;window=popup_no_bar&amp;width=385&amp;height=120&amp;START_MAXIMIZED=FALSE&amp;creator=factset&amp;display_string=Audit"}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Viewer?action=AUDIT_VALUE&amp;DB=129&amp;ID1=29384R10&amp;VALUEID=02001&amp;SDATE=201103&amp;PERIODTYPE=QTR_STD&amp;SCFT=3&amp;window=popup_no_bar&amp;width=385&amp;height=120&amp;START_MAXIMIZED=FALSE&amp;creator=factset&amp;display_string=Audit"}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Viewer?action=AUDIT_VALUE&amp;DB=129&amp;ID1=23280610&amp;VALUEID=02001&amp;SDATE=201103&amp;PERIODTYPE=QTR_STD&amp;SCFT=3&amp;window=popup_no_bar&amp;width=385&amp;height=120&amp;START_MAXIMIZED=FALSE&amp;creator=factset&amp;display_string=Audit"}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Viewer?action=AUDIT_VALUE&amp;DB=129&amp;ID1=04951310&amp;VALUEID=02001&amp;SDATE=201103&amp;PERIODTYPE=QTR_STD&amp;SCFT=3&amp;window=popup_no_bar&amp;width=385&amp;height=120&amp;START_MAXIMIZED=FALSE&amp;creator=factset&amp;display_string=Audit"}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Viewer?action=AUDIT_VALUE&amp;DB=129&amp;ID1=651053&amp;VALUEID=02001&amp;SDATE=201003&amp;PERIODTYPE=QTR_STD&amp;window=popup_no_bar&amp;width=385&amp;height=120&amp;START_MAXIMIZED=FALSE&amp;creator=factset&amp;display_string=Audit"}</definedName>
    <definedName name="_30__FDSAUDITLINK__" hidden="1">{"fdsup://Directions/FactSet Auditing Viewer?action=AUDIT_VALUE&amp;DB=129&amp;ID1=68218910&amp;VALUEID=02001&amp;SDATE=201103&amp;PERIODTYPE=QTR_STD&amp;SCFT=3&amp;window=popup_no_bar&amp;width=385&amp;height=120&amp;START_MAXIMIZED=FALSE&amp;creator=factset&amp;display_string=Audit"}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Viewer?action=AUDIT_VALUE&amp;DB=129&amp;ID1=46025410&amp;VALUEID=02001&amp;SDATE=201201&amp;PERIODTYPE=QTR_STD&amp;SCFT=3&amp;window=popup_no_bar&amp;width=385&amp;height=120&amp;START_MAXIMIZED=FALSE&amp;creator=factset&amp;display_string=Audit"}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Viewer?action=AUDIT_VALUE&amp;DB=129&amp;ID1=30372610&amp;VALUEID=02001&amp;SDATE=201103&amp;PERIODTYPE=QTR_STD&amp;SCFT=3&amp;window=popup_no_bar&amp;width=385&amp;height=120&amp;START_MAXIMIZED=FALSE&amp;creator=factset&amp;display_string=Audit"}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Viewer?action=AUDIT_VALUE&amp;DB=129&amp;ID1=89674K10&amp;VALUEID=02001&amp;SDATE=201103&amp;PERIODTYPE=QTR_STD&amp;SCFT=3&amp;window=popup_no_bar&amp;width=385&amp;height=120&amp;START_MAXIMIZED=FALSE&amp;creator=factset&amp;display_string=Audit"}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Viewer?action=AUDIT_VALUE&amp;DB=129&amp;ID1=87157D10&amp;VALUEID=02001&amp;SDATE=201201&amp;PERIODTYPE=QTR_STD&amp;SCFT=3&amp;window=popup_no_bar&amp;width=385&amp;height=120&amp;START_MAXIMIZED=FALSE&amp;creator=factset&amp;display_string=Audit"}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Viewer?action=AUDIT_VALUE&amp;DB=129&amp;ID1=82691910&amp;VALUEID=02001&amp;SDATE=201103&amp;PERIODTYPE=QTR_STD&amp;SCFT=3&amp;window=popup_no_bar&amp;width=385&amp;height=120&amp;START_MAXIMIZED=FALSE&amp;creator=factset&amp;display_string=Audit"}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Viewer?action=AUDIT_VALUE&amp;DB=129&amp;ID1=74994110&amp;VALUEID=02001&amp;SDATE=201102&amp;PERIODTYPE=QTR_STD&amp;SCFT=3&amp;window=popup_no_bar&amp;width=385&amp;height=120&amp;START_MAXIMIZED=FALSE&amp;creator=factset&amp;display_string=Audit"}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Viewer?action=AUDIT_VALUE&amp;DB=129&amp;ID1=69344F10&amp;VALUEID=02001&amp;SDATE=201103&amp;PERIODTYPE=QTR_STD&amp;SCFT=3&amp;window=popup_no_bar&amp;width=385&amp;height=120&amp;START_MAXIMIZED=FALSE&amp;creator=factset&amp;display_string=Audit"}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Viewer?action=AUDIT_VALUE&amp;DB=129&amp;ID1=68212810&amp;VALUEID=02001&amp;SDATE=201102&amp;PERIODTYPE=QTR_STD&amp;SCFT=3&amp;window=popup_no_bar&amp;width=385&amp;height=120&amp;START_MAXIMIZED=FALSE&amp;creator=factset&amp;display_string=Audit"}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Viewer?action=AUDIT_VALUE&amp;DB=129&amp;ID1=59501710&amp;VALUEID=02001&amp;SDATE=201102&amp;PERIODTYPE=QTR_STD&amp;SCFT=3&amp;window=popup_no_bar&amp;width=385&amp;height=120&amp;START_MAXIMIZED=FALSE&amp;creator=factset&amp;display_string=Audit"}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Viewer?action=AUDIT_VALUE&amp;DB=129&amp;ID1=74994110&amp;VALUEID=02001&amp;SDATE=201102&amp;PERIODTYPE=QTR_STD&amp;SCFT=3&amp;window=popup_no_bar&amp;width=385&amp;height=120&amp;START_MAXIMIZED=FALSE&amp;creator=factset&amp;display_string=Audit"}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Viewer?action=AUDIT_VALUE&amp;DB=129&amp;ID1=M5136311&amp;VALUEID=02001&amp;SDATE=201103&amp;PERIODTYPE=QTR_STD&amp;SCFT=3&amp;window=popup_no_bar&amp;width=385&amp;height=120&amp;START_MAXIMIZED=FALSE&amp;creator=factset&amp;display_string=Audit"}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Viewer?action=AUDIT_VALUE&amp;DB=129&amp;ID1=45811810&amp;VALUEID=02001&amp;SDATE=201102&amp;PERIODTYPE=QTR_STD&amp;SCFT=3&amp;window=popup_no_bar&amp;width=385&amp;height=120&amp;START_MAXIMIZED=FALSE&amp;creator=factset&amp;display_string=Audit"}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Viewer?action=AUDIT_VALUE&amp;DB=129&amp;ID1=G3727Q10&amp;VALUEID=02001&amp;SDATE=201103&amp;PERIODTYPE=QTR_STD&amp;SCFT=3&amp;window=popup_no_bar&amp;width=385&amp;height=120&amp;START_MAXIMIZED=FALSE&amp;creator=factset&amp;display_string=Audit"}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Viewer?action=AUDIT_VALUE&amp;DB=129&amp;ID1=29384R10&amp;VALUEID=02001&amp;SDATE=201103&amp;PERIODTYPE=QTR_STD&amp;SCFT=3&amp;window=popup_no_bar&amp;width=385&amp;height=120&amp;START_MAXIMIZED=FALSE&amp;creator=factset&amp;display_string=Audit"}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Viewer?action=AUDIT_VALUE&amp;DB=129&amp;ID1=23280610&amp;VALUEID=02001&amp;SDATE=201103&amp;PERIODTYPE=QTR_STD&amp;SCFT=3&amp;window=popup_no_bar&amp;width=385&amp;height=120&amp;START_MAXIMIZED=FALSE&amp;creator=factset&amp;display_string=Audit"}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Viewer?action=AUDIT_VALUE&amp;DB=129&amp;ID1=04951310&amp;VALUEID=02001&amp;SDATE=201103&amp;PERIODTYPE=QTR_STD&amp;SCFT=3&amp;window=popup_no_bar&amp;width=385&amp;height=120&amp;START_MAXIMIZED=FALSE&amp;creator=factset&amp;display_string=Audit"}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Viewer?action=AUDIT_VALUE&amp;DB=129&amp;ID1=68218910&amp;VALUEID=02001&amp;SDATE=201103&amp;PERIODTYPE=QTR_STD&amp;SCFT=3&amp;window=popup_no_bar&amp;width=385&amp;height=120&amp;START_MAXIMIZED=FALSE&amp;creator=factset&amp;display_string=Audit"}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Viewer?action=AUDIT_VALUE&amp;DB=129&amp;ID1=46025410&amp;VALUEID=02001&amp;SDATE=201201&amp;PERIODTYPE=QTR_STD&amp;SCFT=3&amp;window=popup_no_bar&amp;width=385&amp;height=120&amp;START_MAXIMIZED=FALSE&amp;creator=factset&amp;display_string=Audit"}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Viewer?action=AUDIT_VALUE&amp;DB=129&amp;ID1=30372610&amp;VALUEID=02001&amp;SDATE=201103&amp;PERIODTYPE=QTR_STD&amp;SCFT=3&amp;window=popup_no_bar&amp;width=385&amp;height=120&amp;START_MAXIMIZED=FALSE&amp;creator=factset&amp;display_string=Audit"}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Viewer?action=AUDIT_VALUE&amp;DB=129&amp;ID1=89674K10&amp;VALUEID=02001&amp;SDATE=201103&amp;PERIODTYPE=QTR_STD&amp;SCFT=3&amp;window=popup_no_bar&amp;width=385&amp;height=120&amp;START_MAXIMIZED=FALSE&amp;creator=factset&amp;display_string=Audit"}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Viewer?action=AUDIT_VALUE&amp;DB=129&amp;ID1=69344F10&amp;VALUEID=02001&amp;SDATE=201103&amp;PERIODTYPE=QTR_STD&amp;SCFT=3&amp;window=popup_no_bar&amp;width=385&amp;height=120&amp;START_MAXIMIZED=FALSE&amp;creator=factset&amp;display_string=Audit"}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Viewer?action=AUDIT_VALUE&amp;DB=129&amp;ID1=87157D10&amp;VALUEID=02001&amp;SDATE=201201&amp;PERIODTYPE=QTR_STD&amp;SCFT=3&amp;window=popup_no_bar&amp;width=385&amp;height=120&amp;START_MAXIMIZED=FALSE&amp;creator=factset&amp;display_string=Audit"}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Viewer?action=AUDIT_VALUE&amp;DB=129&amp;ID1=82691910&amp;VALUEID=02001&amp;SDATE=201103&amp;PERIODTYPE=QTR_STD&amp;SCFT=3&amp;window=popup_no_bar&amp;width=385&amp;height=120&amp;START_MAXIMIZED=FALSE&amp;creator=factset&amp;display_string=Audit"}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Viewer?action=AUDIT_VALUE&amp;DB=129&amp;ID1=74994110&amp;VALUEID=02001&amp;SDATE=201102&amp;PERIODTYPE=QTR_STD&amp;SCFT=3&amp;window=popup_no_bar&amp;width=385&amp;height=120&amp;START_MAXIMIZED=FALSE&amp;creator=factset&amp;display_string=Audit"}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Viewer?action=AUDIT_VALUE&amp;DB=129&amp;ID1=69344F10&amp;VALUEID=02001&amp;SDATE=201103&amp;PERIODTYPE=QTR_STD&amp;SCFT=3&amp;window=popup_no_bar&amp;width=385&amp;height=120&amp;START_MAXIMIZED=FALSE&amp;creator=factset&amp;display_string=Audit"}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Viewer?action=AUDIT_VALUE&amp;DB=129&amp;ID1=68212810&amp;VALUEID=02001&amp;SDATE=201102&amp;PERIODTYPE=QTR_STD&amp;SCFT=3&amp;window=popup_no_bar&amp;width=385&amp;height=120&amp;START_MAXIMIZED=FALSE&amp;creator=factset&amp;display_string=Audit"}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Viewer?action=AUDIT_VALUE&amp;DB=129&amp;ID1=59501710&amp;VALUEID=02001&amp;SDATE=201102&amp;PERIODTYPE=QTR_STD&amp;SCFT=3&amp;window=popup_no_bar&amp;width=385&amp;height=120&amp;START_MAXIMIZED=FALSE&amp;creator=factset&amp;display_string=Audit"}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Viewer?action=AUDIT_VALUE&amp;DB=129&amp;ID1=M5136311&amp;VALUEID=02001&amp;SDATE=201103&amp;PERIODTYPE=QTR_STD&amp;SCFT=3&amp;window=popup_no_bar&amp;width=385&amp;height=120&amp;START_MAXIMIZED=FALSE&amp;creator=factset&amp;display_string=Audit"}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Viewer?action=AUDIT_VALUE&amp;DB=129&amp;ID1=45811810&amp;VALUEID=02001&amp;SDATE=201102&amp;PERIODTYPE=QTR_STD&amp;SCFT=3&amp;window=popup_no_bar&amp;width=385&amp;height=120&amp;START_MAXIMIZED=FALSE&amp;creator=factset&amp;display_string=Audit"}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Viewer?action=AUDIT_VALUE&amp;DB=129&amp;ID1=G3727Q10&amp;VALUEID=02001&amp;SDATE=201103&amp;PERIODTYPE=QTR_STD&amp;SCFT=3&amp;window=popup_no_bar&amp;width=385&amp;height=120&amp;START_MAXIMIZED=FALSE&amp;creator=factset&amp;display_string=Audit"}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Viewer?action=AUDIT_VALUE&amp;DB=129&amp;ID1=29384R10&amp;VALUEID=02001&amp;SDATE=201103&amp;PERIODTYPE=QTR_STD&amp;SCFT=3&amp;window=popup_no_bar&amp;width=385&amp;height=120&amp;START_MAXIMIZED=FALSE&amp;creator=factset&amp;display_string=Audit"}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Viewer?action=AUDIT_VALUE&amp;DB=129&amp;ID1=68212810&amp;VALUEID=02001&amp;SDATE=201102&amp;PERIODTYPE=QTR_STD&amp;SCFT=3&amp;window=popup_no_bar&amp;width=385&amp;height=120&amp;START_MAXIMIZED=FALSE&amp;creator=factset&amp;display_string=Audit"}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Viewer?action=AUDIT_VALUE&amp;DB=129&amp;ID1=23280610&amp;VALUEID=02001&amp;SDATE=201103&amp;PERIODTYPE=QTR_STD&amp;SCFT=3&amp;window=popup_no_bar&amp;width=385&amp;height=120&amp;START_MAXIMIZED=FALSE&amp;creator=factset&amp;display_string=Audit"}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Viewer?action=AUDIT_VALUE&amp;DB=129&amp;ID1=04951310&amp;VALUEID=02001&amp;SDATE=201103&amp;PERIODTYPE=QTR_STD&amp;SCFT=3&amp;window=popup_no_bar&amp;width=385&amp;height=120&amp;START_MAXIMIZED=FALSE&amp;creator=factset&amp;display_string=Audit"}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Viewer?action=AUDIT_VALUE&amp;DB=129&amp;ID1=68218910&amp;VALUEID=02001&amp;SDATE=201103&amp;PERIODTYPE=QTR_STD&amp;SCFT=3&amp;window=popup_no_bar&amp;width=385&amp;height=120&amp;START_MAXIMIZED=FALSE&amp;creator=factset&amp;display_string=Audit"}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Viewer?action=AUDIT_VALUE&amp;DB=129&amp;ID1=46025410&amp;VALUEID=02001&amp;SDATE=201201&amp;PERIODTYPE=QTR_STD&amp;SCFT=3&amp;window=popup_no_bar&amp;width=385&amp;height=120&amp;START_MAXIMIZED=FALSE&amp;creator=factset&amp;display_string=Audit"}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Viewer?action=AUDIT_VALUE&amp;DB=129&amp;ID1=30372610&amp;VALUEID=02001&amp;SDATE=201103&amp;PERIODTYPE=QTR_STD&amp;SCFT=3&amp;window=popup_no_bar&amp;width=385&amp;height=120&amp;START_MAXIMIZED=FALSE&amp;creator=factset&amp;display_string=Audit"}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Viewer?action=AUDIT_VALUE&amp;DB=129&amp;ID1=89674K10&amp;VALUEID=02001&amp;SDATE=201103&amp;PERIODTYPE=QTR_STD&amp;SCFT=3&amp;window=popup_no_bar&amp;width=385&amp;height=120&amp;START_MAXIMIZED=FALSE&amp;creator=factset&amp;display_string=Audit"}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Viewer?action=AUDIT_VALUE&amp;DB=129&amp;ID1=87157D10&amp;VALUEID=02001&amp;SDATE=201201&amp;PERIODTYPE=QTR_STD&amp;SCFT=3&amp;window=popup_no_bar&amp;width=385&amp;height=120&amp;START_MAXIMIZED=FALSE&amp;creator=factset&amp;display_string=Audit"}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Viewer?action=AUDIT_VALUE&amp;DB=129&amp;ID1=82691910&amp;VALUEID=02001&amp;SDATE=201103&amp;PERIODTYPE=QTR_STD&amp;SCFT=3&amp;window=popup_no_bar&amp;width=385&amp;height=120&amp;START_MAXIMIZED=FALSE&amp;creator=factset&amp;display_string=Audit"}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Viewer?action=AUDIT_VALUE&amp;DB=129&amp;ID1=74994110&amp;VALUEID=02001&amp;SDATE=201102&amp;PERIODTYPE=QTR_STD&amp;SCFT=3&amp;window=popup_no_bar&amp;width=385&amp;height=120&amp;START_MAXIMIZED=FALSE&amp;creator=factset&amp;display_string=Audit"}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Viewer?action=AUDIT_VALUE&amp;DB=129&amp;ID1=69344F10&amp;VALUEID=02001&amp;SDATE=201103&amp;PERIODTYPE=QTR_STD&amp;SCFT=3&amp;window=popup_no_bar&amp;width=385&amp;height=120&amp;START_MAXIMIZED=FALSE&amp;creator=factset&amp;display_string=Audit"}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Viewer?action=AUDIT_VALUE&amp;DB=129&amp;ID1=59501710&amp;VALUEID=02001&amp;SDATE=201102&amp;PERIODTYPE=QTR_STD&amp;SCFT=3&amp;window=popup_no_bar&amp;width=385&amp;height=120&amp;START_MAXIMIZED=FALSE&amp;creator=factset&amp;display_string=Audit"}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Viewer?action=AUDIT_VALUE&amp;DB=129&amp;ID1=68212810&amp;VALUEID=02001&amp;SDATE=201102&amp;PERIODTYPE=QTR_STD&amp;SCFT=3&amp;window=popup_no_bar&amp;width=385&amp;height=120&amp;START_MAXIMIZED=FALSE&amp;creator=factset&amp;display_string=Audit"}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Viewer?action=AUDIT_VALUE&amp;DB=129&amp;ID1=59501710&amp;VALUEID=02001&amp;SDATE=201102&amp;PERIODTYPE=QTR_STD&amp;SCFT=3&amp;window=popup_no_bar&amp;width=385&amp;height=120&amp;START_MAXIMIZED=FALSE&amp;creator=factset&amp;display_string=Audit"}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Viewer?action=AUDIT_VALUE&amp;DB=129&amp;ID1=M5136311&amp;VALUEID=02001&amp;SDATE=201103&amp;PERIODTYPE=QTR_STD&amp;SCFT=3&amp;window=popup_no_bar&amp;width=385&amp;height=120&amp;START_MAXIMIZED=FALSE&amp;creator=factset&amp;display_string=Audit"}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Viewer?action=AUDIT_VALUE&amp;DB=129&amp;ID1=45811810&amp;VALUEID=02001&amp;SDATE=201102&amp;PERIODTYPE=QTR_STD&amp;SCFT=3&amp;window=popup_no_bar&amp;width=385&amp;height=120&amp;START_MAXIMIZED=FALSE&amp;creator=factset&amp;display_string=Audit"}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Viewer?action=AUDIT_VALUE&amp;DB=129&amp;ID1=G3727Q10&amp;VALUEID=02001&amp;SDATE=201103&amp;PERIODTYPE=QTR_STD&amp;SCFT=3&amp;window=popup_no_bar&amp;width=385&amp;height=120&amp;START_MAXIMIZED=FALSE&amp;creator=factset&amp;display_string=Audit"}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Viewer?action=AUDIT_VALUE&amp;DB=129&amp;ID1=29384R10&amp;VALUEID=02001&amp;SDATE=201103&amp;PERIODTYPE=QTR_STD&amp;SCFT=3&amp;window=popup_no_bar&amp;width=385&amp;height=120&amp;START_MAXIMIZED=FALSE&amp;creator=factset&amp;display_string=Audit"}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Viewer?action=AUDIT_VALUE&amp;DB=129&amp;ID1=23280610&amp;VALUEID=02001&amp;SDATE=201103&amp;PERIODTYPE=QTR_STD&amp;SCFT=3&amp;window=popup_no_bar&amp;width=385&amp;height=120&amp;START_MAXIMIZED=FALSE&amp;creator=factset&amp;display_string=Audit"}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Viewer?action=AUDIT_VALUE&amp;DB=129&amp;ID1=04951310&amp;VALUEID=02001&amp;SDATE=201103&amp;PERIODTYPE=QTR_STD&amp;SCFT=3&amp;window=popup_no_bar&amp;width=385&amp;height=120&amp;START_MAXIMIZED=FALSE&amp;creator=factset&amp;display_string=Audit"}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Viewer?action=AUDIT_VALUE&amp;DB=129&amp;ID1=68218910&amp;VALUEID=02001&amp;SDATE=201103&amp;PERIODTYPE=QTR_STD&amp;SCFT=3&amp;window=popup_no_bar&amp;width=385&amp;height=120&amp;START_MAXIMIZED=FALSE&amp;creator=factset&amp;display_string=Audit"}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Viewer?action=AUDIT_VALUE&amp;DB=129&amp;ID1=46025410&amp;VALUEID=02001&amp;SDATE=201201&amp;PERIODTYPE=QTR_STD&amp;SCFT=3&amp;window=popup_no_bar&amp;width=385&amp;height=120&amp;START_MAXIMIZED=FALSE&amp;creator=factset&amp;display_string=Audit"}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Viewer?action=AUDIT_VALUE&amp;DB=129&amp;ID1=M5136311&amp;VALUEID=02001&amp;SDATE=201103&amp;PERIODTYPE=QTR_STD&amp;SCFT=3&amp;window=popup_no_bar&amp;width=385&amp;height=120&amp;START_MAXIMIZED=FALSE&amp;creator=factset&amp;display_string=Audit"}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Viewer?action=AUDIT_VALUE&amp;DB=129&amp;ID1=30372610&amp;VALUEID=02001&amp;SDATE=201103&amp;PERIODTYPE=QTR_STD&amp;SCFT=3&amp;window=popup_no_bar&amp;width=385&amp;height=120&amp;START_MAXIMIZED=FALSE&amp;creator=factset&amp;display_string=Audit"}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Viewer?action=AUDIT_VALUE&amp;DB=129&amp;ID1=89674K10&amp;VALUEID=02001&amp;SDATE=201103&amp;PERIODTYPE=QTR_STD&amp;SCFT=3&amp;window=popup_no_bar&amp;width=385&amp;height=120&amp;START_MAXIMIZED=FALSE&amp;creator=factset&amp;display_string=Audit"}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Viewer?action=AUDIT_VALUE&amp;DB=129&amp;ID1=87157D10&amp;VALUEID=02001&amp;SDATE=201201&amp;PERIODTYPE=QTR_STD&amp;SCFT=3&amp;window=popup_no_bar&amp;width=385&amp;height=120&amp;START_MAXIMIZED=FALSE&amp;creator=factset&amp;display_string=Audit"}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Viewer?action=AUDIT_VALUE&amp;DB=129&amp;ID1=82691910&amp;VALUEID=02001&amp;SDATE=201103&amp;PERIODTYPE=QTR_STD&amp;SCFT=3&amp;window=popup_no_bar&amp;width=385&amp;height=120&amp;START_MAXIMIZED=FALSE&amp;creator=factset&amp;display_string=Audit"}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Viewer?action=AUDIT_VALUE&amp;DB=129&amp;ID1=74994110&amp;VALUEID=02001&amp;SDATE=201102&amp;PERIODTYPE=QTR_STD&amp;SCFT=3&amp;window=popup_no_bar&amp;width=385&amp;height=120&amp;START_MAXIMIZED=FALSE&amp;creator=factset&amp;display_string=Audit"}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Viewer?action=AUDIT_VALUE&amp;DB=129&amp;ID1=69344F10&amp;VALUEID=02001&amp;SDATE=201103&amp;PERIODTYPE=QTR_STD&amp;SCFT=3&amp;window=popup_no_bar&amp;width=385&amp;height=120&amp;START_MAXIMIZED=FALSE&amp;creator=factset&amp;display_string=Audit"}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Viewer?action=AUDIT_VALUE&amp;DB=129&amp;ID1=68212810&amp;VALUEID=02001&amp;SDATE=201102&amp;PERIODTYPE=QTR_STD&amp;SCFT=3&amp;window=popup_no_bar&amp;width=385&amp;height=120&amp;START_MAXIMIZED=FALSE&amp;creator=factset&amp;display_string=Audit"}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Viewer?action=AUDIT_VALUE&amp;DB=129&amp;ID1=59501710&amp;VALUEID=02001&amp;SDATE=201102&amp;PERIODTYPE=QTR_STD&amp;SCFT=3&amp;window=popup_no_bar&amp;width=385&amp;height=120&amp;START_MAXIMIZED=FALSE&amp;creator=factset&amp;display_string=Audit"}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Viewer?action=AUDIT_VALUE&amp;DB=129&amp;ID1=M5136311&amp;VALUEID=02001&amp;SDATE=201103&amp;PERIODTYPE=QTR_STD&amp;SCFT=3&amp;window=popup_no_bar&amp;width=385&amp;height=120&amp;START_MAXIMIZED=FALSE&amp;creator=factset&amp;display_string=Audit"}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Viewer?action=AUDIT_VALUE&amp;DB=129&amp;ID1=45811810&amp;VALUEID=02001&amp;SDATE=201102&amp;PERIODTYPE=QTR_STD&amp;SCFT=3&amp;window=popup_no_bar&amp;width=385&amp;height=120&amp;START_MAXIMIZED=FALSE&amp;creator=factset&amp;display_string=Audit"}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Viewer?action=AUDIT_VALUE&amp;DB=129&amp;ID1=45811810&amp;VALUEID=02001&amp;SDATE=201102&amp;PERIODTYPE=QTR_STD&amp;SCFT=3&amp;window=popup_no_bar&amp;width=385&amp;height=120&amp;START_MAXIMIZED=FALSE&amp;creator=factset&amp;display_string=Audit"}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Viewer?action=AUDIT_VALUE&amp;DB=129&amp;ID1=G3727Q10&amp;VALUEID=02001&amp;SDATE=201103&amp;PERIODTYPE=QTR_STD&amp;SCFT=3&amp;window=popup_no_bar&amp;width=385&amp;height=120&amp;START_MAXIMIZED=FALSE&amp;creator=factset&amp;display_string=Audit"}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Viewer?action=AUDIT_VALUE&amp;DB=129&amp;ID1=29384R10&amp;VALUEID=02001&amp;SDATE=201103&amp;PERIODTYPE=QTR_STD&amp;SCFT=3&amp;window=popup_no_bar&amp;width=385&amp;height=120&amp;START_MAXIMIZED=FALSE&amp;creator=factset&amp;display_string=Audit"}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Viewer?action=AUDIT_VALUE&amp;DB=129&amp;ID1=23280610&amp;VALUEID=02001&amp;SDATE=201103&amp;PERIODTYPE=QTR_STD&amp;SCFT=3&amp;window=popup_no_bar&amp;width=385&amp;height=120&amp;START_MAXIMIZED=FALSE&amp;creator=factset&amp;display_string=Audit"}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Viewer?action=AUDIT_VALUE&amp;DB=129&amp;ID1=04951310&amp;VALUEID=02001&amp;SDATE=201103&amp;PERIODTYPE=QTR_STD&amp;SCFT=3&amp;window=popup_no_bar&amp;width=385&amp;height=120&amp;START_MAXIMIZED=FALSE&amp;creator=factset&amp;display_string=Audit"}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Viewer?action=AUDIT_VALUE&amp;DB=129&amp;ID1=68218910&amp;VALUEID=02001&amp;SDATE=201103&amp;PERIODTYPE=QTR_STD&amp;SCFT=3&amp;window=popup_no_bar&amp;width=385&amp;height=120&amp;START_MAXIMIZED=FALSE&amp;creator=factset&amp;display_string=Audit"}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Viewer?action=AUDIT_VALUE&amp;DB=129&amp;ID1=46025410&amp;VALUEID=02001&amp;SDATE=201201&amp;PERIODTYPE=QTR_STD&amp;SCFT=3&amp;window=popup_no_bar&amp;width=385&amp;height=120&amp;START_MAXIMIZED=FALSE&amp;creator=factset&amp;display_string=Audit"}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Viewer?action=AUDIT_VALUE&amp;DB=129&amp;ID1=30372610&amp;VALUEID=02001&amp;SDATE=201103&amp;PERIODTYPE=QTR_STD&amp;SCFT=3&amp;window=popup_no_bar&amp;width=385&amp;height=120&amp;START_MAXIMIZED=FALSE&amp;creator=factset&amp;display_string=Audit"}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[1]Sheet1!$A:$IV</definedName>
    <definedName name="_bdm.0F4A8F4BCD4A457BAEB3358EA091F348.edm" localSheetId="4" hidden="1">CFS!$B$7:$BX$50</definedName>
    <definedName name="_bdm.196ED960C9CD4471BA1FB33AE17B035D.edm" hidden="1">CFS!$1:$1048576</definedName>
    <definedName name="_bdm.32BB18A2BBFB4E4DA22B64FDC3309316.edm" localSheetId="4" hidden="1">CFS!$B$7:$BY$50</definedName>
    <definedName name="_bdm.46F0631A38664A66BE6D53F348F88258.edm" hidden="1">BS!$1:$1048576</definedName>
    <definedName name="_bdm.50413BEEB9784EF88217F2C0980F4FDD.edm" hidden="1">IS!$1:$1048576</definedName>
    <definedName name="_bdm.6F4FFDC8DE5E4E7781EA42E0A8A52304.edm" localSheetId="3" hidden="1">BS!$B$7:$BY$43</definedName>
    <definedName name="_bdm.9207157FA5D749C79162022C90BDD73C.edm" localSheetId="1" hidden="1">IS!$B$7:$BY$127</definedName>
    <definedName name="_bdm.A45D1F8A88384656B2CE2341C11C64A9.edm" localSheetId="1" hidden="1">IS!$B$7:$AM$127</definedName>
    <definedName name="_bdm.DEF5E194F8E54B39A42154EA868B1BE7.edm" localSheetId="3" hidden="1">BS!$B$7:$BX$43</definedName>
    <definedName name="_Order1" hidden="1">255</definedName>
    <definedName name="_R">"Formula fixed. Name can be deleted."</definedName>
    <definedName name="_Regression_Int" hidden="1">1</definedName>
    <definedName name="_scenchg_count">1</definedName>
    <definedName name="AdditionalInstructions">IndexInformation!$B$42</definedName>
    <definedName name="Address" localSheetId="0">ImportantDisclosures!$A$2:$A$2</definedName>
    <definedName name="ANA" localSheetId="7">ModPubIndex!$A$7</definedName>
    <definedName name="anscount" hidden="1">1</definedName>
    <definedName name="Authors" localSheetId="0">ImportantDisclosures!$A$7</definedName>
    <definedName name="Authors" localSheetId="6">IndexInformation!$B$18</definedName>
    <definedName name="BRO" localSheetId="7">ModPubIndex!$A$1</definedName>
    <definedName name="BS">BS!$T$45:$DI$45</definedName>
    <definedName name="CopyrightStamp">ImportantDisclosures!$A$27</definedName>
    <definedName name="COU" localSheetId="7">ModPubIndex!$A$5</definedName>
    <definedName name="CQEnd" localSheetId="6">IndexInformation!$B$31</definedName>
    <definedName name="Currency" localSheetId="6">IndexInformation!$B$24</definedName>
    <definedName name="CurrentStockPrice" localSheetId="6">IndexInformation!$B$23</definedName>
    <definedName name="CurrQtrEPS" localSheetId="6">IndexInformation!$B$29</definedName>
    <definedName name="CurrYearEPS" localSheetId="6">IndexInformation!$B$11</definedName>
    <definedName name="CurrYearTotalRevenue" localSheetId="6">IndexInformation!$B$10</definedName>
    <definedName name="CurrYearTotalRevenueActual" localSheetId="6">IndexInformation!$B$32</definedName>
    <definedName name="CUSIP" localSheetId="6">IndexInformation!$B$20</definedName>
    <definedName name="CYEnd" localSheetId="6">IndexInformation!$B$30</definedName>
    <definedName name="dataseries4">OFFSET([2]c1!$G$12,0,0,COUNTA([2]c1!$G$12:$G$31),1)</definedName>
    <definedName name="Date" localSheetId="0">ImportantDisclosures!$A$8</definedName>
    <definedName name="Deleted" localSheetId="6">IndexInformation!$B$27</definedName>
    <definedName name="Description" localSheetId="6">IndexInformation!$B$7</definedName>
    <definedName name="Discipline" localSheetId="6">IndexInformation!$B$3</definedName>
    <definedName name="DISCIPLINE" localSheetId="7">ModPubIndex!$A$12</definedName>
    <definedName name="DisclosuresText">ImportantDisclosures!$A$22</definedName>
    <definedName name="Distribution" localSheetId="6">IndexInformation!$B$26</definedName>
    <definedName name="DistTable" localSheetId="0">ImportantDisclosures!#REF!</definedName>
    <definedName name="DistTablePreamble" localSheetId="0">ImportantDisclosures!#REF!</definedName>
    <definedName name="DOCDAT" localSheetId="7">ModPubIndex!$A$2</definedName>
    <definedName name="DOCTIME" localSheetId="7">ModPubIndex!$A$3</definedName>
    <definedName name="DocType" localSheetId="6">IndexInformation!$B$5</definedName>
    <definedName name="EMAIL_ALERT" localSheetId="7">ModPubIndex!$A$10</definedName>
    <definedName name="EmailAlert" localSheetId="6">IndexInformation!$B$28</definedName>
    <definedName name="FiveYearGrowthRate" localSheetId="6">IndexInformation!$B$16</definedName>
    <definedName name="FollowingYearEPS" localSheetId="6">IndexInformation!$B$15</definedName>
    <definedName name="FollowingYearTotalRevenue" localSheetId="6">IndexInformation!$B$14</definedName>
    <definedName name="FollowingYearTotalRevenueActual" localSheetId="6">IndexInformation!$B$34</definedName>
    <definedName name="HL" localSheetId="7">ModPubIndex!$A$8</definedName>
    <definedName name="HTML_CodePage" hidden="1">936</definedName>
    <definedName name="HTML_Name" hidden="1">"linzijia"</definedName>
    <definedName name="HTML_PathFile" hidden="1">"C:\lin\bk\MyHTML.htm"</definedName>
    <definedName name="IND" localSheetId="7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LL_FEATURE" hidden="1">"c2197"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PREMIUM" hidden="1">"c2195"</definedName>
    <definedName name="IQ_CONV_PRICE" hidden="1">"c2193"</definedName>
    <definedName name="IQ_CONV_RATE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XITY" hidden="1">"c2182"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ROSS_SPRD" hidden="1">"c2155"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REPAIR" hidden="1">"c2087"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REVISION_DATE_" hidden="1">38980.4213657407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" hidden="1">"c2171"</definedName>
    <definedName name="IQ_SP_DATE" hidden="1">"c2172"</definedName>
    <definedName name="IQ_SP_REASON" hidden="1">"c2174"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TW" hidden="1">"c2166"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EV_UFCF" hidden="1">"c2208"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S">[3]BS!$T$45:$DE$45</definedName>
    <definedName name="KeepVersions" localSheetId="6">IndexInformation!$B$8</definedName>
    <definedName name="LanguageCode">IndexInformation!$B$38</definedName>
    <definedName name="LastCell" localSheetId="0">ImportantDisclosures!$A$22</definedName>
    <definedName name="LastListUpdate">0</definedName>
    <definedName name="Linking_2">IS!$B$7:$CD$127</definedName>
    <definedName name="Linking_26">BS!$B$7:$CF$43</definedName>
    <definedName name="Linking_27">BS!$B$7:$CE$43</definedName>
    <definedName name="Linking_29">IS!$B$7:$CF$127</definedName>
    <definedName name="Linking_3">BS!$B$7:$CD$43</definedName>
    <definedName name="Linking_30">CFS!$B$7:$CF$50</definedName>
    <definedName name="Linking_31">BS!$B$7:$BO$43</definedName>
    <definedName name="Linking_4">CFS!$B$7:$CD$50</definedName>
    <definedName name="Linking_6">BS!$B$7:$BG$43</definedName>
    <definedName name="Linking_7">IS!$B$7:$CE$127</definedName>
    <definedName name="Linking_8">BS!$B$7:$BK$43</definedName>
    <definedName name="Linking_9">CFS!$B$7:$CE$50</definedName>
    <definedName name="Linking_Range_1">IS!$B$7:$BY$127</definedName>
    <definedName name="Linking_Range_14">'BU-Segment'!$B$7:$CB$38</definedName>
    <definedName name="Linking_Range_15">IS!$B$7:$CB$127</definedName>
    <definedName name="Linking_Range_16">BS!$B$7:$CC$43</definedName>
    <definedName name="Linking_Range_17">CFS!$B$7:$CC$50</definedName>
    <definedName name="Linking_Range_2">BS!$B$7:$BY$43</definedName>
    <definedName name="Linking_Range_22">BS!$B$7:$CB$43</definedName>
    <definedName name="Linking_Range_23">CFS!$B$7:$CB$50</definedName>
    <definedName name="Linking_Range_24">BS!$B$6:$CB$43</definedName>
    <definedName name="Linking_Range_27">IS!$B$7:$CC$127</definedName>
    <definedName name="Linking_Range_3">CFS!$B$7:$BY$50</definedName>
    <definedName name="Linking_Range_33">BS!$B$7:$BC$43</definedName>
    <definedName name="Linking_Range_6">IS!$B$7:$BZ$127</definedName>
    <definedName name="Linking_Range_7">BS!$B$7:$BZ$43</definedName>
    <definedName name="Linking_Range_8">CFS!$B$7:$BZ$50</definedName>
    <definedName name="MacroVersion" localSheetId="6">IndexInformation!$B$1</definedName>
    <definedName name="ModelPrice" localSheetId="0">ImportantDisclosures!$A$14</definedName>
    <definedName name="Multiplier" localSheetId="6">IndexInformation!$B$35</definedName>
    <definedName name="NextYearEPS" localSheetId="6">IndexInformation!$B$13</definedName>
    <definedName name="NextYearTotalRevenue" localSheetId="6">IndexInformation!$B$12</definedName>
    <definedName name="NextYearTotalRevenueActual" localSheetId="6">IndexInformation!$B$33</definedName>
    <definedName name="NvsASD">"V2000-12-31"</definedName>
    <definedName name="NvsAutoDrillOk">"VN"</definedName>
    <definedName name="NvsElapsedTime">0.000516666666953824</definedName>
    <definedName name="NvsEndTime">37585.5170123843</definedName>
    <definedName name="NvsInstSpec">"%"</definedName>
    <definedName name="NvsLayoutType">"M3"</definedName>
    <definedName name="NvsNplSpec">"%,X,RNF..,CNF.."</definedName>
    <definedName name="NvsPanelEffdt">"V1997-07-09"</definedName>
    <definedName name="NvsPanelSetid">"V01"</definedName>
    <definedName name="NvsReqBU">"V01"</definedName>
    <definedName name="NvsReqBUOnly">"VN"</definedName>
    <definedName name="NvsTransLed">"VN"</definedName>
    <definedName name="NvsTreeASD">"V2000-12-31"</definedName>
    <definedName name="NvsValTbl.ACCOUNT">"GL_ACCOUNT_TBL"</definedName>
    <definedName name="ObjectType">IndexInformation!$B$37</definedName>
    <definedName name="PANA" localSheetId="7">ModPubIndex!$A$11</definedName>
    <definedName name="PathName" localSheetId="6">IndexInformation!$B$25</definedName>
    <definedName name="_xlnm.Print_Area" localSheetId="3">BS!$B$7:$CC$43</definedName>
    <definedName name="_xlnm.Print_Area" localSheetId="5">'BU-Segment'!$B$7:$CC$38</definedName>
    <definedName name="_xlnm.Print_Area" localSheetId="1">IS!$B$7:$CC$127</definedName>
    <definedName name="_xlnm.Print_Area">"Formula fixed. Name can be deleted."</definedName>
    <definedName name="PRODUCT" localSheetId="7">ModPubIndex!$A$6</definedName>
    <definedName name="PSYM" localSheetId="7">ModPubIndex!$A$4</definedName>
    <definedName name="PUB_UserID" hidden="1">"MAYERX"</definedName>
    <definedName name="PublishDate" localSheetId="6">IndexInformation!$B$2</definedName>
    <definedName name="Rating" localSheetId="6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searchTopic" localSheetId="6">IndexInformation!$B$4</definedName>
    <definedName name="RIC" localSheetId="6">IndexInformation!$B$21</definedName>
    <definedName name="SECSettlement" localSheetId="0">ImportantDisclosures!#REF!</definedName>
    <definedName name="SEDOL" localSheetId="6">IndexInformation!$B$22</definedName>
    <definedName name="sencount" hidden="1">1</definedName>
    <definedName name="SourceDefined" localSheetId="0">ImportantDisclosures!$A$19</definedName>
    <definedName name="StockRating" localSheetId="0">ImportantDisclosures!$A$11</definedName>
    <definedName name="SubjectCode" localSheetId="6">IndexInformation!$B$6</definedName>
    <definedName name="SubmitterUserId">IndexInformation!$B$39</definedName>
    <definedName name="SUPPRESSED" localSheetId="7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6">IndexInformation!$B$19</definedName>
    <definedName name="UpdateReason" localSheetId="6">IndexInformation!$B$17</definedName>
    <definedName name="USRegDisclosures" localSheetId="0">ImportantDisclosures!#REF!</definedName>
  </definedNames>
  <calcPr calcId="145621" iterate="1"/>
</workbook>
</file>

<file path=xl/calcChain.xml><?xml version="1.0" encoding="utf-8"?>
<calcChain xmlns="http://schemas.openxmlformats.org/spreadsheetml/2006/main">
  <c r="BJ34" i="1" l="1"/>
  <c r="BG82" i="2"/>
  <c r="BG34" i="9" l="1"/>
  <c r="BL27" i="1"/>
  <c r="BJ44" i="1"/>
  <c r="BK44" i="1" s="1"/>
  <c r="BJ83" i="1"/>
  <c r="BK83" i="1" s="1"/>
  <c r="BK34" i="1" l="1"/>
  <c r="BM34" i="1" s="1"/>
  <c r="BN34" i="1" s="1"/>
  <c r="BO34" i="1" s="1"/>
  <c r="CD118" i="1"/>
  <c r="CF44" i="3"/>
  <c r="CE44" i="3"/>
  <c r="CD44" i="3"/>
  <c r="CC44" i="3"/>
  <c r="CB44" i="3"/>
  <c r="CA44" i="3"/>
  <c r="BZ44" i="3"/>
  <c r="BY44" i="3"/>
  <c r="BX44" i="3"/>
  <c r="BW44" i="3"/>
  <c r="BV44" i="3"/>
  <c r="BU44" i="3"/>
  <c r="BT44" i="3"/>
  <c r="BS44" i="3"/>
  <c r="BR44" i="3"/>
  <c r="BQ44" i="3"/>
  <c r="BG36" i="9" l="1"/>
  <c r="BG35" i="9"/>
  <c r="BG32" i="9"/>
  <c r="BG31" i="9"/>
  <c r="BG30" i="9"/>
  <c r="BG27" i="9"/>
  <c r="BG26" i="9"/>
  <c r="BG25" i="9"/>
  <c r="BG22" i="9"/>
  <c r="BG21" i="9"/>
  <c r="BG20" i="9"/>
  <c r="BG17" i="9"/>
  <c r="BG16" i="9"/>
  <c r="BG15" i="9"/>
  <c r="BG10" i="9"/>
  <c r="BG11" i="9" s="1"/>
  <c r="BH42" i="3"/>
  <c r="CC45" i="3"/>
  <c r="CD45" i="3"/>
  <c r="BG76" i="3"/>
  <c r="AU45" i="3"/>
  <c r="AT45" i="3"/>
  <c r="AS45" i="3"/>
  <c r="AR45" i="3"/>
  <c r="BF45" i="3"/>
  <c r="BE45" i="3"/>
  <c r="BD45" i="3"/>
  <c r="BG45" i="3"/>
  <c r="BG43" i="3"/>
  <c r="BG35" i="3"/>
  <c r="BG36" i="3" s="1"/>
  <c r="BG33" i="3"/>
  <c r="BG18" i="3"/>
  <c r="BG52" i="3"/>
  <c r="BF67" i="3"/>
  <c r="BF65" i="3"/>
  <c r="BF63" i="3"/>
  <c r="BF58" i="3"/>
  <c r="BF59" i="3" s="1"/>
  <c r="BG73" i="2"/>
  <c r="BG67" i="2"/>
  <c r="BG71" i="2" s="1"/>
  <c r="BG58" i="2"/>
  <c r="BG54" i="2" s="1"/>
  <c r="BG57" i="2"/>
  <c r="BG56" i="2"/>
  <c r="BG53" i="2"/>
  <c r="BG52" i="2"/>
  <c r="BG51" i="2"/>
  <c r="BG50" i="2" s="1"/>
  <c r="BG49" i="2"/>
  <c r="BG22" i="2"/>
  <c r="BG23" i="2"/>
  <c r="BG16" i="2"/>
  <c r="BG38" i="2"/>
  <c r="BG34" i="2"/>
  <c r="BG18" i="2"/>
  <c r="BG25" i="2" s="1"/>
  <c r="BG46" i="1"/>
  <c r="BG139" i="1"/>
  <c r="BG137" i="1"/>
  <c r="BG133" i="1"/>
  <c r="BG64" i="1"/>
  <c r="BG63" i="1"/>
  <c r="BG71" i="1" s="1"/>
  <c r="BG120" i="1"/>
  <c r="BG109" i="1" s="1"/>
  <c r="BG108" i="1"/>
  <c r="BG103" i="1"/>
  <c r="BG101" i="1"/>
  <c r="BG82" i="1"/>
  <c r="BG86" i="1" s="1"/>
  <c r="BG50" i="1"/>
  <c r="BG48" i="1"/>
  <c r="BG44" i="1"/>
  <c r="BG40" i="1"/>
  <c r="BG38" i="1"/>
  <c r="BG34" i="1"/>
  <c r="BG26" i="1"/>
  <c r="BG23" i="1"/>
  <c r="BG21" i="1"/>
  <c r="BG17" i="1"/>
  <c r="BG14" i="1"/>
  <c r="BG12" i="1"/>
  <c r="CG9" i="3"/>
  <c r="CG57" i="3" s="1"/>
  <c r="CG72" i="3" s="1"/>
  <c r="CG80" i="3" s="1"/>
  <c r="CG8" i="3"/>
  <c r="CG7" i="3"/>
  <c r="CG7" i="2"/>
  <c r="CG9" i="2"/>
  <c r="CG48" i="2" s="1"/>
  <c r="CG61" i="2" s="1"/>
  <c r="CG77" i="2" s="1"/>
  <c r="CG8" i="2"/>
  <c r="CG50" i="2"/>
  <c r="CG300" i="1"/>
  <c r="CG302" i="3" s="1"/>
  <c r="CG118" i="1"/>
  <c r="CG120" i="1" s="1"/>
  <c r="CG109" i="1" s="1"/>
  <c r="BG148" i="1" l="1"/>
  <c r="BG147" i="1"/>
  <c r="BG30" i="1"/>
  <c r="BG38" i="9"/>
  <c r="BG12" i="9"/>
  <c r="BF68" i="3"/>
  <c r="BG74" i="2"/>
  <c r="BG43" i="2"/>
  <c r="BG45" i="2" s="1"/>
  <c r="BG115" i="1"/>
  <c r="BG116" i="1" s="1"/>
  <c r="BG75" i="1"/>
  <c r="BG89" i="1" s="1"/>
  <c r="BG22" i="1"/>
  <c r="BG24" i="1"/>
  <c r="BG27" i="1"/>
  <c r="BG39" i="1"/>
  <c r="BG31" i="1"/>
  <c r="BG49" i="1"/>
  <c r="BG51" i="1"/>
  <c r="BG69" i="1"/>
  <c r="BG73" i="1" s="1"/>
  <c r="BG87" i="1"/>
  <c r="BG28" i="1"/>
  <c r="BG41" i="1"/>
  <c r="BG68" i="1"/>
  <c r="BG72" i="1" s="1"/>
  <c r="CG303" i="2"/>
  <c r="BG79" i="1" l="1"/>
  <c r="BG93" i="1" s="1"/>
  <c r="BG76" i="1"/>
  <c r="BG77" i="1"/>
  <c r="BG29" i="1"/>
  <c r="BG97" i="1"/>
  <c r="BG106" i="1"/>
  <c r="BG90" i="1"/>
  <c r="BG80" i="1" l="1"/>
  <c r="BG91" i="1"/>
  <c r="BG78" i="1"/>
  <c r="BG112" i="1"/>
  <c r="BG94" i="1"/>
  <c r="BG104" i="1"/>
  <c r="BG125" i="1"/>
  <c r="BG122" i="1"/>
  <c r="BG123" i="1" s="1"/>
  <c r="BG107" i="1"/>
  <c r="BG127" i="1" l="1"/>
  <c r="BG113" i="1"/>
  <c r="BG110" i="1"/>
  <c r="BG92" i="1"/>
  <c r="BG102" i="1"/>
  <c r="BG111" i="1" l="1"/>
  <c r="BG126" i="1"/>
  <c r="BM74" i="3" l="1"/>
  <c r="BN74" i="3" s="1"/>
  <c r="BO74" i="3" s="1"/>
  <c r="BI74" i="3"/>
  <c r="BJ74" i="3" s="1"/>
  <c r="BK74" i="3" s="1"/>
  <c r="BM44" i="1"/>
  <c r="BN44" i="1" s="1"/>
  <c r="BO44" i="1" s="1"/>
  <c r="BI27" i="1"/>
  <c r="BJ27" i="1" s="1"/>
  <c r="BK27" i="1" s="1"/>
  <c r="BM27" i="1" s="1"/>
  <c r="BN27" i="1" s="1"/>
  <c r="BO27" i="1" s="1"/>
  <c r="BM30" i="9"/>
  <c r="BN30" i="9" s="1"/>
  <c r="BO30" i="9" s="1"/>
  <c r="BJ30" i="9"/>
  <c r="BK30" i="9" s="1"/>
  <c r="BU10" i="9"/>
  <c r="BV10" i="9"/>
  <c r="BV12" i="9" s="1"/>
  <c r="BX10" i="9"/>
  <c r="CC10" i="9"/>
  <c r="CB10" i="9"/>
  <c r="BF10" i="9"/>
  <c r="BE10" i="9"/>
  <c r="BE11" i="9" s="1"/>
  <c r="BD10" i="9"/>
  <c r="BC10" i="9"/>
  <c r="BB10" i="9"/>
  <c r="BA10" i="9"/>
  <c r="BA11" i="9" s="1"/>
  <c r="AZ10" i="9"/>
  <c r="AY10" i="9"/>
  <c r="AX10" i="9"/>
  <c r="AW10" i="9"/>
  <c r="AV10" i="9"/>
  <c r="AW11" i="9" s="1"/>
  <c r="AN10" i="9"/>
  <c r="AM10" i="9"/>
  <c r="AL10" i="9"/>
  <c r="AJ10" i="9"/>
  <c r="AJ11" i="9" s="1"/>
  <c r="AI10" i="9"/>
  <c r="AH10" i="9"/>
  <c r="AI11" i="9" s="1"/>
  <c r="AG10" i="9"/>
  <c r="AF10" i="9"/>
  <c r="AF12" i="9" s="1"/>
  <c r="AC10" i="9"/>
  <c r="AD10" i="9"/>
  <c r="AB10" i="9"/>
  <c r="BF12" i="9"/>
  <c r="BE12" i="9"/>
  <c r="BD12" i="9"/>
  <c r="BC12" i="9"/>
  <c r="BB12" i="9"/>
  <c r="BA12" i="9"/>
  <c r="AM12" i="9"/>
  <c r="BF11" i="9"/>
  <c r="BD11" i="9"/>
  <c r="BC11" i="9"/>
  <c r="BB11" i="9"/>
  <c r="AZ11" i="9"/>
  <c r="AY11" i="9"/>
  <c r="AX11" i="9"/>
  <c r="AN11" i="9"/>
  <c r="AD11" i="9"/>
  <c r="AC11" i="9"/>
  <c r="AR14" i="9"/>
  <c r="BH14" i="9"/>
  <c r="BQ14" i="9"/>
  <c r="BR14" i="9"/>
  <c r="BS14" i="9"/>
  <c r="BT14" i="9"/>
  <c r="BU14" i="9"/>
  <c r="BV14" i="9"/>
  <c r="BW14" i="9"/>
  <c r="BX14" i="9"/>
  <c r="BY14" i="9"/>
  <c r="CB14" i="9"/>
  <c r="CC14" i="9"/>
  <c r="CD14" i="9"/>
  <c r="AZ12" i="9" l="1"/>
  <c r="AG11" i="9"/>
  <c r="AJ12" i="9"/>
  <c r="AN12" i="9"/>
  <c r="AH11" i="9"/>
  <c r="AH12" i="9"/>
  <c r="AL12" i="9"/>
  <c r="AG12" i="9"/>
  <c r="BI14" i="9"/>
  <c r="AS14" i="9"/>
  <c r="AT14" i="9" s="1"/>
  <c r="AU14" i="9" s="1"/>
  <c r="BJ14" i="9" l="1"/>
  <c r="CC12" i="9"/>
  <c r="CA14" i="9"/>
  <c r="BK14" i="9" l="1"/>
  <c r="BL14" i="9" l="1"/>
  <c r="CE14" i="9"/>
  <c r="BF36" i="9"/>
  <c r="BF35" i="9"/>
  <c r="BF32" i="9"/>
  <c r="BF31" i="9"/>
  <c r="BF30" i="9"/>
  <c r="BF27" i="9"/>
  <c r="BF26" i="9"/>
  <c r="BF25" i="9"/>
  <c r="BF22" i="9"/>
  <c r="BF21" i="9"/>
  <c r="BF20" i="9"/>
  <c r="BF17" i="9"/>
  <c r="BF16" i="9"/>
  <c r="BF15" i="9"/>
  <c r="BF76" i="3"/>
  <c r="BF43" i="3"/>
  <c r="BF35" i="3"/>
  <c r="BF36" i="3" s="1"/>
  <c r="BF33" i="3"/>
  <c r="BF18" i="3"/>
  <c r="BF52" i="3"/>
  <c r="BF73" i="2"/>
  <c r="BF67" i="2"/>
  <c r="BF71" i="2" s="1"/>
  <c r="BF57" i="2"/>
  <c r="BF51" i="2" s="1"/>
  <c r="BF50" i="2" s="1"/>
  <c r="BF56" i="2"/>
  <c r="BF49" i="2" s="1"/>
  <c r="BF52" i="2"/>
  <c r="BF16" i="2"/>
  <c r="BF18" i="2" s="1"/>
  <c r="BF38" i="2"/>
  <c r="BF34" i="2"/>
  <c r="BF46" i="1"/>
  <c r="BF108" i="1" s="1"/>
  <c r="BF133" i="1"/>
  <c r="BF120" i="1"/>
  <c r="BF109" i="1" s="1"/>
  <c r="BF103" i="1"/>
  <c r="BF101" i="1"/>
  <c r="BF82" i="1"/>
  <c r="BF87" i="1" s="1"/>
  <c r="BF63" i="1"/>
  <c r="BF69" i="1" s="1"/>
  <c r="BF44" i="1"/>
  <c r="BF40" i="1"/>
  <c r="BF115" i="1"/>
  <c r="BF116" i="1" s="1"/>
  <c r="BF34" i="1"/>
  <c r="BF26" i="1"/>
  <c r="BF27" i="1" s="1"/>
  <c r="BF23" i="1"/>
  <c r="BF21" i="1"/>
  <c r="BF17" i="1"/>
  <c r="BF14" i="1"/>
  <c r="BF12" i="1"/>
  <c r="BG13" i="1" s="1"/>
  <c r="BF24" i="1" l="1"/>
  <c r="BF38" i="9"/>
  <c r="BF40" i="9" s="1"/>
  <c r="BF22" i="1"/>
  <c r="BF41" i="1"/>
  <c r="BF68" i="1"/>
  <c r="BM14" i="9"/>
  <c r="BF74" i="2"/>
  <c r="BF43" i="2"/>
  <c r="BF50" i="1"/>
  <c r="BF51" i="1" s="1"/>
  <c r="BF48" i="1"/>
  <c r="BF49" i="1" s="1"/>
  <c r="BF30" i="1"/>
  <c r="BF31" i="1" s="1"/>
  <c r="BF71" i="1"/>
  <c r="BF75" i="1" s="1"/>
  <c r="BF86" i="1"/>
  <c r="BF28" i="1"/>
  <c r="BF38" i="1"/>
  <c r="BN14" i="9" l="1"/>
  <c r="BF73" i="1"/>
  <c r="BF79" i="1" s="1"/>
  <c r="BF93" i="1" s="1"/>
  <c r="BF76" i="1"/>
  <c r="BF89" i="1"/>
  <c r="BF106" i="1" s="1"/>
  <c r="BF125" i="1" s="1"/>
  <c r="BF72" i="1"/>
  <c r="BF77" i="1" s="1"/>
  <c r="BF39" i="1"/>
  <c r="BF29" i="1"/>
  <c r="BO14" i="9" l="1"/>
  <c r="CF14" i="9" s="1"/>
  <c r="BF80" i="1"/>
  <c r="BF90" i="1"/>
  <c r="BF97" i="1"/>
  <c r="BF91" i="1"/>
  <c r="BF78" i="1"/>
  <c r="BF112" i="1"/>
  <c r="BF94" i="1"/>
  <c r="BF104" i="1"/>
  <c r="BF122" i="1"/>
  <c r="BF107" i="1"/>
  <c r="BF123" i="1" l="1"/>
  <c r="BF11" i="3"/>
  <c r="BF29" i="3" s="1"/>
  <c r="BF49" i="3" s="1"/>
  <c r="BF127" i="1"/>
  <c r="BF113" i="1"/>
  <c r="BF110" i="1"/>
  <c r="BF92" i="1"/>
  <c r="BF102" i="1"/>
  <c r="BF126" i="1" l="1"/>
  <c r="BF111" i="1"/>
  <c r="CF48" i="3"/>
  <c r="CF43" i="3"/>
  <c r="CF40" i="3"/>
  <c r="CF39" i="3"/>
  <c r="CF35" i="3"/>
  <c r="CF17" i="3"/>
  <c r="CF16" i="3"/>
  <c r="CF12" i="3"/>
  <c r="CF9" i="3"/>
  <c r="CF57" i="3" s="1"/>
  <c r="CF72" i="3" s="1"/>
  <c r="CF80" i="3" s="1"/>
  <c r="CF8" i="3"/>
  <c r="CF7" i="3"/>
  <c r="CF68" i="2"/>
  <c r="CG68" i="2" s="1"/>
  <c r="BO9" i="3"/>
  <c r="BO57" i="3" s="1"/>
  <c r="BO72" i="3" s="1"/>
  <c r="BO80" i="3" s="1"/>
  <c r="BN9" i="3"/>
  <c r="BN57" i="3" s="1"/>
  <c r="BN72" i="3" s="1"/>
  <c r="BN80" i="3" s="1"/>
  <c r="BM9" i="3"/>
  <c r="BM57" i="3" s="1"/>
  <c r="BM72" i="3" s="1"/>
  <c r="BM80" i="3" s="1"/>
  <c r="BL9" i="3"/>
  <c r="BL57" i="3" s="1"/>
  <c r="BL72" i="3" s="1"/>
  <c r="BL80" i="3" s="1"/>
  <c r="BO8" i="3"/>
  <c r="BN8" i="3"/>
  <c r="BM8" i="3"/>
  <c r="BL8" i="3"/>
  <c r="BO7" i="3"/>
  <c r="BN7" i="3"/>
  <c r="BM7" i="3"/>
  <c r="BL7" i="3"/>
  <c r="BO9" i="2"/>
  <c r="BO48" i="2" s="1"/>
  <c r="BO61" i="2" s="1"/>
  <c r="BO77" i="2" s="1"/>
  <c r="BN9" i="2"/>
  <c r="BN48" i="2" s="1"/>
  <c r="BN61" i="2" s="1"/>
  <c r="BN77" i="2" s="1"/>
  <c r="BM9" i="2"/>
  <c r="BM48" i="2" s="1"/>
  <c r="BM61" i="2" s="1"/>
  <c r="BM77" i="2" s="1"/>
  <c r="BL9" i="2"/>
  <c r="BL48" i="2" s="1"/>
  <c r="BL61" i="2" s="1"/>
  <c r="BL77" i="2" s="1"/>
  <c r="BO8" i="2"/>
  <c r="BN8" i="2"/>
  <c r="BM8" i="2"/>
  <c r="BL8" i="2"/>
  <c r="BO7" i="2"/>
  <c r="BN7" i="2"/>
  <c r="BM7" i="2"/>
  <c r="BL7" i="2"/>
  <c r="CF9" i="9"/>
  <c r="CF8" i="9"/>
  <c r="CF7" i="9"/>
  <c r="BO9" i="9"/>
  <c r="BN9" i="9"/>
  <c r="BM9" i="9"/>
  <c r="BL9" i="9"/>
  <c r="BO8" i="9"/>
  <c r="BN8" i="9"/>
  <c r="BM8" i="9"/>
  <c r="BL8" i="9"/>
  <c r="BO7" i="9"/>
  <c r="BN7" i="9"/>
  <c r="BM7" i="9"/>
  <c r="BL7" i="9"/>
  <c r="CF119" i="1"/>
  <c r="CF100" i="1"/>
  <c r="CF99" i="1"/>
  <c r="CF98" i="1"/>
  <c r="CE98" i="1"/>
  <c r="CD98" i="1"/>
  <c r="CC98" i="1"/>
  <c r="CB98" i="1"/>
  <c r="CF85" i="1"/>
  <c r="CF84" i="1"/>
  <c r="CF67" i="1"/>
  <c r="CF64" i="1"/>
  <c r="CF47" i="1"/>
  <c r="CF46" i="1"/>
  <c r="CF37" i="1"/>
  <c r="CF36" i="1"/>
  <c r="CF20" i="1"/>
  <c r="CF19" i="1"/>
  <c r="CF11" i="1"/>
  <c r="BO302" i="1"/>
  <c r="BN302" i="1"/>
  <c r="BM302" i="1"/>
  <c r="BL302" i="1"/>
  <c r="BO300" i="1"/>
  <c r="BO302" i="3" s="1"/>
  <c r="BN300" i="1"/>
  <c r="BN69" i="9" s="1"/>
  <c r="BM300" i="1"/>
  <c r="BM302" i="3" s="1"/>
  <c r="BL300" i="1"/>
  <c r="BL69" i="9" s="1"/>
  <c r="BO118" i="1"/>
  <c r="BO120" i="1" s="1"/>
  <c r="BO109" i="1" s="1"/>
  <c r="BN118" i="1"/>
  <c r="BN120" i="1" s="1"/>
  <c r="BN109" i="1" s="1"/>
  <c r="BM118" i="1"/>
  <c r="BM120" i="1" s="1"/>
  <c r="BM109" i="1" s="1"/>
  <c r="BL118" i="1"/>
  <c r="BL120" i="1" l="1"/>
  <c r="BL109" i="1" s="1"/>
  <c r="CF118" i="1"/>
  <c r="CF120" i="1" s="1"/>
  <c r="CF109" i="1" s="1"/>
  <c r="BM69" i="9"/>
  <c r="BO69" i="9"/>
  <c r="BL303" i="2"/>
  <c r="BN303" i="2"/>
  <c r="BL302" i="3"/>
  <c r="BN302" i="3"/>
  <c r="BM303" i="2"/>
  <c r="BO303" i="2"/>
  <c r="BL83" i="1" l="1"/>
  <c r="BE32" i="9"/>
  <c r="BD32" i="9"/>
  <c r="BC32" i="9"/>
  <c r="BB32" i="9"/>
  <c r="BA32" i="9"/>
  <c r="AZ32" i="9"/>
  <c r="AY32" i="9"/>
  <c r="AX32" i="9"/>
  <c r="AW32" i="9"/>
  <c r="AV32" i="9"/>
  <c r="BE27" i="9"/>
  <c r="BD27" i="9"/>
  <c r="BC27" i="9"/>
  <c r="BB27" i="9"/>
  <c r="BA27" i="9"/>
  <c r="AZ27" i="9"/>
  <c r="AY27" i="9"/>
  <c r="AX27" i="9"/>
  <c r="AW27" i="9"/>
  <c r="AV27" i="9"/>
  <c r="BE22" i="9"/>
  <c r="BD22" i="9"/>
  <c r="BC22" i="9"/>
  <c r="BB22" i="9"/>
  <c r="BA22" i="9"/>
  <c r="AZ22" i="9"/>
  <c r="AY22" i="9"/>
  <c r="AX22" i="9"/>
  <c r="AW22" i="9"/>
  <c r="AV22" i="9"/>
  <c r="BE17" i="9"/>
  <c r="BD17" i="9"/>
  <c r="BC17" i="9"/>
  <c r="BB17" i="9"/>
  <c r="BA17" i="9"/>
  <c r="AZ17" i="9"/>
  <c r="BE36" i="9"/>
  <c r="BE35" i="9"/>
  <c r="BE76" i="3"/>
  <c r="BE33" i="3"/>
  <c r="BE35" i="3"/>
  <c r="BE18" i="3"/>
  <c r="BE52" i="3"/>
  <c r="BE57" i="2"/>
  <c r="BE51" i="2" s="1"/>
  <c r="BE50" i="2" s="1"/>
  <c r="BE56" i="2"/>
  <c r="BE49" i="2" s="1"/>
  <c r="BE32" i="2"/>
  <c r="BE34" i="2" s="1"/>
  <c r="BE16" i="2"/>
  <c r="BE18" i="2" s="1"/>
  <c r="BE46" i="1"/>
  <c r="BE133" i="1"/>
  <c r="BM83" i="1" l="1"/>
  <c r="BL82" i="1"/>
  <c r="BE52" i="2"/>
  <c r="BE36" i="3"/>
  <c r="BE49" i="3" s="1"/>
  <c r="BE43" i="2"/>
  <c r="BE120" i="1"/>
  <c r="BE109" i="1" s="1"/>
  <c r="BE115" i="1"/>
  <c r="BE116" i="1" s="1"/>
  <c r="BE108" i="1"/>
  <c r="BE103" i="1"/>
  <c r="BE101" i="1"/>
  <c r="BE82" i="1"/>
  <c r="BE87" i="1" s="1"/>
  <c r="BE63" i="1"/>
  <c r="BE69" i="1" s="1"/>
  <c r="BE50" i="1"/>
  <c r="BE48" i="1"/>
  <c r="BE44" i="1"/>
  <c r="BE40" i="1"/>
  <c r="BE38" i="1"/>
  <c r="BE34" i="1"/>
  <c r="BE26" i="1"/>
  <c r="BE23" i="1"/>
  <c r="BE21" i="1"/>
  <c r="BE17" i="1"/>
  <c r="BE14" i="1"/>
  <c r="BE12" i="1"/>
  <c r="BF13" i="1" s="1"/>
  <c r="BL87" i="1" l="1"/>
  <c r="BL86" i="1"/>
  <c r="BM82" i="1"/>
  <c r="BN83" i="1"/>
  <c r="BE30" i="1"/>
  <c r="BE31" i="1" s="1"/>
  <c r="BE38" i="9"/>
  <c r="BE22" i="1"/>
  <c r="BE51" i="1"/>
  <c r="BE24" i="1"/>
  <c r="BE49" i="1"/>
  <c r="BE73" i="1"/>
  <c r="BE27" i="1"/>
  <c r="BE39" i="1"/>
  <c r="BE41" i="1"/>
  <c r="BE68" i="1"/>
  <c r="BE72" i="1" s="1"/>
  <c r="BE71" i="1"/>
  <c r="BE75" i="1" s="1"/>
  <c r="BE86" i="1"/>
  <c r="BE28" i="1"/>
  <c r="BM86" i="1" l="1"/>
  <c r="BM87" i="1"/>
  <c r="BO83" i="1"/>
  <c r="BN82" i="1"/>
  <c r="BE79" i="1"/>
  <c r="BE93" i="1" s="1"/>
  <c r="BE77" i="1"/>
  <c r="BE29" i="1"/>
  <c r="BE89" i="1"/>
  <c r="BE76" i="1"/>
  <c r="BO82" i="1" l="1"/>
  <c r="BO87" i="1" s="1"/>
  <c r="CF83" i="1"/>
  <c r="CG83" i="1" s="1"/>
  <c r="BN86" i="1"/>
  <c r="BN87" i="1"/>
  <c r="BE80" i="1"/>
  <c r="BE112" i="1"/>
  <c r="BE94" i="1"/>
  <c r="BE104" i="1"/>
  <c r="BE106" i="1"/>
  <c r="BE90" i="1"/>
  <c r="BE97" i="1"/>
  <c r="BE91" i="1"/>
  <c r="BE78" i="1"/>
  <c r="CF82" i="1" l="1"/>
  <c r="CF86" i="1" s="1"/>
  <c r="CG82" i="1"/>
  <c r="BO86" i="1"/>
  <c r="BE122" i="1"/>
  <c r="BE107" i="1"/>
  <c r="BE110" i="1"/>
  <c r="BE92" i="1"/>
  <c r="BE102" i="1"/>
  <c r="BE113" i="1"/>
  <c r="BD58" i="3"/>
  <c r="BD59" i="3" s="1"/>
  <c r="BD29" i="2"/>
  <c r="CF87" i="1" l="1"/>
  <c r="CG86" i="1"/>
  <c r="CG87" i="1"/>
  <c r="BE123" i="1"/>
  <c r="BE11" i="3"/>
  <c r="BE111" i="1"/>
  <c r="BD46" i="1" l="1"/>
  <c r="BD101" i="1" l="1"/>
  <c r="BD99" i="1"/>
  <c r="BD115" i="1"/>
  <c r="BD116" i="1" s="1"/>
  <c r="BD76" i="3"/>
  <c r="BD74" i="3" s="1"/>
  <c r="BD73" i="3" s="1"/>
  <c r="BD35" i="3"/>
  <c r="BD33" i="3"/>
  <c r="BD18" i="3"/>
  <c r="BD52" i="3"/>
  <c r="BD73" i="2"/>
  <c r="BD67" i="2"/>
  <c r="BD71" i="2" s="1"/>
  <c r="BD57" i="2"/>
  <c r="BD51" i="2" s="1"/>
  <c r="BD50" i="2" s="1"/>
  <c r="BD56" i="2"/>
  <c r="BD49" i="2" s="1"/>
  <c r="BD52" i="2"/>
  <c r="BD16" i="2"/>
  <c r="BD34" i="2"/>
  <c r="BD43" i="2" s="1"/>
  <c r="BD18" i="2"/>
  <c r="BD108" i="1"/>
  <c r="BD139" i="1"/>
  <c r="BD137" i="1"/>
  <c r="BD133" i="1"/>
  <c r="BD120" i="1"/>
  <c r="BD109" i="1" s="1"/>
  <c r="BD103" i="1"/>
  <c r="BD82" i="1"/>
  <c r="BD87" i="1" s="1"/>
  <c r="BD63" i="1"/>
  <c r="BD50" i="1"/>
  <c r="BD44" i="1"/>
  <c r="BD34" i="1"/>
  <c r="BD26" i="1"/>
  <c r="BD27" i="1" s="1"/>
  <c r="BD23" i="1"/>
  <c r="BD21" i="1"/>
  <c r="BD17" i="1"/>
  <c r="BD14" i="1"/>
  <c r="BD12" i="1"/>
  <c r="BD30" i="1" l="1"/>
  <c r="BD31" i="1" s="1"/>
  <c r="BE13" i="1"/>
  <c r="BD38" i="9"/>
  <c r="BD36" i="3"/>
  <c r="BD69" i="1"/>
  <c r="BD148" i="1"/>
  <c r="BD147" i="1"/>
  <c r="BD68" i="1"/>
  <c r="BD22" i="1"/>
  <c r="BD24" i="1"/>
  <c r="BD51" i="1"/>
  <c r="BD71" i="1"/>
  <c r="BD75" i="1" s="1"/>
  <c r="BD86" i="1"/>
  <c r="BD28" i="1"/>
  <c r="BD38" i="1"/>
  <c r="BD40" i="1"/>
  <c r="BD48" i="1"/>
  <c r="BD49" i="1" s="1"/>
  <c r="BD72" i="1" l="1"/>
  <c r="BD77" i="1" s="1"/>
  <c r="BD76" i="1"/>
  <c r="BD89" i="1"/>
  <c r="BD106" i="1" s="1"/>
  <c r="BD39" i="1"/>
  <c r="BD73" i="1"/>
  <c r="BD79" i="1" s="1"/>
  <c r="BD41" i="1"/>
  <c r="BD29" i="1"/>
  <c r="BD125" i="1" l="1"/>
  <c r="BD122" i="1"/>
  <c r="BD97" i="1"/>
  <c r="BD90" i="1"/>
  <c r="BD107" i="1"/>
  <c r="BD91" i="1"/>
  <c r="BD110" i="1" s="1"/>
  <c r="BD78" i="1"/>
  <c r="BD93" i="1"/>
  <c r="BD80" i="1"/>
  <c r="BD123" i="1" l="1"/>
  <c r="BD11" i="3"/>
  <c r="BD29" i="3" s="1"/>
  <c r="BD49" i="3" s="1"/>
  <c r="BD112" i="1"/>
  <c r="BD94" i="1"/>
  <c r="BD104" i="1"/>
  <c r="BD92" i="1"/>
  <c r="BD102" i="1"/>
  <c r="BD126" i="1" l="1"/>
  <c r="BD111" i="1"/>
  <c r="BD127" i="1"/>
  <c r="BD113" i="1"/>
  <c r="BG9" i="9" l="1"/>
  <c r="BB58" i="3" l="1"/>
  <c r="BB59" i="3" s="1"/>
  <c r="BC33" i="3" l="1"/>
  <c r="BC34" i="3"/>
  <c r="BC58" i="3" s="1"/>
  <c r="BC59" i="3" s="1"/>
  <c r="BC25" i="3"/>
  <c r="BC28" i="3"/>
  <c r="BC26" i="3"/>
  <c r="BC24" i="3"/>
  <c r="BC23" i="3"/>
  <c r="BC22" i="3"/>
  <c r="BC21" i="3"/>
  <c r="BC16" i="3"/>
  <c r="BC17" i="3"/>
  <c r="BC15" i="3"/>
  <c r="BC14" i="3"/>
  <c r="BC13" i="3"/>
  <c r="CC96" i="1" l="1"/>
  <c r="BB35" i="1" l="1"/>
  <c r="AZ58" i="1" l="1"/>
  <c r="AZ56" i="1"/>
  <c r="CC67" i="1"/>
  <c r="CC66" i="1"/>
  <c r="BA30" i="9" l="1"/>
  <c r="BE31" i="9"/>
  <c r="BE26" i="9"/>
  <c r="AY20" i="9"/>
  <c r="BA20" i="9"/>
  <c r="BE21" i="9"/>
  <c r="BE16" i="9"/>
  <c r="AY30" i="9" l="1"/>
  <c r="BA25" i="9"/>
  <c r="AY25" i="9"/>
  <c r="BC20" i="9"/>
  <c r="BC25" i="9"/>
  <c r="BC30" i="9"/>
  <c r="BB20" i="9"/>
  <c r="BB25" i="9"/>
  <c r="BB30" i="9"/>
  <c r="BC15" i="9"/>
  <c r="BB15" i="9"/>
  <c r="BA15" i="9"/>
  <c r="AZ20" i="9"/>
  <c r="AZ25" i="9"/>
  <c r="AZ30" i="9"/>
  <c r="AX20" i="9"/>
  <c r="AX25" i="9"/>
  <c r="AX30" i="9"/>
  <c r="AW20" i="9"/>
  <c r="AW25" i="9"/>
  <c r="AW30" i="9"/>
  <c r="BC36" i="9"/>
  <c r="BC35" i="9"/>
  <c r="BC67" i="3" l="1"/>
  <c r="BC43" i="3"/>
  <c r="BC76" i="3"/>
  <c r="BC52" i="3"/>
  <c r="BC45" i="3"/>
  <c r="BC37" i="2"/>
  <c r="BC39" i="2" s="1"/>
  <c r="BC29" i="2"/>
  <c r="BC23" i="2"/>
  <c r="BC22" i="2" s="1"/>
  <c r="BC16" i="2"/>
  <c r="BC13" i="2"/>
  <c r="BC82" i="2" s="1"/>
  <c r="BC78" i="2"/>
  <c r="BC79" i="2" s="1"/>
  <c r="BC73" i="2"/>
  <c r="BC67" i="2"/>
  <c r="BC71" i="2" s="1"/>
  <c r="BC57" i="2"/>
  <c r="BC51" i="2" s="1"/>
  <c r="BC50" i="2" s="1"/>
  <c r="BC56" i="2"/>
  <c r="BC49" i="2" s="1"/>
  <c r="BC38" i="2"/>
  <c r="BC34" i="2"/>
  <c r="BC139" i="1"/>
  <c r="BC137" i="1"/>
  <c r="BC133" i="1"/>
  <c r="BC120" i="1"/>
  <c r="BC109" i="1" s="1"/>
  <c r="BC115" i="1"/>
  <c r="BC116" i="1" s="1"/>
  <c r="BC103" i="1"/>
  <c r="BC101" i="1"/>
  <c r="BC82" i="1"/>
  <c r="BC87" i="1" s="1"/>
  <c r="BC63" i="1"/>
  <c r="BC147" i="1" s="1"/>
  <c r="BC60" i="1"/>
  <c r="BC54" i="1"/>
  <c r="BC50" i="1"/>
  <c r="BC44" i="1"/>
  <c r="BC40" i="1"/>
  <c r="BC34" i="1"/>
  <c r="BC26" i="1"/>
  <c r="BC27" i="1" s="1"/>
  <c r="BC108" i="1"/>
  <c r="BC17" i="1"/>
  <c r="BC14" i="1"/>
  <c r="BC12" i="1"/>
  <c r="BC74" i="2" l="1"/>
  <c r="BC52" i="2"/>
  <c r="BC18" i="2"/>
  <c r="BC87" i="2" s="1"/>
  <c r="BC80" i="2"/>
  <c r="BC81" i="2" s="1"/>
  <c r="BD22" i="2"/>
  <c r="BC43" i="2"/>
  <c r="BC38" i="9"/>
  <c r="BC40" i="9" s="1"/>
  <c r="BD13" i="1"/>
  <c r="BC51" i="1"/>
  <c r="BC61" i="1"/>
  <c r="BC68" i="1"/>
  <c r="BC148" i="1"/>
  <c r="BC85" i="2"/>
  <c r="BC86" i="2" s="1"/>
  <c r="BC58" i="2"/>
  <c r="BC54" i="2" s="1"/>
  <c r="BC83" i="2"/>
  <c r="BC71" i="1"/>
  <c r="BC75" i="1" s="1"/>
  <c r="BC89" i="1" s="1"/>
  <c r="BC86" i="1"/>
  <c r="BC41" i="1"/>
  <c r="BC21" i="1"/>
  <c r="BC22" i="1" s="1"/>
  <c r="BC23" i="1"/>
  <c r="BC24" i="1" s="1"/>
  <c r="BC38" i="1"/>
  <c r="BC48" i="1"/>
  <c r="BC49" i="1" s="1"/>
  <c r="BC58" i="1"/>
  <c r="BC59" i="1" s="1"/>
  <c r="BC69" i="1"/>
  <c r="BC73" i="1" s="1"/>
  <c r="BC25" i="2" l="1"/>
  <c r="BC45" i="2" s="1"/>
  <c r="BD58" i="2"/>
  <c r="BD23" i="2"/>
  <c r="BC28" i="1"/>
  <c r="BC29" i="1" s="1"/>
  <c r="BC53" i="2"/>
  <c r="BC76" i="1"/>
  <c r="BC72" i="1"/>
  <c r="BC39" i="1"/>
  <c r="BC106" i="1"/>
  <c r="BC90" i="1"/>
  <c r="BC97" i="1"/>
  <c r="BC30" i="1"/>
  <c r="BD25" i="2" l="1"/>
  <c r="BD45" i="2" s="1"/>
  <c r="BE23" i="2"/>
  <c r="BE22" i="2" s="1"/>
  <c r="BF22" i="2" s="1"/>
  <c r="BD54" i="2"/>
  <c r="BD53" i="2"/>
  <c r="BC77" i="1"/>
  <c r="BC91" i="1" s="1"/>
  <c r="BC79" i="1"/>
  <c r="BC31" i="1"/>
  <c r="BC125" i="1"/>
  <c r="BC122" i="1"/>
  <c r="BC107" i="1"/>
  <c r="BF58" i="2" l="1"/>
  <c r="BF23" i="2"/>
  <c r="BF25" i="2"/>
  <c r="BF45" i="2" s="1"/>
  <c r="BE58" i="2"/>
  <c r="BE25" i="2"/>
  <c r="BE45" i="2" s="1"/>
  <c r="BC78" i="1"/>
  <c r="BC123" i="1"/>
  <c r="BC11" i="3"/>
  <c r="BC110" i="1"/>
  <c r="BC92" i="1"/>
  <c r="BC102" i="1"/>
  <c r="BC93" i="1"/>
  <c r="BC80" i="1"/>
  <c r="BF54" i="2" l="1"/>
  <c r="BF53" i="2"/>
  <c r="BE54" i="2"/>
  <c r="BE53" i="2"/>
  <c r="BC112" i="1"/>
  <c r="BC94" i="1"/>
  <c r="BC104" i="1"/>
  <c r="BC126" i="1"/>
  <c r="BC111" i="1"/>
  <c r="BC127" i="1" l="1"/>
  <c r="BC113" i="1"/>
  <c r="BK302" i="1" l="1"/>
  <c r="BJ302" i="1"/>
  <c r="BI302" i="1"/>
  <c r="BH302" i="1"/>
  <c r="BK300" i="1"/>
  <c r="BK69" i="9" s="1"/>
  <c r="BJ300" i="1"/>
  <c r="BJ69" i="9" s="1"/>
  <c r="BI300" i="1"/>
  <c r="BI69" i="9" s="1"/>
  <c r="BH300" i="1"/>
  <c r="BH69" i="9" s="1"/>
  <c r="BG302" i="1"/>
  <c r="BF302" i="1"/>
  <c r="BE302" i="1"/>
  <c r="BD302" i="1"/>
  <c r="BG300" i="1"/>
  <c r="BG69" i="9" s="1"/>
  <c r="BF300" i="1"/>
  <c r="BF69" i="9" s="1"/>
  <c r="BE300" i="1"/>
  <c r="BE69" i="9" s="1"/>
  <c r="BD300" i="1"/>
  <c r="BD69" i="9" s="1"/>
  <c r="CE9" i="9"/>
  <c r="CE8" i="9"/>
  <c r="CE7" i="9"/>
  <c r="CD9" i="9"/>
  <c r="CD8" i="9"/>
  <c r="CD7" i="9"/>
  <c r="CE300" i="1"/>
  <c r="CE48" i="3"/>
  <c r="CE43" i="3"/>
  <c r="CE40" i="3"/>
  <c r="CE35" i="3"/>
  <c r="CE17" i="3"/>
  <c r="CE16" i="3"/>
  <c r="CE12" i="3"/>
  <c r="CE9" i="3"/>
  <c r="CE57" i="3" s="1"/>
  <c r="CE72" i="3" s="1"/>
  <c r="CE80" i="3" s="1"/>
  <c r="CE8" i="3"/>
  <c r="CE7" i="3"/>
  <c r="CE68" i="2"/>
  <c r="CE9" i="2"/>
  <c r="CE48" i="2" s="1"/>
  <c r="CE61" i="2" s="1"/>
  <c r="CE77" i="2" s="1"/>
  <c r="CE8" i="2"/>
  <c r="CE7" i="2"/>
  <c r="CE119" i="1"/>
  <c r="CE100" i="1"/>
  <c r="CE99" i="1"/>
  <c r="CE85" i="1"/>
  <c r="CE84" i="1"/>
  <c r="CE83" i="1"/>
  <c r="CE67" i="1"/>
  <c r="CE64" i="1"/>
  <c r="CE47" i="1"/>
  <c r="CE46" i="1"/>
  <c r="CE37" i="1"/>
  <c r="CE36" i="1"/>
  <c r="CE20" i="1"/>
  <c r="CE19" i="1"/>
  <c r="CE11" i="1"/>
  <c r="CE303" i="2" l="1"/>
  <c r="CE69" i="9"/>
  <c r="CE82" i="1"/>
  <c r="CE87" i="1" s="1"/>
  <c r="BD303" i="2"/>
  <c r="BF303" i="2"/>
  <c r="BH303" i="2"/>
  <c r="BJ303" i="2"/>
  <c r="BD302" i="3"/>
  <c r="BF302" i="3"/>
  <c r="BH302" i="3"/>
  <c r="BJ302" i="3"/>
  <c r="BE303" i="2"/>
  <c r="BG303" i="2"/>
  <c r="BI303" i="2"/>
  <c r="BK303" i="2"/>
  <c r="BE302" i="3"/>
  <c r="BG302" i="3"/>
  <c r="BI302" i="3"/>
  <c r="BK302" i="3"/>
  <c r="CE302" i="3"/>
  <c r="BK118" i="1"/>
  <c r="BK120" i="1" s="1"/>
  <c r="BK109" i="1" s="1"/>
  <c r="BJ118" i="1"/>
  <c r="BJ120" i="1" s="1"/>
  <c r="BJ109" i="1" s="1"/>
  <c r="BI118" i="1"/>
  <c r="BI120" i="1" s="1"/>
  <c r="BI109" i="1" s="1"/>
  <c r="BH118" i="1"/>
  <c r="BK82" i="1"/>
  <c r="BK87" i="1" s="1"/>
  <c r="BJ82" i="1"/>
  <c r="BJ87" i="1" s="1"/>
  <c r="BI82" i="1"/>
  <c r="BI86" i="1" s="1"/>
  <c r="BH82" i="1"/>
  <c r="BH87" i="1" s="1"/>
  <c r="BK9" i="3"/>
  <c r="BK57" i="3" s="1"/>
  <c r="BK72" i="3" s="1"/>
  <c r="BK80" i="3" s="1"/>
  <c r="BJ9" i="3"/>
  <c r="BJ57" i="3" s="1"/>
  <c r="BJ72" i="3" s="1"/>
  <c r="BJ80" i="3" s="1"/>
  <c r="BI9" i="3"/>
  <c r="BI57" i="3" s="1"/>
  <c r="BI72" i="3" s="1"/>
  <c r="BI80" i="3" s="1"/>
  <c r="BH9" i="3"/>
  <c r="BH57" i="3" s="1"/>
  <c r="BH72" i="3" s="1"/>
  <c r="BH80" i="3" s="1"/>
  <c r="BK8" i="3"/>
  <c r="BJ8" i="3"/>
  <c r="BI8" i="3"/>
  <c r="BH8" i="3"/>
  <c r="BK7" i="3"/>
  <c r="BJ7" i="3"/>
  <c r="BI7" i="3"/>
  <c r="BH7" i="3"/>
  <c r="BK9" i="2"/>
  <c r="BK48" i="2" s="1"/>
  <c r="BK61" i="2" s="1"/>
  <c r="BK77" i="2" s="1"/>
  <c r="BJ9" i="2"/>
  <c r="BJ48" i="2" s="1"/>
  <c r="BJ61" i="2" s="1"/>
  <c r="BJ77" i="2" s="1"/>
  <c r="BI9" i="2"/>
  <c r="BI48" i="2" s="1"/>
  <c r="BI61" i="2" s="1"/>
  <c r="BI77" i="2" s="1"/>
  <c r="BH9" i="2"/>
  <c r="BH48" i="2" s="1"/>
  <c r="BH61" i="2" s="1"/>
  <c r="BH77" i="2" s="1"/>
  <c r="BK8" i="2"/>
  <c r="BJ8" i="2"/>
  <c r="BI8" i="2"/>
  <c r="BH8" i="2"/>
  <c r="BK7" i="2"/>
  <c r="BJ7" i="2"/>
  <c r="BI7" i="2"/>
  <c r="BH7" i="2"/>
  <c r="BK9" i="9"/>
  <c r="BJ9" i="9"/>
  <c r="BI9" i="9"/>
  <c r="BH9" i="9"/>
  <c r="BK8" i="9"/>
  <c r="BJ8" i="9"/>
  <c r="BI8" i="9"/>
  <c r="BH8" i="9"/>
  <c r="BK7" i="9"/>
  <c r="BJ7" i="9"/>
  <c r="BI7" i="9"/>
  <c r="BH7" i="9"/>
  <c r="BH120" i="1" l="1"/>
  <c r="BH109" i="1" s="1"/>
  <c r="CE118" i="1"/>
  <c r="CE120" i="1" s="1"/>
  <c r="CE109" i="1" s="1"/>
  <c r="CE86" i="1"/>
  <c r="BI87" i="1"/>
  <c r="BK86" i="1"/>
  <c r="BH86" i="1"/>
  <c r="BJ86" i="1"/>
  <c r="BB73" i="2"/>
  <c r="BB67" i="2"/>
  <c r="BB71" i="2" s="1"/>
  <c r="BB67" i="3"/>
  <c r="BB65" i="3"/>
  <c r="BA64" i="3"/>
  <c r="BB74" i="2" l="1"/>
  <c r="BB68" i="3"/>
  <c r="CE39" i="3" l="1"/>
  <c r="BI49" i="2" l="1"/>
  <c r="BJ49" i="2" s="1"/>
  <c r="BK49" i="2" s="1"/>
  <c r="BH52" i="2"/>
  <c r="BI52" i="2" s="1"/>
  <c r="BJ52" i="2" s="1"/>
  <c r="BK52" i="2" s="1"/>
  <c r="BL52" i="2" s="1"/>
  <c r="BH51" i="2"/>
  <c r="BM52" i="2" l="1"/>
  <c r="BM49" i="2"/>
  <c r="BI51" i="2"/>
  <c r="BH50" i="2"/>
  <c r="BN52" i="2" l="1"/>
  <c r="BN49" i="2"/>
  <c r="BH136" i="1"/>
  <c r="BI136" i="1" s="1"/>
  <c r="BJ136" i="1" s="1"/>
  <c r="BK136" i="1" s="1"/>
  <c r="BL136" i="1" s="1"/>
  <c r="BM136" i="1" s="1"/>
  <c r="BN136" i="1" s="1"/>
  <c r="BO136" i="1" s="1"/>
  <c r="BE127" i="1"/>
  <c r="BE126" i="1"/>
  <c r="BI50" i="2"/>
  <c r="BJ51" i="2"/>
  <c r="BB43" i="3"/>
  <c r="BB45" i="3" s="1"/>
  <c r="BB35" i="3"/>
  <c r="BB18" i="3"/>
  <c r="BB76" i="3"/>
  <c r="BB52" i="3"/>
  <c r="BB80" i="2"/>
  <c r="BB82" i="2"/>
  <c r="BB78" i="2"/>
  <c r="BB79" i="2" s="1"/>
  <c r="BB58" i="2"/>
  <c r="BB54" i="2" s="1"/>
  <c r="BB57" i="2"/>
  <c r="BB52" i="2" s="1"/>
  <c r="BB56" i="2"/>
  <c r="BB49" i="2" s="1"/>
  <c r="BB34" i="2"/>
  <c r="BB18" i="2"/>
  <c r="BB139" i="1"/>
  <c r="BB137" i="1"/>
  <c r="BB133" i="1"/>
  <c r="BB118" i="1"/>
  <c r="BB120" i="1" s="1"/>
  <c r="BB109" i="1" s="1"/>
  <c r="BB115" i="1"/>
  <c r="BB108" i="1"/>
  <c r="BB103" i="1"/>
  <c r="BB101" i="1"/>
  <c r="BB82" i="1"/>
  <c r="BB86" i="1" s="1"/>
  <c r="BB63" i="1"/>
  <c r="BB147" i="1" s="1"/>
  <c r="BB60" i="1"/>
  <c r="BB58" i="1"/>
  <c r="BB50" i="1"/>
  <c r="BB48" i="1"/>
  <c r="BB40" i="1"/>
  <c r="BB38" i="1"/>
  <c r="BB23" i="1"/>
  <c r="BB21" i="1"/>
  <c r="BO52" i="2" l="1"/>
  <c r="BO49" i="2"/>
  <c r="BB36" i="3"/>
  <c r="BH78" i="2"/>
  <c r="BK51" i="2"/>
  <c r="BJ50" i="2"/>
  <c r="BI78" i="2"/>
  <c r="BB51" i="2"/>
  <c r="BB50" i="2" s="1"/>
  <c r="BB81" i="2"/>
  <c r="BB74" i="3"/>
  <c r="BB73" i="3" s="1"/>
  <c r="BB43" i="2"/>
  <c r="BB85" i="2"/>
  <c r="BB86" i="2" s="1"/>
  <c r="BB87" i="2"/>
  <c r="BB53" i="2"/>
  <c r="BB25" i="2"/>
  <c r="BB83" i="2"/>
  <c r="BB69" i="1"/>
  <c r="BB73" i="1" s="1"/>
  <c r="BB87" i="1"/>
  <c r="BB148" i="1"/>
  <c r="BB68" i="1"/>
  <c r="BB72" i="1" s="1"/>
  <c r="BB71" i="1"/>
  <c r="BK50" i="2" l="1"/>
  <c r="BL51" i="2"/>
  <c r="BJ78" i="2"/>
  <c r="BB45" i="2"/>
  <c r="BB63" i="3"/>
  <c r="BB77" i="3"/>
  <c r="BM51" i="2" l="1"/>
  <c r="BL50" i="2"/>
  <c r="BK78" i="2"/>
  <c r="CE136" i="1"/>
  <c r="BL78" i="2" l="1"/>
  <c r="BN51" i="2"/>
  <c r="BM50" i="2"/>
  <c r="CE78" i="2"/>
  <c r="CD48" i="3"/>
  <c r="CD43" i="3"/>
  <c r="CD40" i="3"/>
  <c r="CD39" i="3"/>
  <c r="CD35" i="3"/>
  <c r="CD17" i="3"/>
  <c r="CD16" i="3"/>
  <c r="CD12" i="3"/>
  <c r="CD68" i="2"/>
  <c r="CD119" i="1"/>
  <c r="CD100" i="1"/>
  <c r="CD99" i="1"/>
  <c r="CD85" i="1"/>
  <c r="CD84" i="1"/>
  <c r="CD83" i="1"/>
  <c r="CD67" i="1"/>
  <c r="CD64" i="1"/>
  <c r="CD47" i="1"/>
  <c r="CD46" i="1"/>
  <c r="CD37" i="1"/>
  <c r="CD36" i="1"/>
  <c r="CD20" i="1"/>
  <c r="CD19" i="1"/>
  <c r="CD11" i="1"/>
  <c r="CC119" i="1"/>
  <c r="CC100" i="1"/>
  <c r="CC99" i="1"/>
  <c r="CC85" i="1"/>
  <c r="CC84" i="1"/>
  <c r="CC83" i="1"/>
  <c r="CC64" i="1"/>
  <c r="CC57" i="1"/>
  <c r="CC53" i="1"/>
  <c r="CC47" i="1"/>
  <c r="CC43" i="1"/>
  <c r="CC37" i="1"/>
  <c r="CC33" i="1"/>
  <c r="CC20" i="1"/>
  <c r="CC19" i="1"/>
  <c r="CC11" i="1"/>
  <c r="BG9" i="3"/>
  <c r="BG57" i="3" s="1"/>
  <c r="BG72" i="3" s="1"/>
  <c r="BG80" i="3" s="1"/>
  <c r="BF9" i="3"/>
  <c r="BF57" i="3" s="1"/>
  <c r="BF72" i="3" s="1"/>
  <c r="BF80" i="3" s="1"/>
  <c r="BG8" i="3"/>
  <c r="BF8" i="3"/>
  <c r="BG7" i="3"/>
  <c r="BF7" i="3"/>
  <c r="BE9" i="3"/>
  <c r="BE57" i="3" s="1"/>
  <c r="BE72" i="3" s="1"/>
  <c r="BE80" i="3" s="1"/>
  <c r="BD9" i="3"/>
  <c r="BD57" i="3" s="1"/>
  <c r="BD72" i="3" s="1"/>
  <c r="BD80" i="3" s="1"/>
  <c r="BE8" i="3"/>
  <c r="BD8" i="3"/>
  <c r="BE7" i="3"/>
  <c r="BD7" i="3"/>
  <c r="BG9" i="2"/>
  <c r="BG48" i="2" s="1"/>
  <c r="BG61" i="2" s="1"/>
  <c r="BG77" i="2" s="1"/>
  <c r="BF9" i="2"/>
  <c r="BF48" i="2" s="1"/>
  <c r="BF61" i="2" s="1"/>
  <c r="BF77" i="2" s="1"/>
  <c r="BG8" i="2"/>
  <c r="BF8" i="2"/>
  <c r="BG7" i="2"/>
  <c r="BF7" i="2"/>
  <c r="BE9" i="2"/>
  <c r="BE48" i="2" s="1"/>
  <c r="BE61" i="2" s="1"/>
  <c r="BE77" i="2" s="1"/>
  <c r="BD9" i="2"/>
  <c r="BD48" i="2" s="1"/>
  <c r="BD61" i="2" s="1"/>
  <c r="BD77" i="2" s="1"/>
  <c r="BE8" i="2"/>
  <c r="BD8" i="2"/>
  <c r="BE7" i="2"/>
  <c r="BD7" i="2"/>
  <c r="BF9" i="9"/>
  <c r="BE9" i="9"/>
  <c r="BD9" i="9"/>
  <c r="BG8" i="9"/>
  <c r="BF8" i="9"/>
  <c r="BE8" i="9"/>
  <c r="BD8" i="9"/>
  <c r="BG7" i="9"/>
  <c r="BF7" i="9"/>
  <c r="BE7" i="9"/>
  <c r="BD7" i="9"/>
  <c r="BM78" i="2" l="1"/>
  <c r="BN50" i="2"/>
  <c r="BO51" i="2"/>
  <c r="CD120" i="1"/>
  <c r="CD109" i="1" s="1"/>
  <c r="CC82" i="1"/>
  <c r="CC87" i="1" s="1"/>
  <c r="CD82" i="1"/>
  <c r="CD87" i="1" s="1"/>
  <c r="BN78" i="2" l="1"/>
  <c r="BO50" i="2"/>
  <c r="CC86" i="1"/>
  <c r="CD86" i="1"/>
  <c r="BH35" i="1"/>
  <c r="BO78" i="2" l="1"/>
  <c r="CF136" i="1"/>
  <c r="BI35" i="1"/>
  <c r="CD35" i="1"/>
  <c r="CG136" i="1" l="1"/>
  <c r="CG78" i="2" s="1"/>
  <c r="CF78" i="2"/>
  <c r="BJ35" i="1"/>
  <c r="BK35" i="1" s="1"/>
  <c r="BL35" i="1" s="1"/>
  <c r="CE35" i="1" l="1"/>
  <c r="BM35" i="1"/>
  <c r="BN35" i="1" l="1"/>
  <c r="BO35" i="1" l="1"/>
  <c r="CF35" i="1" l="1"/>
  <c r="CG35" i="1" s="1"/>
  <c r="AP69" i="9" l="1"/>
  <c r="BX67" i="9"/>
  <c r="BX59" i="9" s="1"/>
  <c r="BW67" i="9"/>
  <c r="BW59" i="9" s="1"/>
  <c r="BV67" i="9"/>
  <c r="BV59" i="9" s="1"/>
  <c r="BW56" i="9"/>
  <c r="BW54" i="9"/>
  <c r="AQ38" i="9"/>
  <c r="AQ24" i="9" s="1"/>
  <c r="AQ10" i="9" s="1"/>
  <c r="AP38" i="9"/>
  <c r="AP24" i="9" s="1"/>
  <c r="AO38" i="9"/>
  <c r="AN38" i="9"/>
  <c r="AN17" i="9" s="1"/>
  <c r="AM38" i="9"/>
  <c r="AM27" i="9" s="1"/>
  <c r="AL38" i="9"/>
  <c r="AL17" i="9" s="1"/>
  <c r="AK38" i="9"/>
  <c r="AK24" i="9" s="1"/>
  <c r="AJ38" i="9"/>
  <c r="AJ29" i="9" s="1"/>
  <c r="AI38" i="9"/>
  <c r="AI22" i="9" s="1"/>
  <c r="AH38" i="9"/>
  <c r="AH32" i="9" s="1"/>
  <c r="AG38" i="9"/>
  <c r="AG22" i="9" s="1"/>
  <c r="AF38" i="9"/>
  <c r="AF32" i="9" s="1"/>
  <c r="AE38" i="9"/>
  <c r="AE32" i="9" s="1"/>
  <c r="AD38" i="9"/>
  <c r="AD32" i="9" s="1"/>
  <c r="AC38" i="9"/>
  <c r="AC22" i="9" s="1"/>
  <c r="AB38" i="9"/>
  <c r="AB32" i="9" s="1"/>
  <c r="AA38" i="9"/>
  <c r="AA32" i="9" s="1"/>
  <c r="Z38" i="9"/>
  <c r="Z32" i="9" s="1"/>
  <c r="Y38" i="9"/>
  <c r="Y22" i="9" s="1"/>
  <c r="X38" i="9"/>
  <c r="X32" i="9" s="1"/>
  <c r="W38" i="9"/>
  <c r="W32" i="9" s="1"/>
  <c r="V38" i="9"/>
  <c r="V32" i="9" s="1"/>
  <c r="U38" i="9"/>
  <c r="U22" i="9" s="1"/>
  <c r="T38" i="9"/>
  <c r="T32" i="9" s="1"/>
  <c r="S38" i="9"/>
  <c r="S17" i="9" s="1"/>
  <c r="S42" i="9" s="1"/>
  <c r="R38" i="9"/>
  <c r="R17" i="9" s="1"/>
  <c r="R42" i="9" s="1"/>
  <c r="Q38" i="9"/>
  <c r="Q17" i="9" s="1"/>
  <c r="Q42" i="9" s="1"/>
  <c r="P38" i="9"/>
  <c r="P17" i="9" s="1"/>
  <c r="P42" i="9" s="1"/>
  <c r="O38" i="9"/>
  <c r="O17" i="9" s="1"/>
  <c r="O42" i="9" s="1"/>
  <c r="N38" i="9"/>
  <c r="N17" i="9" s="1"/>
  <c r="N42" i="9" s="1"/>
  <c r="M38" i="9"/>
  <c r="M17" i="9" s="1"/>
  <c r="M42" i="9" s="1"/>
  <c r="L38" i="9"/>
  <c r="L17" i="9" s="1"/>
  <c r="L42" i="9" s="1"/>
  <c r="K38" i="9"/>
  <c r="K17" i="9" s="1"/>
  <c r="K42" i="9" s="1"/>
  <c r="J38" i="9"/>
  <c r="J17" i="9" s="1"/>
  <c r="J42" i="9" s="1"/>
  <c r="I38" i="9"/>
  <c r="I17" i="9" s="1"/>
  <c r="I42" i="9" s="1"/>
  <c r="H38" i="9"/>
  <c r="H17" i="9" s="1"/>
  <c r="H42" i="9" s="1"/>
  <c r="G38" i="9"/>
  <c r="G17" i="9" s="1"/>
  <c r="G42" i="9" s="1"/>
  <c r="F38" i="9"/>
  <c r="F17" i="9" s="1"/>
  <c r="F42" i="9" s="1"/>
  <c r="E38" i="9"/>
  <c r="E17" i="9" s="1"/>
  <c r="E42" i="9" s="1"/>
  <c r="D38" i="9"/>
  <c r="D17" i="9" s="1"/>
  <c r="D42" i="9" s="1"/>
  <c r="AF34" i="9"/>
  <c r="AD34" i="9"/>
  <c r="AD40" i="9" s="1"/>
  <c r="AC34" i="9"/>
  <c r="AB34" i="9"/>
  <c r="AB40" i="9" s="1"/>
  <c r="AA34" i="9"/>
  <c r="Z34" i="9"/>
  <c r="Z40" i="9" s="1"/>
  <c r="Y34" i="9"/>
  <c r="X34" i="9"/>
  <c r="X40" i="9" s="1"/>
  <c r="W34" i="9"/>
  <c r="V34" i="9"/>
  <c r="V40" i="9" s="1"/>
  <c r="U34" i="9"/>
  <c r="T34" i="9"/>
  <c r="T40" i="9" s="1"/>
  <c r="S34" i="9"/>
  <c r="R34" i="9"/>
  <c r="R40" i="9" s="1"/>
  <c r="Q34" i="9"/>
  <c r="P34" i="9"/>
  <c r="P40" i="9" s="1"/>
  <c r="O34" i="9"/>
  <c r="N34" i="9"/>
  <c r="N40" i="9" s="1"/>
  <c r="M34" i="9"/>
  <c r="L34" i="9"/>
  <c r="L40" i="9" s="1"/>
  <c r="K34" i="9"/>
  <c r="J34" i="9"/>
  <c r="J40" i="9" s="1"/>
  <c r="I34" i="9"/>
  <c r="H34" i="9"/>
  <c r="H40" i="9" s="1"/>
  <c r="G34" i="9"/>
  <c r="G40" i="9" s="1"/>
  <c r="F34" i="9"/>
  <c r="E34" i="9"/>
  <c r="E40" i="9" s="1"/>
  <c r="D34" i="9"/>
  <c r="D40" i="9" s="1"/>
  <c r="Y32" i="9"/>
  <c r="AH31" i="9"/>
  <c r="AG31" i="9"/>
  <c r="AF31" i="9"/>
  <c r="AE31" i="9"/>
  <c r="AD31" i="9"/>
  <c r="AC31" i="9"/>
  <c r="AB31" i="9"/>
  <c r="AA31" i="9"/>
  <c r="Z31" i="9"/>
  <c r="Y31" i="9"/>
  <c r="X31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BW29" i="9"/>
  <c r="BV29" i="9"/>
  <c r="BU29" i="9"/>
  <c r="BT29" i="9"/>
  <c r="BS29" i="9"/>
  <c r="BR29" i="9"/>
  <c r="BQ29" i="9"/>
  <c r="AN26" i="9"/>
  <c r="AJ26" i="9"/>
  <c r="AF26" i="9"/>
  <c r="AD26" i="9"/>
  <c r="AC26" i="9"/>
  <c r="AB26" i="9"/>
  <c r="AA26" i="9"/>
  <c r="Z26" i="9"/>
  <c r="Y26" i="9"/>
  <c r="X26" i="9"/>
  <c r="AN25" i="9"/>
  <c r="AM25" i="9"/>
  <c r="AD25" i="9"/>
  <c r="AC25" i="9"/>
  <c r="AB25" i="9"/>
  <c r="AA25" i="9"/>
  <c r="Z25" i="9"/>
  <c r="Y25" i="9"/>
  <c r="X25" i="9"/>
  <c r="W25" i="9"/>
  <c r="V25" i="9"/>
  <c r="U25" i="9"/>
  <c r="BV24" i="9"/>
  <c r="BU24" i="9"/>
  <c r="BT24" i="9"/>
  <c r="BS24" i="9"/>
  <c r="BR24" i="9"/>
  <c r="BQ24" i="9"/>
  <c r="AO24" i="9"/>
  <c r="AG24" i="9"/>
  <c r="AG34" i="9" s="1"/>
  <c r="AQ21" i="9"/>
  <c r="AP21" i="9"/>
  <c r="AN21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AQ20" i="9"/>
  <c r="AN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BY19" i="9"/>
  <c r="BX19" i="9"/>
  <c r="BW19" i="9"/>
  <c r="BV19" i="9"/>
  <c r="BU19" i="9"/>
  <c r="BT19" i="9"/>
  <c r="BS19" i="9"/>
  <c r="BR19" i="9"/>
  <c r="BQ19" i="9"/>
  <c r="AR19" i="9"/>
  <c r="AQ16" i="9"/>
  <c r="AP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AQ15" i="9"/>
  <c r="AN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K15" i="9"/>
  <c r="J15" i="9"/>
  <c r="I15" i="9"/>
  <c r="H15" i="9"/>
  <c r="G15" i="9"/>
  <c r="F15" i="9"/>
  <c r="E15" i="9"/>
  <c r="BU34" i="9"/>
  <c r="BS34" i="9"/>
  <c r="BQ34" i="9"/>
  <c r="AO9" i="9"/>
  <c r="AO8" i="9"/>
  <c r="AO7" i="9"/>
  <c r="CC9" i="9"/>
  <c r="CB9" i="9"/>
  <c r="CA9" i="9"/>
  <c r="BZ9" i="9"/>
  <c r="BY9" i="9"/>
  <c r="BX9" i="9"/>
  <c r="BW9" i="9"/>
  <c r="BV9" i="9"/>
  <c r="BU9" i="9"/>
  <c r="BT9" i="9"/>
  <c r="BS9" i="9"/>
  <c r="BR9" i="9"/>
  <c r="BQ9" i="9"/>
  <c r="CC8" i="9"/>
  <c r="CB8" i="9"/>
  <c r="CA8" i="9"/>
  <c r="BZ8" i="9"/>
  <c r="BY8" i="9"/>
  <c r="BX8" i="9"/>
  <c r="BW8" i="9"/>
  <c r="BV8" i="9"/>
  <c r="BU8" i="9"/>
  <c r="BT8" i="9"/>
  <c r="BS8" i="9"/>
  <c r="BR8" i="9"/>
  <c r="BQ8" i="9"/>
  <c r="CC7" i="9"/>
  <c r="CB7" i="9"/>
  <c r="CA7" i="9"/>
  <c r="BZ7" i="9"/>
  <c r="BY7" i="9"/>
  <c r="BX7" i="9"/>
  <c r="BW7" i="9"/>
  <c r="BV7" i="9"/>
  <c r="BU7" i="9"/>
  <c r="BT7" i="9"/>
  <c r="BS7" i="9"/>
  <c r="BR7" i="9"/>
  <c r="BQ7" i="9"/>
  <c r="BC9" i="9"/>
  <c r="BB9" i="9"/>
  <c r="BA9" i="9"/>
  <c r="AZ9" i="9"/>
  <c r="AY9" i="9"/>
  <c r="AX9" i="9"/>
  <c r="AW9" i="9"/>
  <c r="AV9" i="9"/>
  <c r="AU9" i="9"/>
  <c r="AT9" i="9"/>
  <c r="AS9" i="9"/>
  <c r="AR9" i="9"/>
  <c r="BC8" i="9"/>
  <c r="BB8" i="9"/>
  <c r="BA8" i="9"/>
  <c r="AZ8" i="9"/>
  <c r="AY8" i="9"/>
  <c r="AX8" i="9"/>
  <c r="AW8" i="9"/>
  <c r="AV8" i="9"/>
  <c r="AU8" i="9"/>
  <c r="AT8" i="9"/>
  <c r="AS8" i="9"/>
  <c r="AR8" i="9"/>
  <c r="BC7" i="9"/>
  <c r="BB7" i="9"/>
  <c r="BA7" i="9"/>
  <c r="AZ7" i="9"/>
  <c r="AY7" i="9"/>
  <c r="AX7" i="9"/>
  <c r="AW7" i="9"/>
  <c r="AV7" i="9"/>
  <c r="AU7" i="9"/>
  <c r="AT7" i="9"/>
  <c r="AS7" i="9"/>
  <c r="AR7" i="9"/>
  <c r="AQ9" i="9"/>
  <c r="AP9" i="9"/>
  <c r="AQ8" i="9"/>
  <c r="AP8" i="9"/>
  <c r="AQ7" i="9"/>
  <c r="AP7" i="9"/>
  <c r="AN9" i="9"/>
  <c r="AM9" i="9"/>
  <c r="AL9" i="9"/>
  <c r="AK9" i="9"/>
  <c r="AJ9" i="9"/>
  <c r="AI9" i="9"/>
  <c r="AH9" i="9"/>
  <c r="AG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AN8" i="9"/>
  <c r="AM8" i="9"/>
  <c r="AL8" i="9"/>
  <c r="AK8" i="9"/>
  <c r="AJ8" i="9"/>
  <c r="AI8" i="9"/>
  <c r="AH8" i="9"/>
  <c r="AG8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AN7" i="9"/>
  <c r="AM7" i="9"/>
  <c r="AL7" i="9"/>
  <c r="AK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AP302" i="3"/>
  <c r="BA76" i="3"/>
  <c r="AZ76" i="3"/>
  <c r="AY76" i="3"/>
  <c r="AX76" i="3"/>
  <c r="AW76" i="3"/>
  <c r="AV76" i="3"/>
  <c r="AU76" i="3"/>
  <c r="AT76" i="3"/>
  <c r="AS76" i="3"/>
  <c r="AR76" i="3"/>
  <c r="AP76" i="3"/>
  <c r="AO76" i="3"/>
  <c r="AN76" i="3"/>
  <c r="AM76" i="3"/>
  <c r="AL76" i="3"/>
  <c r="AK76" i="3"/>
  <c r="AJ76" i="3"/>
  <c r="AI76" i="3"/>
  <c r="AH76" i="3"/>
  <c r="AG76" i="3"/>
  <c r="AF76" i="3"/>
  <c r="AB76" i="3"/>
  <c r="X76" i="3"/>
  <c r="T76" i="3"/>
  <c r="P76" i="3"/>
  <c r="L76" i="3"/>
  <c r="H76" i="3"/>
  <c r="D76" i="3"/>
  <c r="BA74" i="3"/>
  <c r="BA73" i="3" s="1"/>
  <c r="AZ74" i="3"/>
  <c r="AZ73" i="3" s="1"/>
  <c r="AY74" i="3"/>
  <c r="AY73" i="3" s="1"/>
  <c r="AX74" i="3"/>
  <c r="AX73" i="3" s="1"/>
  <c r="AW74" i="3"/>
  <c r="AW73" i="3" s="1"/>
  <c r="AV74" i="3"/>
  <c r="AV73" i="3" s="1"/>
  <c r="AU74" i="3"/>
  <c r="AU73" i="3" s="1"/>
  <c r="AT74" i="3"/>
  <c r="AT73" i="3" s="1"/>
  <c r="AS74" i="3"/>
  <c r="AS73" i="3" s="1"/>
  <c r="AR74" i="3"/>
  <c r="AR73" i="3" s="1"/>
  <c r="AP74" i="3"/>
  <c r="AP73" i="3" s="1"/>
  <c r="AO74" i="3"/>
  <c r="AO73" i="3" s="1"/>
  <c r="AN74" i="3"/>
  <c r="AN73" i="3" s="1"/>
  <c r="AM74" i="3"/>
  <c r="AM73" i="3" s="1"/>
  <c r="AL74" i="3"/>
  <c r="AL73" i="3" s="1"/>
  <c r="AK74" i="3"/>
  <c r="AK73" i="3" s="1"/>
  <c r="AJ74" i="3"/>
  <c r="AJ73" i="3" s="1"/>
  <c r="AI74" i="3"/>
  <c r="AI73" i="3" s="1"/>
  <c r="AH74" i="3"/>
  <c r="AH73" i="3" s="1"/>
  <c r="AG74" i="3"/>
  <c r="AG73" i="3" s="1"/>
  <c r="AF74" i="3"/>
  <c r="AF73" i="3" s="1"/>
  <c r="AB74" i="3"/>
  <c r="AB73" i="3" s="1"/>
  <c r="X74" i="3"/>
  <c r="X73" i="3" s="1"/>
  <c r="T74" i="3"/>
  <c r="T73" i="3" s="1"/>
  <c r="P74" i="3"/>
  <c r="P73" i="3" s="1"/>
  <c r="L74" i="3"/>
  <c r="L73" i="3" s="1"/>
  <c r="H74" i="3"/>
  <c r="H73" i="3" s="1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AZ65" i="3"/>
  <c r="AY65" i="3"/>
  <c r="AX65" i="3"/>
  <c r="AW65" i="3"/>
  <c r="AV65" i="3"/>
  <c r="AU65" i="3"/>
  <c r="AT65" i="3"/>
  <c r="AS65" i="3"/>
  <c r="AR65" i="3"/>
  <c r="AQ65" i="3"/>
  <c r="AP65" i="3"/>
  <c r="AO65" i="3"/>
  <c r="AN65" i="3"/>
  <c r="AM65" i="3"/>
  <c r="AL65" i="3"/>
  <c r="AK65" i="3"/>
  <c r="AJ65" i="3"/>
  <c r="AI65" i="3"/>
  <c r="AH65" i="3"/>
  <c r="AG65" i="3"/>
  <c r="AF65" i="3"/>
  <c r="AE65" i="3"/>
  <c r="AD65" i="3"/>
  <c r="AC65" i="3"/>
  <c r="AB65" i="3"/>
  <c r="AA65" i="3"/>
  <c r="Z65" i="3"/>
  <c r="Y65" i="3"/>
  <c r="X65" i="3"/>
  <c r="W65" i="3"/>
  <c r="V65" i="3"/>
  <c r="U65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CB62" i="3"/>
  <c r="CB65" i="3" s="1"/>
  <c r="CA62" i="3"/>
  <c r="CA65" i="3" s="1"/>
  <c r="BZ62" i="3"/>
  <c r="BZ65" i="3" s="1"/>
  <c r="BY62" i="3"/>
  <c r="BY65" i="3" s="1"/>
  <c r="BX62" i="3"/>
  <c r="BX65" i="3" s="1"/>
  <c r="BW62" i="3"/>
  <c r="BW65" i="3" s="1"/>
  <c r="BV62" i="3"/>
  <c r="BV65" i="3" s="1"/>
  <c r="BU62" i="3"/>
  <c r="BU65" i="3" s="1"/>
  <c r="BT62" i="3"/>
  <c r="BT65" i="3" s="1"/>
  <c r="BS62" i="3"/>
  <c r="BS65" i="3" s="1"/>
  <c r="BR62" i="3"/>
  <c r="BR65" i="3" s="1"/>
  <c r="BQ62" i="3"/>
  <c r="BQ65" i="3" s="1"/>
  <c r="BA58" i="3"/>
  <c r="BA59" i="3" s="1"/>
  <c r="AZ58" i="3"/>
  <c r="AZ59" i="3" s="1"/>
  <c r="AY58" i="3"/>
  <c r="AY59" i="3" s="1"/>
  <c r="AX58" i="3"/>
  <c r="AW58" i="3"/>
  <c r="AW59" i="3" s="1"/>
  <c r="AV58" i="3"/>
  <c r="AV59" i="3" s="1"/>
  <c r="AU58" i="3"/>
  <c r="AU59" i="3" s="1"/>
  <c r="AS58" i="3"/>
  <c r="AS59" i="3" s="1"/>
  <c r="AR58" i="3"/>
  <c r="AR59" i="3" s="1"/>
  <c r="AQ58" i="3"/>
  <c r="AQ59" i="3" s="1"/>
  <c r="AO58" i="3"/>
  <c r="AN58" i="3"/>
  <c r="AN59" i="3" s="1"/>
  <c r="AM58" i="3"/>
  <c r="AM59" i="3" s="1"/>
  <c r="AL58" i="3"/>
  <c r="AK58" i="3"/>
  <c r="AJ58" i="3"/>
  <c r="AJ59" i="3" s="1"/>
  <c r="AI58" i="3"/>
  <c r="AI59" i="3" s="1"/>
  <c r="AH58" i="3"/>
  <c r="AH59" i="3" s="1"/>
  <c r="AG58" i="3"/>
  <c r="AF58" i="3"/>
  <c r="AF59" i="3" s="1"/>
  <c r="AB58" i="3"/>
  <c r="AB59" i="3" s="1"/>
  <c r="X58" i="3"/>
  <c r="X59" i="3" s="1"/>
  <c r="T58" i="3"/>
  <c r="T59" i="3" s="1"/>
  <c r="P58" i="3"/>
  <c r="P59" i="3" s="1"/>
  <c r="L58" i="3"/>
  <c r="L59" i="3" s="1"/>
  <c r="H58" i="3"/>
  <c r="H59" i="3" s="1"/>
  <c r="D58" i="3"/>
  <c r="D59" i="3" s="1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C48" i="3"/>
  <c r="CB48" i="3"/>
  <c r="CA48" i="3"/>
  <c r="BZ48" i="3"/>
  <c r="BY48" i="3"/>
  <c r="BX48" i="3"/>
  <c r="BW48" i="3"/>
  <c r="BV48" i="3"/>
  <c r="BU48" i="3"/>
  <c r="BT48" i="3"/>
  <c r="BS48" i="3"/>
  <c r="BR48" i="3"/>
  <c r="BQ48" i="3"/>
  <c r="BQ47" i="3"/>
  <c r="AZ45" i="3"/>
  <c r="AW45" i="3"/>
  <c r="AI45" i="3"/>
  <c r="AH45" i="3"/>
  <c r="AG45" i="3"/>
  <c r="AF45" i="3"/>
  <c r="AB45" i="3"/>
  <c r="X45" i="3"/>
  <c r="T45" i="3"/>
  <c r="P45" i="3"/>
  <c r="L45" i="3"/>
  <c r="H45" i="3"/>
  <c r="D45" i="3"/>
  <c r="BX43" i="3"/>
  <c r="BA43" i="3"/>
  <c r="BA45" i="3" s="1"/>
  <c r="AV43" i="3"/>
  <c r="AV45" i="3" s="1"/>
  <c r="AU43" i="3"/>
  <c r="AT43" i="3"/>
  <c r="AS43" i="3"/>
  <c r="AR43" i="3"/>
  <c r="AQ43" i="3"/>
  <c r="AQ45" i="3" s="1"/>
  <c r="AP43" i="3"/>
  <c r="AP45" i="3" s="1"/>
  <c r="AO43" i="3"/>
  <c r="AO45" i="3" s="1"/>
  <c r="AN43" i="3"/>
  <c r="AN45" i="3" s="1"/>
  <c r="AM43" i="3"/>
  <c r="AM45" i="3" s="1"/>
  <c r="AL43" i="3"/>
  <c r="AL45" i="3" s="1"/>
  <c r="AK43" i="3"/>
  <c r="AK45" i="3" s="1"/>
  <c r="AJ43" i="3"/>
  <c r="AC43" i="3"/>
  <c r="AD43" i="3" s="1"/>
  <c r="Y43" i="3"/>
  <c r="U43" i="3"/>
  <c r="V43" i="3" s="1"/>
  <c r="Q43" i="3"/>
  <c r="M43" i="3"/>
  <c r="N43" i="3" s="1"/>
  <c r="I43" i="3"/>
  <c r="E43" i="3"/>
  <c r="F43" i="3" s="1"/>
  <c r="CB42" i="3"/>
  <c r="CA42" i="3"/>
  <c r="BZ42" i="3"/>
  <c r="CA41" i="3"/>
  <c r="BZ41" i="3"/>
  <c r="BY41" i="3"/>
  <c r="BX41" i="3"/>
  <c r="AY41" i="3"/>
  <c r="AY45" i="3" s="1"/>
  <c r="AX41" i="3"/>
  <c r="AX45" i="3" s="1"/>
  <c r="CC40" i="3"/>
  <c r="CB40" i="3"/>
  <c r="CA40" i="3"/>
  <c r="BZ40" i="3"/>
  <c r="BY40" i="3"/>
  <c r="BX40" i="3"/>
  <c r="CC39" i="3"/>
  <c r="CB39" i="3"/>
  <c r="CA39" i="3"/>
  <c r="BZ39" i="3"/>
  <c r="BY39" i="3"/>
  <c r="BX39" i="3"/>
  <c r="AC41" i="3"/>
  <c r="AD41" i="3" s="1"/>
  <c r="AE41" i="3" s="1"/>
  <c r="AC40" i="3"/>
  <c r="AC39" i="3"/>
  <c r="AD39" i="3" s="1"/>
  <c r="Y41" i="3"/>
  <c r="Y40" i="3"/>
  <c r="Z40" i="3" s="1"/>
  <c r="AA40" i="3" s="1"/>
  <c r="Y39" i="3"/>
  <c r="U41" i="3"/>
  <c r="U40" i="3"/>
  <c r="U39" i="3"/>
  <c r="V39" i="3" s="1"/>
  <c r="Q41" i="3"/>
  <c r="Q40" i="3"/>
  <c r="R40" i="3" s="1"/>
  <c r="S40" i="3" s="1"/>
  <c r="Q39" i="3"/>
  <c r="M41" i="3"/>
  <c r="N41" i="3" s="1"/>
  <c r="O41" i="3" s="1"/>
  <c r="M40" i="3"/>
  <c r="M39" i="3"/>
  <c r="I41" i="3"/>
  <c r="I40" i="3"/>
  <c r="J40" i="3" s="1"/>
  <c r="K40" i="3" s="1"/>
  <c r="I39" i="3"/>
  <c r="E41" i="3"/>
  <c r="F41" i="3" s="1"/>
  <c r="G41" i="3" s="1"/>
  <c r="E40" i="3"/>
  <c r="E39" i="3"/>
  <c r="F39" i="3" s="1"/>
  <c r="AW36" i="3"/>
  <c r="AS36" i="3"/>
  <c r="AB36" i="3"/>
  <c r="X36" i="3"/>
  <c r="T36" i="3"/>
  <c r="H36" i="3"/>
  <c r="D36" i="3"/>
  <c r="AZ35" i="3"/>
  <c r="AY35" i="3"/>
  <c r="AY36" i="3" s="1"/>
  <c r="AX35" i="3"/>
  <c r="AX36" i="3" s="1"/>
  <c r="AV35" i="3"/>
  <c r="AV36" i="3" s="1"/>
  <c r="AT35" i="3"/>
  <c r="AT34" i="3"/>
  <c r="AT58" i="3" s="1"/>
  <c r="AT59" i="3" s="1"/>
  <c r="AR35" i="3"/>
  <c r="AR36" i="3" s="1"/>
  <c r="AQ35" i="3"/>
  <c r="AQ36" i="3" s="1"/>
  <c r="AN35" i="3"/>
  <c r="AN36" i="3" s="1"/>
  <c r="AL35" i="3"/>
  <c r="AL36" i="3" s="1"/>
  <c r="AJ35" i="3"/>
  <c r="AJ36" i="3" s="1"/>
  <c r="AI35" i="3"/>
  <c r="AH35" i="3"/>
  <c r="AG35" i="3"/>
  <c r="AG36" i="3" s="1"/>
  <c r="AF35" i="3"/>
  <c r="AF36" i="3" s="1"/>
  <c r="AC35" i="3"/>
  <c r="AD35" i="3" s="1"/>
  <c r="AE35" i="3" s="1"/>
  <c r="P35" i="3"/>
  <c r="P36" i="3" s="1"/>
  <c r="L35" i="3"/>
  <c r="L36" i="3" s="1"/>
  <c r="I35" i="3"/>
  <c r="AP34" i="3"/>
  <c r="AP58" i="3" s="1"/>
  <c r="AP33" i="3"/>
  <c r="AU33" i="3"/>
  <c r="AU36" i="3" s="1"/>
  <c r="CB34" i="3"/>
  <c r="CA34" i="3"/>
  <c r="BY34" i="3"/>
  <c r="BX34" i="3"/>
  <c r="CB33" i="3"/>
  <c r="CA33" i="3"/>
  <c r="BY33" i="3"/>
  <c r="BX33" i="3"/>
  <c r="CB32" i="3"/>
  <c r="CA32" i="3"/>
  <c r="BA32" i="3"/>
  <c r="AO32" i="3"/>
  <c r="AO36" i="3" s="1"/>
  <c r="AM32" i="3"/>
  <c r="AM36" i="3" s="1"/>
  <c r="AK32" i="3"/>
  <c r="AI32" i="3"/>
  <c r="AH32" i="3"/>
  <c r="AC34" i="3"/>
  <c r="AC58" i="3" s="1"/>
  <c r="AC59" i="3" s="1"/>
  <c r="AC33" i="3"/>
  <c r="AC32" i="3"/>
  <c r="AD32" i="3" s="1"/>
  <c r="Y35" i="3"/>
  <c r="Y34" i="3"/>
  <c r="Y58" i="3" s="1"/>
  <c r="Y59" i="3" s="1"/>
  <c r="Y33" i="3"/>
  <c r="Y32" i="3"/>
  <c r="Z32" i="3" s="1"/>
  <c r="U35" i="3"/>
  <c r="U34" i="3"/>
  <c r="U58" i="3" s="1"/>
  <c r="U59" i="3" s="1"/>
  <c r="U33" i="3"/>
  <c r="U32" i="3"/>
  <c r="V32" i="3" s="1"/>
  <c r="Q34" i="3"/>
  <c r="Q58" i="3" s="1"/>
  <c r="Q59" i="3" s="1"/>
  <c r="Q33" i="3"/>
  <c r="R33" i="3" s="1"/>
  <c r="S33" i="3" s="1"/>
  <c r="Q32" i="3"/>
  <c r="M34" i="3"/>
  <c r="M58" i="3" s="1"/>
  <c r="M59" i="3" s="1"/>
  <c r="M33" i="3"/>
  <c r="M32" i="3"/>
  <c r="N32" i="3" s="1"/>
  <c r="I34" i="3"/>
  <c r="I58" i="3" s="1"/>
  <c r="I59" i="3" s="1"/>
  <c r="I33" i="3"/>
  <c r="I32" i="3"/>
  <c r="E35" i="3"/>
  <c r="F35" i="3" s="1"/>
  <c r="G35" i="3" s="1"/>
  <c r="E34" i="3"/>
  <c r="E58" i="3" s="1"/>
  <c r="E59" i="3" s="1"/>
  <c r="E33" i="3"/>
  <c r="F33" i="3" s="1"/>
  <c r="G33" i="3" s="1"/>
  <c r="E32" i="3"/>
  <c r="AY25" i="3"/>
  <c r="AX25" i="3"/>
  <c r="AW25" i="3"/>
  <c r="AQ25" i="3"/>
  <c r="AQ23" i="3"/>
  <c r="BZ23" i="3" s="1"/>
  <c r="CB28" i="3"/>
  <c r="CA28" i="3"/>
  <c r="BZ28" i="3"/>
  <c r="BY28" i="3"/>
  <c r="BX28" i="3"/>
  <c r="CB27" i="3"/>
  <c r="CA27" i="3"/>
  <c r="BZ27" i="3"/>
  <c r="BY27" i="3"/>
  <c r="BX27" i="3"/>
  <c r="CB26" i="3"/>
  <c r="CA26" i="3"/>
  <c r="BZ26" i="3"/>
  <c r="BY26" i="3"/>
  <c r="BX26" i="3"/>
  <c r="CA25" i="3"/>
  <c r="BZ25" i="3"/>
  <c r="BY25" i="3"/>
  <c r="BX25" i="3"/>
  <c r="CB24" i="3"/>
  <c r="CA24" i="3"/>
  <c r="BZ24" i="3"/>
  <c r="BY24" i="3"/>
  <c r="BX24" i="3"/>
  <c r="CB23" i="3"/>
  <c r="CA23" i="3"/>
  <c r="BY23" i="3"/>
  <c r="BX23" i="3"/>
  <c r="CB22" i="3"/>
  <c r="CA22" i="3"/>
  <c r="BZ22" i="3"/>
  <c r="BY22" i="3"/>
  <c r="BX22" i="3"/>
  <c r="CB21" i="3"/>
  <c r="CA21" i="3"/>
  <c r="BZ21" i="3"/>
  <c r="BY21" i="3"/>
  <c r="BX21" i="3"/>
  <c r="CB20" i="3"/>
  <c r="CA20" i="3"/>
  <c r="BZ20" i="3"/>
  <c r="BY20" i="3"/>
  <c r="BX20" i="3"/>
  <c r="AC28" i="3"/>
  <c r="AC27" i="3"/>
  <c r="AC26" i="3"/>
  <c r="AC25" i="3"/>
  <c r="AD25" i="3" s="1"/>
  <c r="AE25" i="3" s="1"/>
  <c r="AC24" i="3"/>
  <c r="AC23" i="3"/>
  <c r="AD23" i="3" s="1"/>
  <c r="AE23" i="3" s="1"/>
  <c r="AC22" i="3"/>
  <c r="AC21" i="3"/>
  <c r="AD21" i="3" s="1"/>
  <c r="AE21" i="3" s="1"/>
  <c r="AC20" i="3"/>
  <c r="Y28" i="3"/>
  <c r="Y27" i="3"/>
  <c r="Y26" i="3"/>
  <c r="Z26" i="3" s="1"/>
  <c r="AA26" i="3" s="1"/>
  <c r="Y25" i="3"/>
  <c r="Y24" i="3"/>
  <c r="Z24" i="3" s="1"/>
  <c r="AA24" i="3" s="1"/>
  <c r="Y23" i="3"/>
  <c r="Y22" i="3"/>
  <c r="Z22" i="3" s="1"/>
  <c r="AA22" i="3" s="1"/>
  <c r="Y21" i="3"/>
  <c r="Y20" i="3"/>
  <c r="U28" i="3"/>
  <c r="U27" i="3"/>
  <c r="V27" i="3" s="1"/>
  <c r="W27" i="3" s="1"/>
  <c r="U26" i="3"/>
  <c r="U25" i="3"/>
  <c r="V25" i="3" s="1"/>
  <c r="W25" i="3" s="1"/>
  <c r="U24" i="3"/>
  <c r="U23" i="3"/>
  <c r="V23" i="3" s="1"/>
  <c r="W23" i="3" s="1"/>
  <c r="U22" i="3"/>
  <c r="U21" i="3"/>
  <c r="V21" i="3" s="1"/>
  <c r="W21" i="3" s="1"/>
  <c r="U20" i="3"/>
  <c r="Q28" i="3"/>
  <c r="R28" i="3" s="1"/>
  <c r="S28" i="3" s="1"/>
  <c r="Q27" i="3"/>
  <c r="Q26" i="3"/>
  <c r="R26" i="3" s="1"/>
  <c r="S26" i="3" s="1"/>
  <c r="Q25" i="3"/>
  <c r="Q24" i="3"/>
  <c r="R24" i="3" s="1"/>
  <c r="S24" i="3" s="1"/>
  <c r="Q23" i="3"/>
  <c r="Q22" i="3"/>
  <c r="R22" i="3" s="1"/>
  <c r="S22" i="3" s="1"/>
  <c r="Q21" i="3"/>
  <c r="Q20" i="3"/>
  <c r="R20" i="3" s="1"/>
  <c r="S20" i="3" s="1"/>
  <c r="M28" i="3"/>
  <c r="M27" i="3"/>
  <c r="N27" i="3" s="1"/>
  <c r="O27" i="3" s="1"/>
  <c r="M26" i="3"/>
  <c r="M25" i="3"/>
  <c r="N25" i="3" s="1"/>
  <c r="O25" i="3" s="1"/>
  <c r="M24" i="3"/>
  <c r="N24" i="3" s="1"/>
  <c r="O24" i="3" s="1"/>
  <c r="M23" i="3"/>
  <c r="N23" i="3" s="1"/>
  <c r="O23" i="3" s="1"/>
  <c r="M22" i="3"/>
  <c r="N22" i="3" s="1"/>
  <c r="O22" i="3" s="1"/>
  <c r="M21" i="3"/>
  <c r="N21" i="3" s="1"/>
  <c r="O21" i="3" s="1"/>
  <c r="M20" i="3"/>
  <c r="N20" i="3" s="1"/>
  <c r="O20" i="3" s="1"/>
  <c r="I28" i="3"/>
  <c r="J28" i="3" s="1"/>
  <c r="K28" i="3" s="1"/>
  <c r="I27" i="3"/>
  <c r="J27" i="3" s="1"/>
  <c r="K27" i="3" s="1"/>
  <c r="I26" i="3"/>
  <c r="J26" i="3" s="1"/>
  <c r="K26" i="3" s="1"/>
  <c r="I25" i="3"/>
  <c r="J25" i="3" s="1"/>
  <c r="K25" i="3" s="1"/>
  <c r="I24" i="3"/>
  <c r="J24" i="3" s="1"/>
  <c r="K24" i="3" s="1"/>
  <c r="I23" i="3"/>
  <c r="J23" i="3" s="1"/>
  <c r="K23" i="3" s="1"/>
  <c r="I22" i="3"/>
  <c r="J22" i="3" s="1"/>
  <c r="K22" i="3" s="1"/>
  <c r="I21" i="3"/>
  <c r="J21" i="3" s="1"/>
  <c r="K21" i="3" s="1"/>
  <c r="I20" i="3"/>
  <c r="J20" i="3" s="1"/>
  <c r="K20" i="3" s="1"/>
  <c r="E28" i="3"/>
  <c r="F28" i="3" s="1"/>
  <c r="G28" i="3" s="1"/>
  <c r="E27" i="3"/>
  <c r="F27" i="3" s="1"/>
  <c r="G27" i="3" s="1"/>
  <c r="E26" i="3"/>
  <c r="F26" i="3" s="1"/>
  <c r="G26" i="3" s="1"/>
  <c r="E25" i="3"/>
  <c r="F25" i="3" s="1"/>
  <c r="G25" i="3" s="1"/>
  <c r="E24" i="3"/>
  <c r="F24" i="3" s="1"/>
  <c r="G24" i="3" s="1"/>
  <c r="E23" i="3"/>
  <c r="F23" i="3" s="1"/>
  <c r="G23" i="3" s="1"/>
  <c r="E22" i="3"/>
  <c r="F22" i="3" s="1"/>
  <c r="G22" i="3" s="1"/>
  <c r="E21" i="3"/>
  <c r="F21" i="3" s="1"/>
  <c r="G21" i="3" s="1"/>
  <c r="E20" i="3"/>
  <c r="F20" i="3" s="1"/>
  <c r="G20" i="3" s="1"/>
  <c r="BY18" i="3"/>
  <c r="BX18" i="3"/>
  <c r="BA18" i="3"/>
  <c r="BC18" i="3" s="1"/>
  <c r="BC29" i="3" s="1"/>
  <c r="BC81" i="3" s="1"/>
  <c r="BC82" i="3" s="1"/>
  <c r="AZ18" i="3"/>
  <c r="AY18" i="3"/>
  <c r="AX18" i="3"/>
  <c r="AW18" i="3"/>
  <c r="AU18" i="3"/>
  <c r="CA18" i="3" s="1"/>
  <c r="AQ18" i="3"/>
  <c r="BZ18" i="3" s="1"/>
  <c r="AB18" i="3"/>
  <c r="AC18" i="3" s="1"/>
  <c r="X18" i="3"/>
  <c r="U18" i="3"/>
  <c r="P18" i="3"/>
  <c r="M18" i="3"/>
  <c r="N18" i="3" s="1"/>
  <c r="O18" i="3" s="1"/>
  <c r="CC17" i="3"/>
  <c r="CB17" i="3"/>
  <c r="CA17" i="3"/>
  <c r="BZ17" i="3"/>
  <c r="BY17" i="3"/>
  <c r="BX17" i="3"/>
  <c r="CC16" i="3"/>
  <c r="CB16" i="3"/>
  <c r="CA16" i="3"/>
  <c r="BZ16" i="3"/>
  <c r="BY16" i="3"/>
  <c r="BX16" i="3"/>
  <c r="AQ15" i="3"/>
  <c r="BZ15" i="3" s="1"/>
  <c r="CB15" i="3"/>
  <c r="CA15" i="3"/>
  <c r="BY15" i="3"/>
  <c r="BX15" i="3"/>
  <c r="CB14" i="3"/>
  <c r="CA14" i="3"/>
  <c r="BZ14" i="3"/>
  <c r="BY14" i="3"/>
  <c r="BX14" i="3"/>
  <c r="CB13" i="3"/>
  <c r="CA13" i="3"/>
  <c r="BY13" i="3"/>
  <c r="BX13" i="3"/>
  <c r="AQ13" i="3"/>
  <c r="AQ76" i="3" s="1"/>
  <c r="AC17" i="3"/>
  <c r="AC16" i="3"/>
  <c r="AD16" i="3" s="1"/>
  <c r="AE16" i="3" s="1"/>
  <c r="AC15" i="3"/>
  <c r="AD15" i="3" s="1"/>
  <c r="AE15" i="3" s="1"/>
  <c r="AC14" i="3"/>
  <c r="AD14" i="3" s="1"/>
  <c r="AE14" i="3" s="1"/>
  <c r="AC13" i="3"/>
  <c r="AC76" i="3" s="1"/>
  <c r="Y17" i="3"/>
  <c r="Z17" i="3" s="1"/>
  <c r="AA17" i="3" s="1"/>
  <c r="Y16" i="3"/>
  <c r="Y15" i="3"/>
  <c r="Z15" i="3" s="1"/>
  <c r="AA15" i="3" s="1"/>
  <c r="Y14" i="3"/>
  <c r="Z14" i="3" s="1"/>
  <c r="AA14" i="3" s="1"/>
  <c r="Y13" i="3"/>
  <c r="Y76" i="3" s="1"/>
  <c r="U17" i="3"/>
  <c r="U16" i="3"/>
  <c r="V16" i="3" s="1"/>
  <c r="W16" i="3" s="1"/>
  <c r="U15" i="3"/>
  <c r="V15" i="3" s="1"/>
  <c r="W15" i="3" s="1"/>
  <c r="U14" i="3"/>
  <c r="U13" i="3"/>
  <c r="U76" i="3" s="1"/>
  <c r="Q17" i="3"/>
  <c r="R17" i="3" s="1"/>
  <c r="S17" i="3" s="1"/>
  <c r="Q16" i="3"/>
  <c r="Q15" i="3"/>
  <c r="Q14" i="3"/>
  <c r="R14" i="3" s="1"/>
  <c r="S14" i="3" s="1"/>
  <c r="Q13" i="3"/>
  <c r="Q76" i="3" s="1"/>
  <c r="M17" i="3"/>
  <c r="M16" i="3"/>
  <c r="N16" i="3" s="1"/>
  <c r="O16" i="3" s="1"/>
  <c r="M15" i="3"/>
  <c r="N15" i="3" s="1"/>
  <c r="O15" i="3" s="1"/>
  <c r="M14" i="3"/>
  <c r="N14" i="3" s="1"/>
  <c r="O14" i="3" s="1"/>
  <c r="M13" i="3"/>
  <c r="M76" i="3" s="1"/>
  <c r="I18" i="3"/>
  <c r="J18" i="3" s="1"/>
  <c r="K18" i="3" s="1"/>
  <c r="I17" i="3"/>
  <c r="J17" i="3" s="1"/>
  <c r="K17" i="3" s="1"/>
  <c r="I16" i="3"/>
  <c r="J16" i="3" s="1"/>
  <c r="K16" i="3" s="1"/>
  <c r="I15" i="3"/>
  <c r="I14" i="3"/>
  <c r="I13" i="3"/>
  <c r="I76" i="3" s="1"/>
  <c r="E18" i="3"/>
  <c r="F18" i="3" s="1"/>
  <c r="G18" i="3" s="1"/>
  <c r="E17" i="3"/>
  <c r="E16" i="3"/>
  <c r="F16" i="3" s="1"/>
  <c r="G16" i="3" s="1"/>
  <c r="E15" i="3"/>
  <c r="F15" i="3" s="1"/>
  <c r="G15" i="3" s="1"/>
  <c r="E14" i="3"/>
  <c r="F14" i="3" s="1"/>
  <c r="G14" i="3" s="1"/>
  <c r="E13" i="3"/>
  <c r="E76" i="3" s="1"/>
  <c r="CC12" i="3"/>
  <c r="CB12" i="3"/>
  <c r="CA12" i="3"/>
  <c r="BZ12" i="3"/>
  <c r="BY12" i="3"/>
  <c r="BX12" i="3"/>
  <c r="BW12" i="3"/>
  <c r="BV12" i="3"/>
  <c r="BU12" i="3"/>
  <c r="BT12" i="3"/>
  <c r="BS12" i="3"/>
  <c r="BR12" i="3"/>
  <c r="BQ12" i="3"/>
  <c r="CD9" i="3"/>
  <c r="CD57" i="3" s="1"/>
  <c r="CD72" i="3" s="1"/>
  <c r="CD80" i="3" s="1"/>
  <c r="CC9" i="3"/>
  <c r="CC57" i="3" s="1"/>
  <c r="CC72" i="3" s="1"/>
  <c r="CC80" i="3" s="1"/>
  <c r="CB9" i="3"/>
  <c r="CB57" i="3" s="1"/>
  <c r="CB72" i="3" s="1"/>
  <c r="CB80" i="3" s="1"/>
  <c r="CA9" i="3"/>
  <c r="CA57" i="3" s="1"/>
  <c r="CA72" i="3" s="1"/>
  <c r="CA80" i="3" s="1"/>
  <c r="BZ9" i="3"/>
  <c r="BZ57" i="3" s="1"/>
  <c r="BZ72" i="3" s="1"/>
  <c r="BZ80" i="3" s="1"/>
  <c r="BY9" i="3"/>
  <c r="BY57" i="3" s="1"/>
  <c r="BY72" i="3" s="1"/>
  <c r="BY80" i="3" s="1"/>
  <c r="BX9" i="3"/>
  <c r="BX57" i="3" s="1"/>
  <c r="BX72" i="3" s="1"/>
  <c r="BX80" i="3" s="1"/>
  <c r="BW9" i="3"/>
  <c r="BW57" i="3" s="1"/>
  <c r="BW72" i="3" s="1"/>
  <c r="BW80" i="3" s="1"/>
  <c r="BV9" i="3"/>
  <c r="BV57" i="3" s="1"/>
  <c r="BV72" i="3" s="1"/>
  <c r="BV80" i="3" s="1"/>
  <c r="BU9" i="3"/>
  <c r="BU57" i="3" s="1"/>
  <c r="BU72" i="3" s="1"/>
  <c r="BU80" i="3" s="1"/>
  <c r="BT9" i="3"/>
  <c r="BT57" i="3" s="1"/>
  <c r="BT72" i="3" s="1"/>
  <c r="BT80" i="3" s="1"/>
  <c r="BS9" i="3"/>
  <c r="BS57" i="3" s="1"/>
  <c r="BS72" i="3" s="1"/>
  <c r="BS80" i="3" s="1"/>
  <c r="BR9" i="3"/>
  <c r="BR57" i="3" s="1"/>
  <c r="BR72" i="3" s="1"/>
  <c r="BR80" i="3" s="1"/>
  <c r="BQ9" i="3"/>
  <c r="BQ57" i="3" s="1"/>
  <c r="BQ72" i="3" s="1"/>
  <c r="BQ80" i="3" s="1"/>
  <c r="CD8" i="3"/>
  <c r="CC8" i="3"/>
  <c r="CB8" i="3"/>
  <c r="CA8" i="3"/>
  <c r="BZ8" i="3"/>
  <c r="BY8" i="3"/>
  <c r="BX8" i="3"/>
  <c r="BW8" i="3"/>
  <c r="BV8" i="3"/>
  <c r="BU8" i="3"/>
  <c r="BT8" i="3"/>
  <c r="BS8" i="3"/>
  <c r="BR8" i="3"/>
  <c r="BQ8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C9" i="3"/>
  <c r="BC57" i="3" s="1"/>
  <c r="BC72" i="3" s="1"/>
  <c r="BC80" i="3" s="1"/>
  <c r="BB9" i="3"/>
  <c r="BB57" i="3" s="1"/>
  <c r="BB72" i="3" s="1"/>
  <c r="BB80" i="3" s="1"/>
  <c r="BA9" i="3"/>
  <c r="BA57" i="3" s="1"/>
  <c r="BA72" i="3" s="1"/>
  <c r="BA80" i="3" s="1"/>
  <c r="AZ9" i="3"/>
  <c r="AZ57" i="3" s="1"/>
  <c r="AZ72" i="3" s="1"/>
  <c r="AZ80" i="3" s="1"/>
  <c r="AY9" i="3"/>
  <c r="AY57" i="3" s="1"/>
  <c r="AY72" i="3" s="1"/>
  <c r="AY80" i="3" s="1"/>
  <c r="AX9" i="3"/>
  <c r="AX57" i="3" s="1"/>
  <c r="AX72" i="3" s="1"/>
  <c r="AX80" i="3" s="1"/>
  <c r="AW9" i="3"/>
  <c r="AW57" i="3" s="1"/>
  <c r="AW72" i="3" s="1"/>
  <c r="AW80" i="3" s="1"/>
  <c r="AV9" i="3"/>
  <c r="AV57" i="3" s="1"/>
  <c r="AV72" i="3" s="1"/>
  <c r="AV80" i="3" s="1"/>
  <c r="AU9" i="3"/>
  <c r="AU57" i="3" s="1"/>
  <c r="AU72" i="3" s="1"/>
  <c r="AU80" i="3" s="1"/>
  <c r="AT9" i="3"/>
  <c r="AT57" i="3" s="1"/>
  <c r="AT72" i="3" s="1"/>
  <c r="AT80" i="3" s="1"/>
  <c r="AS9" i="3"/>
  <c r="AS57" i="3" s="1"/>
  <c r="AS72" i="3" s="1"/>
  <c r="AS80" i="3" s="1"/>
  <c r="AR9" i="3"/>
  <c r="AR57" i="3" s="1"/>
  <c r="AR72" i="3" s="1"/>
  <c r="AR80" i="3" s="1"/>
  <c r="AQ9" i="3"/>
  <c r="AQ57" i="3" s="1"/>
  <c r="AQ72" i="3" s="1"/>
  <c r="AQ80" i="3" s="1"/>
  <c r="AP9" i="3"/>
  <c r="AP57" i="3" s="1"/>
  <c r="AP72" i="3" s="1"/>
  <c r="AP80" i="3" s="1"/>
  <c r="AO9" i="3"/>
  <c r="AO57" i="3" s="1"/>
  <c r="AO72" i="3" s="1"/>
  <c r="AO80" i="3" s="1"/>
  <c r="AN9" i="3"/>
  <c r="AN57" i="3" s="1"/>
  <c r="AN72" i="3" s="1"/>
  <c r="AN80" i="3" s="1"/>
  <c r="AM9" i="3"/>
  <c r="AM57" i="3" s="1"/>
  <c r="AM72" i="3" s="1"/>
  <c r="AM80" i="3" s="1"/>
  <c r="AL9" i="3"/>
  <c r="AL57" i="3" s="1"/>
  <c r="AL72" i="3" s="1"/>
  <c r="AL80" i="3" s="1"/>
  <c r="AK9" i="3"/>
  <c r="AK57" i="3" s="1"/>
  <c r="AK72" i="3" s="1"/>
  <c r="AK80" i="3" s="1"/>
  <c r="AJ9" i="3"/>
  <c r="AJ57" i="3" s="1"/>
  <c r="AJ72" i="3" s="1"/>
  <c r="AJ80" i="3" s="1"/>
  <c r="AI9" i="3"/>
  <c r="AI57" i="3" s="1"/>
  <c r="AI72" i="3" s="1"/>
  <c r="AI80" i="3" s="1"/>
  <c r="AH9" i="3"/>
  <c r="AH57" i="3" s="1"/>
  <c r="AH72" i="3" s="1"/>
  <c r="AH80" i="3" s="1"/>
  <c r="AG9" i="3"/>
  <c r="AG57" i="3" s="1"/>
  <c r="AG72" i="3" s="1"/>
  <c r="AG80" i="3" s="1"/>
  <c r="AF9" i="3"/>
  <c r="AF57" i="3" s="1"/>
  <c r="AF72" i="3" s="1"/>
  <c r="AF80" i="3" s="1"/>
  <c r="AE9" i="3"/>
  <c r="AE57" i="3" s="1"/>
  <c r="AE72" i="3" s="1"/>
  <c r="AE80" i="3" s="1"/>
  <c r="AD9" i="3"/>
  <c r="AD57" i="3" s="1"/>
  <c r="AD72" i="3" s="1"/>
  <c r="AD80" i="3" s="1"/>
  <c r="AC9" i="3"/>
  <c r="AC57" i="3" s="1"/>
  <c r="AC72" i="3" s="1"/>
  <c r="AC80" i="3" s="1"/>
  <c r="AB9" i="3"/>
  <c r="AB57" i="3" s="1"/>
  <c r="AB72" i="3" s="1"/>
  <c r="AB80" i="3" s="1"/>
  <c r="AA9" i="3"/>
  <c r="AA57" i="3" s="1"/>
  <c r="AA72" i="3" s="1"/>
  <c r="AA80" i="3" s="1"/>
  <c r="Z9" i="3"/>
  <c r="Z57" i="3" s="1"/>
  <c r="Z72" i="3" s="1"/>
  <c r="Z80" i="3" s="1"/>
  <c r="Y9" i="3"/>
  <c r="Y57" i="3" s="1"/>
  <c r="Y72" i="3" s="1"/>
  <c r="Y80" i="3" s="1"/>
  <c r="X9" i="3"/>
  <c r="X57" i="3" s="1"/>
  <c r="X72" i="3" s="1"/>
  <c r="X80" i="3" s="1"/>
  <c r="W9" i="3"/>
  <c r="W57" i="3" s="1"/>
  <c r="W72" i="3" s="1"/>
  <c r="W80" i="3" s="1"/>
  <c r="V9" i="3"/>
  <c r="V57" i="3" s="1"/>
  <c r="V72" i="3" s="1"/>
  <c r="V80" i="3" s="1"/>
  <c r="U9" i="3"/>
  <c r="U57" i="3" s="1"/>
  <c r="U72" i="3" s="1"/>
  <c r="U80" i="3" s="1"/>
  <c r="T9" i="3"/>
  <c r="T57" i="3" s="1"/>
  <c r="T72" i="3" s="1"/>
  <c r="T80" i="3" s="1"/>
  <c r="S9" i="3"/>
  <c r="S57" i="3" s="1"/>
  <c r="S72" i="3" s="1"/>
  <c r="S80" i="3" s="1"/>
  <c r="R9" i="3"/>
  <c r="R57" i="3" s="1"/>
  <c r="R72" i="3" s="1"/>
  <c r="R80" i="3" s="1"/>
  <c r="Q9" i="3"/>
  <c r="Q57" i="3" s="1"/>
  <c r="Q72" i="3" s="1"/>
  <c r="Q80" i="3" s="1"/>
  <c r="P9" i="3"/>
  <c r="P57" i="3" s="1"/>
  <c r="P72" i="3" s="1"/>
  <c r="P80" i="3" s="1"/>
  <c r="O9" i="3"/>
  <c r="O57" i="3" s="1"/>
  <c r="O72" i="3" s="1"/>
  <c r="O80" i="3" s="1"/>
  <c r="N9" i="3"/>
  <c r="N57" i="3" s="1"/>
  <c r="N72" i="3" s="1"/>
  <c r="N80" i="3" s="1"/>
  <c r="M9" i="3"/>
  <c r="M57" i="3" s="1"/>
  <c r="M72" i="3" s="1"/>
  <c r="M80" i="3" s="1"/>
  <c r="L9" i="3"/>
  <c r="L57" i="3" s="1"/>
  <c r="L72" i="3" s="1"/>
  <c r="L80" i="3" s="1"/>
  <c r="K9" i="3"/>
  <c r="K57" i="3" s="1"/>
  <c r="K72" i="3" s="1"/>
  <c r="K80" i="3" s="1"/>
  <c r="J9" i="3"/>
  <c r="J57" i="3" s="1"/>
  <c r="J72" i="3" s="1"/>
  <c r="J80" i="3" s="1"/>
  <c r="I9" i="3"/>
  <c r="I57" i="3" s="1"/>
  <c r="I72" i="3" s="1"/>
  <c r="I80" i="3" s="1"/>
  <c r="H9" i="3"/>
  <c r="H57" i="3" s="1"/>
  <c r="H72" i="3" s="1"/>
  <c r="H80" i="3" s="1"/>
  <c r="G9" i="3"/>
  <c r="G57" i="3" s="1"/>
  <c r="G72" i="3" s="1"/>
  <c r="G80" i="3" s="1"/>
  <c r="F9" i="3"/>
  <c r="F57" i="3" s="1"/>
  <c r="F72" i="3" s="1"/>
  <c r="F80" i="3" s="1"/>
  <c r="E9" i="3"/>
  <c r="E57" i="3" s="1"/>
  <c r="E72" i="3" s="1"/>
  <c r="E80" i="3" s="1"/>
  <c r="D9" i="3"/>
  <c r="D57" i="3" s="1"/>
  <c r="D72" i="3" s="1"/>
  <c r="D80" i="3" s="1"/>
  <c r="BC8" i="3"/>
  <c r="BB8" i="3"/>
  <c r="BA8" i="3"/>
  <c r="AZ8" i="3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AP303" i="2"/>
  <c r="BV78" i="2"/>
  <c r="BU78" i="2"/>
  <c r="BT78" i="2"/>
  <c r="AY82" i="2"/>
  <c r="AY85" i="2" s="1"/>
  <c r="AY86" i="2" s="1"/>
  <c r="AX82" i="2"/>
  <c r="AX85" i="2" s="1"/>
  <c r="AX86" i="2" s="1"/>
  <c r="AW82" i="2"/>
  <c r="AW85" i="2" s="1"/>
  <c r="AW86" i="2" s="1"/>
  <c r="AU82" i="2"/>
  <c r="AU85" i="2" s="1"/>
  <c r="AU86" i="2" s="1"/>
  <c r="AT82" i="2"/>
  <c r="AT85" i="2" s="1"/>
  <c r="AT86" i="2" s="1"/>
  <c r="AS82" i="2"/>
  <c r="AS85" i="2" s="1"/>
  <c r="AS86" i="2" s="1"/>
  <c r="AR82" i="2"/>
  <c r="AR85" i="2" s="1"/>
  <c r="AR86" i="2" s="1"/>
  <c r="AQ82" i="2"/>
  <c r="AQ85" i="2" s="1"/>
  <c r="AQ86" i="2" s="1"/>
  <c r="AP82" i="2"/>
  <c r="AP85" i="2" s="1"/>
  <c r="AP86" i="2" s="1"/>
  <c r="AO82" i="2"/>
  <c r="AO85" i="2" s="1"/>
  <c r="AO86" i="2" s="1"/>
  <c r="AN82" i="2"/>
  <c r="AN85" i="2" s="1"/>
  <c r="AN86" i="2" s="1"/>
  <c r="AM82" i="2"/>
  <c r="AL82" i="2"/>
  <c r="AK82" i="2"/>
  <c r="AJ82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AY80" i="2"/>
  <c r="AX80" i="2"/>
  <c r="AW80" i="2"/>
  <c r="AU80" i="2"/>
  <c r="AT80" i="2"/>
  <c r="AS80" i="2"/>
  <c r="AR80" i="2"/>
  <c r="AQ80" i="2"/>
  <c r="AP80" i="2"/>
  <c r="AO80" i="2"/>
  <c r="AN80" i="2"/>
  <c r="AM80" i="2"/>
  <c r="AL80" i="2"/>
  <c r="AK80" i="2"/>
  <c r="AJ80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BA78" i="2"/>
  <c r="BA79" i="2" s="1"/>
  <c r="AZ78" i="2"/>
  <c r="AZ79" i="2" s="1"/>
  <c r="AY78" i="2"/>
  <c r="AY79" i="2" s="1"/>
  <c r="AX78" i="2"/>
  <c r="AX83" i="2" s="1"/>
  <c r="AW78" i="2"/>
  <c r="AW79" i="2" s="1"/>
  <c r="AV78" i="2"/>
  <c r="AV79" i="2" s="1"/>
  <c r="AU78" i="2"/>
  <c r="AU79" i="2" s="1"/>
  <c r="AT78" i="2"/>
  <c r="AS78" i="2"/>
  <c r="AS79" i="2" s="1"/>
  <c r="AR78" i="2"/>
  <c r="AR79" i="2" s="1"/>
  <c r="AQ78" i="2"/>
  <c r="AQ79" i="2" s="1"/>
  <c r="AP78" i="2"/>
  <c r="AO78" i="2"/>
  <c r="AO79" i="2" s="1"/>
  <c r="AN78" i="2"/>
  <c r="AN79" i="2" s="1"/>
  <c r="AM78" i="2"/>
  <c r="AM79" i="2" s="1"/>
  <c r="AL78" i="2"/>
  <c r="AK78" i="2"/>
  <c r="AK79" i="2" s="1"/>
  <c r="AJ78" i="2"/>
  <c r="AJ79" i="2" s="1"/>
  <c r="AI78" i="2"/>
  <c r="AI79" i="2" s="1"/>
  <c r="AH78" i="2"/>
  <c r="AG78" i="2"/>
  <c r="AG79" i="2" s="1"/>
  <c r="AF78" i="2"/>
  <c r="AF79" i="2" s="1"/>
  <c r="AE78" i="2"/>
  <c r="AE79" i="2" s="1"/>
  <c r="AD78" i="2"/>
  <c r="AC78" i="2"/>
  <c r="AC79" i="2" s="1"/>
  <c r="AB78" i="2"/>
  <c r="AB79" i="2" s="1"/>
  <c r="AA78" i="2"/>
  <c r="AA79" i="2" s="1"/>
  <c r="Z78" i="2"/>
  <c r="Y78" i="2"/>
  <c r="Y79" i="2" s="1"/>
  <c r="X78" i="2"/>
  <c r="X79" i="2" s="1"/>
  <c r="W78" i="2"/>
  <c r="W79" i="2" s="1"/>
  <c r="V78" i="2"/>
  <c r="U78" i="2"/>
  <c r="U79" i="2" s="1"/>
  <c r="S78" i="2"/>
  <c r="S79" i="2" s="1"/>
  <c r="R78" i="2"/>
  <c r="R83" i="2" s="1"/>
  <c r="Q78" i="2"/>
  <c r="Q79" i="2" s="1"/>
  <c r="P78" i="2"/>
  <c r="P79" i="2" s="1"/>
  <c r="O78" i="2"/>
  <c r="O79" i="2" s="1"/>
  <c r="N78" i="2"/>
  <c r="N83" i="2" s="1"/>
  <c r="BA73" i="2"/>
  <c r="AZ73" i="2"/>
  <c r="AY73" i="2"/>
  <c r="AX73" i="2"/>
  <c r="AW73" i="2"/>
  <c r="AV73" i="2"/>
  <c r="AU73" i="2"/>
  <c r="AT73" i="2"/>
  <c r="AS73" i="2"/>
  <c r="AR73" i="2"/>
  <c r="AQ73" i="2"/>
  <c r="AP73" i="2"/>
  <c r="AO73" i="2"/>
  <c r="AN73" i="2"/>
  <c r="AM73" i="2"/>
  <c r="AL73" i="2"/>
  <c r="AK73" i="2"/>
  <c r="AJ73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BA67" i="2"/>
  <c r="BA71" i="2" s="1"/>
  <c r="AZ67" i="2"/>
  <c r="AZ71" i="2" s="1"/>
  <c r="AY67" i="2"/>
  <c r="AY71" i="2" s="1"/>
  <c r="AY74" i="2" s="1"/>
  <c r="AX67" i="2"/>
  <c r="AX71" i="2" s="1"/>
  <c r="AW67" i="2"/>
  <c r="AW71" i="2" s="1"/>
  <c r="AV67" i="2"/>
  <c r="AV71" i="2" s="1"/>
  <c r="AU67" i="2"/>
  <c r="AU71" i="2" s="1"/>
  <c r="AU74" i="2" s="1"/>
  <c r="AS67" i="2"/>
  <c r="AS71" i="2" s="1"/>
  <c r="AR67" i="2"/>
  <c r="AR71" i="2" s="1"/>
  <c r="AO67" i="2"/>
  <c r="AO71" i="2" s="1"/>
  <c r="AN67" i="2"/>
  <c r="AN71" i="2" s="1"/>
  <c r="AM67" i="2"/>
  <c r="AM71" i="2" s="1"/>
  <c r="AL67" i="2"/>
  <c r="AL71" i="2" s="1"/>
  <c r="AK67" i="2"/>
  <c r="AK71" i="2" s="1"/>
  <c r="AJ67" i="2"/>
  <c r="AJ71" i="2" s="1"/>
  <c r="AI67" i="2"/>
  <c r="AI71" i="2" s="1"/>
  <c r="AH67" i="2"/>
  <c r="AH71" i="2" s="1"/>
  <c r="AG67" i="2"/>
  <c r="AG71" i="2" s="1"/>
  <c r="AF67" i="2"/>
  <c r="AF71" i="2" s="1"/>
  <c r="AE67" i="2"/>
  <c r="AE71" i="2" s="1"/>
  <c r="AD67" i="2"/>
  <c r="AD71" i="2" s="1"/>
  <c r="AC67" i="2"/>
  <c r="AC71" i="2" s="1"/>
  <c r="AB67" i="2"/>
  <c r="AB71" i="2" s="1"/>
  <c r="AA67" i="2"/>
  <c r="AA71" i="2" s="1"/>
  <c r="Z67" i="2"/>
  <c r="Z71" i="2" s="1"/>
  <c r="Y67" i="2"/>
  <c r="Y71" i="2" s="1"/>
  <c r="X67" i="2"/>
  <c r="X71" i="2" s="1"/>
  <c r="W67" i="2"/>
  <c r="W71" i="2" s="1"/>
  <c r="V67" i="2"/>
  <c r="V71" i="2" s="1"/>
  <c r="U67" i="2"/>
  <c r="U71" i="2" s="1"/>
  <c r="T67" i="2"/>
  <c r="T71" i="2" s="1"/>
  <c r="S67" i="2"/>
  <c r="S71" i="2" s="1"/>
  <c r="R67" i="2"/>
  <c r="R71" i="2" s="1"/>
  <c r="Q67" i="2"/>
  <c r="Q71" i="2" s="1"/>
  <c r="P67" i="2"/>
  <c r="P71" i="2" s="1"/>
  <c r="O67" i="2"/>
  <c r="O71" i="2" s="1"/>
  <c r="N67" i="2"/>
  <c r="N71" i="2" s="1"/>
  <c r="M67" i="2"/>
  <c r="M71" i="2" s="1"/>
  <c r="L67" i="2"/>
  <c r="L71" i="2" s="1"/>
  <c r="K67" i="2"/>
  <c r="K71" i="2" s="1"/>
  <c r="J67" i="2"/>
  <c r="J71" i="2" s="1"/>
  <c r="I67" i="2"/>
  <c r="I71" i="2" s="1"/>
  <c r="H67" i="2"/>
  <c r="H71" i="2" s="1"/>
  <c r="G67" i="2"/>
  <c r="G71" i="2" s="1"/>
  <c r="F67" i="2"/>
  <c r="F71" i="2" s="1"/>
  <c r="E67" i="2"/>
  <c r="E71" i="2" s="1"/>
  <c r="D67" i="2"/>
  <c r="D71" i="2" s="1"/>
  <c r="CB70" i="2"/>
  <c r="CA70" i="2"/>
  <c r="BZ70" i="2"/>
  <c r="BY70" i="2"/>
  <c r="BX70" i="2"/>
  <c r="BW70" i="2"/>
  <c r="BV70" i="2"/>
  <c r="BU70" i="2"/>
  <c r="BT70" i="2"/>
  <c r="BS70" i="2"/>
  <c r="BR70" i="2"/>
  <c r="BQ70" i="2"/>
  <c r="CB69" i="2"/>
  <c r="CA69" i="2"/>
  <c r="BZ69" i="2"/>
  <c r="BY69" i="2"/>
  <c r="BX69" i="2"/>
  <c r="BW69" i="2"/>
  <c r="BV69" i="2"/>
  <c r="BU69" i="2"/>
  <c r="BT69" i="2"/>
  <c r="BS69" i="2"/>
  <c r="BR69" i="2"/>
  <c r="BQ69" i="2"/>
  <c r="CC68" i="2"/>
  <c r="CB68" i="2"/>
  <c r="CA68" i="2"/>
  <c r="BZ68" i="2"/>
  <c r="BY68" i="2"/>
  <c r="BX68" i="2"/>
  <c r="BW68" i="2"/>
  <c r="BV68" i="2"/>
  <c r="BU68" i="2"/>
  <c r="BT68" i="2"/>
  <c r="BS68" i="2"/>
  <c r="BR68" i="2"/>
  <c r="BQ68" i="2"/>
  <c r="CB66" i="2"/>
  <c r="CA66" i="2"/>
  <c r="BZ66" i="2"/>
  <c r="BY66" i="2"/>
  <c r="BX66" i="2"/>
  <c r="BW66" i="2"/>
  <c r="BV66" i="2"/>
  <c r="BU66" i="2"/>
  <c r="BT66" i="2"/>
  <c r="BS66" i="2"/>
  <c r="BR66" i="2"/>
  <c r="BQ66" i="2"/>
  <c r="CB65" i="2"/>
  <c r="CA65" i="2"/>
  <c r="BZ65" i="2"/>
  <c r="BY65" i="2"/>
  <c r="BX65" i="2"/>
  <c r="BW65" i="2"/>
  <c r="BV65" i="2"/>
  <c r="BU65" i="2"/>
  <c r="BT65" i="2"/>
  <c r="BS65" i="2"/>
  <c r="BR65" i="2"/>
  <c r="BQ65" i="2"/>
  <c r="CB64" i="2"/>
  <c r="CA64" i="2"/>
  <c r="BZ64" i="2"/>
  <c r="BY64" i="2"/>
  <c r="BX64" i="2"/>
  <c r="BW64" i="2"/>
  <c r="BV64" i="2"/>
  <c r="BU64" i="2"/>
  <c r="BT64" i="2"/>
  <c r="BS64" i="2"/>
  <c r="BR64" i="2"/>
  <c r="BQ64" i="2"/>
  <c r="AT62" i="2"/>
  <c r="AP62" i="2"/>
  <c r="AQ62" i="2" s="1"/>
  <c r="CB63" i="2"/>
  <c r="CA63" i="2"/>
  <c r="BZ63" i="2"/>
  <c r="BY63" i="2"/>
  <c r="BX63" i="2"/>
  <c r="BW63" i="2"/>
  <c r="BV63" i="2"/>
  <c r="BU63" i="2"/>
  <c r="BT63" i="2"/>
  <c r="BS63" i="2"/>
  <c r="BR63" i="2"/>
  <c r="BQ63" i="2"/>
  <c r="CB62" i="2"/>
  <c r="CA62" i="2"/>
  <c r="BY62" i="2"/>
  <c r="BX62" i="2"/>
  <c r="BW62" i="2"/>
  <c r="BV62" i="2"/>
  <c r="BU62" i="2"/>
  <c r="BT62" i="2"/>
  <c r="BS62" i="2"/>
  <c r="BR62" i="2"/>
  <c r="BQ62" i="2"/>
  <c r="BE68" i="2"/>
  <c r="BH68" i="2" s="1"/>
  <c r="BI68" i="2" s="1"/>
  <c r="BJ68" i="2" s="1"/>
  <c r="BK68" i="2" s="1"/>
  <c r="BL68" i="2" s="1"/>
  <c r="BM68" i="2" s="1"/>
  <c r="BN68" i="2" s="1"/>
  <c r="BO68" i="2" s="1"/>
  <c r="BH63" i="2"/>
  <c r="BI63" i="2" s="1"/>
  <c r="BJ63" i="2" s="1"/>
  <c r="BK63" i="2" s="1"/>
  <c r="AY58" i="2"/>
  <c r="AY54" i="2" s="1"/>
  <c r="AX58" i="2"/>
  <c r="AX53" i="2" s="1"/>
  <c r="AW58" i="2"/>
  <c r="AW53" i="2" s="1"/>
  <c r="AU58" i="2"/>
  <c r="AT58" i="2"/>
  <c r="AT54" i="2" s="1"/>
  <c r="AS58" i="2"/>
  <c r="AS54" i="2" s="1"/>
  <c r="AR58" i="2"/>
  <c r="AR53" i="2" s="1"/>
  <c r="AQ58" i="2"/>
  <c r="AQ53" i="2" s="1"/>
  <c r="AP58" i="2"/>
  <c r="AP53" i="2" s="1"/>
  <c r="AO58" i="2"/>
  <c r="AO54" i="2" s="1"/>
  <c r="AN58" i="2"/>
  <c r="AN53" i="2" s="1"/>
  <c r="AM58" i="2"/>
  <c r="AM53" i="2" s="1"/>
  <c r="AL58" i="2"/>
  <c r="AL53" i="2" s="1"/>
  <c r="AK58" i="2"/>
  <c r="AK53" i="2" s="1"/>
  <c r="AJ58" i="2"/>
  <c r="AJ53" i="2" s="1"/>
  <c r="AI58" i="2"/>
  <c r="AI53" i="2" s="1"/>
  <c r="AH58" i="2"/>
  <c r="AH53" i="2" s="1"/>
  <c r="AG58" i="2"/>
  <c r="AG53" i="2" s="1"/>
  <c r="AF58" i="2"/>
  <c r="AF53" i="2" s="1"/>
  <c r="AE58" i="2"/>
  <c r="AE53" i="2" s="1"/>
  <c r="AD58" i="2"/>
  <c r="AD53" i="2" s="1"/>
  <c r="AC58" i="2"/>
  <c r="AC53" i="2" s="1"/>
  <c r="AB58" i="2"/>
  <c r="AB53" i="2" s="1"/>
  <c r="AA58" i="2"/>
  <c r="AA53" i="2" s="1"/>
  <c r="Z58" i="2"/>
  <c r="Z53" i="2" s="1"/>
  <c r="Y58" i="2"/>
  <c r="Y53" i="2" s="1"/>
  <c r="X58" i="2"/>
  <c r="X53" i="2" s="1"/>
  <c r="W58" i="2"/>
  <c r="W53" i="2" s="1"/>
  <c r="V58" i="2"/>
  <c r="V53" i="2" s="1"/>
  <c r="U58" i="2"/>
  <c r="U53" i="2" s="1"/>
  <c r="T58" i="2"/>
  <c r="T53" i="2" s="1"/>
  <c r="S58" i="2"/>
  <c r="S53" i="2" s="1"/>
  <c r="R58" i="2"/>
  <c r="R53" i="2" s="1"/>
  <c r="Q58" i="2"/>
  <c r="Q53" i="2" s="1"/>
  <c r="P58" i="2"/>
  <c r="P53" i="2" s="1"/>
  <c r="O58" i="2"/>
  <c r="O53" i="2" s="1"/>
  <c r="N58" i="2"/>
  <c r="N53" i="2" s="1"/>
  <c r="M58" i="2"/>
  <c r="M54" i="2" s="1"/>
  <c r="L58" i="2"/>
  <c r="L53" i="2" s="1"/>
  <c r="K58" i="2"/>
  <c r="K53" i="2" s="1"/>
  <c r="J58" i="2"/>
  <c r="J53" i="2" s="1"/>
  <c r="I58" i="2"/>
  <c r="I53" i="2" s="1"/>
  <c r="H58" i="2"/>
  <c r="H53" i="2" s="1"/>
  <c r="G58" i="2"/>
  <c r="G53" i="2" s="1"/>
  <c r="F58" i="2"/>
  <c r="F53" i="2" s="1"/>
  <c r="E58" i="2"/>
  <c r="E53" i="2" s="1"/>
  <c r="D58" i="2"/>
  <c r="D53" i="2" s="1"/>
  <c r="BA57" i="2"/>
  <c r="BA52" i="2" s="1"/>
  <c r="AZ57" i="2"/>
  <c r="AY57" i="2"/>
  <c r="AY51" i="2" s="1"/>
  <c r="AY50" i="2" s="1"/>
  <c r="AX57" i="2"/>
  <c r="AW57" i="2"/>
  <c r="AW52" i="2" s="1"/>
  <c r="AV57" i="2"/>
  <c r="AU57" i="2"/>
  <c r="AU52" i="2" s="1"/>
  <c r="AT57" i="2"/>
  <c r="AS57" i="2"/>
  <c r="AS52" i="2" s="1"/>
  <c r="AR57" i="2"/>
  <c r="AP57" i="2"/>
  <c r="AP51" i="2" s="1"/>
  <c r="AP50" i="2" s="1"/>
  <c r="AO57" i="2"/>
  <c r="AN57" i="2"/>
  <c r="AN52" i="2" s="1"/>
  <c r="AM57" i="2"/>
  <c r="AM52" i="2" s="1"/>
  <c r="AL57" i="2"/>
  <c r="AL52" i="2" s="1"/>
  <c r="AK57" i="2"/>
  <c r="AK52" i="2" s="1"/>
  <c r="AJ57" i="2"/>
  <c r="AJ52" i="2" s="1"/>
  <c r="AI57" i="2"/>
  <c r="AI52" i="2" s="1"/>
  <c r="AH57" i="2"/>
  <c r="AH52" i="2" s="1"/>
  <c r="AG57" i="2"/>
  <c r="AG52" i="2" s="1"/>
  <c r="AF57" i="2"/>
  <c r="AF52" i="2" s="1"/>
  <c r="AE57" i="2"/>
  <c r="AE52" i="2" s="1"/>
  <c r="AD57" i="2"/>
  <c r="AD52" i="2" s="1"/>
  <c r="AC57" i="2"/>
  <c r="AC52" i="2" s="1"/>
  <c r="AB57" i="2"/>
  <c r="AB52" i="2" s="1"/>
  <c r="AA57" i="2"/>
  <c r="AA52" i="2" s="1"/>
  <c r="Z57" i="2"/>
  <c r="Z51" i="2" s="1"/>
  <c r="Z50" i="2" s="1"/>
  <c r="Y57" i="2"/>
  <c r="Y52" i="2" s="1"/>
  <c r="X57" i="2"/>
  <c r="X52" i="2" s="1"/>
  <c r="W57" i="2"/>
  <c r="W52" i="2" s="1"/>
  <c r="V57" i="2"/>
  <c r="V52" i="2" s="1"/>
  <c r="U57" i="2"/>
  <c r="U52" i="2" s="1"/>
  <c r="T57" i="2"/>
  <c r="T52" i="2" s="1"/>
  <c r="S57" i="2"/>
  <c r="S52" i="2" s="1"/>
  <c r="R57" i="2"/>
  <c r="R52" i="2" s="1"/>
  <c r="Q57" i="2"/>
  <c r="Q52" i="2" s="1"/>
  <c r="P57" i="2"/>
  <c r="P52" i="2" s="1"/>
  <c r="O57" i="2"/>
  <c r="O52" i="2" s="1"/>
  <c r="N57" i="2"/>
  <c r="N52" i="2" s="1"/>
  <c r="M57" i="2"/>
  <c r="M52" i="2" s="1"/>
  <c r="L57" i="2"/>
  <c r="L52" i="2" s="1"/>
  <c r="K57" i="2"/>
  <c r="K52" i="2" s="1"/>
  <c r="J57" i="2"/>
  <c r="J52" i="2" s="1"/>
  <c r="I57" i="2"/>
  <c r="I52" i="2" s="1"/>
  <c r="H57" i="2"/>
  <c r="H52" i="2" s="1"/>
  <c r="G57" i="2"/>
  <c r="G52" i="2" s="1"/>
  <c r="F57" i="2"/>
  <c r="F52" i="2" s="1"/>
  <c r="E57" i="2"/>
  <c r="E52" i="2" s="1"/>
  <c r="D57" i="2"/>
  <c r="D52" i="2" s="1"/>
  <c r="BA56" i="2"/>
  <c r="BA49" i="2" s="1"/>
  <c r="AZ56" i="2"/>
  <c r="AZ49" i="2" s="1"/>
  <c r="AY56" i="2"/>
  <c r="AY49" i="2" s="1"/>
  <c r="AX56" i="2"/>
  <c r="AX49" i="2" s="1"/>
  <c r="AW56" i="2"/>
  <c r="AW49" i="2" s="1"/>
  <c r="AV56" i="2"/>
  <c r="AV49" i="2" s="1"/>
  <c r="AU56" i="2"/>
  <c r="AU49" i="2" s="1"/>
  <c r="AT56" i="2"/>
  <c r="AT49" i="2" s="1"/>
  <c r="AS56" i="2"/>
  <c r="AS49" i="2" s="1"/>
  <c r="AR56" i="2"/>
  <c r="AR49" i="2" s="1"/>
  <c r="AQ56" i="2"/>
  <c r="AQ49" i="2" s="1"/>
  <c r="AP56" i="2"/>
  <c r="AP49" i="2" s="1"/>
  <c r="AO56" i="2"/>
  <c r="AO49" i="2" s="1"/>
  <c r="AN56" i="2"/>
  <c r="AN49" i="2" s="1"/>
  <c r="AM56" i="2"/>
  <c r="AM49" i="2" s="1"/>
  <c r="AL56" i="2"/>
  <c r="AL49" i="2" s="1"/>
  <c r="AK56" i="2"/>
  <c r="AK49" i="2" s="1"/>
  <c r="AJ56" i="2"/>
  <c r="AJ49" i="2" s="1"/>
  <c r="AI56" i="2"/>
  <c r="AI49" i="2" s="1"/>
  <c r="AH56" i="2"/>
  <c r="AH49" i="2" s="1"/>
  <c r="AG56" i="2"/>
  <c r="AG49" i="2" s="1"/>
  <c r="AF56" i="2"/>
  <c r="AF49" i="2" s="1"/>
  <c r="AE56" i="2"/>
  <c r="AE49" i="2" s="1"/>
  <c r="AD56" i="2"/>
  <c r="AD49" i="2" s="1"/>
  <c r="AC56" i="2"/>
  <c r="AC49" i="2" s="1"/>
  <c r="AB56" i="2"/>
  <c r="AB49" i="2" s="1"/>
  <c r="AA56" i="2"/>
  <c r="AA49" i="2" s="1"/>
  <c r="Z56" i="2"/>
  <c r="Z49" i="2" s="1"/>
  <c r="Y56" i="2"/>
  <c r="Y49" i="2" s="1"/>
  <c r="X56" i="2"/>
  <c r="X49" i="2" s="1"/>
  <c r="W56" i="2"/>
  <c r="W49" i="2" s="1"/>
  <c r="V56" i="2"/>
  <c r="V49" i="2" s="1"/>
  <c r="U56" i="2"/>
  <c r="U49" i="2" s="1"/>
  <c r="T56" i="2"/>
  <c r="T49" i="2" s="1"/>
  <c r="S56" i="2"/>
  <c r="S49" i="2" s="1"/>
  <c r="R56" i="2"/>
  <c r="R49" i="2" s="1"/>
  <c r="Q56" i="2"/>
  <c r="Q49" i="2" s="1"/>
  <c r="P56" i="2"/>
  <c r="P49" i="2" s="1"/>
  <c r="O56" i="2"/>
  <c r="O49" i="2" s="1"/>
  <c r="N56" i="2"/>
  <c r="N49" i="2" s="1"/>
  <c r="M56" i="2"/>
  <c r="M49" i="2" s="1"/>
  <c r="L56" i="2"/>
  <c r="L49" i="2" s="1"/>
  <c r="K56" i="2"/>
  <c r="K49" i="2" s="1"/>
  <c r="J56" i="2"/>
  <c r="J49" i="2" s="1"/>
  <c r="I56" i="2"/>
  <c r="I49" i="2" s="1"/>
  <c r="H56" i="2"/>
  <c r="H49" i="2" s="1"/>
  <c r="G56" i="2"/>
  <c r="G49" i="2" s="1"/>
  <c r="F56" i="2"/>
  <c r="F49" i="2" s="1"/>
  <c r="E56" i="2"/>
  <c r="E49" i="2" s="1"/>
  <c r="D56" i="2"/>
  <c r="D49" i="2" s="1"/>
  <c r="AX54" i="2"/>
  <c r="AU54" i="2"/>
  <c r="AM54" i="2"/>
  <c r="AE54" i="2"/>
  <c r="W54" i="2"/>
  <c r="T54" i="2"/>
  <c r="Q54" i="2"/>
  <c r="I54" i="2"/>
  <c r="D54" i="2"/>
  <c r="AU53" i="2"/>
  <c r="AO53" i="2"/>
  <c r="CB41" i="2"/>
  <c r="CA41" i="2"/>
  <c r="BZ41" i="2"/>
  <c r="BY41" i="2"/>
  <c r="BX41" i="2"/>
  <c r="BW41" i="2"/>
  <c r="BV41" i="2"/>
  <c r="BU41" i="2"/>
  <c r="BT41" i="2"/>
  <c r="BS41" i="2"/>
  <c r="BR41" i="2"/>
  <c r="BQ41" i="2"/>
  <c r="AY38" i="2"/>
  <c r="CB38" i="2" s="1"/>
  <c r="AU38" i="2"/>
  <c r="CA38" i="2" s="1"/>
  <c r="AE38" i="2"/>
  <c r="BW38" i="2" s="1"/>
  <c r="AZ37" i="2"/>
  <c r="AZ39" i="2" s="1"/>
  <c r="AV37" i="2"/>
  <c r="AV39" i="2" s="1"/>
  <c r="CB39" i="2"/>
  <c r="CA39" i="2"/>
  <c r="BZ39" i="2"/>
  <c r="BY39" i="2"/>
  <c r="BX39" i="2"/>
  <c r="BW39" i="2"/>
  <c r="BV39" i="2"/>
  <c r="BU39" i="2"/>
  <c r="BT39" i="2"/>
  <c r="BS39" i="2"/>
  <c r="BR39" i="2"/>
  <c r="BQ39" i="2"/>
  <c r="BZ38" i="2"/>
  <c r="BY38" i="2"/>
  <c r="BX38" i="2"/>
  <c r="BV38" i="2"/>
  <c r="BU38" i="2"/>
  <c r="BT38" i="2"/>
  <c r="BS38" i="2"/>
  <c r="BR38" i="2"/>
  <c r="BQ38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CB36" i="2"/>
  <c r="CA36" i="2"/>
  <c r="BZ36" i="2"/>
  <c r="BY36" i="2"/>
  <c r="BX36" i="2"/>
  <c r="BV36" i="2"/>
  <c r="BU36" i="2"/>
  <c r="BT36" i="2"/>
  <c r="BS36" i="2"/>
  <c r="BR36" i="2"/>
  <c r="BQ36" i="2"/>
  <c r="AE36" i="2"/>
  <c r="BW36" i="2" s="1"/>
  <c r="BA34" i="2"/>
  <c r="AZ34" i="2"/>
  <c r="AV34" i="2"/>
  <c r="AU34" i="2"/>
  <c r="AT34" i="2"/>
  <c r="AT43" i="2" s="1"/>
  <c r="AS34" i="2"/>
  <c r="AS43" i="2" s="1"/>
  <c r="AR34" i="2"/>
  <c r="AR43" i="2" s="1"/>
  <c r="AQ34" i="2"/>
  <c r="AQ43" i="2" s="1"/>
  <c r="AP34" i="2"/>
  <c r="AP43" i="2" s="1"/>
  <c r="AO34" i="2"/>
  <c r="AO43" i="2" s="1"/>
  <c r="AN34" i="2"/>
  <c r="AN43" i="2" s="1"/>
  <c r="AM34" i="2"/>
  <c r="AM43" i="2" s="1"/>
  <c r="AL34" i="2"/>
  <c r="AL43" i="2" s="1"/>
  <c r="AK34" i="2"/>
  <c r="AK43" i="2" s="1"/>
  <c r="AJ34" i="2"/>
  <c r="AJ43" i="2" s="1"/>
  <c r="AI34" i="2"/>
  <c r="AI43" i="2" s="1"/>
  <c r="AH34" i="2"/>
  <c r="AH43" i="2" s="1"/>
  <c r="AG34" i="2"/>
  <c r="AG43" i="2" s="1"/>
  <c r="AF34" i="2"/>
  <c r="AF43" i="2" s="1"/>
  <c r="AE34" i="2"/>
  <c r="AD34" i="2"/>
  <c r="AD43" i="2" s="1"/>
  <c r="AC34" i="2"/>
  <c r="AC43" i="2" s="1"/>
  <c r="AB34" i="2"/>
  <c r="AB43" i="2" s="1"/>
  <c r="AA34" i="2"/>
  <c r="AA43" i="2" s="1"/>
  <c r="Z34" i="2"/>
  <c r="Z43" i="2" s="1"/>
  <c r="Y34" i="2"/>
  <c r="Y43" i="2" s="1"/>
  <c r="X34" i="2"/>
  <c r="X43" i="2" s="1"/>
  <c r="W34" i="2"/>
  <c r="W43" i="2" s="1"/>
  <c r="V34" i="2"/>
  <c r="V43" i="2" s="1"/>
  <c r="U34" i="2"/>
  <c r="U43" i="2" s="1"/>
  <c r="T34" i="2"/>
  <c r="T43" i="2" s="1"/>
  <c r="S34" i="2"/>
  <c r="S43" i="2" s="1"/>
  <c r="R34" i="2"/>
  <c r="R43" i="2" s="1"/>
  <c r="Q34" i="2"/>
  <c r="Q43" i="2" s="1"/>
  <c r="P34" i="2"/>
  <c r="P43" i="2" s="1"/>
  <c r="O34" i="2"/>
  <c r="O43" i="2" s="1"/>
  <c r="N34" i="2"/>
  <c r="N43" i="2" s="1"/>
  <c r="M34" i="2"/>
  <c r="M43" i="2" s="1"/>
  <c r="L34" i="2"/>
  <c r="L43" i="2" s="1"/>
  <c r="K34" i="2"/>
  <c r="K43" i="2" s="1"/>
  <c r="J34" i="2"/>
  <c r="J43" i="2" s="1"/>
  <c r="I34" i="2"/>
  <c r="I43" i="2" s="1"/>
  <c r="H34" i="2"/>
  <c r="H43" i="2" s="1"/>
  <c r="G34" i="2"/>
  <c r="G43" i="2" s="1"/>
  <c r="F34" i="2"/>
  <c r="F43" i="2" s="1"/>
  <c r="E34" i="2"/>
  <c r="E43" i="2" s="1"/>
  <c r="D34" i="2"/>
  <c r="D43" i="2" s="1"/>
  <c r="AY29" i="2"/>
  <c r="CB29" i="2" s="1"/>
  <c r="AX29" i="2"/>
  <c r="AX34" i="2" s="1"/>
  <c r="AX43" i="2" s="1"/>
  <c r="AW29" i="2"/>
  <c r="AW34" i="2" s="1"/>
  <c r="AW43" i="2" s="1"/>
  <c r="CB33" i="2"/>
  <c r="CA33" i="2"/>
  <c r="BZ33" i="2"/>
  <c r="BY33" i="2"/>
  <c r="BX33" i="2"/>
  <c r="BW33" i="2"/>
  <c r="BV33" i="2"/>
  <c r="BU33" i="2"/>
  <c r="BT33" i="2"/>
  <c r="BS33" i="2"/>
  <c r="BR33" i="2"/>
  <c r="BQ33" i="2"/>
  <c r="CB32" i="2"/>
  <c r="CA32" i="2"/>
  <c r="BZ32" i="2"/>
  <c r="BY32" i="2"/>
  <c r="BX32" i="2"/>
  <c r="BW32" i="2"/>
  <c r="BV32" i="2"/>
  <c r="BU32" i="2"/>
  <c r="BT32" i="2"/>
  <c r="BS32" i="2"/>
  <c r="BR32" i="2"/>
  <c r="BQ32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CB30" i="2"/>
  <c r="CA30" i="2"/>
  <c r="BZ30" i="2"/>
  <c r="BY30" i="2"/>
  <c r="BX30" i="2"/>
  <c r="BW30" i="2"/>
  <c r="BV30" i="2"/>
  <c r="BU30" i="2"/>
  <c r="BT30" i="2"/>
  <c r="BS30" i="2"/>
  <c r="BR30" i="2"/>
  <c r="BQ30" i="2"/>
  <c r="CA29" i="2"/>
  <c r="BZ29" i="2"/>
  <c r="BY29" i="2"/>
  <c r="BX29" i="2"/>
  <c r="BW29" i="2"/>
  <c r="BV29" i="2"/>
  <c r="BU29" i="2"/>
  <c r="BT29" i="2"/>
  <c r="BS29" i="2"/>
  <c r="BR29" i="2"/>
  <c r="BQ29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AV23" i="2"/>
  <c r="AV80" i="2" s="1"/>
  <c r="AZ23" i="2"/>
  <c r="AZ80" i="2" s="1"/>
  <c r="CB24" i="2"/>
  <c r="CA24" i="2"/>
  <c r="BZ24" i="2"/>
  <c r="BY24" i="2"/>
  <c r="BX24" i="2"/>
  <c r="BW24" i="2"/>
  <c r="BV24" i="2"/>
  <c r="BU24" i="2"/>
  <c r="BT24" i="2"/>
  <c r="BS24" i="2"/>
  <c r="BR24" i="2"/>
  <c r="BQ24" i="2"/>
  <c r="CB23" i="2"/>
  <c r="CA23" i="2"/>
  <c r="BZ23" i="2"/>
  <c r="BY23" i="2"/>
  <c r="BX23" i="2"/>
  <c r="BW23" i="2"/>
  <c r="BV23" i="2"/>
  <c r="BU23" i="2"/>
  <c r="BT23" i="2"/>
  <c r="BS23" i="2"/>
  <c r="BR23" i="2"/>
  <c r="BQ23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CB21" i="2"/>
  <c r="CA21" i="2"/>
  <c r="BZ21" i="2"/>
  <c r="BY21" i="2"/>
  <c r="BX21" i="2"/>
  <c r="BW21" i="2"/>
  <c r="BV21" i="2"/>
  <c r="BU21" i="2"/>
  <c r="BT21" i="2"/>
  <c r="BS21" i="2"/>
  <c r="BR21" i="2"/>
  <c r="BQ21" i="2"/>
  <c r="CB20" i="2"/>
  <c r="CB67" i="3" s="1"/>
  <c r="CA20" i="2"/>
  <c r="CA67" i="3" s="1"/>
  <c r="BZ20" i="2"/>
  <c r="BZ67" i="3" s="1"/>
  <c r="BY20" i="2"/>
  <c r="BY67" i="3" s="1"/>
  <c r="BX20" i="2"/>
  <c r="BX67" i="3" s="1"/>
  <c r="BW20" i="2"/>
  <c r="BW67" i="3" s="1"/>
  <c r="BV20" i="2"/>
  <c r="BV67" i="3" s="1"/>
  <c r="BU20" i="2"/>
  <c r="BU67" i="3" s="1"/>
  <c r="BT20" i="2"/>
  <c r="BT67" i="3" s="1"/>
  <c r="BS20" i="2"/>
  <c r="BS67" i="3" s="1"/>
  <c r="BR20" i="2"/>
  <c r="BR67" i="3" s="1"/>
  <c r="BQ20" i="2"/>
  <c r="BQ67" i="3" s="1"/>
  <c r="AY18" i="2"/>
  <c r="AY25" i="2" s="1"/>
  <c r="AY63" i="3" s="1"/>
  <c r="AX18" i="2"/>
  <c r="AW18" i="2"/>
  <c r="AU18" i="2"/>
  <c r="AT18" i="2"/>
  <c r="AS18" i="2"/>
  <c r="AS87" i="2" s="1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AV16" i="2"/>
  <c r="AV17" i="2" s="1"/>
  <c r="BA13" i="2"/>
  <c r="AZ13" i="2"/>
  <c r="AV13" i="2"/>
  <c r="CB17" i="2"/>
  <c r="CA17" i="2"/>
  <c r="BZ17" i="2"/>
  <c r="BY17" i="2"/>
  <c r="BX17" i="2"/>
  <c r="BW17" i="2"/>
  <c r="BV17" i="2"/>
  <c r="BU17" i="2"/>
  <c r="BT17" i="2"/>
  <c r="BS17" i="2"/>
  <c r="BR17" i="2"/>
  <c r="BQ17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CB15" i="2"/>
  <c r="CA15" i="2"/>
  <c r="BZ15" i="2"/>
  <c r="BY15" i="2"/>
  <c r="BX15" i="2"/>
  <c r="BW15" i="2"/>
  <c r="BV15" i="2"/>
  <c r="BU15" i="2"/>
  <c r="BT15" i="2"/>
  <c r="BS15" i="2"/>
  <c r="BR15" i="2"/>
  <c r="BQ15" i="2"/>
  <c r="CB14" i="2"/>
  <c r="CA14" i="2"/>
  <c r="BZ14" i="2"/>
  <c r="BY14" i="2"/>
  <c r="BX14" i="2"/>
  <c r="BW14" i="2"/>
  <c r="BV14" i="2"/>
  <c r="BU14" i="2"/>
  <c r="BT14" i="2"/>
  <c r="BS14" i="2"/>
  <c r="BR14" i="2"/>
  <c r="BQ14" i="2"/>
  <c r="CB13" i="2"/>
  <c r="CA13" i="2"/>
  <c r="BZ13" i="2"/>
  <c r="BY13" i="2"/>
  <c r="BX13" i="2"/>
  <c r="BW13" i="2"/>
  <c r="BV13" i="2"/>
  <c r="BU13" i="2"/>
  <c r="BT13" i="2"/>
  <c r="BS13" i="2"/>
  <c r="BR13" i="2"/>
  <c r="BQ13" i="2"/>
  <c r="CB12" i="2"/>
  <c r="CA12" i="2"/>
  <c r="BZ12" i="2"/>
  <c r="BY12" i="2"/>
  <c r="BX12" i="2"/>
  <c r="BW12" i="2"/>
  <c r="BV12" i="2"/>
  <c r="BU12" i="2"/>
  <c r="BT12" i="2"/>
  <c r="BS12" i="2"/>
  <c r="BR12" i="2"/>
  <c r="BQ12" i="2"/>
  <c r="CB11" i="2"/>
  <c r="CB52" i="3" s="1"/>
  <c r="CA11" i="2"/>
  <c r="CA82" i="2" s="1"/>
  <c r="BZ11" i="2"/>
  <c r="BZ52" i="3" s="1"/>
  <c r="BY11" i="2"/>
  <c r="BY82" i="2" s="1"/>
  <c r="BX11" i="2"/>
  <c r="BX52" i="3" s="1"/>
  <c r="BW11" i="2"/>
  <c r="BW82" i="2" s="1"/>
  <c r="BV11" i="2"/>
  <c r="BV52" i="3" s="1"/>
  <c r="BU11" i="2"/>
  <c r="BU82" i="2" s="1"/>
  <c r="BT11" i="2"/>
  <c r="BT52" i="3" s="1"/>
  <c r="BS11" i="2"/>
  <c r="BS82" i="2" s="1"/>
  <c r="BR11" i="2"/>
  <c r="BR52" i="3" s="1"/>
  <c r="BQ11" i="2"/>
  <c r="BQ82" i="2" s="1"/>
  <c r="CD9" i="2"/>
  <c r="CD48" i="2" s="1"/>
  <c r="CD61" i="2" s="1"/>
  <c r="CD77" i="2" s="1"/>
  <c r="CC9" i="2"/>
  <c r="CC48" i="2" s="1"/>
  <c r="CC61" i="2" s="1"/>
  <c r="CC77" i="2" s="1"/>
  <c r="CB9" i="2"/>
  <c r="CB48" i="2" s="1"/>
  <c r="CB61" i="2" s="1"/>
  <c r="CB77" i="2" s="1"/>
  <c r="CA9" i="2"/>
  <c r="CA48" i="2" s="1"/>
  <c r="CA61" i="2" s="1"/>
  <c r="CA77" i="2" s="1"/>
  <c r="BZ9" i="2"/>
  <c r="BZ48" i="2" s="1"/>
  <c r="BZ61" i="2" s="1"/>
  <c r="BZ77" i="2" s="1"/>
  <c r="BY9" i="2"/>
  <c r="BY48" i="2" s="1"/>
  <c r="BY61" i="2" s="1"/>
  <c r="BY77" i="2" s="1"/>
  <c r="BX9" i="2"/>
  <c r="BX48" i="2" s="1"/>
  <c r="BX61" i="2" s="1"/>
  <c r="BX77" i="2" s="1"/>
  <c r="BW9" i="2"/>
  <c r="BW48" i="2" s="1"/>
  <c r="BW61" i="2" s="1"/>
  <c r="BW77" i="2" s="1"/>
  <c r="BV9" i="2"/>
  <c r="BV48" i="2" s="1"/>
  <c r="BV61" i="2" s="1"/>
  <c r="BV77" i="2" s="1"/>
  <c r="BU9" i="2"/>
  <c r="BU48" i="2" s="1"/>
  <c r="BU61" i="2" s="1"/>
  <c r="BU77" i="2" s="1"/>
  <c r="BT9" i="2"/>
  <c r="BT48" i="2" s="1"/>
  <c r="BT61" i="2" s="1"/>
  <c r="BT77" i="2" s="1"/>
  <c r="BS9" i="2"/>
  <c r="BS48" i="2" s="1"/>
  <c r="BS61" i="2" s="1"/>
  <c r="BS77" i="2" s="1"/>
  <c r="BR9" i="2"/>
  <c r="BR48" i="2" s="1"/>
  <c r="BR61" i="2" s="1"/>
  <c r="BR77" i="2" s="1"/>
  <c r="BQ9" i="2"/>
  <c r="BQ48" i="2" s="1"/>
  <c r="BQ61" i="2" s="1"/>
  <c r="BQ77" i="2" s="1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C9" i="2"/>
  <c r="BC48" i="2" s="1"/>
  <c r="BC61" i="2" s="1"/>
  <c r="BC77" i="2" s="1"/>
  <c r="BB9" i="2"/>
  <c r="BB48" i="2" s="1"/>
  <c r="BB61" i="2" s="1"/>
  <c r="BB77" i="2" s="1"/>
  <c r="BA9" i="2"/>
  <c r="BA48" i="2" s="1"/>
  <c r="BA61" i="2" s="1"/>
  <c r="BA77" i="2" s="1"/>
  <c r="AZ9" i="2"/>
  <c r="AZ48" i="2" s="1"/>
  <c r="AZ61" i="2" s="1"/>
  <c r="AZ77" i="2" s="1"/>
  <c r="AY9" i="2"/>
  <c r="AY48" i="2" s="1"/>
  <c r="AY61" i="2" s="1"/>
  <c r="AY77" i="2" s="1"/>
  <c r="AX9" i="2"/>
  <c r="AX48" i="2" s="1"/>
  <c r="AX61" i="2" s="1"/>
  <c r="AX77" i="2" s="1"/>
  <c r="AW9" i="2"/>
  <c r="AW48" i="2" s="1"/>
  <c r="AW61" i="2" s="1"/>
  <c r="AW77" i="2" s="1"/>
  <c r="AV9" i="2"/>
  <c r="AV48" i="2" s="1"/>
  <c r="AV61" i="2" s="1"/>
  <c r="AV77" i="2" s="1"/>
  <c r="AU9" i="2"/>
  <c r="AU48" i="2" s="1"/>
  <c r="AU61" i="2" s="1"/>
  <c r="AU77" i="2" s="1"/>
  <c r="AT9" i="2"/>
  <c r="AT48" i="2" s="1"/>
  <c r="AT61" i="2" s="1"/>
  <c r="AT77" i="2" s="1"/>
  <c r="AS9" i="2"/>
  <c r="AS48" i="2" s="1"/>
  <c r="AS61" i="2" s="1"/>
  <c r="AS77" i="2" s="1"/>
  <c r="AR9" i="2"/>
  <c r="AR48" i="2" s="1"/>
  <c r="AR61" i="2" s="1"/>
  <c r="AR77" i="2" s="1"/>
  <c r="AQ9" i="2"/>
  <c r="AQ48" i="2" s="1"/>
  <c r="AQ61" i="2" s="1"/>
  <c r="AQ77" i="2" s="1"/>
  <c r="AP9" i="2"/>
  <c r="AP48" i="2" s="1"/>
  <c r="AP61" i="2" s="1"/>
  <c r="AP77" i="2" s="1"/>
  <c r="AO9" i="2"/>
  <c r="AO48" i="2" s="1"/>
  <c r="AO61" i="2" s="1"/>
  <c r="AO77" i="2" s="1"/>
  <c r="AN9" i="2"/>
  <c r="AN48" i="2" s="1"/>
  <c r="AN61" i="2" s="1"/>
  <c r="AN77" i="2" s="1"/>
  <c r="AM9" i="2"/>
  <c r="AM48" i="2" s="1"/>
  <c r="AM61" i="2" s="1"/>
  <c r="AM77" i="2" s="1"/>
  <c r="AL9" i="2"/>
  <c r="AL48" i="2" s="1"/>
  <c r="AL61" i="2" s="1"/>
  <c r="AL77" i="2" s="1"/>
  <c r="AK9" i="2"/>
  <c r="AK48" i="2" s="1"/>
  <c r="AK61" i="2" s="1"/>
  <c r="AK77" i="2" s="1"/>
  <c r="AJ9" i="2"/>
  <c r="AJ48" i="2" s="1"/>
  <c r="AJ61" i="2" s="1"/>
  <c r="AJ77" i="2" s="1"/>
  <c r="AI9" i="2"/>
  <c r="AI48" i="2" s="1"/>
  <c r="AI61" i="2" s="1"/>
  <c r="AI77" i="2" s="1"/>
  <c r="AH9" i="2"/>
  <c r="AH48" i="2" s="1"/>
  <c r="AH61" i="2" s="1"/>
  <c r="AH77" i="2" s="1"/>
  <c r="AG9" i="2"/>
  <c r="AG48" i="2" s="1"/>
  <c r="AG61" i="2" s="1"/>
  <c r="AG77" i="2" s="1"/>
  <c r="AF9" i="2"/>
  <c r="AF48" i="2" s="1"/>
  <c r="AF61" i="2" s="1"/>
  <c r="AF77" i="2" s="1"/>
  <c r="AE9" i="2"/>
  <c r="AE48" i="2" s="1"/>
  <c r="AE61" i="2" s="1"/>
  <c r="AE77" i="2" s="1"/>
  <c r="AD9" i="2"/>
  <c r="AD48" i="2" s="1"/>
  <c r="AD61" i="2" s="1"/>
  <c r="AD77" i="2" s="1"/>
  <c r="AC9" i="2"/>
  <c r="AC48" i="2" s="1"/>
  <c r="AC61" i="2" s="1"/>
  <c r="AC77" i="2" s="1"/>
  <c r="AB9" i="2"/>
  <c r="AB48" i="2" s="1"/>
  <c r="AB61" i="2" s="1"/>
  <c r="AB77" i="2" s="1"/>
  <c r="AA9" i="2"/>
  <c r="AA48" i="2" s="1"/>
  <c r="AA61" i="2" s="1"/>
  <c r="AA77" i="2" s="1"/>
  <c r="Z9" i="2"/>
  <c r="Z48" i="2" s="1"/>
  <c r="Z61" i="2" s="1"/>
  <c r="Z77" i="2" s="1"/>
  <c r="Y9" i="2"/>
  <c r="Y48" i="2" s="1"/>
  <c r="Y61" i="2" s="1"/>
  <c r="Y77" i="2" s="1"/>
  <c r="X9" i="2"/>
  <c r="X48" i="2" s="1"/>
  <c r="X61" i="2" s="1"/>
  <c r="X77" i="2" s="1"/>
  <c r="W9" i="2"/>
  <c r="W48" i="2" s="1"/>
  <c r="W61" i="2" s="1"/>
  <c r="W77" i="2" s="1"/>
  <c r="V9" i="2"/>
  <c r="V48" i="2" s="1"/>
  <c r="V61" i="2" s="1"/>
  <c r="V77" i="2" s="1"/>
  <c r="U9" i="2"/>
  <c r="U48" i="2" s="1"/>
  <c r="U61" i="2" s="1"/>
  <c r="U77" i="2" s="1"/>
  <c r="T9" i="2"/>
  <c r="T48" i="2" s="1"/>
  <c r="T61" i="2" s="1"/>
  <c r="T77" i="2" s="1"/>
  <c r="S9" i="2"/>
  <c r="S48" i="2" s="1"/>
  <c r="S61" i="2" s="1"/>
  <c r="S77" i="2" s="1"/>
  <c r="R9" i="2"/>
  <c r="R48" i="2" s="1"/>
  <c r="R61" i="2" s="1"/>
  <c r="R77" i="2" s="1"/>
  <c r="Q9" i="2"/>
  <c r="Q48" i="2" s="1"/>
  <c r="Q61" i="2" s="1"/>
  <c r="Q77" i="2" s="1"/>
  <c r="P9" i="2"/>
  <c r="P48" i="2" s="1"/>
  <c r="P61" i="2" s="1"/>
  <c r="P77" i="2" s="1"/>
  <c r="O9" i="2"/>
  <c r="O48" i="2" s="1"/>
  <c r="O61" i="2" s="1"/>
  <c r="O77" i="2" s="1"/>
  <c r="N9" i="2"/>
  <c r="N48" i="2" s="1"/>
  <c r="N61" i="2" s="1"/>
  <c r="N77" i="2" s="1"/>
  <c r="M9" i="2"/>
  <c r="M48" i="2" s="1"/>
  <c r="M61" i="2" s="1"/>
  <c r="M77" i="2" s="1"/>
  <c r="L9" i="2"/>
  <c r="L48" i="2" s="1"/>
  <c r="L61" i="2" s="1"/>
  <c r="L77" i="2" s="1"/>
  <c r="K9" i="2"/>
  <c r="K48" i="2" s="1"/>
  <c r="K61" i="2" s="1"/>
  <c r="K77" i="2" s="1"/>
  <c r="J9" i="2"/>
  <c r="J48" i="2" s="1"/>
  <c r="J61" i="2" s="1"/>
  <c r="J77" i="2" s="1"/>
  <c r="I9" i="2"/>
  <c r="I48" i="2" s="1"/>
  <c r="I61" i="2" s="1"/>
  <c r="I77" i="2" s="1"/>
  <c r="H9" i="2"/>
  <c r="H48" i="2" s="1"/>
  <c r="H61" i="2" s="1"/>
  <c r="H77" i="2" s="1"/>
  <c r="G9" i="2"/>
  <c r="G48" i="2" s="1"/>
  <c r="G61" i="2" s="1"/>
  <c r="G77" i="2" s="1"/>
  <c r="F9" i="2"/>
  <c r="F48" i="2" s="1"/>
  <c r="F61" i="2" s="1"/>
  <c r="F77" i="2" s="1"/>
  <c r="E9" i="2"/>
  <c r="E48" i="2" s="1"/>
  <c r="E61" i="2" s="1"/>
  <c r="E77" i="2" s="1"/>
  <c r="D9" i="2"/>
  <c r="D48" i="2" s="1"/>
  <c r="D61" i="2" s="1"/>
  <c r="D77" i="2" s="1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BC302" i="1"/>
  <c r="BB302" i="1"/>
  <c r="BA302" i="1"/>
  <c r="AZ302" i="1"/>
  <c r="AY302" i="1"/>
  <c r="AX302" i="1"/>
  <c r="AW302" i="1"/>
  <c r="AV302" i="1"/>
  <c r="AU302" i="1"/>
  <c r="AT302" i="1"/>
  <c r="AS302" i="1"/>
  <c r="AR302" i="1"/>
  <c r="AQ302" i="1"/>
  <c r="AP302" i="1"/>
  <c r="AO302" i="1"/>
  <c r="AN302" i="1"/>
  <c r="AM302" i="1"/>
  <c r="AL302" i="1"/>
  <c r="AK302" i="1"/>
  <c r="AJ302" i="1"/>
  <c r="AI302" i="1"/>
  <c r="AH302" i="1"/>
  <c r="AG302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Q302" i="1"/>
  <c r="P302" i="1"/>
  <c r="O302" i="1"/>
  <c r="N302" i="1"/>
  <c r="M302" i="1"/>
  <c r="L302" i="1"/>
  <c r="K302" i="1"/>
  <c r="J302" i="1"/>
  <c r="I302" i="1"/>
  <c r="H302" i="1"/>
  <c r="G302" i="1"/>
  <c r="F302" i="1"/>
  <c r="E302" i="1"/>
  <c r="D302" i="1"/>
  <c r="CF300" i="1"/>
  <c r="CD300" i="1"/>
  <c r="CD69" i="9" s="1"/>
  <c r="CC300" i="1"/>
  <c r="CC69" i="9" s="1"/>
  <c r="CB300" i="1"/>
  <c r="CB69" i="9" s="1"/>
  <c r="CA300" i="1"/>
  <c r="CA69" i="9" s="1"/>
  <c r="BZ300" i="1"/>
  <c r="BY300" i="1"/>
  <c r="BX300" i="1"/>
  <c r="BW300" i="1"/>
  <c r="BV300" i="1"/>
  <c r="BU300" i="1"/>
  <c r="BT300" i="1"/>
  <c r="BS300" i="1"/>
  <c r="BR300" i="1"/>
  <c r="BQ300" i="1"/>
  <c r="BC300" i="1"/>
  <c r="BB300" i="1"/>
  <c r="BB69" i="9" s="1"/>
  <c r="BA300" i="1"/>
  <c r="BA69" i="9" s="1"/>
  <c r="AZ300" i="1"/>
  <c r="AZ69" i="9" s="1"/>
  <c r="AY300" i="1"/>
  <c r="AX300" i="1"/>
  <c r="AW300" i="1"/>
  <c r="AV300" i="1"/>
  <c r="AU300" i="1"/>
  <c r="AT300" i="1"/>
  <c r="AS300" i="1"/>
  <c r="AR300" i="1"/>
  <c r="AQ300" i="1"/>
  <c r="AO300" i="1"/>
  <c r="AN300" i="1"/>
  <c r="AM300" i="1"/>
  <c r="AL300" i="1"/>
  <c r="AK300" i="1"/>
  <c r="AJ300" i="1"/>
  <c r="AI300" i="1"/>
  <c r="AH300" i="1"/>
  <c r="AG300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T300" i="1"/>
  <c r="S300" i="1"/>
  <c r="R300" i="1"/>
  <c r="Q300" i="1"/>
  <c r="P300" i="1"/>
  <c r="O300" i="1"/>
  <c r="N300" i="1"/>
  <c r="M300" i="1"/>
  <c r="L300" i="1"/>
  <c r="K300" i="1"/>
  <c r="J300" i="1"/>
  <c r="I300" i="1"/>
  <c r="H300" i="1"/>
  <c r="G300" i="1"/>
  <c r="F300" i="1"/>
  <c r="E300" i="1"/>
  <c r="D300" i="1"/>
  <c r="C148" i="1"/>
  <c r="C147" i="1"/>
  <c r="CA141" i="1"/>
  <c r="BZ141" i="1"/>
  <c r="BY141" i="1"/>
  <c r="BX141" i="1"/>
  <c r="BW141" i="1"/>
  <c r="BV141" i="1"/>
  <c r="BU141" i="1"/>
  <c r="BT141" i="1"/>
  <c r="BS141" i="1"/>
  <c r="BR141" i="1"/>
  <c r="BQ141" i="1"/>
  <c r="BA141" i="1"/>
  <c r="BB141" i="1" s="1"/>
  <c r="AW141" i="1"/>
  <c r="AX141" i="1" s="1"/>
  <c r="BA139" i="1"/>
  <c r="AZ139" i="1"/>
  <c r="AY139" i="1"/>
  <c r="CB139" i="1" s="1"/>
  <c r="AX139" i="1"/>
  <c r="AW139" i="1"/>
  <c r="AV139" i="1"/>
  <c r="AU139" i="1"/>
  <c r="CA139" i="1" s="1"/>
  <c r="AT139" i="1"/>
  <c r="AS139" i="1"/>
  <c r="AR139" i="1"/>
  <c r="AQ139" i="1"/>
  <c r="BZ139" i="1" s="1"/>
  <c r="AP139" i="1"/>
  <c r="AO139" i="1"/>
  <c r="AN139" i="1"/>
  <c r="AM139" i="1"/>
  <c r="BY139" i="1" s="1"/>
  <c r="AL139" i="1"/>
  <c r="AK139" i="1"/>
  <c r="AJ139" i="1"/>
  <c r="AI139" i="1"/>
  <c r="BX139" i="1" s="1"/>
  <c r="AH139" i="1"/>
  <c r="AG139" i="1"/>
  <c r="AF139" i="1"/>
  <c r="AE139" i="1"/>
  <c r="BW139" i="1" s="1"/>
  <c r="AD139" i="1"/>
  <c r="AC139" i="1"/>
  <c r="AB139" i="1"/>
  <c r="AA139" i="1"/>
  <c r="BV139" i="1" s="1"/>
  <c r="Z139" i="1"/>
  <c r="Y139" i="1"/>
  <c r="X139" i="1"/>
  <c r="W139" i="1"/>
  <c r="BU139" i="1" s="1"/>
  <c r="V139" i="1"/>
  <c r="U139" i="1"/>
  <c r="T139" i="1"/>
  <c r="S139" i="1"/>
  <c r="BT139" i="1" s="1"/>
  <c r="R139" i="1"/>
  <c r="Q139" i="1"/>
  <c r="P139" i="1"/>
  <c r="O139" i="1"/>
  <c r="BS139" i="1" s="1"/>
  <c r="N139" i="1"/>
  <c r="M139" i="1"/>
  <c r="L139" i="1"/>
  <c r="J139" i="1"/>
  <c r="K139" i="1" s="1"/>
  <c r="BR139" i="1" s="1"/>
  <c r="I139" i="1"/>
  <c r="BA137" i="1"/>
  <c r="AZ137" i="1"/>
  <c r="AY137" i="1"/>
  <c r="AX137" i="1"/>
  <c r="AW137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O137" i="1"/>
  <c r="N137" i="1"/>
  <c r="M137" i="1"/>
  <c r="L137" i="1"/>
  <c r="K137" i="1"/>
  <c r="J137" i="1"/>
  <c r="I137" i="1"/>
  <c r="T136" i="1"/>
  <c r="T78" i="2" s="1"/>
  <c r="T79" i="2" s="1"/>
  <c r="M136" i="1"/>
  <c r="M78" i="2" s="1"/>
  <c r="M79" i="2" s="1"/>
  <c r="L136" i="1"/>
  <c r="L78" i="2" s="1"/>
  <c r="L79" i="2" s="1"/>
  <c r="K136" i="1"/>
  <c r="K78" i="2" s="1"/>
  <c r="K79" i="2" s="1"/>
  <c r="J136" i="1"/>
  <c r="J78" i="2" s="1"/>
  <c r="J83" i="2" s="1"/>
  <c r="I136" i="1"/>
  <c r="I78" i="2" s="1"/>
  <c r="I79" i="2" s="1"/>
  <c r="CB136" i="1"/>
  <c r="CA136" i="1"/>
  <c r="BZ136" i="1"/>
  <c r="BY136" i="1"/>
  <c r="BX136" i="1"/>
  <c r="CB135" i="1"/>
  <c r="CA135" i="1"/>
  <c r="BZ135" i="1"/>
  <c r="BY135" i="1"/>
  <c r="BX135" i="1"/>
  <c r="BW135" i="1"/>
  <c r="BS135" i="1"/>
  <c r="H135" i="1"/>
  <c r="BR135" i="1" s="1"/>
  <c r="G135" i="1"/>
  <c r="F135" i="1"/>
  <c r="E135" i="1"/>
  <c r="D135" i="1"/>
  <c r="BA133" i="1"/>
  <c r="AZ133" i="1"/>
  <c r="AY133" i="1"/>
  <c r="AX133" i="1"/>
  <c r="AW133" i="1"/>
  <c r="AV133" i="1"/>
  <c r="AU133" i="1"/>
  <c r="AT133" i="1"/>
  <c r="AS133" i="1"/>
  <c r="AR133" i="1"/>
  <c r="AQ133" i="1"/>
  <c r="AP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O133" i="1"/>
  <c r="N133" i="1"/>
  <c r="M133" i="1"/>
  <c r="L133" i="1"/>
  <c r="K133" i="1"/>
  <c r="J133" i="1"/>
  <c r="I133" i="1"/>
  <c r="CB132" i="1"/>
  <c r="CB133" i="1" s="1"/>
  <c r="CA132" i="1"/>
  <c r="CA133" i="1" s="1"/>
  <c r="BZ132" i="1"/>
  <c r="BZ133" i="1" s="1"/>
  <c r="BY132" i="1"/>
  <c r="BY133" i="1" s="1"/>
  <c r="BX132" i="1"/>
  <c r="BX133" i="1" s="1"/>
  <c r="BW132" i="1"/>
  <c r="BW133" i="1" s="1"/>
  <c r="BV132" i="1"/>
  <c r="BU132" i="1"/>
  <c r="BU137" i="1" s="1"/>
  <c r="BT132" i="1"/>
  <c r="BS132" i="1"/>
  <c r="BS133" i="1" s="1"/>
  <c r="H132" i="1"/>
  <c r="H139" i="1" s="1"/>
  <c r="G132" i="1"/>
  <c r="G133" i="1" s="1"/>
  <c r="F132" i="1"/>
  <c r="F139" i="1" s="1"/>
  <c r="G139" i="1" s="1"/>
  <c r="BQ139" i="1" s="1"/>
  <c r="E132" i="1"/>
  <c r="E139" i="1" s="1"/>
  <c r="D132" i="1"/>
  <c r="D139" i="1" s="1"/>
  <c r="CB119" i="1"/>
  <c r="CA119" i="1"/>
  <c r="BZ119" i="1"/>
  <c r="BY119" i="1"/>
  <c r="BX119" i="1"/>
  <c r="BW119" i="1"/>
  <c r="BV119" i="1"/>
  <c r="BU119" i="1"/>
  <c r="BT119" i="1"/>
  <c r="BS119" i="1"/>
  <c r="BR119" i="1"/>
  <c r="BQ119" i="1"/>
  <c r="BA118" i="1"/>
  <c r="BA120" i="1" s="1"/>
  <c r="BA109" i="1" s="1"/>
  <c r="AZ118" i="1"/>
  <c r="AY118" i="1"/>
  <c r="AY120" i="1" s="1"/>
  <c r="AY109" i="1" s="1"/>
  <c r="AX118" i="1"/>
  <c r="AX120" i="1" s="1"/>
  <c r="AX109" i="1" s="1"/>
  <c r="AW118" i="1"/>
  <c r="AW120" i="1" s="1"/>
  <c r="AW109" i="1" s="1"/>
  <c r="AV118" i="1"/>
  <c r="AU118" i="1"/>
  <c r="AU120" i="1" s="1"/>
  <c r="AU109" i="1" s="1"/>
  <c r="AT118" i="1"/>
  <c r="AT120" i="1" s="1"/>
  <c r="AT109" i="1" s="1"/>
  <c r="AS118" i="1"/>
  <c r="AS120" i="1" s="1"/>
  <c r="AS109" i="1" s="1"/>
  <c r="AR118" i="1"/>
  <c r="AQ118" i="1"/>
  <c r="AQ120" i="1" s="1"/>
  <c r="AQ109" i="1" s="1"/>
  <c r="AP118" i="1"/>
  <c r="AP120" i="1" s="1"/>
  <c r="AP109" i="1" s="1"/>
  <c r="AO118" i="1"/>
  <c r="AO120" i="1" s="1"/>
  <c r="AO109" i="1" s="1"/>
  <c r="AN118" i="1"/>
  <c r="AM118" i="1"/>
  <c r="AM120" i="1" s="1"/>
  <c r="AM109" i="1" s="1"/>
  <c r="AL118" i="1"/>
  <c r="AL120" i="1" s="1"/>
  <c r="AL109" i="1" s="1"/>
  <c r="AK118" i="1"/>
  <c r="AK120" i="1" s="1"/>
  <c r="AK109" i="1" s="1"/>
  <c r="AJ118" i="1"/>
  <c r="AI118" i="1"/>
  <c r="AI120" i="1" s="1"/>
  <c r="AI109" i="1" s="1"/>
  <c r="AH118" i="1"/>
  <c r="AH120" i="1" s="1"/>
  <c r="AH109" i="1" s="1"/>
  <c r="AG118" i="1"/>
  <c r="AG120" i="1" s="1"/>
  <c r="AG109" i="1" s="1"/>
  <c r="AF118" i="1"/>
  <c r="AE118" i="1"/>
  <c r="AE120" i="1" s="1"/>
  <c r="AE109" i="1" s="1"/>
  <c r="AD118" i="1"/>
  <c r="AD120" i="1" s="1"/>
  <c r="AD109" i="1" s="1"/>
  <c r="AC118" i="1"/>
  <c r="AC120" i="1" s="1"/>
  <c r="AC109" i="1" s="1"/>
  <c r="AB118" i="1"/>
  <c r="AA118" i="1"/>
  <c r="AA120" i="1" s="1"/>
  <c r="AA109" i="1" s="1"/>
  <c r="Z118" i="1"/>
  <c r="Z120" i="1" s="1"/>
  <c r="Z109" i="1" s="1"/>
  <c r="Y118" i="1"/>
  <c r="Y120" i="1" s="1"/>
  <c r="Y109" i="1" s="1"/>
  <c r="X118" i="1"/>
  <c r="W118" i="1"/>
  <c r="W120" i="1" s="1"/>
  <c r="W109" i="1" s="1"/>
  <c r="V118" i="1"/>
  <c r="V120" i="1" s="1"/>
  <c r="V109" i="1" s="1"/>
  <c r="U118" i="1"/>
  <c r="U120" i="1" s="1"/>
  <c r="U109" i="1" s="1"/>
  <c r="T118" i="1"/>
  <c r="S118" i="1"/>
  <c r="S120" i="1" s="1"/>
  <c r="S109" i="1" s="1"/>
  <c r="R118" i="1"/>
  <c r="R120" i="1" s="1"/>
  <c r="R109" i="1" s="1"/>
  <c r="Q118" i="1"/>
  <c r="Q120" i="1" s="1"/>
  <c r="Q109" i="1" s="1"/>
  <c r="P118" i="1"/>
  <c r="O118" i="1"/>
  <c r="O120" i="1" s="1"/>
  <c r="O109" i="1" s="1"/>
  <c r="N118" i="1"/>
  <c r="N120" i="1" s="1"/>
  <c r="N109" i="1" s="1"/>
  <c r="M118" i="1"/>
  <c r="M120" i="1" s="1"/>
  <c r="M109" i="1" s="1"/>
  <c r="L118" i="1"/>
  <c r="K118" i="1"/>
  <c r="K120" i="1" s="1"/>
  <c r="K109" i="1" s="1"/>
  <c r="J118" i="1"/>
  <c r="J120" i="1" s="1"/>
  <c r="J109" i="1" s="1"/>
  <c r="I118" i="1"/>
  <c r="I120" i="1" s="1"/>
  <c r="I109" i="1" s="1"/>
  <c r="H118" i="1"/>
  <c r="G118" i="1"/>
  <c r="G120" i="1" s="1"/>
  <c r="G109" i="1" s="1"/>
  <c r="F118" i="1"/>
  <c r="F120" i="1" s="1"/>
  <c r="F109" i="1" s="1"/>
  <c r="E118" i="1"/>
  <c r="E120" i="1" s="1"/>
  <c r="E109" i="1" s="1"/>
  <c r="D118" i="1"/>
  <c r="BA115" i="1"/>
  <c r="BA116" i="1" s="1"/>
  <c r="AZ115" i="1"/>
  <c r="AZ116" i="1" s="1"/>
  <c r="AY115" i="1"/>
  <c r="AY116" i="1" s="1"/>
  <c r="AX115" i="1"/>
  <c r="AX116" i="1" s="1"/>
  <c r="AW115" i="1"/>
  <c r="AW116" i="1" s="1"/>
  <c r="AV115" i="1"/>
  <c r="AV116" i="1" s="1"/>
  <c r="AU115" i="1"/>
  <c r="AU116" i="1" s="1"/>
  <c r="AT115" i="1"/>
  <c r="AT116" i="1" s="1"/>
  <c r="AS115" i="1"/>
  <c r="AS116" i="1" s="1"/>
  <c r="AR115" i="1"/>
  <c r="AR116" i="1" s="1"/>
  <c r="AQ115" i="1"/>
  <c r="AQ116" i="1" s="1"/>
  <c r="AP115" i="1"/>
  <c r="AP116" i="1" s="1"/>
  <c r="AO115" i="1"/>
  <c r="AO116" i="1" s="1"/>
  <c r="AN115" i="1"/>
  <c r="AN116" i="1" s="1"/>
  <c r="AM115" i="1"/>
  <c r="AM116" i="1" s="1"/>
  <c r="AL115" i="1"/>
  <c r="AL116" i="1" s="1"/>
  <c r="AK115" i="1"/>
  <c r="AK116" i="1" s="1"/>
  <c r="AJ115" i="1"/>
  <c r="AJ116" i="1" s="1"/>
  <c r="AI115" i="1"/>
  <c r="AI116" i="1" s="1"/>
  <c r="AH115" i="1"/>
  <c r="AH116" i="1" s="1"/>
  <c r="AG115" i="1"/>
  <c r="AG116" i="1" s="1"/>
  <c r="AF115" i="1"/>
  <c r="AF116" i="1" s="1"/>
  <c r="AE115" i="1"/>
  <c r="AE116" i="1" s="1"/>
  <c r="AD115" i="1"/>
  <c r="AD116" i="1" s="1"/>
  <c r="AC115" i="1"/>
  <c r="AC116" i="1" s="1"/>
  <c r="AB115" i="1"/>
  <c r="AB116" i="1" s="1"/>
  <c r="AA115" i="1"/>
  <c r="AA116" i="1" s="1"/>
  <c r="Z115" i="1"/>
  <c r="Z116" i="1" s="1"/>
  <c r="Y115" i="1"/>
  <c r="Y116" i="1" s="1"/>
  <c r="X115" i="1"/>
  <c r="X116" i="1" s="1"/>
  <c r="W115" i="1"/>
  <c r="W116" i="1" s="1"/>
  <c r="V115" i="1"/>
  <c r="V116" i="1" s="1"/>
  <c r="U115" i="1"/>
  <c r="U116" i="1" s="1"/>
  <c r="S115" i="1"/>
  <c r="S116" i="1" s="1"/>
  <c r="R115" i="1"/>
  <c r="R116" i="1" s="1"/>
  <c r="Q115" i="1"/>
  <c r="Q116" i="1" s="1"/>
  <c r="P115" i="1"/>
  <c r="P116" i="1" s="1"/>
  <c r="O115" i="1"/>
  <c r="O116" i="1" s="1"/>
  <c r="N115" i="1"/>
  <c r="N116" i="1" s="1"/>
  <c r="M115" i="1"/>
  <c r="M116" i="1" s="1"/>
  <c r="L115" i="1"/>
  <c r="L116" i="1" s="1"/>
  <c r="K115" i="1"/>
  <c r="K116" i="1" s="1"/>
  <c r="J115" i="1"/>
  <c r="J116" i="1" s="1"/>
  <c r="I115" i="1"/>
  <c r="I116" i="1" s="1"/>
  <c r="H115" i="1"/>
  <c r="H116" i="1" s="1"/>
  <c r="G115" i="1"/>
  <c r="G116" i="1" s="1"/>
  <c r="F115" i="1"/>
  <c r="F116" i="1" s="1"/>
  <c r="E115" i="1"/>
  <c r="E116" i="1" s="1"/>
  <c r="D115" i="1"/>
  <c r="D116" i="1" s="1"/>
  <c r="AG108" i="1"/>
  <c r="AF108" i="1"/>
  <c r="AE108" i="1"/>
  <c r="AD108" i="1"/>
  <c r="AC108" i="1"/>
  <c r="AB108" i="1"/>
  <c r="AA108" i="1"/>
  <c r="Z108" i="1"/>
  <c r="V108" i="1"/>
  <c r="U108" i="1"/>
  <c r="T108" i="1"/>
  <c r="S108" i="1"/>
  <c r="R108" i="1"/>
  <c r="Q108" i="1"/>
  <c r="P108" i="1"/>
  <c r="N108" i="1"/>
  <c r="M108" i="1"/>
  <c r="L108" i="1"/>
  <c r="K108" i="1"/>
  <c r="J108" i="1"/>
  <c r="I108" i="1"/>
  <c r="H108" i="1"/>
  <c r="BA103" i="1"/>
  <c r="AZ103" i="1"/>
  <c r="AY103" i="1"/>
  <c r="AX103" i="1"/>
  <c r="AW103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O103" i="1"/>
  <c r="N103" i="1"/>
  <c r="M103" i="1"/>
  <c r="L103" i="1"/>
  <c r="K103" i="1"/>
  <c r="J103" i="1"/>
  <c r="I103" i="1"/>
  <c r="H103" i="1"/>
  <c r="F103" i="1"/>
  <c r="E103" i="1"/>
  <c r="D103" i="1"/>
  <c r="BA101" i="1"/>
  <c r="AZ101" i="1"/>
  <c r="AY101" i="1"/>
  <c r="AX101" i="1"/>
  <c r="AW101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K101" i="1"/>
  <c r="J101" i="1"/>
  <c r="I101" i="1"/>
  <c r="H101" i="1"/>
  <c r="F101" i="1"/>
  <c r="E101" i="1"/>
  <c r="D101" i="1"/>
  <c r="CB100" i="1"/>
  <c r="CA100" i="1"/>
  <c r="BZ100" i="1"/>
  <c r="BY100" i="1"/>
  <c r="BX100" i="1"/>
  <c r="BW100" i="1"/>
  <c r="BV100" i="1"/>
  <c r="BU100" i="1"/>
  <c r="BT100" i="1"/>
  <c r="BS100" i="1"/>
  <c r="BR100" i="1"/>
  <c r="BQ100" i="1"/>
  <c r="CB99" i="1"/>
  <c r="CA99" i="1"/>
  <c r="BZ99" i="1"/>
  <c r="BY99" i="1"/>
  <c r="BX99" i="1"/>
  <c r="BW99" i="1"/>
  <c r="BV99" i="1"/>
  <c r="BU99" i="1"/>
  <c r="BT99" i="1"/>
  <c r="BS99" i="1"/>
  <c r="BR99" i="1"/>
  <c r="BQ99" i="1"/>
  <c r="CA98" i="1"/>
  <c r="BZ98" i="1"/>
  <c r="BY98" i="1"/>
  <c r="BX98" i="1"/>
  <c r="BW98" i="1"/>
  <c r="BV98" i="1"/>
  <c r="BU98" i="1"/>
  <c r="BT98" i="1"/>
  <c r="BS98" i="1"/>
  <c r="BR98" i="1"/>
  <c r="BQ98" i="1"/>
  <c r="CB96" i="1"/>
  <c r="CA96" i="1"/>
  <c r="BZ96" i="1"/>
  <c r="BY96" i="1"/>
  <c r="BX96" i="1"/>
  <c r="BW96" i="1"/>
  <c r="BV96" i="1"/>
  <c r="BU96" i="1"/>
  <c r="BT96" i="1"/>
  <c r="BS96" i="1"/>
  <c r="BR96" i="1"/>
  <c r="G96" i="1"/>
  <c r="G84" i="1"/>
  <c r="BQ84" i="1" s="1"/>
  <c r="G83" i="1"/>
  <c r="CB85" i="1"/>
  <c r="CA85" i="1"/>
  <c r="BZ85" i="1"/>
  <c r="BY85" i="1"/>
  <c r="BX85" i="1"/>
  <c r="BW85" i="1"/>
  <c r="BV85" i="1"/>
  <c r="BU85" i="1"/>
  <c r="BT85" i="1"/>
  <c r="BS85" i="1"/>
  <c r="BR85" i="1"/>
  <c r="BQ85" i="1"/>
  <c r="CB84" i="1"/>
  <c r="CA84" i="1"/>
  <c r="BZ84" i="1"/>
  <c r="BY84" i="1"/>
  <c r="BX84" i="1"/>
  <c r="BW84" i="1"/>
  <c r="BV84" i="1"/>
  <c r="BU84" i="1"/>
  <c r="BT84" i="1"/>
  <c r="BS84" i="1"/>
  <c r="BR84" i="1"/>
  <c r="CB83" i="1"/>
  <c r="CA83" i="1"/>
  <c r="BZ83" i="1"/>
  <c r="BY83" i="1"/>
  <c r="BX83" i="1"/>
  <c r="BW83" i="1"/>
  <c r="BV83" i="1"/>
  <c r="BU83" i="1"/>
  <c r="BT83" i="1"/>
  <c r="BR83" i="1"/>
  <c r="L83" i="1"/>
  <c r="BA82" i="1"/>
  <c r="AZ82" i="1"/>
  <c r="AZ87" i="1" s="1"/>
  <c r="AY82" i="1"/>
  <c r="AX82" i="1"/>
  <c r="AX87" i="1" s="1"/>
  <c r="AW82" i="1"/>
  <c r="AV82" i="1"/>
  <c r="AV87" i="1" s="1"/>
  <c r="AU82" i="1"/>
  <c r="AT82" i="1"/>
  <c r="AT87" i="1" s="1"/>
  <c r="AS82" i="1"/>
  <c r="AR82" i="1"/>
  <c r="AR87" i="1" s="1"/>
  <c r="AQ82" i="1"/>
  <c r="AP82" i="1"/>
  <c r="AP87" i="1" s="1"/>
  <c r="AO82" i="1"/>
  <c r="AN82" i="1"/>
  <c r="AN87" i="1" s="1"/>
  <c r="AM82" i="1"/>
  <c r="AL82" i="1"/>
  <c r="AL87" i="1" s="1"/>
  <c r="AK82" i="1"/>
  <c r="AJ82" i="1"/>
  <c r="AJ87" i="1" s="1"/>
  <c r="AI82" i="1"/>
  <c r="AH82" i="1"/>
  <c r="AH87" i="1" s="1"/>
  <c r="AG82" i="1"/>
  <c r="AF82" i="1"/>
  <c r="AF87" i="1" s="1"/>
  <c r="AE82" i="1"/>
  <c r="AD82" i="1"/>
  <c r="AD87" i="1" s="1"/>
  <c r="AC82" i="1"/>
  <c r="AB82" i="1"/>
  <c r="AB87" i="1" s="1"/>
  <c r="AA82" i="1"/>
  <c r="Z82" i="1"/>
  <c r="Z87" i="1" s="1"/>
  <c r="Y82" i="1"/>
  <c r="X82" i="1"/>
  <c r="X87" i="1" s="1"/>
  <c r="W82" i="1"/>
  <c r="V82" i="1"/>
  <c r="V87" i="1" s="1"/>
  <c r="U82" i="1"/>
  <c r="T82" i="1"/>
  <c r="T87" i="1" s="1"/>
  <c r="S82" i="1"/>
  <c r="R82" i="1"/>
  <c r="R87" i="1" s="1"/>
  <c r="Q82" i="1"/>
  <c r="P82" i="1"/>
  <c r="P87" i="1" s="1"/>
  <c r="O82" i="1"/>
  <c r="N82" i="1"/>
  <c r="N87" i="1" s="1"/>
  <c r="M82" i="1"/>
  <c r="K82" i="1"/>
  <c r="K87" i="1" s="1"/>
  <c r="J82" i="1"/>
  <c r="I82" i="1"/>
  <c r="I87" i="1" s="1"/>
  <c r="H82" i="1"/>
  <c r="F82" i="1"/>
  <c r="F87" i="1" s="1"/>
  <c r="E82" i="1"/>
  <c r="E87" i="1" s="1"/>
  <c r="D82" i="1"/>
  <c r="D87" i="1" s="1"/>
  <c r="O69" i="1"/>
  <c r="N69" i="1"/>
  <c r="M69" i="1"/>
  <c r="L69" i="1"/>
  <c r="K69" i="1"/>
  <c r="J69" i="1"/>
  <c r="I69" i="1"/>
  <c r="H69" i="1"/>
  <c r="G69" i="1"/>
  <c r="F69" i="1"/>
  <c r="E69" i="1"/>
  <c r="D69" i="1"/>
  <c r="CB67" i="1"/>
  <c r="CA67" i="1"/>
  <c r="BZ67" i="1"/>
  <c r="BY67" i="1"/>
  <c r="BX67" i="1"/>
  <c r="BW67" i="1"/>
  <c r="BV67" i="1"/>
  <c r="BU67" i="1"/>
  <c r="BT67" i="1"/>
  <c r="BS67" i="1"/>
  <c r="BR67" i="1"/>
  <c r="BQ67" i="1"/>
  <c r="CB65" i="1"/>
  <c r="CA65" i="1"/>
  <c r="BZ65" i="1"/>
  <c r="BY65" i="1"/>
  <c r="BX65" i="1"/>
  <c r="BW65" i="1"/>
  <c r="BV65" i="1"/>
  <c r="BU65" i="1"/>
  <c r="BT65" i="1"/>
  <c r="BR65" i="1"/>
  <c r="O65" i="1"/>
  <c r="O108" i="1" s="1"/>
  <c r="G65" i="1"/>
  <c r="G108" i="1" s="1"/>
  <c r="F65" i="1"/>
  <c r="F108" i="1" s="1"/>
  <c r="E65" i="1"/>
  <c r="E108" i="1" s="1"/>
  <c r="D65" i="1"/>
  <c r="D108" i="1" s="1"/>
  <c r="CB64" i="1"/>
  <c r="CA64" i="1"/>
  <c r="BZ64" i="1"/>
  <c r="BY64" i="1"/>
  <c r="BX64" i="1"/>
  <c r="BW64" i="1"/>
  <c r="BV64" i="1"/>
  <c r="BU64" i="1"/>
  <c r="BT64" i="1"/>
  <c r="BS64" i="1"/>
  <c r="BR64" i="1"/>
  <c r="BQ64" i="1"/>
  <c r="BA63" i="1"/>
  <c r="BA71" i="1" s="1"/>
  <c r="AZ63" i="1"/>
  <c r="AY63" i="1"/>
  <c r="AY71" i="1" s="1"/>
  <c r="AX63" i="1"/>
  <c r="AW63" i="1"/>
  <c r="AW71" i="1" s="1"/>
  <c r="AV63" i="1"/>
  <c r="AU63" i="1"/>
  <c r="AU71" i="1" s="1"/>
  <c r="AT63" i="1"/>
  <c r="AS63" i="1"/>
  <c r="AS71" i="1" s="1"/>
  <c r="AR63" i="1"/>
  <c r="AQ63" i="1"/>
  <c r="AQ147" i="1" s="1"/>
  <c r="AP63" i="1"/>
  <c r="AO63" i="1"/>
  <c r="AO71" i="1" s="1"/>
  <c r="AN63" i="1"/>
  <c r="AM63" i="1"/>
  <c r="AM71" i="1" s="1"/>
  <c r="AL63" i="1"/>
  <c r="AK63" i="1"/>
  <c r="AK71" i="1" s="1"/>
  <c r="AJ63" i="1"/>
  <c r="AI63" i="1"/>
  <c r="AI71" i="1" s="1"/>
  <c r="AH63" i="1"/>
  <c r="AG63" i="1"/>
  <c r="AG71" i="1" s="1"/>
  <c r="AF63" i="1"/>
  <c r="AE63" i="1"/>
  <c r="AE71" i="1" s="1"/>
  <c r="AD63" i="1"/>
  <c r="AC63" i="1"/>
  <c r="AC71" i="1" s="1"/>
  <c r="AB63" i="1"/>
  <c r="AA63" i="1"/>
  <c r="AA71" i="1" s="1"/>
  <c r="Z63" i="1"/>
  <c r="Y63" i="1"/>
  <c r="Y71" i="1" s="1"/>
  <c r="X63" i="1"/>
  <c r="W63" i="1"/>
  <c r="W71" i="1" s="1"/>
  <c r="V63" i="1"/>
  <c r="U63" i="1"/>
  <c r="U71" i="1" s="1"/>
  <c r="T63" i="1"/>
  <c r="S63" i="1"/>
  <c r="S71" i="1" s="1"/>
  <c r="R63" i="1"/>
  <c r="Q63" i="1"/>
  <c r="Q71" i="1" s="1"/>
  <c r="P63" i="1"/>
  <c r="N63" i="1"/>
  <c r="M63" i="1"/>
  <c r="M71" i="1" s="1"/>
  <c r="L63" i="1"/>
  <c r="K63" i="1"/>
  <c r="K71" i="1" s="1"/>
  <c r="J63" i="1"/>
  <c r="I63" i="1"/>
  <c r="I71" i="1" s="1"/>
  <c r="H63" i="1"/>
  <c r="E63" i="1"/>
  <c r="E71" i="1" s="1"/>
  <c r="AG60" i="1"/>
  <c r="AG61" i="1" s="1"/>
  <c r="AF60" i="1"/>
  <c r="AF61" i="1" s="1"/>
  <c r="AE60" i="1"/>
  <c r="AE61" i="1" s="1"/>
  <c r="AD60" i="1"/>
  <c r="AD61" i="1" s="1"/>
  <c r="AC60" i="1"/>
  <c r="AC61" i="1" s="1"/>
  <c r="AB60" i="1"/>
  <c r="AB61" i="1" s="1"/>
  <c r="AA60" i="1"/>
  <c r="AA61" i="1" s="1"/>
  <c r="Z60" i="1"/>
  <c r="Z61" i="1" s="1"/>
  <c r="V60" i="1"/>
  <c r="V61" i="1" s="1"/>
  <c r="U60" i="1"/>
  <c r="U61" i="1" s="1"/>
  <c r="T60" i="1"/>
  <c r="T61" i="1" s="1"/>
  <c r="S60" i="1"/>
  <c r="S61" i="1" s="1"/>
  <c r="R60" i="1"/>
  <c r="R61" i="1" s="1"/>
  <c r="Q60" i="1"/>
  <c r="Q61" i="1" s="1"/>
  <c r="P60" i="1"/>
  <c r="P61" i="1" s="1"/>
  <c r="O60" i="1"/>
  <c r="O61" i="1" s="1"/>
  <c r="N60" i="1"/>
  <c r="N61" i="1" s="1"/>
  <c r="M60" i="1"/>
  <c r="M61" i="1" s="1"/>
  <c r="L60" i="1"/>
  <c r="L61" i="1" s="1"/>
  <c r="K60" i="1"/>
  <c r="K61" i="1" s="1"/>
  <c r="J60" i="1"/>
  <c r="J61" i="1" s="1"/>
  <c r="I60" i="1"/>
  <c r="I61" i="1" s="1"/>
  <c r="H60" i="1"/>
  <c r="H61" i="1" s="1"/>
  <c r="F60" i="1"/>
  <c r="F61" i="1" s="1"/>
  <c r="E60" i="1"/>
  <c r="E61" i="1" s="1"/>
  <c r="D60" i="1"/>
  <c r="D61" i="1" s="1"/>
  <c r="AG58" i="1"/>
  <c r="AG59" i="1" s="1"/>
  <c r="AF58" i="1"/>
  <c r="AF59" i="1" s="1"/>
  <c r="AE58" i="1"/>
  <c r="AE59" i="1" s="1"/>
  <c r="AD58" i="1"/>
  <c r="AD59" i="1" s="1"/>
  <c r="AC58" i="1"/>
  <c r="AC59" i="1" s="1"/>
  <c r="AB58" i="1"/>
  <c r="AB59" i="1" s="1"/>
  <c r="AA58" i="1"/>
  <c r="AA59" i="1" s="1"/>
  <c r="Z58" i="1"/>
  <c r="Z59" i="1" s="1"/>
  <c r="V58" i="1"/>
  <c r="V59" i="1" s="1"/>
  <c r="U58" i="1"/>
  <c r="U59" i="1" s="1"/>
  <c r="S58" i="1"/>
  <c r="S59" i="1" s="1"/>
  <c r="R58" i="1"/>
  <c r="R59" i="1" s="1"/>
  <c r="Q58" i="1"/>
  <c r="Q59" i="1" s="1"/>
  <c r="P58" i="1"/>
  <c r="P59" i="1" s="1"/>
  <c r="O58" i="1"/>
  <c r="O59" i="1" s="1"/>
  <c r="N58" i="1"/>
  <c r="N59" i="1" s="1"/>
  <c r="M58" i="1"/>
  <c r="M59" i="1" s="1"/>
  <c r="L58" i="1"/>
  <c r="L59" i="1" s="1"/>
  <c r="K58" i="1"/>
  <c r="K59" i="1" s="1"/>
  <c r="J58" i="1"/>
  <c r="J59" i="1" s="1"/>
  <c r="I58" i="1"/>
  <c r="I59" i="1" s="1"/>
  <c r="H58" i="1"/>
  <c r="H59" i="1" s="1"/>
  <c r="F58" i="1"/>
  <c r="F59" i="1" s="1"/>
  <c r="E58" i="1"/>
  <c r="E59" i="1" s="1"/>
  <c r="D58" i="1"/>
  <c r="D59" i="1" s="1"/>
  <c r="BA56" i="1"/>
  <c r="BA60" i="1" s="1"/>
  <c r="AY56" i="1"/>
  <c r="AY60" i="1" s="1"/>
  <c r="AX56" i="1"/>
  <c r="AX60" i="1" s="1"/>
  <c r="AW56" i="1"/>
  <c r="AW60" i="1" s="1"/>
  <c r="AV56" i="1"/>
  <c r="AU56" i="1"/>
  <c r="AU60" i="1" s="1"/>
  <c r="AT56" i="1"/>
  <c r="AT60" i="1" s="1"/>
  <c r="AS56" i="1"/>
  <c r="AS108" i="1" s="1"/>
  <c r="AR56" i="1"/>
  <c r="AR108" i="1" s="1"/>
  <c r="AQ56" i="1"/>
  <c r="AQ60" i="1" s="1"/>
  <c r="AQ61" i="1" s="1"/>
  <c r="AP56" i="1"/>
  <c r="AP60" i="1" s="1"/>
  <c r="AP61" i="1" s="1"/>
  <c r="AO56" i="1"/>
  <c r="AO108" i="1" s="1"/>
  <c r="AN56" i="1"/>
  <c r="AN108" i="1" s="1"/>
  <c r="AM56" i="1"/>
  <c r="AM60" i="1" s="1"/>
  <c r="AM61" i="1" s="1"/>
  <c r="AL56" i="1"/>
  <c r="AL60" i="1" s="1"/>
  <c r="AL61" i="1" s="1"/>
  <c r="AK56" i="1"/>
  <c r="AK60" i="1" s="1"/>
  <c r="AK61" i="1" s="1"/>
  <c r="AJ56" i="1"/>
  <c r="AJ60" i="1" s="1"/>
  <c r="AJ61" i="1" s="1"/>
  <c r="AI56" i="1"/>
  <c r="AI60" i="1" s="1"/>
  <c r="AI61" i="1" s="1"/>
  <c r="AH56" i="1"/>
  <c r="Y56" i="1"/>
  <c r="Y60" i="1" s="1"/>
  <c r="Y61" i="1" s="1"/>
  <c r="X56" i="1"/>
  <c r="X108" i="1" s="1"/>
  <c r="W56" i="1"/>
  <c r="W60" i="1" s="1"/>
  <c r="W61" i="1" s="1"/>
  <c r="T55" i="1"/>
  <c r="T115" i="1" s="1"/>
  <c r="T116" i="1" s="1"/>
  <c r="T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S54" i="1"/>
  <c r="R54" i="1"/>
  <c r="Q54" i="1"/>
  <c r="P54" i="1"/>
  <c r="O54" i="1"/>
  <c r="N54" i="1"/>
  <c r="M54" i="1"/>
  <c r="L54" i="1"/>
  <c r="K54" i="1"/>
  <c r="J54" i="1"/>
  <c r="I54" i="1"/>
  <c r="H54" i="1"/>
  <c r="F54" i="1"/>
  <c r="E54" i="1"/>
  <c r="D54" i="1"/>
  <c r="CB57" i="1"/>
  <c r="CA57" i="1"/>
  <c r="BZ57" i="1"/>
  <c r="BY57" i="1"/>
  <c r="BX57" i="1"/>
  <c r="BW57" i="1"/>
  <c r="BV57" i="1"/>
  <c r="BU57" i="1"/>
  <c r="BT57" i="1"/>
  <c r="BS57" i="1"/>
  <c r="BR57" i="1"/>
  <c r="BQ57" i="1"/>
  <c r="BW56" i="1"/>
  <c r="BT56" i="1"/>
  <c r="BS56" i="1"/>
  <c r="BR56" i="1"/>
  <c r="BQ56" i="1"/>
  <c r="CB55" i="1"/>
  <c r="CA55" i="1"/>
  <c r="BZ55" i="1"/>
  <c r="BY55" i="1"/>
  <c r="BX55" i="1"/>
  <c r="BW55" i="1"/>
  <c r="BV55" i="1"/>
  <c r="BT55" i="1"/>
  <c r="BS55" i="1"/>
  <c r="BR55" i="1"/>
  <c r="BQ55" i="1"/>
  <c r="CB53" i="1"/>
  <c r="CA53" i="1"/>
  <c r="BZ53" i="1"/>
  <c r="BY53" i="1"/>
  <c r="BX53" i="1"/>
  <c r="BW53" i="1"/>
  <c r="BV53" i="1"/>
  <c r="BU53" i="1"/>
  <c r="BT53" i="1"/>
  <c r="BS53" i="1"/>
  <c r="BR53" i="1"/>
  <c r="G53" i="1"/>
  <c r="G60" i="1" s="1"/>
  <c r="G61" i="1" s="1"/>
  <c r="AW50" i="1"/>
  <c r="AV50" i="1"/>
  <c r="AU50" i="1"/>
  <c r="AT50" i="1"/>
  <c r="AS50" i="1"/>
  <c r="AR50" i="1"/>
  <c r="AQ50" i="1"/>
  <c r="AQ51" i="1" s="1"/>
  <c r="AP50" i="1"/>
  <c r="AP51" i="1" s="1"/>
  <c r="AO50" i="1"/>
  <c r="AO51" i="1" s="1"/>
  <c r="AN50" i="1"/>
  <c r="AN51" i="1" s="1"/>
  <c r="AM50" i="1"/>
  <c r="AM51" i="1" s="1"/>
  <c r="AH50" i="1"/>
  <c r="AH51" i="1" s="1"/>
  <c r="AG50" i="1"/>
  <c r="AG51" i="1" s="1"/>
  <c r="AF50" i="1"/>
  <c r="AF51" i="1" s="1"/>
  <c r="AE50" i="1"/>
  <c r="AE51" i="1" s="1"/>
  <c r="AD50" i="1"/>
  <c r="AD51" i="1" s="1"/>
  <c r="AC50" i="1"/>
  <c r="AC51" i="1" s="1"/>
  <c r="AB50" i="1"/>
  <c r="AB51" i="1" s="1"/>
  <c r="AA50" i="1"/>
  <c r="AA51" i="1" s="1"/>
  <c r="Z50" i="1"/>
  <c r="Z51" i="1" s="1"/>
  <c r="X50" i="1"/>
  <c r="X51" i="1" s="1"/>
  <c r="V50" i="1"/>
  <c r="V51" i="1" s="1"/>
  <c r="U50" i="1"/>
  <c r="U51" i="1" s="1"/>
  <c r="T50" i="1"/>
  <c r="T51" i="1" s="1"/>
  <c r="S50" i="1"/>
  <c r="S51" i="1" s="1"/>
  <c r="R50" i="1"/>
  <c r="R51" i="1" s="1"/>
  <c r="Q50" i="1"/>
  <c r="Q51" i="1" s="1"/>
  <c r="P50" i="1"/>
  <c r="P51" i="1" s="1"/>
  <c r="O50" i="1"/>
  <c r="O51" i="1" s="1"/>
  <c r="N50" i="1"/>
  <c r="N51" i="1" s="1"/>
  <c r="M50" i="1"/>
  <c r="M51" i="1" s="1"/>
  <c r="L50" i="1"/>
  <c r="L51" i="1" s="1"/>
  <c r="K50" i="1"/>
  <c r="K51" i="1" s="1"/>
  <c r="J50" i="1"/>
  <c r="J51" i="1" s="1"/>
  <c r="I50" i="1"/>
  <c r="I51" i="1" s="1"/>
  <c r="H50" i="1"/>
  <c r="H51" i="1" s="1"/>
  <c r="F50" i="1"/>
  <c r="F51" i="1" s="1"/>
  <c r="E50" i="1"/>
  <c r="E51" i="1" s="1"/>
  <c r="D50" i="1"/>
  <c r="D51" i="1" s="1"/>
  <c r="AW48" i="1"/>
  <c r="AV48" i="1"/>
  <c r="AU48" i="1"/>
  <c r="AT48" i="1"/>
  <c r="AS48" i="1"/>
  <c r="AR48" i="1"/>
  <c r="AQ48" i="1"/>
  <c r="AQ49" i="1" s="1"/>
  <c r="AP48" i="1"/>
  <c r="AP49" i="1" s="1"/>
  <c r="AO48" i="1"/>
  <c r="AO49" i="1" s="1"/>
  <c r="AN48" i="1"/>
  <c r="AN49" i="1" s="1"/>
  <c r="AM48" i="1"/>
  <c r="AM49" i="1" s="1"/>
  <c r="AH48" i="1"/>
  <c r="AH49" i="1" s="1"/>
  <c r="AG48" i="1"/>
  <c r="AG49" i="1" s="1"/>
  <c r="AF48" i="1"/>
  <c r="AF49" i="1" s="1"/>
  <c r="AE48" i="1"/>
  <c r="AE49" i="1" s="1"/>
  <c r="AD48" i="1"/>
  <c r="AD49" i="1" s="1"/>
  <c r="AC48" i="1"/>
  <c r="AC49" i="1" s="1"/>
  <c r="AB48" i="1"/>
  <c r="AB49" i="1" s="1"/>
  <c r="AA48" i="1"/>
  <c r="AA49" i="1" s="1"/>
  <c r="Z48" i="1"/>
  <c r="Z49" i="1" s="1"/>
  <c r="X48" i="1"/>
  <c r="X49" i="1" s="1"/>
  <c r="V48" i="1"/>
  <c r="V49" i="1" s="1"/>
  <c r="U48" i="1"/>
  <c r="U49" i="1" s="1"/>
  <c r="T48" i="1"/>
  <c r="T49" i="1" s="1"/>
  <c r="S48" i="1"/>
  <c r="S49" i="1" s="1"/>
  <c r="R48" i="1"/>
  <c r="R49" i="1" s="1"/>
  <c r="Q48" i="1"/>
  <c r="Q49" i="1" s="1"/>
  <c r="P48" i="1"/>
  <c r="P49" i="1" s="1"/>
  <c r="O48" i="1"/>
  <c r="O49" i="1" s="1"/>
  <c r="N48" i="1"/>
  <c r="N49" i="1" s="1"/>
  <c r="M48" i="1"/>
  <c r="M49" i="1" s="1"/>
  <c r="L48" i="1"/>
  <c r="L49" i="1" s="1"/>
  <c r="K48" i="1"/>
  <c r="K49" i="1" s="1"/>
  <c r="J48" i="1"/>
  <c r="J49" i="1" s="1"/>
  <c r="I48" i="1"/>
  <c r="I49" i="1" s="1"/>
  <c r="H48" i="1"/>
  <c r="H49" i="1" s="1"/>
  <c r="F48" i="1"/>
  <c r="F49" i="1" s="1"/>
  <c r="E48" i="1"/>
  <c r="E49" i="1" s="1"/>
  <c r="D48" i="1"/>
  <c r="D49" i="1" s="1"/>
  <c r="BA46" i="1"/>
  <c r="BA50" i="1" s="1"/>
  <c r="AZ46" i="1"/>
  <c r="AY46" i="1"/>
  <c r="AY50" i="1" s="1"/>
  <c r="AX46" i="1"/>
  <c r="AX50" i="1" s="1"/>
  <c r="AL46" i="1"/>
  <c r="AL50" i="1" s="1"/>
  <c r="AL51" i="1" s="1"/>
  <c r="AK46" i="1"/>
  <c r="AJ46" i="1"/>
  <c r="AJ48" i="1" s="1"/>
  <c r="AJ49" i="1" s="1"/>
  <c r="AI46" i="1"/>
  <c r="BX46" i="1" s="1"/>
  <c r="Y46" i="1"/>
  <c r="Y50" i="1" s="1"/>
  <c r="Y51" i="1" s="1"/>
  <c r="W46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CA46" i="1"/>
  <c r="BZ46" i="1"/>
  <c r="BW46" i="1"/>
  <c r="BT46" i="1"/>
  <c r="BS46" i="1"/>
  <c r="BR46" i="1"/>
  <c r="BQ46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F44" i="1"/>
  <c r="E44" i="1"/>
  <c r="D44" i="1"/>
  <c r="CB43" i="1"/>
  <c r="CA43" i="1"/>
  <c r="BZ43" i="1"/>
  <c r="BY43" i="1"/>
  <c r="BX43" i="1"/>
  <c r="BW43" i="1"/>
  <c r="BV43" i="1"/>
  <c r="BU43" i="1"/>
  <c r="BT43" i="1"/>
  <c r="BS43" i="1"/>
  <c r="BR43" i="1"/>
  <c r="G43" i="1"/>
  <c r="G44" i="1" s="1"/>
  <c r="AV40" i="1"/>
  <c r="AU40" i="1"/>
  <c r="AT40" i="1"/>
  <c r="AS40" i="1"/>
  <c r="AR40" i="1"/>
  <c r="AO40" i="1"/>
  <c r="AO41" i="1" s="1"/>
  <c r="AN40" i="1"/>
  <c r="AG40" i="1"/>
  <c r="AG41" i="1" s="1"/>
  <c r="AF40" i="1"/>
  <c r="AF41" i="1" s="1"/>
  <c r="AE40" i="1"/>
  <c r="AE41" i="1" s="1"/>
  <c r="AD40" i="1"/>
  <c r="AC40" i="1"/>
  <c r="AC41" i="1" s="1"/>
  <c r="AB40" i="1"/>
  <c r="AB41" i="1" s="1"/>
  <c r="AA40" i="1"/>
  <c r="AA41" i="1" s="1"/>
  <c r="Z40" i="1"/>
  <c r="X40" i="1"/>
  <c r="V40" i="1"/>
  <c r="U40" i="1"/>
  <c r="U41" i="1" s="1"/>
  <c r="T40" i="1"/>
  <c r="T41" i="1" s="1"/>
  <c r="S40" i="1"/>
  <c r="S41" i="1" s="1"/>
  <c r="R40" i="1"/>
  <c r="Q40" i="1"/>
  <c r="Q41" i="1" s="1"/>
  <c r="P40" i="1"/>
  <c r="P41" i="1" s="1"/>
  <c r="O40" i="1"/>
  <c r="O41" i="1" s="1"/>
  <c r="N40" i="1"/>
  <c r="M40" i="1"/>
  <c r="M41" i="1" s="1"/>
  <c r="L40" i="1"/>
  <c r="L41" i="1" s="1"/>
  <c r="K40" i="1"/>
  <c r="K41" i="1" s="1"/>
  <c r="J40" i="1"/>
  <c r="I40" i="1"/>
  <c r="I41" i="1" s="1"/>
  <c r="H40" i="1"/>
  <c r="H41" i="1" s="1"/>
  <c r="F40" i="1"/>
  <c r="E40" i="1"/>
  <c r="E41" i="1" s="1"/>
  <c r="D40" i="1"/>
  <c r="AV38" i="1"/>
  <c r="AU38" i="1"/>
  <c r="AT38" i="1"/>
  <c r="AS38" i="1"/>
  <c r="AR38" i="1"/>
  <c r="AO38" i="1"/>
  <c r="AN38" i="1"/>
  <c r="AG38" i="1"/>
  <c r="AF38" i="1"/>
  <c r="AE38" i="1"/>
  <c r="AD38" i="1"/>
  <c r="AC38" i="1"/>
  <c r="AB38" i="1"/>
  <c r="AA38" i="1"/>
  <c r="Z38" i="1"/>
  <c r="X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F38" i="1"/>
  <c r="E38" i="1"/>
  <c r="D38" i="1"/>
  <c r="BA36" i="1"/>
  <c r="AZ36" i="1"/>
  <c r="AY36" i="1"/>
  <c r="AY40" i="1" s="1"/>
  <c r="AX36" i="1"/>
  <c r="AX40" i="1" s="1"/>
  <c r="AW36" i="1"/>
  <c r="AW40" i="1" s="1"/>
  <c r="AQ36" i="1"/>
  <c r="AQ38" i="1" s="1"/>
  <c r="AP36" i="1"/>
  <c r="AP108" i="1" s="1"/>
  <c r="AM36" i="1"/>
  <c r="AM38" i="1" s="1"/>
  <c r="AL36" i="1"/>
  <c r="AL108" i="1" s="1"/>
  <c r="AK36" i="1"/>
  <c r="AK38" i="1" s="1"/>
  <c r="AJ36" i="1"/>
  <c r="AJ108" i="1" s="1"/>
  <c r="AI36" i="1"/>
  <c r="AI38" i="1" s="1"/>
  <c r="AH36" i="1"/>
  <c r="AH108" i="1" s="1"/>
  <c r="Y36" i="1"/>
  <c r="Y38" i="1" s="1"/>
  <c r="W36" i="1"/>
  <c r="BU36" i="1" s="1"/>
  <c r="CB37" i="1"/>
  <c r="CA37" i="1"/>
  <c r="BZ37" i="1"/>
  <c r="BY37" i="1"/>
  <c r="BX37" i="1"/>
  <c r="BW37" i="1"/>
  <c r="BV37" i="1"/>
  <c r="BU37" i="1"/>
  <c r="BT37" i="1"/>
  <c r="BS37" i="1"/>
  <c r="BR37" i="1"/>
  <c r="BQ37" i="1"/>
  <c r="CA36" i="1"/>
  <c r="BW36" i="1"/>
  <c r="BV36" i="1"/>
  <c r="BT36" i="1"/>
  <c r="BS36" i="1"/>
  <c r="BR36" i="1"/>
  <c r="BQ36" i="1"/>
  <c r="CB35" i="1"/>
  <c r="CA35" i="1"/>
  <c r="BZ35" i="1"/>
  <c r="BY35" i="1"/>
  <c r="BX35" i="1"/>
  <c r="BW35" i="1"/>
  <c r="BV35" i="1"/>
  <c r="BU35" i="1"/>
  <c r="BT35" i="1"/>
  <c r="BS35" i="1"/>
  <c r="BR35" i="1"/>
  <c r="BQ35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F34" i="1"/>
  <c r="E34" i="1"/>
  <c r="D34" i="1"/>
  <c r="CB33" i="1"/>
  <c r="CA33" i="1"/>
  <c r="BZ33" i="1"/>
  <c r="BY33" i="1"/>
  <c r="BX33" i="1"/>
  <c r="BW33" i="1"/>
  <c r="BV33" i="1"/>
  <c r="BU33" i="1"/>
  <c r="BT33" i="1"/>
  <c r="BS33" i="1"/>
  <c r="BR33" i="1"/>
  <c r="G33" i="1"/>
  <c r="G38" i="1" s="1"/>
  <c r="BA26" i="1"/>
  <c r="AZ26" i="1"/>
  <c r="AY26" i="1"/>
  <c r="AX26" i="1"/>
  <c r="AW26" i="1"/>
  <c r="AV26" i="1"/>
  <c r="AU26" i="1"/>
  <c r="AT26" i="1"/>
  <c r="AS26" i="1"/>
  <c r="AR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BA23" i="1"/>
  <c r="AZ23" i="1"/>
  <c r="AS23" i="1"/>
  <c r="AR23" i="1"/>
  <c r="AP23" i="1"/>
  <c r="AP24" i="1" s="1"/>
  <c r="AO23" i="1"/>
  <c r="AO24" i="1" s="1"/>
  <c r="AN23" i="1"/>
  <c r="AN24" i="1" s="1"/>
  <c r="AM23" i="1"/>
  <c r="AM24" i="1" s="1"/>
  <c r="AL23" i="1"/>
  <c r="AL24" i="1" s="1"/>
  <c r="AK23" i="1"/>
  <c r="AK24" i="1" s="1"/>
  <c r="AJ23" i="1"/>
  <c r="AJ24" i="1" s="1"/>
  <c r="AI23" i="1"/>
  <c r="AI24" i="1" s="1"/>
  <c r="AH23" i="1"/>
  <c r="AH24" i="1" s="1"/>
  <c r="AG23" i="1"/>
  <c r="AG24" i="1" s="1"/>
  <c r="AF23" i="1"/>
  <c r="AF24" i="1" s="1"/>
  <c r="AE23" i="1"/>
  <c r="AE24" i="1" s="1"/>
  <c r="AD23" i="1"/>
  <c r="AD24" i="1" s="1"/>
  <c r="AC23" i="1"/>
  <c r="AC24" i="1" s="1"/>
  <c r="AB23" i="1"/>
  <c r="AB24" i="1" s="1"/>
  <c r="AA23" i="1"/>
  <c r="AA24" i="1" s="1"/>
  <c r="Z23" i="1"/>
  <c r="Z24" i="1" s="1"/>
  <c r="Y23" i="1"/>
  <c r="Y24" i="1" s="1"/>
  <c r="X23" i="1"/>
  <c r="X24" i="1" s="1"/>
  <c r="W23" i="1"/>
  <c r="W24" i="1" s="1"/>
  <c r="V23" i="1"/>
  <c r="V24" i="1" s="1"/>
  <c r="U23" i="1"/>
  <c r="U24" i="1" s="1"/>
  <c r="T23" i="1"/>
  <c r="T24" i="1" s="1"/>
  <c r="S23" i="1"/>
  <c r="S24" i="1" s="1"/>
  <c r="R23" i="1"/>
  <c r="R24" i="1" s="1"/>
  <c r="Q23" i="1"/>
  <c r="Q24" i="1" s="1"/>
  <c r="P23" i="1"/>
  <c r="P24" i="1" s="1"/>
  <c r="O23" i="1"/>
  <c r="O24" i="1" s="1"/>
  <c r="N23" i="1"/>
  <c r="N24" i="1" s="1"/>
  <c r="M23" i="1"/>
  <c r="M24" i="1" s="1"/>
  <c r="L23" i="1"/>
  <c r="L24" i="1" s="1"/>
  <c r="K23" i="1"/>
  <c r="K24" i="1" s="1"/>
  <c r="J23" i="1"/>
  <c r="J24" i="1" s="1"/>
  <c r="I23" i="1"/>
  <c r="I24" i="1" s="1"/>
  <c r="H23" i="1"/>
  <c r="H24" i="1" s="1"/>
  <c r="G23" i="1"/>
  <c r="G24" i="1" s="1"/>
  <c r="F23" i="1"/>
  <c r="F24" i="1" s="1"/>
  <c r="E23" i="1"/>
  <c r="E24" i="1" s="1"/>
  <c r="D23" i="1"/>
  <c r="D24" i="1" s="1"/>
  <c r="BA21" i="1"/>
  <c r="AZ21" i="1"/>
  <c r="AS21" i="1"/>
  <c r="AR21" i="1"/>
  <c r="AP21" i="1"/>
  <c r="AP22" i="1" s="1"/>
  <c r="AO21" i="1"/>
  <c r="AO22" i="1" s="1"/>
  <c r="AN21" i="1"/>
  <c r="AN22" i="1" s="1"/>
  <c r="AM21" i="1"/>
  <c r="AM22" i="1" s="1"/>
  <c r="AL21" i="1"/>
  <c r="AL22" i="1" s="1"/>
  <c r="AK21" i="1"/>
  <c r="AK22" i="1" s="1"/>
  <c r="AJ21" i="1"/>
  <c r="AJ22" i="1" s="1"/>
  <c r="AI21" i="1"/>
  <c r="AI22" i="1" s="1"/>
  <c r="AH21" i="1"/>
  <c r="AH22" i="1" s="1"/>
  <c r="AG21" i="1"/>
  <c r="AG22" i="1" s="1"/>
  <c r="AF21" i="1"/>
  <c r="AF22" i="1" s="1"/>
  <c r="AE21" i="1"/>
  <c r="AE22" i="1" s="1"/>
  <c r="AD21" i="1"/>
  <c r="AD22" i="1" s="1"/>
  <c r="AC21" i="1"/>
  <c r="AC22" i="1" s="1"/>
  <c r="AB21" i="1"/>
  <c r="AB22" i="1" s="1"/>
  <c r="AA21" i="1"/>
  <c r="AA22" i="1" s="1"/>
  <c r="Z21" i="1"/>
  <c r="Z22" i="1" s="1"/>
  <c r="Y21" i="1"/>
  <c r="Y22" i="1" s="1"/>
  <c r="X21" i="1"/>
  <c r="X22" i="1" s="1"/>
  <c r="W21" i="1"/>
  <c r="W22" i="1" s="1"/>
  <c r="V21" i="1"/>
  <c r="V22" i="1" s="1"/>
  <c r="U21" i="1"/>
  <c r="U22" i="1" s="1"/>
  <c r="T21" i="1"/>
  <c r="T22" i="1" s="1"/>
  <c r="S21" i="1"/>
  <c r="S22" i="1" s="1"/>
  <c r="R21" i="1"/>
  <c r="R22" i="1" s="1"/>
  <c r="Q21" i="1"/>
  <c r="Q22" i="1" s="1"/>
  <c r="P21" i="1"/>
  <c r="P22" i="1" s="1"/>
  <c r="O21" i="1"/>
  <c r="O22" i="1" s="1"/>
  <c r="N21" i="1"/>
  <c r="N22" i="1" s="1"/>
  <c r="M21" i="1"/>
  <c r="M22" i="1" s="1"/>
  <c r="L21" i="1"/>
  <c r="L22" i="1" s="1"/>
  <c r="K21" i="1"/>
  <c r="K22" i="1" s="1"/>
  <c r="J21" i="1"/>
  <c r="J22" i="1" s="1"/>
  <c r="I21" i="1"/>
  <c r="I22" i="1" s="1"/>
  <c r="H21" i="1"/>
  <c r="H22" i="1" s="1"/>
  <c r="G21" i="1"/>
  <c r="G22" i="1" s="1"/>
  <c r="F21" i="1"/>
  <c r="F22" i="1" s="1"/>
  <c r="E21" i="1"/>
  <c r="E22" i="1" s="1"/>
  <c r="D21" i="1"/>
  <c r="D22" i="1" s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Z19" i="1"/>
  <c r="BY19" i="1"/>
  <c r="BX19" i="1"/>
  <c r="BW19" i="1"/>
  <c r="BV19" i="1"/>
  <c r="BU19" i="1"/>
  <c r="BT19" i="1"/>
  <c r="BS19" i="1"/>
  <c r="BR19" i="1"/>
  <c r="BQ19" i="1"/>
  <c r="AY19" i="1"/>
  <c r="AX19" i="1"/>
  <c r="AW19" i="1"/>
  <c r="AV19" i="1"/>
  <c r="AV108" i="1" s="1"/>
  <c r="AU19" i="1"/>
  <c r="AT19" i="1"/>
  <c r="AT108" i="1" s="1"/>
  <c r="BA17" i="1"/>
  <c r="AZ17" i="1"/>
  <c r="AY17" i="1"/>
  <c r="AX17" i="1"/>
  <c r="AW17" i="1"/>
  <c r="AV17" i="1"/>
  <c r="AU17" i="1"/>
  <c r="AT17" i="1"/>
  <c r="AS17" i="1"/>
  <c r="AR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CB16" i="1"/>
  <c r="CA16" i="1"/>
  <c r="BY16" i="1"/>
  <c r="BX16" i="1"/>
  <c r="BW16" i="1"/>
  <c r="BV16" i="1"/>
  <c r="BU16" i="1"/>
  <c r="BT16" i="1"/>
  <c r="BS16" i="1"/>
  <c r="BS57" i="2" s="1"/>
  <c r="BR16" i="1"/>
  <c r="BQ16" i="1"/>
  <c r="AQ16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BZ12" i="1"/>
  <c r="BY12" i="1"/>
  <c r="BX12" i="1"/>
  <c r="BW12" i="1"/>
  <c r="BV12" i="1"/>
  <c r="BU12" i="1"/>
  <c r="BT12" i="1"/>
  <c r="BS12" i="1"/>
  <c r="BR12" i="1"/>
  <c r="BQ12" i="1"/>
  <c r="BA12" i="1"/>
  <c r="AZ12" i="1"/>
  <c r="AY12" i="1"/>
  <c r="AY38" i="9" s="1"/>
  <c r="AX12" i="1"/>
  <c r="AX38" i="9" s="1"/>
  <c r="AW12" i="1"/>
  <c r="AW38" i="9" s="1"/>
  <c r="AV12" i="1"/>
  <c r="AU12" i="1"/>
  <c r="AU38" i="9" s="1"/>
  <c r="AT12" i="1"/>
  <c r="AT38" i="9" s="1"/>
  <c r="AS12" i="1"/>
  <c r="AR12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D120" i="1" l="1"/>
  <c r="D109" i="1" s="1"/>
  <c r="BQ118" i="1"/>
  <c r="H120" i="1"/>
  <c r="H109" i="1" s="1"/>
  <c r="BR118" i="1"/>
  <c r="BR120" i="1" s="1"/>
  <c r="BR109" i="1" s="1"/>
  <c r="L120" i="1"/>
  <c r="L109" i="1" s="1"/>
  <c r="BS118" i="1"/>
  <c r="P120" i="1"/>
  <c r="P109" i="1" s="1"/>
  <c r="BT118" i="1"/>
  <c r="BT120" i="1" s="1"/>
  <c r="BT109" i="1" s="1"/>
  <c r="T120" i="1"/>
  <c r="T109" i="1" s="1"/>
  <c r="BU118" i="1"/>
  <c r="X120" i="1"/>
  <c r="X109" i="1" s="1"/>
  <c r="BV118" i="1"/>
  <c r="AB120" i="1"/>
  <c r="AB109" i="1" s="1"/>
  <c r="BW118" i="1"/>
  <c r="AF120" i="1"/>
  <c r="AF109" i="1" s="1"/>
  <c r="BX118" i="1"/>
  <c r="BX120" i="1" s="1"/>
  <c r="BX109" i="1" s="1"/>
  <c r="AJ120" i="1"/>
  <c r="AJ109" i="1" s="1"/>
  <c r="BY118" i="1"/>
  <c r="AN120" i="1"/>
  <c r="AN109" i="1" s="1"/>
  <c r="BZ118" i="1"/>
  <c r="BZ120" i="1" s="1"/>
  <c r="BZ109" i="1" s="1"/>
  <c r="AR120" i="1"/>
  <c r="AR109" i="1" s="1"/>
  <c r="CA118" i="1"/>
  <c r="AV120" i="1"/>
  <c r="AV109" i="1" s="1"/>
  <c r="CB118" i="1"/>
  <c r="AZ120" i="1"/>
  <c r="AZ109" i="1" s="1"/>
  <c r="CC118" i="1"/>
  <c r="CC120" i="1" s="1"/>
  <c r="CC109" i="1" s="1"/>
  <c r="M53" i="2"/>
  <c r="AS53" i="2"/>
  <c r="AA54" i="2"/>
  <c r="AI54" i="2"/>
  <c r="AQ54" i="2"/>
  <c r="BV54" i="9"/>
  <c r="AP29" i="9"/>
  <c r="AP10" i="9"/>
  <c r="AP12" i="9" s="1"/>
  <c r="AL25" i="9"/>
  <c r="AK10" i="9"/>
  <c r="AQ12" i="9"/>
  <c r="BW103" i="1"/>
  <c r="BS103" i="1"/>
  <c r="CA103" i="1"/>
  <c r="BU103" i="1"/>
  <c r="BY103" i="1"/>
  <c r="AQ148" i="1"/>
  <c r="AO19" i="9"/>
  <c r="AO14" i="9"/>
  <c r="BV53" i="9"/>
  <c r="BV55" i="9"/>
  <c r="BW57" i="9"/>
  <c r="BV57" i="9"/>
  <c r="BW53" i="9"/>
  <c r="BW55" i="9"/>
  <c r="BW58" i="9"/>
  <c r="AE22" i="9"/>
  <c r="CF69" i="9"/>
  <c r="CF302" i="3"/>
  <c r="CE63" i="2"/>
  <c r="BL63" i="2"/>
  <c r="AL51" i="2"/>
  <c r="AL50" i="2" s="1"/>
  <c r="AE43" i="2"/>
  <c r="E54" i="2"/>
  <c r="K54" i="2"/>
  <c r="O54" i="2"/>
  <c r="S54" i="2"/>
  <c r="U54" i="2"/>
  <c r="Y54" i="2"/>
  <c r="AC54" i="2"/>
  <c r="AG54" i="2"/>
  <c r="AK54" i="2"/>
  <c r="AJ54" i="2"/>
  <c r="L54" i="2"/>
  <c r="AB54" i="2"/>
  <c r="AR54" i="2"/>
  <c r="E87" i="2"/>
  <c r="I87" i="2"/>
  <c r="M87" i="2"/>
  <c r="Q87" i="2"/>
  <c r="U87" i="2"/>
  <c r="Y87" i="2"/>
  <c r="AC87" i="2"/>
  <c r="AG87" i="2"/>
  <c r="AK87" i="2"/>
  <c r="AO87" i="2"/>
  <c r="H54" i="2"/>
  <c r="P54" i="2"/>
  <c r="X54" i="2"/>
  <c r="AF54" i="2"/>
  <c r="AN54" i="2"/>
  <c r="AW54" i="2"/>
  <c r="V51" i="2"/>
  <c r="V50" i="2" s="1"/>
  <c r="W22" i="9"/>
  <c r="AA17" i="9"/>
  <c r="AM22" i="9"/>
  <c r="F51" i="2"/>
  <c r="F50" i="2" s="1"/>
  <c r="AI17" i="9"/>
  <c r="CC46" i="1"/>
  <c r="CC50" i="1" s="1"/>
  <c r="G63" i="1"/>
  <c r="G147" i="1" s="1"/>
  <c r="AH36" i="3"/>
  <c r="BX54" i="9"/>
  <c r="CB25" i="3"/>
  <c r="BA36" i="3"/>
  <c r="BC32" i="3"/>
  <c r="M35" i="3"/>
  <c r="N35" i="3" s="1"/>
  <c r="O35" i="3" s="1"/>
  <c r="AS19" i="9"/>
  <c r="BX21" i="9"/>
  <c r="AR21" i="9"/>
  <c r="AZ36" i="3"/>
  <c r="BC35" i="3"/>
  <c r="AW108" i="1"/>
  <c r="BV46" i="1"/>
  <c r="BV50" i="1" s="1"/>
  <c r="BV51" i="1" s="1"/>
  <c r="CB46" i="1"/>
  <c r="CB50" i="1" s="1"/>
  <c r="G54" i="2"/>
  <c r="BX45" i="3"/>
  <c r="BX58" i="9"/>
  <c r="Z34" i="3"/>
  <c r="Z58" i="3" s="1"/>
  <c r="Z59" i="3" s="1"/>
  <c r="BA23" i="2"/>
  <c r="BA80" i="2" s="1"/>
  <c r="BA81" i="2" s="1"/>
  <c r="K75" i="1"/>
  <c r="K89" i="1" s="1"/>
  <c r="N51" i="2"/>
  <c r="N50" i="2" s="1"/>
  <c r="AD51" i="2"/>
  <c r="AD50" i="2" s="1"/>
  <c r="Z52" i="2"/>
  <c r="AQ17" i="9"/>
  <c r="W17" i="9"/>
  <c r="AE17" i="9"/>
  <c r="AM17" i="9"/>
  <c r="AA22" i="9"/>
  <c r="AD34" i="3"/>
  <c r="AD58" i="3" s="1"/>
  <c r="AD59" i="3" s="1"/>
  <c r="BT67" i="2"/>
  <c r="BX67" i="2"/>
  <c r="BX71" i="2" s="1"/>
  <c r="H72" i="1"/>
  <c r="L72" i="1"/>
  <c r="BU63" i="1"/>
  <c r="BU68" i="1" s="1"/>
  <c r="BR82" i="1"/>
  <c r="BR86" i="1" s="1"/>
  <c r="CB36" i="1"/>
  <c r="CB38" i="1" s="1"/>
  <c r="BY56" i="1"/>
  <c r="BY60" i="1" s="1"/>
  <c r="BZ34" i="3"/>
  <c r="AP36" i="3"/>
  <c r="BU52" i="3"/>
  <c r="BX68" i="3"/>
  <c r="BY52" i="3"/>
  <c r="BT68" i="3"/>
  <c r="BZ36" i="1"/>
  <c r="BZ40" i="1" s="1"/>
  <c r="AV18" i="2"/>
  <c r="AV87" i="2" s="1"/>
  <c r="AZ43" i="2"/>
  <c r="Q35" i="3"/>
  <c r="Q36" i="3" s="1"/>
  <c r="CB68" i="3"/>
  <c r="AS68" i="3"/>
  <c r="E72" i="1"/>
  <c r="J72" i="1"/>
  <c r="N72" i="1"/>
  <c r="AJ50" i="1"/>
  <c r="AJ51" i="1" s="1"/>
  <c r="D63" i="1"/>
  <c r="D148" i="1" s="1"/>
  <c r="AU43" i="2"/>
  <c r="V34" i="3"/>
  <c r="V58" i="3" s="1"/>
  <c r="V59" i="3" s="1"/>
  <c r="I45" i="3"/>
  <c r="M45" i="3"/>
  <c r="BQ52" i="3"/>
  <c r="BV56" i="9"/>
  <c r="BV58" i="9"/>
  <c r="CB67" i="2"/>
  <c r="CB71" i="2" s="1"/>
  <c r="AU108" i="1"/>
  <c r="AY108" i="1"/>
  <c r="AL38" i="1"/>
  <c r="AJ40" i="1"/>
  <c r="AJ41" i="1" s="1"/>
  <c r="AL48" i="1"/>
  <c r="AL49" i="1" s="1"/>
  <c r="AX48" i="1"/>
  <c r="BX56" i="1"/>
  <c r="BR132" i="1"/>
  <c r="BR133" i="1" s="1"/>
  <c r="F137" i="1"/>
  <c r="BR18" i="2"/>
  <c r="BV18" i="2"/>
  <c r="BV25" i="2" s="1"/>
  <c r="BZ18" i="2"/>
  <c r="BZ25" i="2" s="1"/>
  <c r="AV43" i="2"/>
  <c r="AY53" i="2"/>
  <c r="G74" i="2"/>
  <c r="K74" i="2"/>
  <c r="O74" i="2"/>
  <c r="S74" i="2"/>
  <c r="W74" i="2"/>
  <c r="AA74" i="2"/>
  <c r="AE74" i="2"/>
  <c r="AI74" i="2"/>
  <c r="AM74" i="2"/>
  <c r="BY76" i="3"/>
  <c r="BY74" i="3" s="1"/>
  <c r="I36" i="3"/>
  <c r="N34" i="3"/>
  <c r="N58" i="3" s="1"/>
  <c r="N59" i="3" s="1"/>
  <c r="BY32" i="3"/>
  <c r="BZ33" i="3"/>
  <c r="BY58" i="3"/>
  <c r="BY59" i="3" s="1"/>
  <c r="E45" i="3"/>
  <c r="BY43" i="3"/>
  <c r="BY45" i="3" s="1"/>
  <c r="CA43" i="3"/>
  <c r="CA45" i="3" s="1"/>
  <c r="AR68" i="3"/>
  <c r="BX55" i="9"/>
  <c r="CA76" i="3"/>
  <c r="BX36" i="1"/>
  <c r="AH38" i="1"/>
  <c r="AH39" i="1" s="1"/>
  <c r="CA56" i="1"/>
  <c r="CA58" i="1" s="1"/>
  <c r="CB56" i="1"/>
  <c r="CB58" i="1" s="1"/>
  <c r="AZ60" i="1"/>
  <c r="AZ61" i="1" s="1"/>
  <c r="CC56" i="1"/>
  <c r="CC60" i="1" s="1"/>
  <c r="D137" i="1"/>
  <c r="H137" i="1"/>
  <c r="BT18" i="2"/>
  <c r="BT25" i="2" s="1"/>
  <c r="BX18" i="2"/>
  <c r="BX25" i="2" s="1"/>
  <c r="CB18" i="2"/>
  <c r="CB25" i="2" s="1"/>
  <c r="BT34" i="2"/>
  <c r="BT87" i="2" s="1"/>
  <c r="BX34" i="2"/>
  <c r="CB34" i="2"/>
  <c r="CB43" i="2" s="1"/>
  <c r="AT53" i="2"/>
  <c r="BR18" i="3"/>
  <c r="BV17" i="3"/>
  <c r="CB76" i="3"/>
  <c r="CB74" i="3" s="1"/>
  <c r="Y18" i="3"/>
  <c r="Z18" i="3" s="1"/>
  <c r="AA18" i="3" s="1"/>
  <c r="Z20" i="3"/>
  <c r="AA20" i="3" s="1"/>
  <c r="Z28" i="3"/>
  <c r="AA28" i="3" s="1"/>
  <c r="AD27" i="3"/>
  <c r="AE27" i="3" s="1"/>
  <c r="J33" i="3"/>
  <c r="K33" i="3" s="1"/>
  <c r="CA58" i="3"/>
  <c r="N39" i="3"/>
  <c r="Q45" i="3"/>
  <c r="U45" i="3"/>
  <c r="V41" i="3"/>
  <c r="W41" i="3" s="1"/>
  <c r="AX68" i="3"/>
  <c r="Y27" i="9"/>
  <c r="AC32" i="9"/>
  <c r="BX53" i="9"/>
  <c r="BX57" i="9"/>
  <c r="BS18" i="3"/>
  <c r="BU21" i="3"/>
  <c r="AX108" i="1"/>
  <c r="AZ108" i="1"/>
  <c r="CC36" i="1"/>
  <c r="CC40" i="1" s="1"/>
  <c r="AJ38" i="1"/>
  <c r="AJ39" i="1" s="1"/>
  <c r="AP38" i="1"/>
  <c r="AP39" i="1" s="1"/>
  <c r="AP40" i="1"/>
  <c r="AP41" i="1" s="1"/>
  <c r="BU56" i="1"/>
  <c r="BU60" i="1" s="1"/>
  <c r="BU61" i="1" s="1"/>
  <c r="F63" i="1"/>
  <c r="G87" i="2"/>
  <c r="K87" i="2"/>
  <c r="O87" i="2"/>
  <c r="S87" i="2"/>
  <c r="W87" i="2"/>
  <c r="AA87" i="2"/>
  <c r="AE87" i="2"/>
  <c r="AI87" i="2"/>
  <c r="AM87" i="2"/>
  <c r="AQ87" i="2"/>
  <c r="AU87" i="2"/>
  <c r="AV24" i="2"/>
  <c r="F54" i="2"/>
  <c r="J54" i="2"/>
  <c r="N54" i="2"/>
  <c r="R54" i="2"/>
  <c r="V54" i="2"/>
  <c r="Z54" i="2"/>
  <c r="AD54" i="2"/>
  <c r="AH54" i="2"/>
  <c r="AL54" i="2"/>
  <c r="AP54" i="2"/>
  <c r="BR67" i="2"/>
  <c r="BR71" i="2" s="1"/>
  <c r="BV67" i="2"/>
  <c r="BV71" i="2" s="1"/>
  <c r="AS74" i="2"/>
  <c r="BQ16" i="3"/>
  <c r="BS16" i="3"/>
  <c r="BW16" i="3"/>
  <c r="BX76" i="3"/>
  <c r="BX74" i="3" s="1"/>
  <c r="CB18" i="3"/>
  <c r="BU25" i="3"/>
  <c r="BV24" i="3"/>
  <c r="BW23" i="3"/>
  <c r="BQ33" i="3"/>
  <c r="Y36" i="3"/>
  <c r="AI36" i="3"/>
  <c r="BX58" i="3"/>
  <c r="CB58" i="3"/>
  <c r="CB59" i="3" s="1"/>
  <c r="BQ41" i="3"/>
  <c r="BT40" i="3"/>
  <c r="Y45" i="3"/>
  <c r="AC45" i="3"/>
  <c r="CC43" i="3"/>
  <c r="BS52" i="3"/>
  <c r="BW52" i="3"/>
  <c r="CA52" i="3"/>
  <c r="AC27" i="9"/>
  <c r="BW31" i="9"/>
  <c r="AG32" i="9"/>
  <c r="BX56" i="9"/>
  <c r="BC69" i="9"/>
  <c r="BC303" i="2"/>
  <c r="CF303" i="2"/>
  <c r="J51" i="2"/>
  <c r="J50" i="2" s="1"/>
  <c r="R51" i="2"/>
  <c r="R50" i="2" s="1"/>
  <c r="AH51" i="2"/>
  <c r="AH50" i="2" s="1"/>
  <c r="AW51" i="2"/>
  <c r="AW50" i="2" s="1"/>
  <c r="AW74" i="2"/>
  <c r="V83" i="2"/>
  <c r="Z83" i="2"/>
  <c r="AD83" i="2"/>
  <c r="AH83" i="2"/>
  <c r="AL83" i="2"/>
  <c r="AP83" i="2"/>
  <c r="AT83" i="2"/>
  <c r="BW108" i="1"/>
  <c r="BT115" i="1"/>
  <c r="BT116" i="1" s="1"/>
  <c r="BX115" i="1"/>
  <c r="BX116" i="1" s="1"/>
  <c r="CB115" i="1"/>
  <c r="CB116" i="1" s="1"/>
  <c r="BQ120" i="1"/>
  <c r="BQ109" i="1" s="1"/>
  <c r="BU120" i="1"/>
  <c r="BU109" i="1" s="1"/>
  <c r="BY120" i="1"/>
  <c r="BY109" i="1" s="1"/>
  <c r="BW63" i="1"/>
  <c r="BW68" i="1" s="1"/>
  <c r="BY63" i="1"/>
  <c r="BY68" i="1" s="1"/>
  <c r="CA63" i="1"/>
  <c r="CA68" i="1" s="1"/>
  <c r="CA73" i="3"/>
  <c r="CB73" i="3"/>
  <c r="CB77" i="3" s="1"/>
  <c r="CD63" i="2"/>
  <c r="G68" i="3"/>
  <c r="I68" i="3"/>
  <c r="K68" i="3"/>
  <c r="M68" i="3"/>
  <c r="O68" i="3"/>
  <c r="Q68" i="3"/>
  <c r="S68" i="3"/>
  <c r="U68" i="3"/>
  <c r="W68" i="3"/>
  <c r="Y68" i="3"/>
  <c r="AA68" i="3"/>
  <c r="AC68" i="3"/>
  <c r="AE68" i="3"/>
  <c r="AG68" i="3"/>
  <c r="AI68" i="3"/>
  <c r="AK68" i="3"/>
  <c r="AM68" i="3"/>
  <c r="AO68" i="3"/>
  <c r="AQ68" i="3"/>
  <c r="AU68" i="3"/>
  <c r="AW68" i="3"/>
  <c r="AY68" i="3"/>
  <c r="D51" i="2"/>
  <c r="D50" i="2" s="1"/>
  <c r="H51" i="2"/>
  <c r="H50" i="2" s="1"/>
  <c r="L51" i="2"/>
  <c r="L50" i="2" s="1"/>
  <c r="P51" i="2"/>
  <c r="P50" i="2" s="1"/>
  <c r="T51" i="2"/>
  <c r="T50" i="2" s="1"/>
  <c r="X51" i="2"/>
  <c r="X50" i="2" s="1"/>
  <c r="AB51" i="2"/>
  <c r="AB50" i="2" s="1"/>
  <c r="AF51" i="2"/>
  <c r="AF50" i="2" s="1"/>
  <c r="AJ51" i="2"/>
  <c r="AJ50" i="2" s="1"/>
  <c r="AN51" i="2"/>
  <c r="AN50" i="2" s="1"/>
  <c r="AP52" i="2"/>
  <c r="U27" i="9"/>
  <c r="U32" i="9"/>
  <c r="BV120" i="1"/>
  <c r="BV109" i="1" s="1"/>
  <c r="CB120" i="1"/>
  <c r="CB109" i="1" s="1"/>
  <c r="AF27" i="9"/>
  <c r="AN29" i="9"/>
  <c r="BA74" i="2"/>
  <c r="CC21" i="2"/>
  <c r="CC36" i="2"/>
  <c r="CC62" i="2"/>
  <c r="BE62" i="2"/>
  <c r="CC64" i="2"/>
  <c r="BE64" i="2"/>
  <c r="CC17" i="2"/>
  <c r="CC38" i="2"/>
  <c r="CC66" i="2"/>
  <c r="BE66" i="2"/>
  <c r="AQ17" i="1"/>
  <c r="BR60" i="1"/>
  <c r="BR61" i="1" s="1"/>
  <c r="CB78" i="2"/>
  <c r="CB79" i="2" s="1"/>
  <c r="CA78" i="2"/>
  <c r="CA79" i="2" s="1"/>
  <c r="CC136" i="1"/>
  <c r="BZ82" i="1"/>
  <c r="BZ87" i="1" s="1"/>
  <c r="G82" i="1"/>
  <c r="G87" i="1" s="1"/>
  <c r="BW115" i="1"/>
  <c r="BW116" i="1" s="1"/>
  <c r="CA115" i="1"/>
  <c r="CA116" i="1" s="1"/>
  <c r="AU75" i="1"/>
  <c r="AU89" i="1" s="1"/>
  <c r="AY75" i="1"/>
  <c r="AY89" i="1" s="1"/>
  <c r="CC35" i="1"/>
  <c r="E75" i="1"/>
  <c r="E76" i="1" s="1"/>
  <c r="I75" i="1"/>
  <c r="I89" i="1" s="1"/>
  <c r="M75" i="1"/>
  <c r="M89" i="1" s="1"/>
  <c r="BQ115" i="1"/>
  <c r="BQ116" i="1" s="1"/>
  <c r="BY115" i="1"/>
  <c r="BY116" i="1" s="1"/>
  <c r="BS120" i="1"/>
  <c r="BS109" i="1" s="1"/>
  <c r="BW120" i="1"/>
  <c r="BW109" i="1" s="1"/>
  <c r="CA120" i="1"/>
  <c r="CA109" i="1" s="1"/>
  <c r="CC45" i="1"/>
  <c r="CC48" i="1" s="1"/>
  <c r="AS75" i="1"/>
  <c r="AS76" i="1" s="1"/>
  <c r="AW75" i="1"/>
  <c r="AW76" i="1" s="1"/>
  <c r="BA75" i="1"/>
  <c r="BA89" i="1" s="1"/>
  <c r="BT60" i="1"/>
  <c r="BX60" i="1"/>
  <c r="BX61" i="1" s="1"/>
  <c r="CC55" i="1"/>
  <c r="CC58" i="1" s="1"/>
  <c r="CA148" i="1"/>
  <c r="BS115" i="1"/>
  <c r="BS116" i="1" s="1"/>
  <c r="BT108" i="1"/>
  <c r="BR108" i="1"/>
  <c r="BV82" i="1"/>
  <c r="BV86" i="1" s="1"/>
  <c r="BR115" i="1"/>
  <c r="BR116" i="1" s="1"/>
  <c r="BV115" i="1"/>
  <c r="BV116" i="1" s="1"/>
  <c r="BZ115" i="1"/>
  <c r="BZ116" i="1" s="1"/>
  <c r="CC63" i="2"/>
  <c r="T68" i="3"/>
  <c r="V68" i="3"/>
  <c r="X68" i="3"/>
  <c r="Z68" i="3"/>
  <c r="AB68" i="3"/>
  <c r="AD68" i="3"/>
  <c r="AF68" i="3"/>
  <c r="AH68" i="3"/>
  <c r="AJ68" i="3"/>
  <c r="AL68" i="3"/>
  <c r="AN68" i="3"/>
  <c r="AP68" i="3"/>
  <c r="AT68" i="3"/>
  <c r="AV68" i="3"/>
  <c r="AZ68" i="3"/>
  <c r="BX73" i="3"/>
  <c r="BY73" i="3"/>
  <c r="E51" i="2"/>
  <c r="E50" i="2" s="1"/>
  <c r="G51" i="2"/>
  <c r="G50" i="2" s="1"/>
  <c r="I51" i="2"/>
  <c r="I50" i="2" s="1"/>
  <c r="K51" i="2"/>
  <c r="K50" i="2" s="1"/>
  <c r="M51" i="2"/>
  <c r="M50" i="2" s="1"/>
  <c r="O51" i="2"/>
  <c r="O50" i="2" s="1"/>
  <c r="Q51" i="2"/>
  <c r="Q50" i="2" s="1"/>
  <c r="S51" i="2"/>
  <c r="S50" i="2" s="1"/>
  <c r="U51" i="2"/>
  <c r="U50" i="2" s="1"/>
  <c r="W51" i="2"/>
  <c r="W50" i="2" s="1"/>
  <c r="Y51" i="2"/>
  <c r="Y50" i="2" s="1"/>
  <c r="AA51" i="2"/>
  <c r="AA50" i="2" s="1"/>
  <c r="AC51" i="2"/>
  <c r="AC50" i="2" s="1"/>
  <c r="AE51" i="2"/>
  <c r="AE50" i="2" s="1"/>
  <c r="AG51" i="2"/>
  <c r="AG50" i="2" s="1"/>
  <c r="AI51" i="2"/>
  <c r="AI50" i="2" s="1"/>
  <c r="AK51" i="2"/>
  <c r="AK50" i="2" s="1"/>
  <c r="AM51" i="2"/>
  <c r="AM50" i="2" s="1"/>
  <c r="AS51" i="2"/>
  <c r="AS50" i="2" s="1"/>
  <c r="BA51" i="2"/>
  <c r="BA50" i="2" s="1"/>
  <c r="AY52" i="2"/>
  <c r="AU51" i="2"/>
  <c r="AU50" i="2" s="1"/>
  <c r="AR74" i="2"/>
  <c r="D87" i="2"/>
  <c r="F87" i="2"/>
  <c r="H87" i="2"/>
  <c r="J87" i="2"/>
  <c r="L87" i="2"/>
  <c r="N87" i="2"/>
  <c r="P87" i="2"/>
  <c r="AO52" i="2"/>
  <c r="AO51" i="2"/>
  <c r="AO50" i="2" s="1"/>
  <c r="AR52" i="2"/>
  <c r="AR51" i="2"/>
  <c r="AR50" i="2" s="1"/>
  <c r="AT52" i="2"/>
  <c r="AT51" i="2"/>
  <c r="AT50" i="2" s="1"/>
  <c r="AV52" i="2"/>
  <c r="AV51" i="2"/>
  <c r="AV50" i="2" s="1"/>
  <c r="AX52" i="2"/>
  <c r="AX51" i="2"/>
  <c r="AX50" i="2" s="1"/>
  <c r="AZ52" i="2"/>
  <c r="AZ51" i="2"/>
  <c r="AZ50" i="2" s="1"/>
  <c r="E74" i="2"/>
  <c r="I74" i="2"/>
  <c r="M74" i="2"/>
  <c r="Q74" i="2"/>
  <c r="U74" i="2"/>
  <c r="Y74" i="2"/>
  <c r="AC74" i="2"/>
  <c r="AG74" i="2"/>
  <c r="AK74" i="2"/>
  <c r="AO74" i="2"/>
  <c r="BR68" i="3"/>
  <c r="BV68" i="3"/>
  <c r="BZ68" i="3"/>
  <c r="BU83" i="2"/>
  <c r="AZ81" i="2"/>
  <c r="AV81" i="2"/>
  <c r="AO16" i="9"/>
  <c r="U17" i="9"/>
  <c r="Y17" i="9"/>
  <c r="AC17" i="9"/>
  <c r="AG17" i="9"/>
  <c r="AK17" i="9"/>
  <c r="AK22" i="9"/>
  <c r="AE24" i="9"/>
  <c r="W27" i="9"/>
  <c r="AA27" i="9"/>
  <c r="Q75" i="1"/>
  <c r="Q89" i="1" s="1"/>
  <c r="S75" i="1"/>
  <c r="S89" i="1" s="1"/>
  <c r="U75" i="1"/>
  <c r="U89" i="1" s="1"/>
  <c r="W75" i="1"/>
  <c r="W76" i="1" s="1"/>
  <c r="Y75" i="1"/>
  <c r="Y89" i="1" s="1"/>
  <c r="AA75" i="1"/>
  <c r="AA89" i="1" s="1"/>
  <c r="AC75" i="1"/>
  <c r="AC89" i="1" s="1"/>
  <c r="AE75" i="1"/>
  <c r="AE76" i="1" s="1"/>
  <c r="AG75" i="1"/>
  <c r="AG89" i="1" s="1"/>
  <c r="AI75" i="1"/>
  <c r="AI76" i="1" s="1"/>
  <c r="AK75" i="1"/>
  <c r="AK89" i="1" s="1"/>
  <c r="AM75" i="1"/>
  <c r="AM76" i="1" s="1"/>
  <c r="AO75" i="1"/>
  <c r="AO89" i="1" s="1"/>
  <c r="D72" i="1"/>
  <c r="F72" i="1"/>
  <c r="I72" i="1"/>
  <c r="K72" i="1"/>
  <c r="M72" i="1"/>
  <c r="O72" i="1"/>
  <c r="D73" i="1"/>
  <c r="F73" i="1"/>
  <c r="BS136" i="1"/>
  <c r="BS78" i="2" s="1"/>
  <c r="BS83" i="2" s="1"/>
  <c r="R13" i="3"/>
  <c r="R76" i="3" s="1"/>
  <c r="R74" i="3" s="1"/>
  <c r="R73" i="3" s="1"/>
  <c r="R77" i="3" s="1"/>
  <c r="J14" i="3"/>
  <c r="K14" i="3" s="1"/>
  <c r="R15" i="3"/>
  <c r="S15" i="3" s="1"/>
  <c r="V14" i="3"/>
  <c r="W14" i="3" s="1"/>
  <c r="Z13" i="3"/>
  <c r="Z76" i="3" s="1"/>
  <c r="Z74" i="3" s="1"/>
  <c r="Z73" i="3" s="1"/>
  <c r="Z77" i="3" s="1"/>
  <c r="T22" i="9"/>
  <c r="V22" i="9"/>
  <c r="X22" i="9"/>
  <c r="Z22" i="9"/>
  <c r="AB22" i="9"/>
  <c r="AD22" i="9"/>
  <c r="AF22" i="9"/>
  <c r="AH22" i="9"/>
  <c r="AJ22" i="9"/>
  <c r="AL22" i="9"/>
  <c r="AN22" i="9"/>
  <c r="AL27" i="9"/>
  <c r="AN27" i="9"/>
  <c r="AP17" i="9"/>
  <c r="T17" i="9"/>
  <c r="V17" i="9"/>
  <c r="X17" i="9"/>
  <c r="Z17" i="9"/>
  <c r="AB17" i="9"/>
  <c r="AD17" i="9"/>
  <c r="AF17" i="9"/>
  <c r="AH17" i="9"/>
  <c r="AJ17" i="9"/>
  <c r="T27" i="9"/>
  <c r="V27" i="9"/>
  <c r="X27" i="9"/>
  <c r="Z27" i="9"/>
  <c r="AB27" i="9"/>
  <c r="AD27" i="9"/>
  <c r="AJ27" i="9"/>
  <c r="G35" i="9"/>
  <c r="AF40" i="9"/>
  <c r="BR38" i="9"/>
  <c r="BR27" i="9" s="1"/>
  <c r="BT44" i="1"/>
  <c r="BT38" i="9"/>
  <c r="BT22" i="9" s="1"/>
  <c r="BV38" i="9"/>
  <c r="BV27" i="9" s="1"/>
  <c r="BX44" i="1"/>
  <c r="BX38" i="9"/>
  <c r="BX17" i="9" s="1"/>
  <c r="BZ38" i="9"/>
  <c r="CB44" i="1"/>
  <c r="CB38" i="9"/>
  <c r="AR41" i="1"/>
  <c r="AR38" i="9"/>
  <c r="AR17" i="9" s="1"/>
  <c r="AV41" i="1"/>
  <c r="AV38" i="9"/>
  <c r="AZ30" i="1"/>
  <c r="AZ31" i="1" s="1"/>
  <c r="AZ38" i="9"/>
  <c r="BR17" i="1"/>
  <c r="BV17" i="1"/>
  <c r="CB17" i="1"/>
  <c r="BR23" i="1"/>
  <c r="BR24" i="1" s="1"/>
  <c r="BT23" i="1"/>
  <c r="BT24" i="1" s="1"/>
  <c r="BV23" i="1"/>
  <c r="BV24" i="1" s="1"/>
  <c r="BX23" i="1"/>
  <c r="BX24" i="1" s="1"/>
  <c r="BR14" i="1"/>
  <c r="BQ38" i="9"/>
  <c r="BQ40" i="9" s="1"/>
  <c r="BS54" i="1"/>
  <c r="BS38" i="9"/>
  <c r="BS22" i="9" s="1"/>
  <c r="BU54" i="1"/>
  <c r="BU38" i="9"/>
  <c r="BU22" i="9" s="1"/>
  <c r="BW54" i="1"/>
  <c r="BW38" i="9"/>
  <c r="BW17" i="9" s="1"/>
  <c r="BY54" i="1"/>
  <c r="BY38" i="9"/>
  <c r="BY22" i="9" s="1"/>
  <c r="CA54" i="1"/>
  <c r="CA38" i="9"/>
  <c r="AS30" i="1"/>
  <c r="AS31" i="1" s="1"/>
  <c r="AS38" i="9"/>
  <c r="BA30" i="1"/>
  <c r="BA31" i="1" s="1"/>
  <c r="BA38" i="9"/>
  <c r="BQ23" i="1"/>
  <c r="BQ24" i="1" s="1"/>
  <c r="BT17" i="1"/>
  <c r="BX17" i="1"/>
  <c r="AR22" i="1"/>
  <c r="AZ22" i="1"/>
  <c r="AR24" i="1"/>
  <c r="AZ24" i="1"/>
  <c r="BR26" i="1"/>
  <c r="BR27" i="1" s="1"/>
  <c r="BV26" i="1"/>
  <c r="BV27" i="1" s="1"/>
  <c r="CB26" i="1"/>
  <c r="CB27" i="1" s="1"/>
  <c r="D28" i="1"/>
  <c r="D29" i="1" s="1"/>
  <c r="H28" i="1"/>
  <c r="L28" i="1"/>
  <c r="P28" i="1"/>
  <c r="P29" i="1" s="1"/>
  <c r="T28" i="1"/>
  <c r="T29" i="1" s="1"/>
  <c r="X28" i="1"/>
  <c r="X29" i="1" s="1"/>
  <c r="AB28" i="1"/>
  <c r="AB29" i="1" s="1"/>
  <c r="AF28" i="1"/>
  <c r="AF29" i="1" s="1"/>
  <c r="AJ28" i="1"/>
  <c r="AJ29" i="1" s="1"/>
  <c r="AN28" i="1"/>
  <c r="AN29" i="1" s="1"/>
  <c r="D30" i="1"/>
  <c r="D31" i="1" s="1"/>
  <c r="H30" i="1"/>
  <c r="H31" i="1" s="1"/>
  <c r="L30" i="1"/>
  <c r="P30" i="1"/>
  <c r="P31" i="1" s="1"/>
  <c r="T30" i="1"/>
  <c r="T31" i="1" s="1"/>
  <c r="X30" i="1"/>
  <c r="X31" i="1" s="1"/>
  <c r="AB30" i="1"/>
  <c r="AB31" i="1" s="1"/>
  <c r="AF30" i="1"/>
  <c r="AF31" i="1" s="1"/>
  <c r="AJ30" i="1"/>
  <c r="AJ31" i="1" s="1"/>
  <c r="AN30" i="1"/>
  <c r="AN31" i="1" s="1"/>
  <c r="BU38" i="1"/>
  <c r="BT63" i="1"/>
  <c r="BT148" i="1" s="1"/>
  <c r="BV63" i="1"/>
  <c r="BV148" i="1" s="1"/>
  <c r="BX63" i="1"/>
  <c r="BX148" i="1" s="1"/>
  <c r="BZ63" i="1"/>
  <c r="BZ68" i="1" s="1"/>
  <c r="CB63" i="1"/>
  <c r="CB148" i="1" s="1"/>
  <c r="I86" i="1"/>
  <c r="BY78" i="2"/>
  <c r="BY83" i="2" s="1"/>
  <c r="D69" i="9"/>
  <c r="D302" i="3"/>
  <c r="D303" i="2"/>
  <c r="F69" i="9"/>
  <c r="F302" i="3"/>
  <c r="F303" i="2"/>
  <c r="H69" i="9"/>
  <c r="H302" i="3"/>
  <c r="H303" i="2"/>
  <c r="J69" i="9"/>
  <c r="J302" i="3"/>
  <c r="J303" i="2"/>
  <c r="L69" i="9"/>
  <c r="L302" i="3"/>
  <c r="L303" i="2"/>
  <c r="N69" i="9"/>
  <c r="N302" i="3"/>
  <c r="N303" i="2"/>
  <c r="P69" i="9"/>
  <c r="P302" i="3"/>
  <c r="P303" i="2"/>
  <c r="R69" i="9"/>
  <c r="R302" i="3"/>
  <c r="R303" i="2"/>
  <c r="T69" i="9"/>
  <c r="T302" i="3"/>
  <c r="T303" i="2"/>
  <c r="V69" i="9"/>
  <c r="V302" i="3"/>
  <c r="V303" i="2"/>
  <c r="X69" i="9"/>
  <c r="X302" i="3"/>
  <c r="X303" i="2"/>
  <c r="Z69" i="9"/>
  <c r="Z302" i="3"/>
  <c r="Z303" i="2"/>
  <c r="AB302" i="3"/>
  <c r="AB303" i="2"/>
  <c r="AB69" i="9"/>
  <c r="AD69" i="9"/>
  <c r="AD302" i="3"/>
  <c r="AD303" i="2"/>
  <c r="AF302" i="3"/>
  <c r="AF303" i="2"/>
  <c r="AF69" i="9"/>
  <c r="AH69" i="9"/>
  <c r="AH302" i="3"/>
  <c r="AH303" i="2"/>
  <c r="AJ302" i="3"/>
  <c r="AJ303" i="2"/>
  <c r="AJ69" i="9"/>
  <c r="AL69" i="9"/>
  <c r="AL302" i="3"/>
  <c r="AL303" i="2"/>
  <c r="AN69" i="9"/>
  <c r="AN302" i="3"/>
  <c r="AN303" i="2"/>
  <c r="AQ69" i="9"/>
  <c r="AQ302" i="3"/>
  <c r="AQ303" i="2"/>
  <c r="AS69" i="9"/>
  <c r="AS302" i="3"/>
  <c r="AS303" i="2"/>
  <c r="AU69" i="9"/>
  <c r="AU302" i="3"/>
  <c r="AU303" i="2"/>
  <c r="AW69" i="9"/>
  <c r="AW302" i="3"/>
  <c r="AW303" i="2"/>
  <c r="AY69" i="9"/>
  <c r="AY302" i="3"/>
  <c r="AY303" i="2"/>
  <c r="BA302" i="3"/>
  <c r="BA303" i="2"/>
  <c r="BC302" i="3"/>
  <c r="BR69" i="9"/>
  <c r="BR302" i="3"/>
  <c r="BR303" i="2"/>
  <c r="BT69" i="9"/>
  <c r="BT302" i="3"/>
  <c r="BT303" i="2"/>
  <c r="BV69" i="9"/>
  <c r="BV302" i="3"/>
  <c r="BV303" i="2"/>
  <c r="BX69" i="9"/>
  <c r="BX302" i="3"/>
  <c r="BX303" i="2"/>
  <c r="BZ69" i="9"/>
  <c r="BZ302" i="3"/>
  <c r="BZ303" i="2"/>
  <c r="CB302" i="3"/>
  <c r="CB303" i="2"/>
  <c r="CD302" i="3"/>
  <c r="CD303" i="2"/>
  <c r="CF7" i="2"/>
  <c r="CF9" i="2"/>
  <c r="CF48" i="2" s="1"/>
  <c r="CF61" i="2" s="1"/>
  <c r="CF77" i="2" s="1"/>
  <c r="BS51" i="2"/>
  <c r="BS50" i="2" s="1"/>
  <c r="BS52" i="2"/>
  <c r="BR56" i="2"/>
  <c r="BR49" i="2" s="1"/>
  <c r="BT56" i="2"/>
  <c r="BT49" i="2" s="1"/>
  <c r="BV56" i="2"/>
  <c r="BV49" i="2" s="1"/>
  <c r="BX56" i="2"/>
  <c r="BX49" i="2" s="1"/>
  <c r="BZ56" i="2"/>
  <c r="BZ49" i="2" s="1"/>
  <c r="CB56" i="2"/>
  <c r="CB49" i="2" s="1"/>
  <c r="BR57" i="2"/>
  <c r="BR52" i="2" s="1"/>
  <c r="BT57" i="2"/>
  <c r="BT52" i="2" s="1"/>
  <c r="BV57" i="2"/>
  <c r="BV52" i="2" s="1"/>
  <c r="BX57" i="2"/>
  <c r="BX52" i="2" s="1"/>
  <c r="CB57" i="2"/>
  <c r="CB52" i="2" s="1"/>
  <c r="J81" i="2"/>
  <c r="L81" i="2"/>
  <c r="N81" i="2"/>
  <c r="P81" i="2"/>
  <c r="R81" i="2"/>
  <c r="T81" i="2"/>
  <c r="V81" i="2"/>
  <c r="X81" i="2"/>
  <c r="Z81" i="2"/>
  <c r="AB81" i="2"/>
  <c r="AF81" i="2"/>
  <c r="AJ81" i="2"/>
  <c r="AN81" i="2"/>
  <c r="AR81" i="2"/>
  <c r="AP32" i="9"/>
  <c r="AQ21" i="1"/>
  <c r="AQ22" i="1" s="1"/>
  <c r="AS22" i="1"/>
  <c r="BA22" i="1"/>
  <c r="AQ23" i="1"/>
  <c r="AQ24" i="1" s="1"/>
  <c r="AS24" i="1"/>
  <c r="BA24" i="1"/>
  <c r="AQ26" i="1"/>
  <c r="AQ27" i="1" s="1"/>
  <c r="BT26" i="1"/>
  <c r="BT27" i="1" s="1"/>
  <c r="BX26" i="1"/>
  <c r="BX27" i="1" s="1"/>
  <c r="F28" i="1"/>
  <c r="J28" i="1"/>
  <c r="N28" i="1"/>
  <c r="R28" i="1"/>
  <c r="R29" i="1" s="1"/>
  <c r="V28" i="1"/>
  <c r="V29" i="1" s="1"/>
  <c r="Z28" i="1"/>
  <c r="AD28" i="1"/>
  <c r="AD29" i="1" s="1"/>
  <c r="AH28" i="1"/>
  <c r="AH29" i="1" s="1"/>
  <c r="AL28" i="1"/>
  <c r="AL29" i="1" s="1"/>
  <c r="AP28" i="1"/>
  <c r="AP29" i="1" s="1"/>
  <c r="F30" i="1"/>
  <c r="J30" i="1"/>
  <c r="J31" i="1" s="1"/>
  <c r="N30" i="1"/>
  <c r="N31" i="1" s="1"/>
  <c r="R30" i="1"/>
  <c r="R31" i="1" s="1"/>
  <c r="V30" i="1"/>
  <c r="V31" i="1" s="1"/>
  <c r="Z30" i="1"/>
  <c r="Z31" i="1" s="1"/>
  <c r="AD30" i="1"/>
  <c r="AD31" i="1" s="1"/>
  <c r="AH30" i="1"/>
  <c r="AH31" i="1" s="1"/>
  <c r="AL30" i="1"/>
  <c r="AL31" i="1" s="1"/>
  <c r="AP30" i="1"/>
  <c r="AP31" i="1" s="1"/>
  <c r="BS40" i="1"/>
  <c r="BS41" i="1" s="1"/>
  <c r="BW40" i="1"/>
  <c r="BW41" i="1" s="1"/>
  <c r="CA40" i="1"/>
  <c r="BS48" i="1"/>
  <c r="BS49" i="1" s="1"/>
  <c r="BS50" i="1"/>
  <c r="BW50" i="1"/>
  <c r="BW51" i="1" s="1"/>
  <c r="CA50" i="1"/>
  <c r="AR49" i="1"/>
  <c r="AT49" i="1"/>
  <c r="AV49" i="1"/>
  <c r="AX49" i="1"/>
  <c r="AR51" i="1"/>
  <c r="AT51" i="1"/>
  <c r="AV51" i="1"/>
  <c r="AX51" i="1"/>
  <c r="BS60" i="1"/>
  <c r="BW60" i="1"/>
  <c r="BW61" i="1" s="1"/>
  <c r="BR63" i="1"/>
  <c r="BR148" i="1" s="1"/>
  <c r="BQ83" i="1"/>
  <c r="BQ82" i="1" s="1"/>
  <c r="BT82" i="1"/>
  <c r="BT86" i="1" s="1"/>
  <c r="BX82" i="1"/>
  <c r="BX86" i="1" s="1"/>
  <c r="CB82" i="1"/>
  <c r="CB87" i="1" s="1"/>
  <c r="BU82" i="1"/>
  <c r="BU86" i="1" s="1"/>
  <c r="BW82" i="1"/>
  <c r="BW86" i="1" s="1"/>
  <c r="BY82" i="1"/>
  <c r="BY87" i="1" s="1"/>
  <c r="CA82" i="1"/>
  <c r="CA86" i="1" s="1"/>
  <c r="K86" i="1"/>
  <c r="BU133" i="1"/>
  <c r="BS137" i="1"/>
  <c r="BW137" i="1"/>
  <c r="BY137" i="1"/>
  <c r="CA137" i="1"/>
  <c r="BZ78" i="2"/>
  <c r="BZ79" i="2" s="1"/>
  <c r="E69" i="9"/>
  <c r="E302" i="3"/>
  <c r="E303" i="2"/>
  <c r="G69" i="9"/>
  <c r="G302" i="3"/>
  <c r="G303" i="2"/>
  <c r="I69" i="9"/>
  <c r="I302" i="3"/>
  <c r="I303" i="2"/>
  <c r="K69" i="9"/>
  <c r="K302" i="3"/>
  <c r="K303" i="2"/>
  <c r="M69" i="9"/>
  <c r="M302" i="3"/>
  <c r="M303" i="2"/>
  <c r="O69" i="9"/>
  <c r="O302" i="3"/>
  <c r="O303" i="2"/>
  <c r="Q69" i="9"/>
  <c r="Q302" i="3"/>
  <c r="Q303" i="2"/>
  <c r="S69" i="9"/>
  <c r="S302" i="3"/>
  <c r="S303" i="2"/>
  <c r="U69" i="9"/>
  <c r="U302" i="3"/>
  <c r="U303" i="2"/>
  <c r="W69" i="9"/>
  <c r="W302" i="3"/>
  <c r="W303" i="2"/>
  <c r="Y69" i="9"/>
  <c r="Y302" i="3"/>
  <c r="Y303" i="2"/>
  <c r="AA69" i="9"/>
  <c r="AA302" i="3"/>
  <c r="AA303" i="2"/>
  <c r="AC69" i="9"/>
  <c r="AC302" i="3"/>
  <c r="AC303" i="2"/>
  <c r="AE69" i="9"/>
  <c r="AE302" i="3"/>
  <c r="AE303" i="2"/>
  <c r="AG69" i="9"/>
  <c r="AG302" i="3"/>
  <c r="AG303" i="2"/>
  <c r="AI69" i="9"/>
  <c r="AI302" i="3"/>
  <c r="AI303" i="2"/>
  <c r="AK69" i="9"/>
  <c r="AK302" i="3"/>
  <c r="AK303" i="2"/>
  <c r="AM69" i="9"/>
  <c r="AM302" i="3"/>
  <c r="AM303" i="2"/>
  <c r="AO69" i="9"/>
  <c r="AO302" i="3"/>
  <c r="AO303" i="2"/>
  <c r="AR69" i="9"/>
  <c r="AR302" i="3"/>
  <c r="AR303" i="2"/>
  <c r="AT69" i="9"/>
  <c r="AT302" i="3"/>
  <c r="AT303" i="2"/>
  <c r="AV69" i="9"/>
  <c r="AV302" i="3"/>
  <c r="AV303" i="2"/>
  <c r="AX69" i="9"/>
  <c r="AX302" i="3"/>
  <c r="AX303" i="2"/>
  <c r="AZ302" i="3"/>
  <c r="AZ303" i="2"/>
  <c r="BB302" i="3"/>
  <c r="BB303" i="2"/>
  <c r="BQ69" i="9"/>
  <c r="BQ302" i="3"/>
  <c r="BQ303" i="2"/>
  <c r="BS69" i="9"/>
  <c r="BS302" i="3"/>
  <c r="BS303" i="2"/>
  <c r="BU69" i="9"/>
  <c r="BU302" i="3"/>
  <c r="BU303" i="2"/>
  <c r="BW69" i="9"/>
  <c r="BW302" i="3"/>
  <c r="BW303" i="2"/>
  <c r="BY69" i="9"/>
  <c r="BY302" i="3"/>
  <c r="BY303" i="2"/>
  <c r="CA302" i="3"/>
  <c r="CA303" i="2"/>
  <c r="CC302" i="3"/>
  <c r="CC303" i="2"/>
  <c r="CF8" i="2"/>
  <c r="AQ57" i="2"/>
  <c r="BQ56" i="2"/>
  <c r="BQ49" i="2" s="1"/>
  <c r="BS56" i="2"/>
  <c r="BS49" i="2" s="1"/>
  <c r="BU56" i="2"/>
  <c r="BU49" i="2" s="1"/>
  <c r="BW56" i="2"/>
  <c r="BW49" i="2" s="1"/>
  <c r="BY56" i="2"/>
  <c r="BY49" i="2" s="1"/>
  <c r="CA56" i="2"/>
  <c r="CA49" i="2" s="1"/>
  <c r="BQ57" i="2"/>
  <c r="BQ51" i="2" s="1"/>
  <c r="BQ50" i="2" s="1"/>
  <c r="BU57" i="2"/>
  <c r="BU51" i="2" s="1"/>
  <c r="BU50" i="2" s="1"/>
  <c r="BW57" i="2"/>
  <c r="BW51" i="2" s="1"/>
  <c r="BW50" i="2" s="1"/>
  <c r="BY57" i="2"/>
  <c r="BY51" i="2" s="1"/>
  <c r="BY50" i="2" s="1"/>
  <c r="CA57" i="2"/>
  <c r="CA51" i="2" s="1"/>
  <c r="CA50" i="2" s="1"/>
  <c r="I81" i="2"/>
  <c r="K81" i="2"/>
  <c r="M81" i="2"/>
  <c r="O81" i="2"/>
  <c r="Q81" i="2"/>
  <c r="S81" i="2"/>
  <c r="U81" i="2"/>
  <c r="W81" i="2"/>
  <c r="Y81" i="2"/>
  <c r="AA81" i="2"/>
  <c r="L83" i="2"/>
  <c r="P83" i="2"/>
  <c r="T83" i="2"/>
  <c r="X83" i="2"/>
  <c r="AB83" i="2"/>
  <c r="AF83" i="2"/>
  <c r="AJ83" i="2"/>
  <c r="BX78" i="2"/>
  <c r="BX79" i="2" s="1"/>
  <c r="CA59" i="3"/>
  <c r="BZ19" i="9"/>
  <c r="BZ21" i="9" s="1"/>
  <c r="AP25" i="9"/>
  <c r="AJ34" i="9"/>
  <c r="AJ36" i="9" s="1"/>
  <c r="BX59" i="3"/>
  <c r="AP26" i="9"/>
  <c r="BU16" i="9"/>
  <c r="BY16" i="9"/>
  <c r="BV21" i="9"/>
  <c r="AG40" i="9"/>
  <c r="AG36" i="9"/>
  <c r="AG35" i="9"/>
  <c r="AR16" i="9"/>
  <c r="BR34" i="9"/>
  <c r="BR16" i="9"/>
  <c r="BT34" i="9"/>
  <c r="BU36" i="9" s="1"/>
  <c r="BT16" i="9"/>
  <c r="BV34" i="9"/>
  <c r="BV16" i="9"/>
  <c r="BX16" i="9"/>
  <c r="BS16" i="9"/>
  <c r="BW16" i="9"/>
  <c r="AO21" i="9"/>
  <c r="AO20" i="9"/>
  <c r="AS21" i="9"/>
  <c r="AT19" i="9"/>
  <c r="AP20" i="9"/>
  <c r="BW21" i="9"/>
  <c r="BY21" i="9"/>
  <c r="AH24" i="9"/>
  <c r="AP34" i="9"/>
  <c r="AR24" i="9"/>
  <c r="BY24" i="9"/>
  <c r="BY10" i="9" s="1"/>
  <c r="BY12" i="9" s="1"/>
  <c r="AE25" i="9"/>
  <c r="AG25" i="9"/>
  <c r="AK25" i="9"/>
  <c r="AO25" i="9"/>
  <c r="AQ25" i="9"/>
  <c r="AG26" i="9"/>
  <c r="AK26" i="9"/>
  <c r="AO26" i="9"/>
  <c r="AQ26" i="9"/>
  <c r="AG27" i="9"/>
  <c r="AK27" i="9"/>
  <c r="AK29" i="9"/>
  <c r="AQ29" i="9"/>
  <c r="AJ31" i="9"/>
  <c r="BV31" i="9"/>
  <c r="F40" i="9"/>
  <c r="F35" i="9"/>
  <c r="E35" i="9"/>
  <c r="BZ24" i="9"/>
  <c r="BV26" i="9"/>
  <c r="AJ32" i="9"/>
  <c r="I40" i="9"/>
  <c r="I36" i="9"/>
  <c r="I35" i="9"/>
  <c r="K40" i="9"/>
  <c r="K36" i="9"/>
  <c r="K35" i="9"/>
  <c r="M40" i="9"/>
  <c r="M36" i="9"/>
  <c r="M35" i="9"/>
  <c r="O40" i="9"/>
  <c r="O36" i="9"/>
  <c r="O35" i="9"/>
  <c r="Q40" i="9"/>
  <c r="Q36" i="9"/>
  <c r="Q35" i="9"/>
  <c r="S40" i="9"/>
  <c r="S36" i="9"/>
  <c r="S35" i="9"/>
  <c r="U40" i="9"/>
  <c r="U36" i="9"/>
  <c r="U35" i="9"/>
  <c r="W40" i="9"/>
  <c r="W36" i="9"/>
  <c r="W35" i="9"/>
  <c r="Y40" i="9"/>
  <c r="Y36" i="9"/>
  <c r="Y35" i="9"/>
  <c r="AA40" i="9"/>
  <c r="AA36" i="9"/>
  <c r="AA35" i="9"/>
  <c r="AC40" i="9"/>
  <c r="AC36" i="9"/>
  <c r="AC35" i="9"/>
  <c r="H35" i="9"/>
  <c r="J35" i="9"/>
  <c r="L35" i="9"/>
  <c r="N35" i="9"/>
  <c r="P35" i="9"/>
  <c r="R35" i="9"/>
  <c r="T35" i="9"/>
  <c r="V35" i="9"/>
  <c r="X35" i="9"/>
  <c r="Z35" i="9"/>
  <c r="AB35" i="9"/>
  <c r="AD35" i="9"/>
  <c r="H36" i="9"/>
  <c r="J36" i="9"/>
  <c r="L36" i="9"/>
  <c r="N36" i="9"/>
  <c r="P36" i="9"/>
  <c r="R36" i="9"/>
  <c r="T36" i="9"/>
  <c r="V36" i="9"/>
  <c r="X36" i="9"/>
  <c r="Z36" i="9"/>
  <c r="AB36" i="9"/>
  <c r="AD36" i="9"/>
  <c r="AF36" i="9"/>
  <c r="BQ14" i="3"/>
  <c r="BQ18" i="3"/>
  <c r="BR16" i="3"/>
  <c r="BS14" i="3"/>
  <c r="BT17" i="3"/>
  <c r="BU16" i="3"/>
  <c r="BV15" i="3"/>
  <c r="BW14" i="3"/>
  <c r="I74" i="3"/>
  <c r="I73" i="3" s="1"/>
  <c r="I77" i="3" s="1"/>
  <c r="M74" i="3"/>
  <c r="M73" i="3" s="1"/>
  <c r="M77" i="3" s="1"/>
  <c r="U74" i="3"/>
  <c r="U73" i="3" s="1"/>
  <c r="U77" i="3" s="1"/>
  <c r="AC74" i="3"/>
  <c r="AC73" i="3" s="1"/>
  <c r="AC77" i="3" s="1"/>
  <c r="CA74" i="3"/>
  <c r="BT14" i="3"/>
  <c r="BV14" i="3"/>
  <c r="BQ15" i="3"/>
  <c r="BS15" i="3"/>
  <c r="BU15" i="3"/>
  <c r="BW15" i="3"/>
  <c r="BR17" i="3"/>
  <c r="Q18" i="3"/>
  <c r="R18" i="3" s="1"/>
  <c r="S18" i="3" s="1"/>
  <c r="V18" i="3"/>
  <c r="W18" i="3" s="1"/>
  <c r="AD18" i="3"/>
  <c r="AE18" i="3" s="1"/>
  <c r="BQ20" i="3"/>
  <c r="BQ22" i="3"/>
  <c r="BQ24" i="3"/>
  <c r="BQ26" i="3"/>
  <c r="BQ28" i="3"/>
  <c r="BR21" i="3"/>
  <c r="BR23" i="3"/>
  <c r="BR25" i="3"/>
  <c r="BR27" i="3"/>
  <c r="BS20" i="3"/>
  <c r="BS22" i="3"/>
  <c r="BS24" i="3"/>
  <c r="N26" i="3"/>
  <c r="O26" i="3" s="1"/>
  <c r="BS27" i="3"/>
  <c r="N28" i="3"/>
  <c r="O28" i="3" s="1"/>
  <c r="BT20" i="3"/>
  <c r="R21" i="3"/>
  <c r="S21" i="3" s="1"/>
  <c r="BT22" i="3"/>
  <c r="R23" i="3"/>
  <c r="S23" i="3" s="1"/>
  <c r="BT24" i="3"/>
  <c r="R25" i="3"/>
  <c r="S25" i="3" s="1"/>
  <c r="BT26" i="3"/>
  <c r="R27" i="3"/>
  <c r="S27" i="3" s="1"/>
  <c r="BT28" i="3"/>
  <c r="BU23" i="3"/>
  <c r="BU27" i="3"/>
  <c r="BV22" i="3"/>
  <c r="BV26" i="3"/>
  <c r="BW21" i="3"/>
  <c r="BW25" i="3"/>
  <c r="BQ35" i="3"/>
  <c r="BT33" i="3"/>
  <c r="BW35" i="3"/>
  <c r="BR40" i="3"/>
  <c r="BS41" i="3"/>
  <c r="BV40" i="3"/>
  <c r="BW41" i="3"/>
  <c r="F13" i="3"/>
  <c r="F17" i="3"/>
  <c r="G17" i="3" s="1"/>
  <c r="J13" i="3"/>
  <c r="J15" i="3"/>
  <c r="K15" i="3" s="1"/>
  <c r="N13" i="3"/>
  <c r="N17" i="3"/>
  <c r="O17" i="3" s="1"/>
  <c r="Q74" i="3"/>
  <c r="Q73" i="3" s="1"/>
  <c r="Q77" i="3" s="1"/>
  <c r="R16" i="3"/>
  <c r="S16" i="3" s="1"/>
  <c r="V13" i="3"/>
  <c r="V17" i="3"/>
  <c r="W17" i="3" s="1"/>
  <c r="Y74" i="3"/>
  <c r="Y73" i="3" s="1"/>
  <c r="Y77" i="3" s="1"/>
  <c r="Z16" i="3"/>
  <c r="AA16" i="3" s="1"/>
  <c r="AD13" i="3"/>
  <c r="AD17" i="3"/>
  <c r="AE17" i="3" s="1"/>
  <c r="AQ74" i="3"/>
  <c r="AQ73" i="3" s="1"/>
  <c r="AQ77" i="3" s="1"/>
  <c r="BZ13" i="3"/>
  <c r="BQ21" i="3"/>
  <c r="BQ23" i="3"/>
  <c r="BQ25" i="3"/>
  <c r="BQ27" i="3"/>
  <c r="BR20" i="3"/>
  <c r="BR22" i="3"/>
  <c r="BR24" i="3"/>
  <c r="BR26" i="3"/>
  <c r="BR28" i="3"/>
  <c r="BS21" i="3"/>
  <c r="BS23" i="3"/>
  <c r="BS25" i="3"/>
  <c r="V20" i="3"/>
  <c r="W20" i="3" s="1"/>
  <c r="V22" i="3"/>
  <c r="W22" i="3" s="1"/>
  <c r="V24" i="3"/>
  <c r="W24" i="3" s="1"/>
  <c r="V26" i="3"/>
  <c r="W26" i="3" s="1"/>
  <c r="V28" i="3"/>
  <c r="W28" i="3" s="1"/>
  <c r="Z21" i="3"/>
  <c r="AA21" i="3" s="1"/>
  <c r="Z23" i="3"/>
  <c r="AA23" i="3" s="1"/>
  <c r="Z25" i="3"/>
  <c r="AA25" i="3" s="1"/>
  <c r="Z27" i="3"/>
  <c r="AA27" i="3" s="1"/>
  <c r="AD20" i="3"/>
  <c r="AE20" i="3" s="1"/>
  <c r="AD22" i="3"/>
  <c r="AE22" i="3" s="1"/>
  <c r="AD24" i="3"/>
  <c r="AE24" i="3" s="1"/>
  <c r="AD26" i="3"/>
  <c r="AE26" i="3" s="1"/>
  <c r="AD28" i="3"/>
  <c r="AE28" i="3" s="1"/>
  <c r="F32" i="3"/>
  <c r="F34" i="3"/>
  <c r="J32" i="3"/>
  <c r="J34" i="3"/>
  <c r="O32" i="3"/>
  <c r="N33" i="3"/>
  <c r="O33" i="3" s="1"/>
  <c r="R32" i="3"/>
  <c r="R34" i="3"/>
  <c r="W32" i="3"/>
  <c r="V33" i="3"/>
  <c r="W33" i="3" s="1"/>
  <c r="V35" i="3"/>
  <c r="W35" i="3" s="1"/>
  <c r="AA32" i="3"/>
  <c r="BV32" i="3" s="1"/>
  <c r="Z33" i="3"/>
  <c r="AA33" i="3" s="1"/>
  <c r="Z35" i="3"/>
  <c r="AA35" i="3" s="1"/>
  <c r="AE32" i="3"/>
  <c r="BW32" i="3" s="1"/>
  <c r="AD33" i="3"/>
  <c r="AE33" i="3" s="1"/>
  <c r="AE34" i="3"/>
  <c r="AE58" i="3" s="1"/>
  <c r="AE59" i="3" s="1"/>
  <c r="BX32" i="3"/>
  <c r="BZ32" i="3"/>
  <c r="J35" i="3"/>
  <c r="K35" i="3" s="1"/>
  <c r="R35" i="3"/>
  <c r="S35" i="3" s="1"/>
  <c r="BY35" i="3"/>
  <c r="CA35" i="3"/>
  <c r="CA36" i="3" s="1"/>
  <c r="CC35" i="3"/>
  <c r="E36" i="3"/>
  <c r="M36" i="3"/>
  <c r="U36" i="3"/>
  <c r="AC36" i="3"/>
  <c r="AK36" i="3"/>
  <c r="G39" i="3"/>
  <c r="BQ39" i="3" s="1"/>
  <c r="F40" i="3"/>
  <c r="G40" i="3" s="1"/>
  <c r="J39" i="3"/>
  <c r="J41" i="3"/>
  <c r="K41" i="3" s="1"/>
  <c r="O39" i="3"/>
  <c r="BS39" i="3" s="1"/>
  <c r="N40" i="3"/>
  <c r="O40" i="3" s="1"/>
  <c r="R39" i="3"/>
  <c r="R41" i="3"/>
  <c r="S41" i="3" s="1"/>
  <c r="W39" i="3"/>
  <c r="BU39" i="3" s="1"/>
  <c r="V40" i="3"/>
  <c r="W40" i="3" s="1"/>
  <c r="Z39" i="3"/>
  <c r="Z41" i="3"/>
  <c r="AA41" i="3" s="1"/>
  <c r="AE39" i="3"/>
  <c r="AD40" i="3"/>
  <c r="AE40" i="3" s="1"/>
  <c r="CB41" i="3"/>
  <c r="G43" i="3"/>
  <c r="BQ43" i="3" s="1"/>
  <c r="J43" i="3"/>
  <c r="K43" i="3" s="1"/>
  <c r="O43" i="3"/>
  <c r="BS43" i="3" s="1"/>
  <c r="R43" i="3"/>
  <c r="S43" i="3" s="1"/>
  <c r="W43" i="3"/>
  <c r="BU43" i="3" s="1"/>
  <c r="Z43" i="3"/>
  <c r="AA43" i="3" s="1"/>
  <c r="AE43" i="3"/>
  <c r="BW43" i="3" s="1"/>
  <c r="BZ43" i="3"/>
  <c r="BZ45" i="3" s="1"/>
  <c r="CB43" i="3"/>
  <c r="AJ45" i="3"/>
  <c r="BX35" i="3"/>
  <c r="BZ35" i="3"/>
  <c r="CB35" i="3"/>
  <c r="CB36" i="3" s="1"/>
  <c r="AT36" i="3"/>
  <c r="BA65" i="3"/>
  <c r="BA68" i="3" s="1"/>
  <c r="H68" i="3"/>
  <c r="J68" i="3"/>
  <c r="L68" i="3"/>
  <c r="N68" i="3"/>
  <c r="P68" i="3"/>
  <c r="R68" i="3"/>
  <c r="BQ68" i="3"/>
  <c r="BS68" i="3"/>
  <c r="BU68" i="3"/>
  <c r="BW68" i="3"/>
  <c r="BY68" i="3"/>
  <c r="CA68" i="3"/>
  <c r="H77" i="3"/>
  <c r="P77" i="3"/>
  <c r="X77" i="3"/>
  <c r="AF77" i="3"/>
  <c r="AH77" i="3"/>
  <c r="AJ77" i="3"/>
  <c r="AL77" i="3"/>
  <c r="AN77" i="3"/>
  <c r="AP77" i="3"/>
  <c r="AS77" i="3"/>
  <c r="AU77" i="3"/>
  <c r="AW77" i="3"/>
  <c r="AY77" i="3"/>
  <c r="BA77" i="3"/>
  <c r="L77" i="3"/>
  <c r="T77" i="3"/>
  <c r="AB77" i="3"/>
  <c r="AG77" i="3"/>
  <c r="AI77" i="3"/>
  <c r="AK77" i="3"/>
  <c r="AM77" i="3"/>
  <c r="AO77" i="3"/>
  <c r="AR77" i="3"/>
  <c r="AT77" i="3"/>
  <c r="AV77" i="3"/>
  <c r="AX77" i="3"/>
  <c r="AZ77" i="3"/>
  <c r="BR25" i="2"/>
  <c r="CB87" i="2"/>
  <c r="BR82" i="2"/>
  <c r="BT82" i="2"/>
  <c r="BT83" i="2" s="1"/>
  <c r="BV82" i="2"/>
  <c r="BV83" i="2" s="1"/>
  <c r="BX82" i="2"/>
  <c r="BZ82" i="2"/>
  <c r="CB82" i="2"/>
  <c r="BQ18" i="2"/>
  <c r="BS18" i="2"/>
  <c r="BU18" i="2"/>
  <c r="BW18" i="2"/>
  <c r="BY18" i="2"/>
  <c r="CA18" i="2"/>
  <c r="AZ82" i="2"/>
  <c r="AZ58" i="2"/>
  <c r="AZ53" i="2" s="1"/>
  <c r="R87" i="2"/>
  <c r="R25" i="2"/>
  <c r="R63" i="3" s="1"/>
  <c r="T87" i="2"/>
  <c r="T25" i="2"/>
  <c r="T63" i="3" s="1"/>
  <c r="V87" i="2"/>
  <c r="V25" i="2"/>
  <c r="X87" i="2"/>
  <c r="X25" i="2"/>
  <c r="X63" i="3" s="1"/>
  <c r="Z87" i="2"/>
  <c r="Z25" i="2"/>
  <c r="Z63" i="3" s="1"/>
  <c r="AB87" i="2"/>
  <c r="AB25" i="2"/>
  <c r="AB63" i="3" s="1"/>
  <c r="AD87" i="2"/>
  <c r="AD25" i="2"/>
  <c r="AF87" i="2"/>
  <c r="AF25" i="2"/>
  <c r="AF63" i="3" s="1"/>
  <c r="AH87" i="2"/>
  <c r="AH25" i="2"/>
  <c r="AH63" i="3" s="1"/>
  <c r="AJ87" i="2"/>
  <c r="AJ25" i="2"/>
  <c r="AJ63" i="3" s="1"/>
  <c r="AL87" i="2"/>
  <c r="AL25" i="2"/>
  <c r="AN87" i="2"/>
  <c r="AN25" i="2"/>
  <c r="AN63" i="3" s="1"/>
  <c r="AP87" i="2"/>
  <c r="AP25" i="2"/>
  <c r="AP63" i="3" s="1"/>
  <c r="AR87" i="2"/>
  <c r="AR25" i="2"/>
  <c r="AR63" i="3" s="1"/>
  <c r="AT87" i="2"/>
  <c r="AT25" i="2"/>
  <c r="AX87" i="2"/>
  <c r="AX25" i="2"/>
  <c r="AZ18" i="2"/>
  <c r="BQ58" i="2"/>
  <c r="BQ53" i="2" s="1"/>
  <c r="BS58" i="2"/>
  <c r="BS53" i="2" s="1"/>
  <c r="BU58" i="2"/>
  <c r="BU53" i="2" s="1"/>
  <c r="BW58" i="2"/>
  <c r="BW53" i="2" s="1"/>
  <c r="BY58" i="2"/>
  <c r="BY53" i="2" s="1"/>
  <c r="CA58" i="2"/>
  <c r="CA53" i="2" s="1"/>
  <c r="AZ24" i="2"/>
  <c r="D25" i="2"/>
  <c r="D62" i="3" s="1"/>
  <c r="D74" i="3" s="1"/>
  <c r="F25" i="2"/>
  <c r="F62" i="3" s="1"/>
  <c r="F64" i="3" s="1"/>
  <c r="F65" i="3" s="1"/>
  <c r="F68" i="3" s="1"/>
  <c r="H25" i="2"/>
  <c r="H63" i="3" s="1"/>
  <c r="J25" i="2"/>
  <c r="J63" i="3" s="1"/>
  <c r="L25" i="2"/>
  <c r="L63" i="3" s="1"/>
  <c r="N25" i="2"/>
  <c r="N63" i="3" s="1"/>
  <c r="P25" i="2"/>
  <c r="P63" i="3" s="1"/>
  <c r="S25" i="2"/>
  <c r="W25" i="2"/>
  <c r="AA25" i="2"/>
  <c r="AE25" i="2"/>
  <c r="AI25" i="2"/>
  <c r="AM25" i="2"/>
  <c r="AQ25" i="2"/>
  <c r="AU25" i="2"/>
  <c r="BR34" i="2"/>
  <c r="BR87" i="2" s="1"/>
  <c r="BV34" i="2"/>
  <c r="BZ34" i="2"/>
  <c r="AY34" i="2"/>
  <c r="AY43" i="2" s="1"/>
  <c r="AY45" i="2" s="1"/>
  <c r="AQ67" i="2"/>
  <c r="AQ71" i="2" s="1"/>
  <c r="AQ74" i="2" s="1"/>
  <c r="BZ62" i="2"/>
  <c r="AV82" i="2"/>
  <c r="AV58" i="2"/>
  <c r="AV53" i="2" s="1"/>
  <c r="BA82" i="2"/>
  <c r="BA58" i="2"/>
  <c r="AW87" i="2"/>
  <c r="BA18" i="2"/>
  <c r="BR58" i="2"/>
  <c r="BR53" i="2" s="1"/>
  <c r="BT58" i="2"/>
  <c r="BT53" i="2" s="1"/>
  <c r="BV58" i="2"/>
  <c r="BV53" i="2" s="1"/>
  <c r="BX58" i="2"/>
  <c r="BX53" i="2" s="1"/>
  <c r="BZ58" i="2"/>
  <c r="BZ53" i="2" s="1"/>
  <c r="CB58" i="2"/>
  <c r="CB53" i="2" s="1"/>
  <c r="E25" i="2"/>
  <c r="G25" i="2"/>
  <c r="I25" i="2"/>
  <c r="K25" i="2"/>
  <c r="M25" i="2"/>
  <c r="O25" i="2"/>
  <c r="Q25" i="2"/>
  <c r="U25" i="2"/>
  <c r="Y25" i="2"/>
  <c r="AC25" i="2"/>
  <c r="AG25" i="2"/>
  <c r="AK25" i="2"/>
  <c r="AO25" i="2"/>
  <c r="AS25" i="2"/>
  <c r="AW25" i="2"/>
  <c r="BA39" i="2"/>
  <c r="BR80" i="2"/>
  <c r="BR73" i="2"/>
  <c r="BT80" i="2"/>
  <c r="BT81" i="2" s="1"/>
  <c r="BT79" i="2"/>
  <c r="BT73" i="2"/>
  <c r="BV80" i="2"/>
  <c r="BV81" i="2" s="1"/>
  <c r="BV79" i="2"/>
  <c r="BV73" i="2"/>
  <c r="BX80" i="2"/>
  <c r="BX73" i="2"/>
  <c r="BX43" i="2"/>
  <c r="BZ80" i="2"/>
  <c r="BZ73" i="2"/>
  <c r="CB80" i="2"/>
  <c r="CB73" i="2"/>
  <c r="BQ34" i="2"/>
  <c r="BQ43" i="2" s="1"/>
  <c r="BS34" i="2"/>
  <c r="BS43" i="2" s="1"/>
  <c r="BU34" i="2"/>
  <c r="BU43" i="2" s="1"/>
  <c r="BW34" i="2"/>
  <c r="BW43" i="2" s="1"/>
  <c r="BY34" i="2"/>
  <c r="BY43" i="2" s="1"/>
  <c r="CA34" i="2"/>
  <c r="CA43" i="2" s="1"/>
  <c r="BQ80" i="2"/>
  <c r="BQ73" i="2"/>
  <c r="BS80" i="2"/>
  <c r="BS73" i="2"/>
  <c r="BU79" i="2"/>
  <c r="BU80" i="2"/>
  <c r="BU81" i="2" s="1"/>
  <c r="BU73" i="2"/>
  <c r="BW80" i="2"/>
  <c r="BW73" i="2"/>
  <c r="BY80" i="2"/>
  <c r="BY73" i="2"/>
  <c r="CA80" i="2"/>
  <c r="CA73" i="2"/>
  <c r="BT71" i="2"/>
  <c r="AT67" i="2"/>
  <c r="AT71" i="2" s="1"/>
  <c r="AT74" i="2" s="1"/>
  <c r="BQ67" i="2"/>
  <c r="BQ71" i="2" s="1"/>
  <c r="BS67" i="2"/>
  <c r="BS71" i="2" s="1"/>
  <c r="BU67" i="2"/>
  <c r="BU71" i="2" s="1"/>
  <c r="BW67" i="2"/>
  <c r="BW71" i="2" s="1"/>
  <c r="BY67" i="2"/>
  <c r="BY71" i="2" s="1"/>
  <c r="CA67" i="2"/>
  <c r="CA71" i="2" s="1"/>
  <c r="AP67" i="2"/>
  <c r="AP71" i="2" s="1"/>
  <c r="AP74" i="2" s="1"/>
  <c r="D74" i="2"/>
  <c r="F74" i="2"/>
  <c r="H74" i="2"/>
  <c r="J74" i="2"/>
  <c r="L74" i="2"/>
  <c r="N74" i="2"/>
  <c r="P74" i="2"/>
  <c r="R74" i="2"/>
  <c r="T74" i="2"/>
  <c r="V74" i="2"/>
  <c r="X74" i="2"/>
  <c r="Z74" i="2"/>
  <c r="AB74" i="2"/>
  <c r="AD74" i="2"/>
  <c r="AF74" i="2"/>
  <c r="AH74" i="2"/>
  <c r="AJ74" i="2"/>
  <c r="AL74" i="2"/>
  <c r="AN74" i="2"/>
  <c r="AV74" i="2"/>
  <c r="AX74" i="2"/>
  <c r="AZ74" i="2"/>
  <c r="J79" i="2"/>
  <c r="N79" i="2"/>
  <c r="R79" i="2"/>
  <c r="V79" i="2"/>
  <c r="Z79" i="2"/>
  <c r="AD79" i="2"/>
  <c r="AH79" i="2"/>
  <c r="AL79" i="2"/>
  <c r="AP79" i="2"/>
  <c r="AT79" i="2"/>
  <c r="AX79" i="2"/>
  <c r="AN83" i="2"/>
  <c r="AR83" i="2"/>
  <c r="AC81" i="2"/>
  <c r="AE81" i="2"/>
  <c r="AG81" i="2"/>
  <c r="AI81" i="2"/>
  <c r="AK81" i="2"/>
  <c r="AM81" i="2"/>
  <c r="AO81" i="2"/>
  <c r="AQ81" i="2"/>
  <c r="AS81" i="2"/>
  <c r="AU81" i="2"/>
  <c r="AW81" i="2"/>
  <c r="AY81" i="2"/>
  <c r="AD81" i="2"/>
  <c r="AH81" i="2"/>
  <c r="AL81" i="2"/>
  <c r="AP81" i="2"/>
  <c r="AT81" i="2"/>
  <c r="AX81" i="2"/>
  <c r="I83" i="2"/>
  <c r="K83" i="2"/>
  <c r="M83" i="2"/>
  <c r="O83" i="2"/>
  <c r="Q83" i="2"/>
  <c r="S83" i="2"/>
  <c r="U83" i="2"/>
  <c r="W83" i="2"/>
  <c r="Y83" i="2"/>
  <c r="AA83" i="2"/>
  <c r="AC83" i="2"/>
  <c r="AE83" i="2"/>
  <c r="AG83" i="2"/>
  <c r="AI83" i="2"/>
  <c r="AK83" i="2"/>
  <c r="AM83" i="2"/>
  <c r="AQ83" i="2"/>
  <c r="AU83" i="2"/>
  <c r="AY83" i="2"/>
  <c r="AO83" i="2"/>
  <c r="AS83" i="2"/>
  <c r="AW83" i="2"/>
  <c r="AM39" i="1"/>
  <c r="BR30" i="1"/>
  <c r="G39" i="1"/>
  <c r="Y39" i="1"/>
  <c r="AI39" i="1"/>
  <c r="AK39" i="1"/>
  <c r="AQ39" i="1"/>
  <c r="AX41" i="1"/>
  <c r="CA12" i="1"/>
  <c r="AR13" i="1"/>
  <c r="AT13" i="1"/>
  <c r="AV13" i="1"/>
  <c r="AZ13" i="1"/>
  <c r="BT14" i="1"/>
  <c r="BV14" i="1"/>
  <c r="BX14" i="1"/>
  <c r="CB14" i="1"/>
  <c r="CB12" i="1"/>
  <c r="AS13" i="1"/>
  <c r="AU13" i="1"/>
  <c r="AW13" i="1"/>
  <c r="AY13" i="1"/>
  <c r="BA13" i="1"/>
  <c r="BS14" i="1"/>
  <c r="BU14" i="1"/>
  <c r="BW14" i="1"/>
  <c r="BY14" i="1"/>
  <c r="CA14" i="1"/>
  <c r="BZ16" i="1"/>
  <c r="BZ57" i="2" s="1"/>
  <c r="BZ51" i="2" s="1"/>
  <c r="BZ50" i="2" s="1"/>
  <c r="BQ17" i="1"/>
  <c r="BS17" i="1"/>
  <c r="BU17" i="1"/>
  <c r="BW17" i="1"/>
  <c r="BY17" i="1"/>
  <c r="CA17" i="1"/>
  <c r="CA19" i="1"/>
  <c r="CA108" i="1" s="1"/>
  <c r="AT21" i="1"/>
  <c r="AT22" i="1" s="1"/>
  <c r="AV21" i="1"/>
  <c r="AV22" i="1" s="1"/>
  <c r="AX21" i="1"/>
  <c r="AX22" i="1" s="1"/>
  <c r="AT23" i="1"/>
  <c r="AT24" i="1" s="1"/>
  <c r="AV23" i="1"/>
  <c r="AV24" i="1" s="1"/>
  <c r="AX23" i="1"/>
  <c r="AX24" i="1" s="1"/>
  <c r="BQ21" i="1"/>
  <c r="BQ22" i="1" s="1"/>
  <c r="BS21" i="1"/>
  <c r="BS22" i="1" s="1"/>
  <c r="BU21" i="1"/>
  <c r="BU22" i="1" s="1"/>
  <c r="BW21" i="1"/>
  <c r="BW22" i="1" s="1"/>
  <c r="BY21" i="1"/>
  <c r="BY22" i="1" s="1"/>
  <c r="CA21" i="1"/>
  <c r="BS23" i="1"/>
  <c r="BS24" i="1" s="1"/>
  <c r="BU23" i="1"/>
  <c r="BU24" i="1" s="1"/>
  <c r="BW23" i="1"/>
  <c r="BW24" i="1" s="1"/>
  <c r="BY23" i="1"/>
  <c r="BQ26" i="1"/>
  <c r="BS26" i="1"/>
  <c r="BU26" i="1"/>
  <c r="BW26" i="1"/>
  <c r="BY26" i="1"/>
  <c r="CA26" i="1"/>
  <c r="D27" i="1"/>
  <c r="F27" i="1"/>
  <c r="H27" i="1"/>
  <c r="J27" i="1"/>
  <c r="L27" i="1"/>
  <c r="N27" i="1"/>
  <c r="P27" i="1"/>
  <c r="R27" i="1"/>
  <c r="T27" i="1"/>
  <c r="V27" i="1"/>
  <c r="X27" i="1"/>
  <c r="Z27" i="1"/>
  <c r="AB27" i="1"/>
  <c r="AD27" i="1"/>
  <c r="AF27" i="1"/>
  <c r="AH27" i="1"/>
  <c r="AJ27" i="1"/>
  <c r="AL27" i="1"/>
  <c r="AN27" i="1"/>
  <c r="AP27" i="1"/>
  <c r="AR27" i="1"/>
  <c r="AT27" i="1"/>
  <c r="AV27" i="1"/>
  <c r="AX27" i="1"/>
  <c r="AZ27" i="1"/>
  <c r="E28" i="1"/>
  <c r="G28" i="1"/>
  <c r="I28" i="1"/>
  <c r="K28" i="1"/>
  <c r="M28" i="1"/>
  <c r="O28" i="1"/>
  <c r="Q28" i="1"/>
  <c r="S28" i="1"/>
  <c r="U28" i="1"/>
  <c r="W28" i="1"/>
  <c r="Y28" i="1"/>
  <c r="AA28" i="1"/>
  <c r="AC28" i="1"/>
  <c r="AE28" i="1"/>
  <c r="AG28" i="1"/>
  <c r="AI28" i="1"/>
  <c r="AK28" i="1"/>
  <c r="AM28" i="1"/>
  <c r="AO28" i="1"/>
  <c r="AS28" i="1"/>
  <c r="BA28" i="1"/>
  <c r="E30" i="1"/>
  <c r="G30" i="1"/>
  <c r="I30" i="1"/>
  <c r="K30" i="1"/>
  <c r="M30" i="1"/>
  <c r="O30" i="1"/>
  <c r="Q30" i="1"/>
  <c r="S30" i="1"/>
  <c r="U30" i="1"/>
  <c r="W30" i="1"/>
  <c r="Y30" i="1"/>
  <c r="AA30" i="1"/>
  <c r="AC30" i="1"/>
  <c r="AE30" i="1"/>
  <c r="AG30" i="1"/>
  <c r="AI30" i="1"/>
  <c r="AK30" i="1"/>
  <c r="AM30" i="1"/>
  <c r="AO30" i="1"/>
  <c r="BQ33" i="1"/>
  <c r="CA147" i="1"/>
  <c r="BS34" i="1"/>
  <c r="BU34" i="1"/>
  <c r="BW34" i="1"/>
  <c r="BY34" i="1"/>
  <c r="CA34" i="1"/>
  <c r="BY36" i="1"/>
  <c r="BY38" i="1" s="1"/>
  <c r="W108" i="1"/>
  <c r="W40" i="1"/>
  <c r="AW41" i="1"/>
  <c r="AY41" i="1"/>
  <c r="BA108" i="1"/>
  <c r="BA40" i="1"/>
  <c r="W38" i="1"/>
  <c r="AW38" i="1"/>
  <c r="AY38" i="1"/>
  <c r="BA38" i="1"/>
  <c r="E39" i="1"/>
  <c r="I39" i="1"/>
  <c r="K39" i="1"/>
  <c r="M39" i="1"/>
  <c r="O39" i="1"/>
  <c r="Q39" i="1"/>
  <c r="S39" i="1"/>
  <c r="U39" i="1"/>
  <c r="AA39" i="1"/>
  <c r="AC39" i="1"/>
  <c r="AE39" i="1"/>
  <c r="AG39" i="1"/>
  <c r="AO39" i="1"/>
  <c r="AS39" i="1"/>
  <c r="AU39" i="1"/>
  <c r="H73" i="1"/>
  <c r="J73" i="1"/>
  <c r="L73" i="1"/>
  <c r="N73" i="1"/>
  <c r="AH40" i="1"/>
  <c r="AL40" i="1"/>
  <c r="AZ40" i="1"/>
  <c r="F41" i="1"/>
  <c r="J41" i="1"/>
  <c r="N41" i="1"/>
  <c r="R41" i="1"/>
  <c r="V41" i="1"/>
  <c r="Z41" i="1"/>
  <c r="AD41" i="1"/>
  <c r="AT41" i="1"/>
  <c r="BS38" i="1"/>
  <c r="BW38" i="1"/>
  <c r="CA38" i="1"/>
  <c r="BU40" i="1"/>
  <c r="BR50" i="1"/>
  <c r="BR51" i="1" s="1"/>
  <c r="BR48" i="1"/>
  <c r="BR49" i="1" s="1"/>
  <c r="BT50" i="1"/>
  <c r="BT51" i="1" s="1"/>
  <c r="BT48" i="1"/>
  <c r="BX50" i="1"/>
  <c r="BX51" i="1" s="1"/>
  <c r="BX48" i="1"/>
  <c r="BZ50" i="1"/>
  <c r="BZ48" i="1"/>
  <c r="CB48" i="1"/>
  <c r="BR44" i="1"/>
  <c r="BV44" i="1"/>
  <c r="BZ44" i="1"/>
  <c r="BW48" i="1"/>
  <c r="CA48" i="1"/>
  <c r="W50" i="1"/>
  <c r="W51" i="1" s="1"/>
  <c r="W48" i="1"/>
  <c r="W49" i="1" s="1"/>
  <c r="BU46" i="1"/>
  <c r="BU50" i="1" s="1"/>
  <c r="BU51" i="1" s="1"/>
  <c r="AI50" i="1"/>
  <c r="AI51" i="1" s="1"/>
  <c r="AI48" i="1"/>
  <c r="AI49" i="1" s="1"/>
  <c r="AK50" i="1"/>
  <c r="AK51" i="1" s="1"/>
  <c r="AK48" i="1"/>
  <c r="AK49" i="1" s="1"/>
  <c r="BY46" i="1"/>
  <c r="BY50" i="1" s="1"/>
  <c r="AS49" i="1"/>
  <c r="AU49" i="1"/>
  <c r="AW49" i="1"/>
  <c r="AZ48" i="1"/>
  <c r="AZ49" i="1" s="1"/>
  <c r="AS51" i="1"/>
  <c r="AU51" i="1"/>
  <c r="AW51" i="1"/>
  <c r="AZ50" i="1"/>
  <c r="AZ51" i="1" s="1"/>
  <c r="BT61" i="1"/>
  <c r="AT61" i="1"/>
  <c r="AX61" i="1"/>
  <c r="AX13" i="1"/>
  <c r="BZ14" i="1"/>
  <c r="CB19" i="1"/>
  <c r="AU21" i="1"/>
  <c r="AU22" i="1" s="1"/>
  <c r="AW21" i="1"/>
  <c r="AW22" i="1" s="1"/>
  <c r="AY21" i="1"/>
  <c r="AY22" i="1" s="1"/>
  <c r="AU23" i="1"/>
  <c r="AU24" i="1" s="1"/>
  <c r="AW23" i="1"/>
  <c r="AW24" i="1" s="1"/>
  <c r="AY23" i="1"/>
  <c r="AY24" i="1" s="1"/>
  <c r="BR21" i="1"/>
  <c r="BR22" i="1" s="1"/>
  <c r="BT21" i="1"/>
  <c r="BT22" i="1" s="1"/>
  <c r="BV21" i="1"/>
  <c r="BV22" i="1" s="1"/>
  <c r="BX21" i="1"/>
  <c r="BX22" i="1" s="1"/>
  <c r="E27" i="1"/>
  <c r="G27" i="1"/>
  <c r="I27" i="1"/>
  <c r="K27" i="1"/>
  <c r="M27" i="1"/>
  <c r="O27" i="1"/>
  <c r="Q27" i="1"/>
  <c r="S27" i="1"/>
  <c r="U27" i="1"/>
  <c r="W27" i="1"/>
  <c r="Y27" i="1"/>
  <c r="AA27" i="1"/>
  <c r="AC27" i="1"/>
  <c r="AE27" i="1"/>
  <c r="AG27" i="1"/>
  <c r="AI27" i="1"/>
  <c r="AK27" i="1"/>
  <c r="AM27" i="1"/>
  <c r="AO27" i="1"/>
  <c r="AS27" i="1"/>
  <c r="AU27" i="1"/>
  <c r="AW27" i="1"/>
  <c r="AY27" i="1"/>
  <c r="BA27" i="1"/>
  <c r="AR28" i="1"/>
  <c r="AZ28" i="1"/>
  <c r="Z29" i="1"/>
  <c r="AR30" i="1"/>
  <c r="G40" i="1"/>
  <c r="BR40" i="1"/>
  <c r="BR38" i="1"/>
  <c r="BT40" i="1"/>
  <c r="BT38" i="1"/>
  <c r="BV40" i="1"/>
  <c r="BV38" i="1"/>
  <c r="CB147" i="1"/>
  <c r="G34" i="1"/>
  <c r="BR34" i="1"/>
  <c r="BT34" i="1"/>
  <c r="BV34" i="1"/>
  <c r="BX34" i="1"/>
  <c r="BZ34" i="1"/>
  <c r="CB34" i="1"/>
  <c r="Y108" i="1"/>
  <c r="Y40" i="1"/>
  <c r="AI108" i="1"/>
  <c r="AI40" i="1"/>
  <c r="AK108" i="1"/>
  <c r="AK40" i="1"/>
  <c r="AM108" i="1"/>
  <c r="AM40" i="1"/>
  <c r="AQ108" i="1"/>
  <c r="AQ40" i="1"/>
  <c r="AX38" i="1"/>
  <c r="AZ38" i="1"/>
  <c r="D39" i="1"/>
  <c r="F39" i="1"/>
  <c r="H39" i="1"/>
  <c r="J39" i="1"/>
  <c r="L39" i="1"/>
  <c r="N39" i="1"/>
  <c r="P39" i="1"/>
  <c r="R39" i="1"/>
  <c r="T39" i="1"/>
  <c r="V39" i="1"/>
  <c r="X39" i="1"/>
  <c r="Z39" i="1"/>
  <c r="AB39" i="1"/>
  <c r="AD39" i="1"/>
  <c r="AF39" i="1"/>
  <c r="AN39" i="1"/>
  <c r="AR39" i="1"/>
  <c r="AT39" i="1"/>
  <c r="AV39" i="1"/>
  <c r="AS41" i="1"/>
  <c r="AU41" i="1"/>
  <c r="D41" i="1"/>
  <c r="X41" i="1"/>
  <c r="AN41" i="1"/>
  <c r="G50" i="1"/>
  <c r="G51" i="1" s="1"/>
  <c r="G48" i="1"/>
  <c r="G49" i="1" s="1"/>
  <c r="BQ43" i="1"/>
  <c r="BS44" i="1"/>
  <c r="BU44" i="1"/>
  <c r="BW44" i="1"/>
  <c r="BY44" i="1"/>
  <c r="CA44" i="1"/>
  <c r="BS51" i="1"/>
  <c r="AY51" i="1"/>
  <c r="BA51" i="1"/>
  <c r="BS61" i="1"/>
  <c r="AU61" i="1"/>
  <c r="AW61" i="1"/>
  <c r="AY61" i="1"/>
  <c r="BA61" i="1"/>
  <c r="CB86" i="1"/>
  <c r="T58" i="1"/>
  <c r="T59" i="1" s="1"/>
  <c r="X58" i="1"/>
  <c r="X59" i="1" s="1"/>
  <c r="AH58" i="1"/>
  <c r="AH59" i="1" s="1"/>
  <c r="AJ58" i="1"/>
  <c r="AJ59" i="1" s="1"/>
  <c r="AL58" i="1"/>
  <c r="AL59" i="1" s="1"/>
  <c r="AN58" i="1"/>
  <c r="AN59" i="1" s="1"/>
  <c r="AP58" i="1"/>
  <c r="AP59" i="1" s="1"/>
  <c r="AR58" i="1"/>
  <c r="AR59" i="1" s="1"/>
  <c r="AT58" i="1"/>
  <c r="AT59" i="1" s="1"/>
  <c r="AV58" i="1"/>
  <c r="AV59" i="1" s="1"/>
  <c r="AX58" i="1"/>
  <c r="AX59" i="1" s="1"/>
  <c r="AZ59" i="1"/>
  <c r="X60" i="1"/>
  <c r="X61" i="1" s="1"/>
  <c r="AH60" i="1"/>
  <c r="AH61" i="1" s="1"/>
  <c r="AN60" i="1"/>
  <c r="AN61" i="1" s="1"/>
  <c r="AR60" i="1"/>
  <c r="AR61" i="1" s="1"/>
  <c r="AV60" i="1"/>
  <c r="AV61" i="1" s="1"/>
  <c r="BS58" i="1"/>
  <c r="BS59" i="1" s="1"/>
  <c r="BW58" i="1"/>
  <c r="F147" i="1"/>
  <c r="F148" i="1"/>
  <c r="H147" i="1"/>
  <c r="H148" i="1"/>
  <c r="J147" i="1"/>
  <c r="J148" i="1"/>
  <c r="L147" i="1"/>
  <c r="L148" i="1"/>
  <c r="N147" i="1"/>
  <c r="N148" i="1"/>
  <c r="P147" i="1"/>
  <c r="P148" i="1"/>
  <c r="R147" i="1"/>
  <c r="R148" i="1"/>
  <c r="T147" i="1"/>
  <c r="T148" i="1"/>
  <c r="V147" i="1"/>
  <c r="V148" i="1"/>
  <c r="X147" i="1"/>
  <c r="X148" i="1"/>
  <c r="Z147" i="1"/>
  <c r="Z148" i="1"/>
  <c r="AB147" i="1"/>
  <c r="AB148" i="1"/>
  <c r="AD147" i="1"/>
  <c r="AD148" i="1"/>
  <c r="AF147" i="1"/>
  <c r="AF148" i="1"/>
  <c r="AH147" i="1"/>
  <c r="AH148" i="1"/>
  <c r="AJ147" i="1"/>
  <c r="AJ148" i="1"/>
  <c r="AL147" i="1"/>
  <c r="AL148" i="1"/>
  <c r="AN147" i="1"/>
  <c r="AN148" i="1"/>
  <c r="AP147" i="1"/>
  <c r="AP148" i="1"/>
  <c r="AR147" i="1"/>
  <c r="AR148" i="1"/>
  <c r="AT147" i="1"/>
  <c r="AT148" i="1"/>
  <c r="AV147" i="1"/>
  <c r="AV148" i="1"/>
  <c r="AX147" i="1"/>
  <c r="AX148" i="1"/>
  <c r="AZ147" i="1"/>
  <c r="AZ148" i="1"/>
  <c r="Q68" i="1"/>
  <c r="Q72" i="1" s="1"/>
  <c r="S68" i="1"/>
  <c r="S72" i="1" s="1"/>
  <c r="U68" i="1"/>
  <c r="U72" i="1" s="1"/>
  <c r="W68" i="1"/>
  <c r="Y68" i="1"/>
  <c r="AA68" i="1"/>
  <c r="AA72" i="1" s="1"/>
  <c r="AC68" i="1"/>
  <c r="AC72" i="1" s="1"/>
  <c r="AE68" i="1"/>
  <c r="AE72" i="1" s="1"/>
  <c r="AG68" i="1"/>
  <c r="AG72" i="1" s="1"/>
  <c r="AI68" i="1"/>
  <c r="AK68" i="1"/>
  <c r="AM68" i="1"/>
  <c r="AP68" i="1"/>
  <c r="AR68" i="1"/>
  <c r="AT68" i="1"/>
  <c r="AV68" i="1"/>
  <c r="AX68" i="1"/>
  <c r="AZ68" i="1"/>
  <c r="AO69" i="1"/>
  <c r="AQ69" i="1"/>
  <c r="AS69" i="1"/>
  <c r="AU69" i="1"/>
  <c r="AU73" i="1" s="1"/>
  <c r="AW69" i="1"/>
  <c r="AW73" i="1" s="1"/>
  <c r="AY69" i="1"/>
  <c r="AY73" i="1" s="1"/>
  <c r="BA69" i="1"/>
  <c r="Q69" i="1"/>
  <c r="Q73" i="1" s="1"/>
  <c r="S69" i="1"/>
  <c r="S73" i="1" s="1"/>
  <c r="U69" i="1"/>
  <c r="U73" i="1" s="1"/>
  <c r="W69" i="1"/>
  <c r="Y69" i="1"/>
  <c r="AA69" i="1"/>
  <c r="AA73" i="1" s="1"/>
  <c r="AC69" i="1"/>
  <c r="AC73" i="1" s="1"/>
  <c r="AE69" i="1"/>
  <c r="AE73" i="1" s="1"/>
  <c r="AG69" i="1"/>
  <c r="AG73" i="1" s="1"/>
  <c r="AI69" i="1"/>
  <c r="AK69" i="1"/>
  <c r="AM69" i="1"/>
  <c r="AQ71" i="1"/>
  <c r="E73" i="1"/>
  <c r="I73" i="1"/>
  <c r="K73" i="1"/>
  <c r="M73" i="1"/>
  <c r="O73" i="1"/>
  <c r="H87" i="1"/>
  <c r="H86" i="1"/>
  <c r="J87" i="1"/>
  <c r="J86" i="1"/>
  <c r="M87" i="1"/>
  <c r="M86" i="1"/>
  <c r="O87" i="1"/>
  <c r="O86" i="1"/>
  <c r="Q87" i="1"/>
  <c r="Q86" i="1"/>
  <c r="S87" i="1"/>
  <c r="S86" i="1"/>
  <c r="U87" i="1"/>
  <c r="U86" i="1"/>
  <c r="W87" i="1"/>
  <c r="W86" i="1"/>
  <c r="Y87" i="1"/>
  <c r="Y86" i="1"/>
  <c r="AA87" i="1"/>
  <c r="AA86" i="1"/>
  <c r="AC87" i="1"/>
  <c r="AC86" i="1"/>
  <c r="AE87" i="1"/>
  <c r="AE86" i="1"/>
  <c r="AG87" i="1"/>
  <c r="AG86" i="1"/>
  <c r="AI87" i="1"/>
  <c r="AI86" i="1"/>
  <c r="AK87" i="1"/>
  <c r="AK86" i="1"/>
  <c r="AM87" i="1"/>
  <c r="AM86" i="1"/>
  <c r="AO87" i="1"/>
  <c r="AO86" i="1"/>
  <c r="AQ87" i="1"/>
  <c r="AQ86" i="1"/>
  <c r="AS87" i="1"/>
  <c r="AS86" i="1"/>
  <c r="AU87" i="1"/>
  <c r="AU86" i="1"/>
  <c r="AW87" i="1"/>
  <c r="AW86" i="1"/>
  <c r="AY87" i="1"/>
  <c r="AY86" i="1"/>
  <c r="BA87" i="1"/>
  <c r="BA86" i="1"/>
  <c r="BS83" i="1"/>
  <c r="BS82" i="1" s="1"/>
  <c r="L82" i="1"/>
  <c r="E86" i="1"/>
  <c r="Y48" i="1"/>
  <c r="Y49" i="1" s="1"/>
  <c r="AY48" i="1"/>
  <c r="AY49" i="1" s="1"/>
  <c r="BA48" i="1"/>
  <c r="BA49" i="1" s="1"/>
  <c r="BQ53" i="1"/>
  <c r="BR54" i="1"/>
  <c r="BT54" i="1"/>
  <c r="BV54" i="1"/>
  <c r="BX54" i="1"/>
  <c r="BZ54" i="1"/>
  <c r="CB54" i="1"/>
  <c r="BU55" i="1"/>
  <c r="BU115" i="1" s="1"/>
  <c r="BU116" i="1" s="1"/>
  <c r="BV56" i="1"/>
  <c r="BZ56" i="1"/>
  <c r="G54" i="1"/>
  <c r="G58" i="1"/>
  <c r="G59" i="1" s="1"/>
  <c r="W58" i="1"/>
  <c r="W59" i="1" s="1"/>
  <c r="Y58" i="1"/>
  <c r="Y59" i="1" s="1"/>
  <c r="AI58" i="1"/>
  <c r="AI59" i="1" s="1"/>
  <c r="AK58" i="1"/>
  <c r="AK59" i="1" s="1"/>
  <c r="AM58" i="1"/>
  <c r="AM59" i="1" s="1"/>
  <c r="AO58" i="1"/>
  <c r="AO59" i="1" s="1"/>
  <c r="AQ58" i="1"/>
  <c r="AQ59" i="1" s="1"/>
  <c r="AS58" i="1"/>
  <c r="AS59" i="1" s="1"/>
  <c r="AU58" i="1"/>
  <c r="AU59" i="1" s="1"/>
  <c r="AW58" i="1"/>
  <c r="AW59" i="1" s="1"/>
  <c r="AY58" i="1"/>
  <c r="AY59" i="1" s="1"/>
  <c r="BA58" i="1"/>
  <c r="BA59" i="1" s="1"/>
  <c r="AO60" i="1"/>
  <c r="AO61" i="1" s="1"/>
  <c r="AS60" i="1"/>
  <c r="AS61" i="1" s="1"/>
  <c r="BR58" i="1"/>
  <c r="BR59" i="1" s="1"/>
  <c r="BT58" i="1"/>
  <c r="BX58" i="1"/>
  <c r="BZ58" i="1"/>
  <c r="E148" i="1"/>
  <c r="E147" i="1"/>
  <c r="I148" i="1"/>
  <c r="I147" i="1"/>
  <c r="K148" i="1"/>
  <c r="K147" i="1"/>
  <c r="M148" i="1"/>
  <c r="M147" i="1"/>
  <c r="O63" i="1"/>
  <c r="Q148" i="1"/>
  <c r="Q147" i="1"/>
  <c r="S148" i="1"/>
  <c r="S147" i="1"/>
  <c r="U148" i="1"/>
  <c r="U147" i="1"/>
  <c r="W148" i="1"/>
  <c r="W147" i="1"/>
  <c r="Y148" i="1"/>
  <c r="Y147" i="1"/>
  <c r="AA148" i="1"/>
  <c r="AA147" i="1"/>
  <c r="AC148" i="1"/>
  <c r="AC147" i="1"/>
  <c r="AE148" i="1"/>
  <c r="AE147" i="1"/>
  <c r="AG148" i="1"/>
  <c r="AG147" i="1"/>
  <c r="AI148" i="1"/>
  <c r="AI147" i="1"/>
  <c r="AK148" i="1"/>
  <c r="AK147" i="1"/>
  <c r="AM148" i="1"/>
  <c r="AM147" i="1"/>
  <c r="AO148" i="1"/>
  <c r="AO147" i="1"/>
  <c r="AS148" i="1"/>
  <c r="AS147" i="1"/>
  <c r="AU148" i="1"/>
  <c r="AU147" i="1"/>
  <c r="AW148" i="1"/>
  <c r="AW147" i="1"/>
  <c r="AY148" i="1"/>
  <c r="AY147" i="1"/>
  <c r="BA148" i="1"/>
  <c r="BA147" i="1"/>
  <c r="BQ65" i="1"/>
  <c r="BQ63" i="1" s="1"/>
  <c r="BS65" i="1"/>
  <c r="BS63" i="1" s="1"/>
  <c r="P68" i="1"/>
  <c r="P72" i="1" s="1"/>
  <c r="R68" i="1"/>
  <c r="R72" i="1" s="1"/>
  <c r="T68" i="1"/>
  <c r="V68" i="1"/>
  <c r="V72" i="1" s="1"/>
  <c r="X68" i="1"/>
  <c r="Z68" i="1"/>
  <c r="Z72" i="1" s="1"/>
  <c r="Z77" i="1" s="1"/>
  <c r="AB68" i="1"/>
  <c r="AB72" i="1" s="1"/>
  <c r="AD68" i="1"/>
  <c r="AD72" i="1" s="1"/>
  <c r="AF68" i="1"/>
  <c r="AF72" i="1" s="1"/>
  <c r="AH68" i="1"/>
  <c r="AJ68" i="1"/>
  <c r="AL68" i="1"/>
  <c r="AO68" i="1"/>
  <c r="AQ68" i="1"/>
  <c r="AS68" i="1"/>
  <c r="AU68" i="1"/>
  <c r="AW68" i="1"/>
  <c r="AY68" i="1"/>
  <c r="BA68" i="1"/>
  <c r="AP69" i="1"/>
  <c r="AR69" i="1"/>
  <c r="AT69" i="1"/>
  <c r="AT73" i="1" s="1"/>
  <c r="AV69" i="1"/>
  <c r="AX69" i="1"/>
  <c r="AX73" i="1" s="1"/>
  <c r="AZ69" i="1"/>
  <c r="P69" i="1"/>
  <c r="P73" i="1" s="1"/>
  <c r="R69" i="1"/>
  <c r="R73" i="1" s="1"/>
  <c r="T69" i="1"/>
  <c r="T73" i="1" s="1"/>
  <c r="V69" i="1"/>
  <c r="V73" i="1" s="1"/>
  <c r="X69" i="1"/>
  <c r="Z69" i="1"/>
  <c r="Z73" i="1" s="1"/>
  <c r="AB69" i="1"/>
  <c r="AB73" i="1" s="1"/>
  <c r="AD69" i="1"/>
  <c r="AD73" i="1" s="1"/>
  <c r="AF69" i="1"/>
  <c r="AF73" i="1" s="1"/>
  <c r="AH69" i="1"/>
  <c r="AJ69" i="1"/>
  <c r="AL69" i="1"/>
  <c r="F71" i="1"/>
  <c r="F75" i="1" s="1"/>
  <c r="H71" i="1"/>
  <c r="H75" i="1" s="1"/>
  <c r="J71" i="1"/>
  <c r="J75" i="1" s="1"/>
  <c r="L71" i="1"/>
  <c r="L75" i="1" s="1"/>
  <c r="N71" i="1"/>
  <c r="N75" i="1" s="1"/>
  <c r="P71" i="1"/>
  <c r="P75" i="1" s="1"/>
  <c r="R71" i="1"/>
  <c r="R75" i="1" s="1"/>
  <c r="T71" i="1"/>
  <c r="T75" i="1" s="1"/>
  <c r="V71" i="1"/>
  <c r="V75" i="1" s="1"/>
  <c r="X71" i="1"/>
  <c r="X75" i="1" s="1"/>
  <c r="Z71" i="1"/>
  <c r="Z75" i="1" s="1"/>
  <c r="AB71" i="1"/>
  <c r="AB75" i="1" s="1"/>
  <c r="AD71" i="1"/>
  <c r="AD75" i="1" s="1"/>
  <c r="AF71" i="1"/>
  <c r="AF75" i="1" s="1"/>
  <c r="AH71" i="1"/>
  <c r="AH75" i="1" s="1"/>
  <c r="AJ71" i="1"/>
  <c r="AJ75" i="1" s="1"/>
  <c r="AL71" i="1"/>
  <c r="AL75" i="1" s="1"/>
  <c r="AN71" i="1"/>
  <c r="AN75" i="1" s="1"/>
  <c r="AP71" i="1"/>
  <c r="AP75" i="1" s="1"/>
  <c r="AR71" i="1"/>
  <c r="AR75" i="1" s="1"/>
  <c r="AT71" i="1"/>
  <c r="AT75" i="1" s="1"/>
  <c r="AV71" i="1"/>
  <c r="AV75" i="1" s="1"/>
  <c r="AX71" i="1"/>
  <c r="AX75" i="1" s="1"/>
  <c r="AZ71" i="1"/>
  <c r="AZ75" i="1" s="1"/>
  <c r="BZ86" i="1"/>
  <c r="G103" i="1"/>
  <c r="BQ96" i="1"/>
  <c r="BR103" i="1"/>
  <c r="BR101" i="1"/>
  <c r="BT103" i="1"/>
  <c r="BT101" i="1"/>
  <c r="BV103" i="1"/>
  <c r="BV101" i="1"/>
  <c r="BX103" i="1"/>
  <c r="BX101" i="1"/>
  <c r="BZ103" i="1"/>
  <c r="BZ101" i="1"/>
  <c r="CB103" i="1"/>
  <c r="CB101" i="1"/>
  <c r="G101" i="1"/>
  <c r="D86" i="1"/>
  <c r="F86" i="1"/>
  <c r="N86" i="1"/>
  <c r="P86" i="1"/>
  <c r="R86" i="1"/>
  <c r="T86" i="1"/>
  <c r="V86" i="1"/>
  <c r="X86" i="1"/>
  <c r="Z86" i="1"/>
  <c r="AB86" i="1"/>
  <c r="AD86" i="1"/>
  <c r="AF86" i="1"/>
  <c r="AH86" i="1"/>
  <c r="AJ86" i="1"/>
  <c r="AL86" i="1"/>
  <c r="AN86" i="1"/>
  <c r="AP86" i="1"/>
  <c r="AR86" i="1"/>
  <c r="AT86" i="1"/>
  <c r="AV86" i="1"/>
  <c r="AX86" i="1"/>
  <c r="AZ86" i="1"/>
  <c r="BS101" i="1"/>
  <c r="BU101" i="1"/>
  <c r="BW101" i="1"/>
  <c r="BY101" i="1"/>
  <c r="CA101" i="1"/>
  <c r="E136" i="1"/>
  <c r="E78" i="2" s="1"/>
  <c r="E79" i="2" s="1"/>
  <c r="E137" i="1"/>
  <c r="G136" i="1"/>
  <c r="G78" i="2" s="1"/>
  <c r="G79" i="2" s="1"/>
  <c r="G137" i="1"/>
  <c r="BX137" i="1"/>
  <c r="BZ137" i="1"/>
  <c r="CB137" i="1"/>
  <c r="BT137" i="1"/>
  <c r="BT133" i="1"/>
  <c r="BV137" i="1"/>
  <c r="BV133" i="1"/>
  <c r="E133" i="1"/>
  <c r="BQ132" i="1"/>
  <c r="BQ133" i="1" s="1"/>
  <c r="D133" i="1"/>
  <c r="F133" i="1"/>
  <c r="H133" i="1"/>
  <c r="BQ135" i="1"/>
  <c r="D136" i="1"/>
  <c r="F136" i="1"/>
  <c r="F78" i="2" s="1"/>
  <c r="F83" i="2" s="1"/>
  <c r="H136" i="1"/>
  <c r="BW136" i="1"/>
  <c r="CB141" i="1"/>
  <c r="AQ11" i="9" l="1"/>
  <c r="BX108" i="1"/>
  <c r="AR10" i="9"/>
  <c r="AE34" i="9"/>
  <c r="AE36" i="9" s="1"/>
  <c r="AE10" i="9"/>
  <c r="AK12" i="9"/>
  <c r="AK11" i="9"/>
  <c r="BZ14" i="9"/>
  <c r="BZ10" i="9" s="1"/>
  <c r="BZ12" i="9" s="1"/>
  <c r="AO10" i="9"/>
  <c r="AP11" i="9" s="1"/>
  <c r="H45" i="2"/>
  <c r="R77" i="1"/>
  <c r="BR71" i="1"/>
  <c r="G148" i="1"/>
  <c r="BU71" i="1"/>
  <c r="BU148" i="1"/>
  <c r="AO12" i="9"/>
  <c r="AE35" i="9"/>
  <c r="BW24" i="9"/>
  <c r="BW10" i="9" s="1"/>
  <c r="BT43" i="2"/>
  <c r="BR74" i="2"/>
  <c r="BA24" i="2"/>
  <c r="BS35" i="3"/>
  <c r="W34" i="3"/>
  <c r="W58" i="3" s="1"/>
  <c r="W59" i="3" s="1"/>
  <c r="BZ58" i="3"/>
  <c r="BZ59" i="3" s="1"/>
  <c r="BM63" i="2"/>
  <c r="CA69" i="1"/>
  <c r="CB40" i="1"/>
  <c r="BX38" i="1"/>
  <c r="G71" i="1"/>
  <c r="G75" i="1" s="1"/>
  <c r="G76" i="1" s="1"/>
  <c r="CB68" i="1"/>
  <c r="CA60" i="1"/>
  <c r="W42" i="9"/>
  <c r="Y42" i="9"/>
  <c r="AV25" i="2"/>
  <c r="AV45" i="2" s="1"/>
  <c r="CA83" i="2"/>
  <c r="AA42" i="9"/>
  <c r="H77" i="1"/>
  <c r="H78" i="1" s="1"/>
  <c r="BV108" i="1"/>
  <c r="BV48" i="1"/>
  <c r="BZ108" i="1"/>
  <c r="BZ38" i="1"/>
  <c r="K76" i="1"/>
  <c r="BQ28" i="1"/>
  <c r="BC36" i="3"/>
  <c r="BC49" i="3" s="1"/>
  <c r="BQ54" i="2"/>
  <c r="BX77" i="3"/>
  <c r="BY28" i="1"/>
  <c r="BY86" i="1"/>
  <c r="J77" i="1"/>
  <c r="J78" i="1" s="1"/>
  <c r="BV87" i="2"/>
  <c r="J29" i="1"/>
  <c r="BR87" i="1"/>
  <c r="BW87" i="1"/>
  <c r="BY36" i="3"/>
  <c r="AA34" i="3"/>
  <c r="AA58" i="3" s="1"/>
  <c r="AA59" i="3" s="1"/>
  <c r="BU34" i="3"/>
  <c r="O34" i="3"/>
  <c r="CA77" i="3"/>
  <c r="BT54" i="2"/>
  <c r="R79" i="1"/>
  <c r="R93" i="1" s="1"/>
  <c r="AQ75" i="1"/>
  <c r="AQ76" i="1" s="1"/>
  <c r="BW69" i="1"/>
  <c r="BW73" i="1" s="1"/>
  <c r="AL39" i="1"/>
  <c r="BX40" i="1"/>
  <c r="BX41" i="1" s="1"/>
  <c r="CA71" i="1"/>
  <c r="BU39" i="1"/>
  <c r="BV30" i="1"/>
  <c r="CA61" i="1"/>
  <c r="AL72" i="1"/>
  <c r="AL77" i="1" s="1"/>
  <c r="AL91" i="1" s="1"/>
  <c r="L77" i="1"/>
  <c r="L78" i="1" s="1"/>
  <c r="BY69" i="1"/>
  <c r="D147" i="1"/>
  <c r="BU147" i="1"/>
  <c r="BY71" i="1"/>
  <c r="BY75" i="1" s="1"/>
  <c r="BU69" i="1"/>
  <c r="BU73" i="1" s="1"/>
  <c r="BY147" i="1"/>
  <c r="BY148" i="1"/>
  <c r="AF77" i="1"/>
  <c r="AF78" i="1" s="1"/>
  <c r="P77" i="1"/>
  <c r="P91" i="1" s="1"/>
  <c r="AD45" i="3"/>
  <c r="BQ137" i="1"/>
  <c r="BU28" i="1"/>
  <c r="AT28" i="1"/>
  <c r="AT29" i="1" s="1"/>
  <c r="BY61" i="1"/>
  <c r="BY58" i="1"/>
  <c r="BY59" i="1" s="1"/>
  <c r="CB60" i="1"/>
  <c r="D71" i="1"/>
  <c r="D75" i="1" s="1"/>
  <c r="D89" i="1" s="1"/>
  <c r="BX147" i="1"/>
  <c r="BX68" i="1"/>
  <c r="BW148" i="1"/>
  <c r="N77" i="1"/>
  <c r="N78" i="1" s="1"/>
  <c r="I76" i="1"/>
  <c r="BQ87" i="1"/>
  <c r="BQ86" i="1"/>
  <c r="CA87" i="1"/>
  <c r="CC38" i="1"/>
  <c r="V45" i="3"/>
  <c r="BV34" i="3"/>
  <c r="CB45" i="2"/>
  <c r="BU41" i="3"/>
  <c r="BY77" i="3"/>
  <c r="CB54" i="2"/>
  <c r="BT27" i="3"/>
  <c r="AH72" i="1"/>
  <c r="AH77" i="1" s="1"/>
  <c r="AH91" i="1" s="1"/>
  <c r="BS28" i="1"/>
  <c r="AV30" i="1"/>
  <c r="P45" i="2"/>
  <c r="BT45" i="2"/>
  <c r="BV54" i="2"/>
  <c r="F45" i="2"/>
  <c r="AZ54" i="2"/>
  <c r="BV58" i="3"/>
  <c r="BV59" i="3" s="1"/>
  <c r="CD66" i="2"/>
  <c r="BH66" i="2"/>
  <c r="BI66" i="2" s="1"/>
  <c r="BJ66" i="2" s="1"/>
  <c r="BK66" i="2" s="1"/>
  <c r="CD21" i="2"/>
  <c r="BH21" i="2"/>
  <c r="BI21" i="2" s="1"/>
  <c r="BJ21" i="2" s="1"/>
  <c r="BK21" i="2" s="1"/>
  <c r="BV28" i="3"/>
  <c r="BR137" i="1"/>
  <c r="BW147" i="1"/>
  <c r="BT30" i="1"/>
  <c r="BT31" i="1" s="1"/>
  <c r="BZ87" i="2"/>
  <c r="BX87" i="2"/>
  <c r="BU58" i="3"/>
  <c r="BU59" i="3" s="1"/>
  <c r="BR33" i="3"/>
  <c r="BW27" i="3"/>
  <c r="CD62" i="2"/>
  <c r="BH62" i="2"/>
  <c r="BI62" i="2" s="1"/>
  <c r="BJ62" i="2" s="1"/>
  <c r="BK62" i="2" s="1"/>
  <c r="BV43" i="2"/>
  <c r="BV45" i="2" s="1"/>
  <c r="BZ54" i="2"/>
  <c r="BR54" i="2"/>
  <c r="BV33" i="3"/>
  <c r="AA13" i="3"/>
  <c r="AA76" i="3" s="1"/>
  <c r="BT23" i="3"/>
  <c r="AG42" i="9"/>
  <c r="BV51" i="2"/>
  <c r="BV50" i="2" s="1"/>
  <c r="AC42" i="9"/>
  <c r="BV20" i="3"/>
  <c r="CD17" i="2"/>
  <c r="BH17" i="2"/>
  <c r="BI17" i="2" s="1"/>
  <c r="BJ17" i="2" s="1"/>
  <c r="BK17" i="2" s="1"/>
  <c r="AJ73" i="1"/>
  <c r="AJ79" i="1" s="1"/>
  <c r="AJ93" i="1" s="1"/>
  <c r="AP73" i="1"/>
  <c r="AP79" i="1" s="1"/>
  <c r="AP80" i="1" s="1"/>
  <c r="BR75" i="1"/>
  <c r="BR89" i="1" s="1"/>
  <c r="BW71" i="1"/>
  <c r="BW75" i="1" s="1"/>
  <c r="CB74" i="2"/>
  <c r="BX54" i="2"/>
  <c r="BW34" i="3"/>
  <c r="CB45" i="3"/>
  <c r="BS28" i="3"/>
  <c r="AJ40" i="9"/>
  <c r="AO15" i="9"/>
  <c r="AP15" i="9"/>
  <c r="CD38" i="2"/>
  <c r="BH38" i="2"/>
  <c r="BI38" i="2" s="1"/>
  <c r="BJ38" i="2" s="1"/>
  <c r="BK38" i="2" s="1"/>
  <c r="CD64" i="2"/>
  <c r="BH64" i="2"/>
  <c r="BI64" i="2" s="1"/>
  <c r="BJ64" i="2" s="1"/>
  <c r="BK64" i="2" s="1"/>
  <c r="CD36" i="2"/>
  <c r="BH36" i="2"/>
  <c r="BI36" i="2" s="1"/>
  <c r="BJ36" i="2" s="1"/>
  <c r="BK36" i="2" s="1"/>
  <c r="BV18" i="3"/>
  <c r="AF45" i="2"/>
  <c r="BX45" i="2"/>
  <c r="AT72" i="1"/>
  <c r="AT77" i="1" s="1"/>
  <c r="CA23" i="1"/>
  <c r="BA54" i="2"/>
  <c r="AP45" i="2"/>
  <c r="BS79" i="2"/>
  <c r="AN45" i="2"/>
  <c r="X45" i="2"/>
  <c r="Z45" i="2"/>
  <c r="AB42" i="9"/>
  <c r="U42" i="9"/>
  <c r="BZ71" i="1"/>
  <c r="H29" i="1"/>
  <c r="H79" i="1"/>
  <c r="H93" i="1" s="1"/>
  <c r="CA81" i="2"/>
  <c r="CB81" i="2"/>
  <c r="CB83" i="2"/>
  <c r="AF35" i="9"/>
  <c r="AN32" i="9"/>
  <c r="AN42" i="9" s="1"/>
  <c r="AN31" i="9"/>
  <c r="AE27" i="9"/>
  <c r="AE42" i="9" s="1"/>
  <c r="AE40" i="9"/>
  <c r="AN34" i="9"/>
  <c r="AN40" i="9" s="1"/>
  <c r="AF25" i="9"/>
  <c r="G86" i="1"/>
  <c r="AF79" i="1"/>
  <c r="AF80" i="1" s="1"/>
  <c r="P79" i="1"/>
  <c r="P93" i="1" s="1"/>
  <c r="CA51" i="1"/>
  <c r="AW89" i="1"/>
  <c r="AW106" i="1" s="1"/>
  <c r="BZ69" i="1"/>
  <c r="AQ30" i="1"/>
  <c r="AQ31" i="1" s="1"/>
  <c r="BY81" i="2"/>
  <c r="AE26" i="9"/>
  <c r="BU27" i="9"/>
  <c r="BX51" i="2"/>
  <c r="BX50" i="2" s="1"/>
  <c r="BT51" i="2"/>
  <c r="BT50" i="2" s="1"/>
  <c r="AX28" i="1"/>
  <c r="AX29" i="1" s="1"/>
  <c r="CA59" i="1"/>
  <c r="CA49" i="1"/>
  <c r="Z79" i="1"/>
  <c r="Z93" i="1" s="1"/>
  <c r="BX30" i="1"/>
  <c r="J79" i="1"/>
  <c r="J93" i="1" s="1"/>
  <c r="AQ28" i="1"/>
  <c r="BV71" i="1"/>
  <c r="BV75" i="1" s="1"/>
  <c r="BV89" i="1" s="1"/>
  <c r="BV69" i="1"/>
  <c r="CB51" i="2"/>
  <c r="CB50" i="2" s="1"/>
  <c r="BR51" i="2"/>
  <c r="BR50" i="2" s="1"/>
  <c r="CC78" i="2"/>
  <c r="AS45" i="2"/>
  <c r="AS63" i="3"/>
  <c r="AQ45" i="2"/>
  <c r="AQ63" i="3"/>
  <c r="AT45" i="2"/>
  <c r="AT63" i="3"/>
  <c r="AW45" i="2"/>
  <c r="AW63" i="3"/>
  <c r="CC23" i="2"/>
  <c r="CC12" i="2"/>
  <c r="CC22" i="2"/>
  <c r="CC15" i="3"/>
  <c r="CC65" i="1"/>
  <c r="CC63" i="1" s="1"/>
  <c r="CC141" i="1"/>
  <c r="CC135" i="1"/>
  <c r="BD78" i="2"/>
  <c r="BV87" i="1"/>
  <c r="BT87" i="1"/>
  <c r="BU87" i="1"/>
  <c r="AS89" i="1"/>
  <c r="AS90" i="1" s="1"/>
  <c r="AA76" i="1"/>
  <c r="AU76" i="1"/>
  <c r="CB59" i="1"/>
  <c r="CB49" i="1"/>
  <c r="BQ17" i="9"/>
  <c r="BQ22" i="9"/>
  <c r="BT32" i="9"/>
  <c r="BT27" i="9"/>
  <c r="CA22" i="1"/>
  <c r="BT17" i="9"/>
  <c r="BV22" i="9"/>
  <c r="BS27" i="9"/>
  <c r="BW28" i="1"/>
  <c r="AV28" i="1"/>
  <c r="BY24" i="1"/>
  <c r="CC14" i="3"/>
  <c r="CC18" i="1"/>
  <c r="CC115" i="1" s="1"/>
  <c r="N79" i="1"/>
  <c r="N93" i="1" s="1"/>
  <c r="AY76" i="1"/>
  <c r="AK76" i="1"/>
  <c r="U76" i="1"/>
  <c r="F77" i="1"/>
  <c r="F78" i="1" s="1"/>
  <c r="AI89" i="1"/>
  <c r="AI106" i="1" s="1"/>
  <c r="M76" i="1"/>
  <c r="AC76" i="1"/>
  <c r="BY40" i="1"/>
  <c r="D77" i="1"/>
  <c r="D78" i="1" s="1"/>
  <c r="CB51" i="1"/>
  <c r="E89" i="1"/>
  <c r="E97" i="1" s="1"/>
  <c r="BH45" i="1"/>
  <c r="BY51" i="1"/>
  <c r="BZ51" i="1"/>
  <c r="F79" i="1"/>
  <c r="F80" i="1" s="1"/>
  <c r="BA76" i="1"/>
  <c r="L79" i="1"/>
  <c r="L80" i="1" s="1"/>
  <c r="AM89" i="1"/>
  <c r="AM90" i="1" s="1"/>
  <c r="AE89" i="1"/>
  <c r="AE97" i="1" s="1"/>
  <c r="W89" i="1"/>
  <c r="W97" i="1" s="1"/>
  <c r="CB71" i="1"/>
  <c r="CB75" i="1" s="1"/>
  <c r="CB76" i="1" s="1"/>
  <c r="CB69" i="1"/>
  <c r="BT69" i="1"/>
  <c r="BT73" i="1" s="1"/>
  <c r="BT71" i="1"/>
  <c r="BT75" i="1" s="1"/>
  <c r="BT89" i="1" s="1"/>
  <c r="D79" i="1"/>
  <c r="D93" i="1" s="1"/>
  <c r="D104" i="1" s="1"/>
  <c r="S76" i="1"/>
  <c r="BX87" i="1"/>
  <c r="L45" i="2"/>
  <c r="D45" i="2"/>
  <c r="AY87" i="2"/>
  <c r="N45" i="2"/>
  <c r="D64" i="3"/>
  <c r="D65" i="3" s="1"/>
  <c r="D68" i="3" s="1"/>
  <c r="BS74" i="2"/>
  <c r="BV74" i="2"/>
  <c r="BY54" i="2"/>
  <c r="D73" i="3"/>
  <c r="D77" i="3" s="1"/>
  <c r="BX74" i="2"/>
  <c r="BT74" i="2"/>
  <c r="AO45" i="2"/>
  <c r="AO63" i="3"/>
  <c r="AG45" i="2"/>
  <c r="AG63" i="3"/>
  <c r="Y45" i="2"/>
  <c r="Y63" i="3"/>
  <c r="Q45" i="2"/>
  <c r="Q63" i="3"/>
  <c r="M45" i="2"/>
  <c r="M63" i="3"/>
  <c r="I45" i="2"/>
  <c r="I63" i="3"/>
  <c r="E45" i="2"/>
  <c r="E62" i="3"/>
  <c r="AI45" i="2"/>
  <c r="AI63" i="3"/>
  <c r="AA45" i="2"/>
  <c r="AA63" i="3"/>
  <c r="S45" i="2"/>
  <c r="S63" i="3"/>
  <c r="AX45" i="2"/>
  <c r="AX63" i="3"/>
  <c r="AL45" i="2"/>
  <c r="AL63" i="3"/>
  <c r="AD45" i="2"/>
  <c r="AD63" i="3"/>
  <c r="V45" i="2"/>
  <c r="V63" i="3"/>
  <c r="CC33" i="2"/>
  <c r="CC41" i="3"/>
  <c r="CC31" i="2"/>
  <c r="CC29" i="2"/>
  <c r="CC20" i="3"/>
  <c r="AR45" i="2"/>
  <c r="AJ45" i="2"/>
  <c r="AB45" i="2"/>
  <c r="T45" i="2"/>
  <c r="AK45" i="2"/>
  <c r="AK63" i="3"/>
  <c r="AC45" i="2"/>
  <c r="AC63" i="3"/>
  <c r="U45" i="2"/>
  <c r="U63" i="3"/>
  <c r="O45" i="2"/>
  <c r="O63" i="3"/>
  <c r="K45" i="2"/>
  <c r="K63" i="3"/>
  <c r="G45" i="2"/>
  <c r="G63" i="3"/>
  <c r="AH45" i="2"/>
  <c r="R45" i="2"/>
  <c r="J45" i="2"/>
  <c r="AU45" i="2"/>
  <c r="AU63" i="3"/>
  <c r="AM45" i="2"/>
  <c r="AM63" i="3"/>
  <c r="AE45" i="2"/>
  <c r="AE63" i="3"/>
  <c r="W45" i="2"/>
  <c r="W63" i="3"/>
  <c r="BU54" i="2"/>
  <c r="BX83" i="2"/>
  <c r="CC13" i="2"/>
  <c r="CC18" i="3"/>
  <c r="CC32" i="2"/>
  <c r="CC28" i="3"/>
  <c r="CC30" i="2"/>
  <c r="CC26" i="3"/>
  <c r="CC33" i="3"/>
  <c r="AB79" i="1"/>
  <c r="AB93" i="1" s="1"/>
  <c r="X73" i="1"/>
  <c r="X79" i="1" s="1"/>
  <c r="X93" i="1" s="1"/>
  <c r="T79" i="1"/>
  <c r="T93" i="1" s="1"/>
  <c r="AB77" i="1"/>
  <c r="AB91" i="1" s="1"/>
  <c r="AP72" i="1"/>
  <c r="AP77" i="1" s="1"/>
  <c r="AP78" i="1" s="1"/>
  <c r="BR68" i="1"/>
  <c r="BR72" i="1" s="1"/>
  <c r="BX71" i="1"/>
  <c r="BX75" i="1" s="1"/>
  <c r="BX89" i="1" s="1"/>
  <c r="BT147" i="1"/>
  <c r="L31" i="1"/>
  <c r="L29" i="1"/>
  <c r="AO76" i="1"/>
  <c r="AG76" i="1"/>
  <c r="Y76" i="1"/>
  <c r="Q76" i="1"/>
  <c r="BX69" i="1"/>
  <c r="BT68" i="1"/>
  <c r="BS81" i="2"/>
  <c r="BW32" i="9"/>
  <c r="AO29" i="9"/>
  <c r="AP30" i="9" s="1"/>
  <c r="BS17" i="9"/>
  <c r="BS32" i="9"/>
  <c r="BW22" i="9"/>
  <c r="BR22" i="9"/>
  <c r="AF42" i="9"/>
  <c r="T42" i="9"/>
  <c r="AD79" i="1"/>
  <c r="AD80" i="1" s="1"/>
  <c r="V79" i="1"/>
  <c r="V80" i="1" s="1"/>
  <c r="AD77" i="1"/>
  <c r="AD78" i="1" s="1"/>
  <c r="V77" i="1"/>
  <c r="V78" i="1" s="1"/>
  <c r="BR69" i="1"/>
  <c r="BR73" i="1" s="1"/>
  <c r="BR79" i="1" s="1"/>
  <c r="BZ147" i="1"/>
  <c r="BV147" i="1"/>
  <c r="BR147" i="1"/>
  <c r="F31" i="1"/>
  <c r="N29" i="1"/>
  <c r="F29" i="1"/>
  <c r="BV68" i="1"/>
  <c r="BY79" i="2"/>
  <c r="BZ81" i="2"/>
  <c r="BX81" i="2"/>
  <c r="BZ83" i="2"/>
  <c r="BZ73" i="3"/>
  <c r="S13" i="3"/>
  <c r="S76" i="3" s="1"/>
  <c r="S74" i="3" s="1"/>
  <c r="S73" i="3" s="1"/>
  <c r="BT73" i="3" s="1"/>
  <c r="BY17" i="9"/>
  <c r="BU32" i="9"/>
  <c r="BX22" i="9"/>
  <c r="X42" i="9"/>
  <c r="BT15" i="3"/>
  <c r="CA41" i="1"/>
  <c r="BZ76" i="3"/>
  <c r="BZ77" i="3" s="1"/>
  <c r="BU14" i="3"/>
  <c r="BR14" i="3"/>
  <c r="AJ42" i="9"/>
  <c r="BV17" i="9"/>
  <c r="BR17" i="9"/>
  <c r="BS40" i="9"/>
  <c r="BQ32" i="9"/>
  <c r="BQ27" i="9"/>
  <c r="BV32" i="9"/>
  <c r="BR32" i="9"/>
  <c r="AP42" i="9"/>
  <c r="BZ22" i="9"/>
  <c r="AD42" i="9"/>
  <c r="Z42" i="9"/>
  <c r="V42" i="9"/>
  <c r="BU17" i="9"/>
  <c r="BU40" i="9"/>
  <c r="BZ59" i="1"/>
  <c r="BT59" i="1"/>
  <c r="AN73" i="1"/>
  <c r="AN79" i="1" s="1"/>
  <c r="AN80" i="1" s="1"/>
  <c r="BW49" i="1"/>
  <c r="G83" i="2"/>
  <c r="G81" i="2"/>
  <c r="AQ52" i="2"/>
  <c r="AQ51" i="2"/>
  <c r="AQ50" i="2" s="1"/>
  <c r="BZ52" i="2"/>
  <c r="F81" i="2"/>
  <c r="BY52" i="2"/>
  <c r="BU52" i="2"/>
  <c r="BQ52" i="2"/>
  <c r="BQ30" i="1"/>
  <c r="BQ31" i="1" s="1"/>
  <c r="BW78" i="2"/>
  <c r="BW81" i="2" s="1"/>
  <c r="BR136" i="1"/>
  <c r="BR78" i="2" s="1"/>
  <c r="BR79" i="2" s="1"/>
  <c r="H78" i="2"/>
  <c r="BQ136" i="1"/>
  <c r="BQ78" i="2" s="1"/>
  <c r="BQ81" i="2" s="1"/>
  <c r="D78" i="2"/>
  <c r="BX59" i="1"/>
  <c r="AS73" i="1"/>
  <c r="AS79" i="1" s="1"/>
  <c r="AS80" i="1" s="1"/>
  <c r="BW59" i="1"/>
  <c r="BU48" i="1"/>
  <c r="BZ49" i="1"/>
  <c r="BX49" i="1"/>
  <c r="BV49" i="1"/>
  <c r="BT49" i="1"/>
  <c r="E83" i="2"/>
  <c r="F79" i="2"/>
  <c r="E81" i="2"/>
  <c r="CA52" i="2"/>
  <c r="BW52" i="2"/>
  <c r="AQ32" i="9"/>
  <c r="AQ42" i="9" s="1"/>
  <c r="AQ30" i="9"/>
  <c r="AK32" i="9"/>
  <c r="AK42" i="9" s="1"/>
  <c r="AK31" i="9"/>
  <c r="AK30" i="9"/>
  <c r="AL30" i="9"/>
  <c r="BY27" i="9"/>
  <c r="AR29" i="9"/>
  <c r="AR27" i="9"/>
  <c r="AR26" i="9"/>
  <c r="AS24" i="9"/>
  <c r="AH34" i="9"/>
  <c r="AH27" i="9"/>
  <c r="AH42" i="9" s="1"/>
  <c r="AL26" i="9"/>
  <c r="AH26" i="9"/>
  <c r="AH25" i="9"/>
  <c r="AI24" i="9"/>
  <c r="AK34" i="9"/>
  <c r="BV40" i="9"/>
  <c r="BV36" i="9"/>
  <c r="BR40" i="9"/>
  <c r="BR36" i="9"/>
  <c r="AQ34" i="9"/>
  <c r="BS36" i="9"/>
  <c r="AS17" i="9"/>
  <c r="AS16" i="9"/>
  <c r="BZ27" i="9"/>
  <c r="BZ26" i="9"/>
  <c r="BW27" i="9"/>
  <c r="BW26" i="9"/>
  <c r="AP40" i="9"/>
  <c r="AT21" i="9"/>
  <c r="AU19" i="9"/>
  <c r="CA19" i="9" s="1"/>
  <c r="BT40" i="9"/>
  <c r="BT36" i="9"/>
  <c r="BW34" i="9"/>
  <c r="BZ36" i="3"/>
  <c r="R58" i="3"/>
  <c r="R59" i="3" s="1"/>
  <c r="S34" i="3"/>
  <c r="O36" i="3"/>
  <c r="J36" i="3"/>
  <c r="K32" i="3"/>
  <c r="F36" i="3"/>
  <c r="G32" i="3"/>
  <c r="BV43" i="3"/>
  <c r="BR43" i="3"/>
  <c r="BS40" i="3"/>
  <c r="BT35" i="3"/>
  <c r="BU33" i="3"/>
  <c r="N36" i="3"/>
  <c r="BW24" i="3"/>
  <c r="BV25" i="3"/>
  <c r="BU26" i="3"/>
  <c r="BV41" i="3"/>
  <c r="BU40" i="3"/>
  <c r="N45" i="3"/>
  <c r="AD36" i="3"/>
  <c r="Z36" i="3"/>
  <c r="V36" i="3"/>
  <c r="BS33" i="3"/>
  <c r="BW26" i="3"/>
  <c r="BW22" i="3"/>
  <c r="BV27" i="3"/>
  <c r="BV23" i="3"/>
  <c r="BU28" i="3"/>
  <c r="BU24" i="3"/>
  <c r="BU20" i="3"/>
  <c r="BT25" i="3"/>
  <c r="BT21" i="3"/>
  <c r="BS26" i="3"/>
  <c r="BT18" i="3"/>
  <c r="BT16" i="3"/>
  <c r="BR15" i="3"/>
  <c r="BW18" i="3"/>
  <c r="BS45" i="3"/>
  <c r="AE45" i="3"/>
  <c r="AA39" i="3"/>
  <c r="Z45" i="3"/>
  <c r="W45" i="3"/>
  <c r="S39" i="3"/>
  <c r="S45" i="3" s="1"/>
  <c r="R45" i="3"/>
  <c r="O45" i="3"/>
  <c r="K39" i="3"/>
  <c r="J45" i="3"/>
  <c r="G45" i="3"/>
  <c r="BX36" i="3"/>
  <c r="AE36" i="3"/>
  <c r="AA36" i="3"/>
  <c r="W36" i="3"/>
  <c r="R36" i="3"/>
  <c r="S32" i="3"/>
  <c r="J58" i="3"/>
  <c r="J59" i="3" s="1"/>
  <c r="K34" i="3"/>
  <c r="F58" i="3"/>
  <c r="F59" i="3" s="1"/>
  <c r="G34" i="3"/>
  <c r="BW40" i="3"/>
  <c r="BT41" i="3"/>
  <c r="F45" i="3"/>
  <c r="BR35" i="3"/>
  <c r="BW33" i="3"/>
  <c r="BW36" i="3" s="1"/>
  <c r="BU32" i="3"/>
  <c r="BW28" i="3"/>
  <c r="BW20" i="3"/>
  <c r="BV21" i="3"/>
  <c r="BU22" i="3"/>
  <c r="AD76" i="3"/>
  <c r="AE13" i="3"/>
  <c r="BW13" i="3" s="1"/>
  <c r="AA74" i="3"/>
  <c r="AA73" i="3" s="1"/>
  <c r="BV73" i="3" s="1"/>
  <c r="V76" i="3"/>
  <c r="W13" i="3"/>
  <c r="BU13" i="3" s="1"/>
  <c r="N76" i="3"/>
  <c r="O13" i="3"/>
  <c r="J76" i="3"/>
  <c r="K13" i="3"/>
  <c r="F76" i="3"/>
  <c r="G13" i="3"/>
  <c r="BQ13" i="3" s="1"/>
  <c r="BT43" i="3"/>
  <c r="BW39" i="3"/>
  <c r="BR41" i="3"/>
  <c r="BQ40" i="3"/>
  <c r="BQ45" i="3" s="1"/>
  <c r="BV35" i="3"/>
  <c r="BU35" i="3"/>
  <c r="BS32" i="3"/>
  <c r="BQ32" i="3"/>
  <c r="BW17" i="3"/>
  <c r="BS17" i="3"/>
  <c r="BQ17" i="3"/>
  <c r="BU18" i="3"/>
  <c r="BV16" i="3"/>
  <c r="BU17" i="3"/>
  <c r="BY74" i="2"/>
  <c r="BU74" i="2"/>
  <c r="BQ74" i="2"/>
  <c r="BZ43" i="2"/>
  <c r="BZ45" i="2" s="1"/>
  <c r="BR43" i="2"/>
  <c r="BR45" i="2" s="1"/>
  <c r="BA37" i="2"/>
  <c r="AV54" i="2"/>
  <c r="BA87" i="2"/>
  <c r="BA25" i="2"/>
  <c r="BA63" i="3" s="1"/>
  <c r="BA85" i="2"/>
  <c r="BA86" i="2" s="1"/>
  <c r="BA83" i="2"/>
  <c r="AV85" i="2"/>
  <c r="AV86" i="2" s="1"/>
  <c r="AV83" i="2"/>
  <c r="BZ67" i="2"/>
  <c r="BZ71" i="2" s="1"/>
  <c r="BZ74" i="2" s="1"/>
  <c r="CA54" i="2"/>
  <c r="BW54" i="2"/>
  <c r="BS54" i="2"/>
  <c r="AZ87" i="2"/>
  <c r="AZ25" i="2"/>
  <c r="CA87" i="2"/>
  <c r="CA25" i="2"/>
  <c r="CA45" i="2" s="1"/>
  <c r="BW87" i="2"/>
  <c r="BW25" i="2"/>
  <c r="BW45" i="2" s="1"/>
  <c r="BS87" i="2"/>
  <c r="BS25" i="2"/>
  <c r="BS45" i="2" s="1"/>
  <c r="CA74" i="2"/>
  <c r="BW74" i="2"/>
  <c r="BA53" i="2"/>
  <c r="AZ85" i="2"/>
  <c r="AZ86" i="2" s="1"/>
  <c r="AZ83" i="2"/>
  <c r="BY87" i="2"/>
  <c r="BY25" i="2"/>
  <c r="BY45" i="2" s="1"/>
  <c r="BU87" i="2"/>
  <c r="BU25" i="2"/>
  <c r="BU45" i="2" s="1"/>
  <c r="BQ87" i="2"/>
  <c r="BQ25" i="2"/>
  <c r="BQ45" i="2" s="1"/>
  <c r="AV89" i="1"/>
  <c r="AV76" i="1"/>
  <c r="AN89" i="1"/>
  <c r="AN76" i="1"/>
  <c r="AF89" i="1"/>
  <c r="AF76" i="1"/>
  <c r="AX89" i="1"/>
  <c r="AX76" i="1"/>
  <c r="AT89" i="1"/>
  <c r="AT76" i="1"/>
  <c r="AP89" i="1"/>
  <c r="AP76" i="1"/>
  <c r="AL89" i="1"/>
  <c r="AL76" i="1"/>
  <c r="AH89" i="1"/>
  <c r="AH76" i="1"/>
  <c r="AD89" i="1"/>
  <c r="AD76" i="1"/>
  <c r="Z89" i="1"/>
  <c r="Z76" i="1"/>
  <c r="V89" i="1"/>
  <c r="V76" i="1"/>
  <c r="R89" i="1"/>
  <c r="R76" i="1"/>
  <c r="N89" i="1"/>
  <c r="N76" i="1"/>
  <c r="J89" i="1"/>
  <c r="J76" i="1"/>
  <c r="F89" i="1"/>
  <c r="F76" i="1"/>
  <c r="Z91" i="1"/>
  <c r="Z78" i="1"/>
  <c r="R91" i="1"/>
  <c r="R78" i="1"/>
  <c r="AZ89" i="1"/>
  <c r="AZ76" i="1"/>
  <c r="AR89" i="1"/>
  <c r="AR76" i="1"/>
  <c r="AJ89" i="1"/>
  <c r="AJ76" i="1"/>
  <c r="AB89" i="1"/>
  <c r="AB76" i="1"/>
  <c r="X89" i="1"/>
  <c r="X76" i="1"/>
  <c r="T89" i="1"/>
  <c r="T76" i="1"/>
  <c r="P89" i="1"/>
  <c r="P76" i="1"/>
  <c r="L89" i="1"/>
  <c r="L76" i="1"/>
  <c r="H89" i="1"/>
  <c r="H76" i="1"/>
  <c r="BQ103" i="1"/>
  <c r="BQ101" i="1"/>
  <c r="BQ68" i="1"/>
  <c r="BQ69" i="1"/>
  <c r="O148" i="1"/>
  <c r="O147" i="1"/>
  <c r="O71" i="1"/>
  <c r="O75" i="1" s="1"/>
  <c r="BV58" i="1"/>
  <c r="BS86" i="1"/>
  <c r="BS87" i="1"/>
  <c r="BS68" i="1"/>
  <c r="BS72" i="1" s="1"/>
  <c r="BS77" i="1" s="1"/>
  <c r="BS69" i="1"/>
  <c r="BS73" i="1" s="1"/>
  <c r="BQ60" i="1"/>
  <c r="BQ61" i="1" s="1"/>
  <c r="BQ58" i="1"/>
  <c r="BQ59" i="1" s="1"/>
  <c r="BQ54" i="1"/>
  <c r="AO73" i="1"/>
  <c r="AO79" i="1" s="1"/>
  <c r="BU58" i="1"/>
  <c r="BU72" i="1" s="1"/>
  <c r="BU77" i="1" s="1"/>
  <c r="BQ44" i="1"/>
  <c r="BQ50" i="1"/>
  <c r="BQ51" i="1" s="1"/>
  <c r="BQ48" i="1"/>
  <c r="BQ49" i="1" s="1"/>
  <c r="AZ72" i="1"/>
  <c r="AZ77" i="1" s="1"/>
  <c r="AZ39" i="1"/>
  <c r="AV72" i="1"/>
  <c r="AV77" i="1" s="1"/>
  <c r="AR72" i="1"/>
  <c r="AR77" i="1" s="1"/>
  <c r="AN72" i="1"/>
  <c r="AN77" i="1" s="1"/>
  <c r="AJ72" i="1"/>
  <c r="AJ77" i="1" s="1"/>
  <c r="X72" i="1"/>
  <c r="X77" i="1" s="1"/>
  <c r="T72" i="1"/>
  <c r="T77" i="1" s="1"/>
  <c r="CB41" i="1"/>
  <c r="BZ41" i="1"/>
  <c r="BV41" i="1"/>
  <c r="BT41" i="1"/>
  <c r="BR41" i="1"/>
  <c r="BU29" i="1"/>
  <c r="BQ29" i="1"/>
  <c r="AR31" i="1"/>
  <c r="BA106" i="1"/>
  <c r="BA11" i="3" s="1"/>
  <c r="BA29" i="3" s="1"/>
  <c r="BA97" i="1"/>
  <c r="BA90" i="1"/>
  <c r="AY106" i="1"/>
  <c r="AY97" i="1"/>
  <c r="AY90" i="1"/>
  <c r="AU106" i="1"/>
  <c r="AU97" i="1"/>
  <c r="AU90" i="1"/>
  <c r="M106" i="1"/>
  <c r="M97" i="1"/>
  <c r="M90" i="1"/>
  <c r="K106" i="1"/>
  <c r="K97" i="1"/>
  <c r="K90" i="1"/>
  <c r="I106" i="1"/>
  <c r="I97" i="1"/>
  <c r="I90" i="1"/>
  <c r="CB23" i="1"/>
  <c r="CB21" i="1"/>
  <c r="CB22" i="1" s="1"/>
  <c r="BQ148" i="1"/>
  <c r="CB108" i="1"/>
  <c r="BZ60" i="1"/>
  <c r="BV60" i="1"/>
  <c r="BV61" i="1" s="1"/>
  <c r="CA39" i="1"/>
  <c r="CA72" i="1"/>
  <c r="BS39" i="1"/>
  <c r="AZ73" i="1"/>
  <c r="AZ79" i="1" s="1"/>
  <c r="AZ41" i="1"/>
  <c r="AL73" i="1"/>
  <c r="AL79" i="1" s="1"/>
  <c r="AL41" i="1"/>
  <c r="BA39" i="1"/>
  <c r="BA72" i="1"/>
  <c r="BA77" i="1" s="1"/>
  <c r="AW39" i="1"/>
  <c r="AW72" i="1"/>
  <c r="AS72" i="1"/>
  <c r="AS77" i="1" s="1"/>
  <c r="W72" i="1"/>
  <c r="W77" i="1" s="1"/>
  <c r="W39" i="1"/>
  <c r="BY39" i="1"/>
  <c r="BS147" i="1"/>
  <c r="BV28" i="1"/>
  <c r="BR28" i="1"/>
  <c r="AO31" i="1"/>
  <c r="AK31" i="1"/>
  <c r="AG79" i="1"/>
  <c r="AG31" i="1"/>
  <c r="AC79" i="1"/>
  <c r="AC31" i="1"/>
  <c r="Y31" i="1"/>
  <c r="U79" i="1"/>
  <c r="U31" i="1"/>
  <c r="Q79" i="1"/>
  <c r="Q31" i="1"/>
  <c r="M79" i="1"/>
  <c r="M31" i="1"/>
  <c r="I79" i="1"/>
  <c r="I31" i="1"/>
  <c r="E79" i="1"/>
  <c r="E31" i="1"/>
  <c r="AY28" i="1"/>
  <c r="AU28" i="1"/>
  <c r="AQ29" i="1"/>
  <c r="AM29" i="1"/>
  <c r="AI29" i="1"/>
  <c r="AE77" i="1"/>
  <c r="AE29" i="1"/>
  <c r="AA77" i="1"/>
  <c r="AA29" i="1"/>
  <c r="W29" i="1"/>
  <c r="S77" i="1"/>
  <c r="S29" i="1"/>
  <c r="O77" i="1"/>
  <c r="O29" i="1"/>
  <c r="K77" i="1"/>
  <c r="K29" i="1"/>
  <c r="G29" i="1"/>
  <c r="BY27" i="1"/>
  <c r="BU75" i="1"/>
  <c r="BU27" i="1"/>
  <c r="BQ27" i="1"/>
  <c r="BZ148" i="1"/>
  <c r="BZ26" i="1"/>
  <c r="BZ23" i="1"/>
  <c r="BZ21" i="1"/>
  <c r="BZ17" i="1"/>
  <c r="BU108" i="1"/>
  <c r="BQ108" i="1"/>
  <c r="AQ72" i="1"/>
  <c r="AQ77" i="1" s="1"/>
  <c r="AK72" i="1"/>
  <c r="AK77" i="1" s="1"/>
  <c r="AI72" i="1"/>
  <c r="AI77" i="1" s="1"/>
  <c r="Y72" i="1"/>
  <c r="Y77" i="1" s="1"/>
  <c r="AT30" i="1"/>
  <c r="BV31" i="1"/>
  <c r="BR31" i="1"/>
  <c r="AW30" i="1"/>
  <c r="BW30" i="1"/>
  <c r="BS30" i="1"/>
  <c r="L87" i="1"/>
  <c r="L86" i="1"/>
  <c r="AX72" i="1"/>
  <c r="AX39" i="1"/>
  <c r="AQ41" i="1"/>
  <c r="AQ73" i="1"/>
  <c r="AM41" i="1"/>
  <c r="AM73" i="1"/>
  <c r="AM79" i="1" s="1"/>
  <c r="AK41" i="1"/>
  <c r="AK73" i="1"/>
  <c r="AK79" i="1" s="1"/>
  <c r="AI41" i="1"/>
  <c r="AI73" i="1"/>
  <c r="AI79" i="1" s="1"/>
  <c r="Y41" i="1"/>
  <c r="Y73" i="1"/>
  <c r="Y79" i="1" s="1"/>
  <c r="CB72" i="1"/>
  <c r="CB39" i="1"/>
  <c r="BZ72" i="1"/>
  <c r="BZ39" i="1"/>
  <c r="BX39" i="1"/>
  <c r="BV39" i="1"/>
  <c r="BT39" i="1"/>
  <c r="BR39" i="1"/>
  <c r="G41" i="1"/>
  <c r="G73" i="1"/>
  <c r="G79" i="1" s="1"/>
  <c r="BS29" i="1"/>
  <c r="AV31" i="1"/>
  <c r="AZ29" i="1"/>
  <c r="AV29" i="1"/>
  <c r="AR29" i="1"/>
  <c r="AO106" i="1"/>
  <c r="AO97" i="1"/>
  <c r="AO90" i="1"/>
  <c r="AK106" i="1"/>
  <c r="AK97" i="1"/>
  <c r="AK90" i="1"/>
  <c r="AG106" i="1"/>
  <c r="AG97" i="1"/>
  <c r="AG90" i="1"/>
  <c r="AC106" i="1"/>
  <c r="AC97" i="1"/>
  <c r="AC90" i="1"/>
  <c r="AA106" i="1"/>
  <c r="AA97" i="1"/>
  <c r="AA90" i="1"/>
  <c r="Y106" i="1"/>
  <c r="Y97" i="1"/>
  <c r="Y90" i="1"/>
  <c r="U106" i="1"/>
  <c r="U97" i="1"/>
  <c r="U90" i="1"/>
  <c r="S106" i="1"/>
  <c r="S97" i="1"/>
  <c r="S90" i="1"/>
  <c r="Q106" i="1"/>
  <c r="Q97" i="1"/>
  <c r="Q90" i="1"/>
  <c r="BY48" i="1"/>
  <c r="BU41" i="1"/>
  <c r="BW39" i="1"/>
  <c r="BW72" i="1"/>
  <c r="AV73" i="1"/>
  <c r="AV79" i="1" s="1"/>
  <c r="AR73" i="1"/>
  <c r="AR79" i="1" s="1"/>
  <c r="AH73" i="1"/>
  <c r="AH79" i="1" s="1"/>
  <c r="AH41" i="1"/>
  <c r="AY39" i="1"/>
  <c r="AY72" i="1"/>
  <c r="AU72" i="1"/>
  <c r="AO72" i="1"/>
  <c r="AO77" i="1" s="1"/>
  <c r="BA41" i="1"/>
  <c r="BA73" i="1"/>
  <c r="BA79" i="1" s="1"/>
  <c r="W41" i="1"/>
  <c r="W73" i="1"/>
  <c r="W79" i="1" s="1"/>
  <c r="BS71" i="1"/>
  <c r="BS75" i="1" s="1"/>
  <c r="BQ147" i="1"/>
  <c r="BQ71" i="1"/>
  <c r="BQ75" i="1" s="1"/>
  <c r="BQ38" i="1"/>
  <c r="BQ40" i="1"/>
  <c r="BQ34" i="1"/>
  <c r="BX28" i="1"/>
  <c r="BT28" i="1"/>
  <c r="AM31" i="1"/>
  <c r="AI31" i="1"/>
  <c r="AE79" i="1"/>
  <c r="AE31" i="1"/>
  <c r="AA79" i="1"/>
  <c r="AA31" i="1"/>
  <c r="W31" i="1"/>
  <c r="S79" i="1"/>
  <c r="S31" i="1"/>
  <c r="O79" i="1"/>
  <c r="O31" i="1"/>
  <c r="K79" i="1"/>
  <c r="K31" i="1"/>
  <c r="G31" i="1"/>
  <c r="BA29" i="1"/>
  <c r="AW28" i="1"/>
  <c r="AS29" i="1"/>
  <c r="AO29" i="1"/>
  <c r="AK29" i="1"/>
  <c r="AG77" i="1"/>
  <c r="AG29" i="1"/>
  <c r="AC77" i="1"/>
  <c r="AC29" i="1"/>
  <c r="Y29" i="1"/>
  <c r="U77" i="1"/>
  <c r="U29" i="1"/>
  <c r="Q77" i="1"/>
  <c r="Q29" i="1"/>
  <c r="M77" i="1"/>
  <c r="M29" i="1"/>
  <c r="I77" i="1"/>
  <c r="I29" i="1"/>
  <c r="E77" i="1"/>
  <c r="E29" i="1"/>
  <c r="CA75" i="1"/>
  <c r="CA27" i="1"/>
  <c r="BW27" i="1"/>
  <c r="BS27" i="1"/>
  <c r="BY108" i="1"/>
  <c r="BS108" i="1"/>
  <c r="BS148" i="1"/>
  <c r="CA30" i="1"/>
  <c r="CA28" i="1"/>
  <c r="BY30" i="1"/>
  <c r="G72" i="1"/>
  <c r="G77" i="1" s="1"/>
  <c r="BX31" i="1"/>
  <c r="AY30" i="1"/>
  <c r="AU30" i="1"/>
  <c r="AM72" i="1"/>
  <c r="AM77" i="1" s="1"/>
  <c r="BU30" i="1"/>
  <c r="AX30" i="1"/>
  <c r="AO11" i="9" l="1"/>
  <c r="BR83" i="2"/>
  <c r="CB30" i="1"/>
  <c r="AS10" i="9"/>
  <c r="CA73" i="1"/>
  <c r="AE11" i="9"/>
  <c r="AF11" i="9"/>
  <c r="AI12" i="9"/>
  <c r="AV12" i="9"/>
  <c r="AR12" i="9"/>
  <c r="CA24" i="1"/>
  <c r="BX12" i="9"/>
  <c r="BW12" i="9"/>
  <c r="AV63" i="3"/>
  <c r="BY73" i="1"/>
  <c r="H91" i="1"/>
  <c r="H110" i="1" s="1"/>
  <c r="H111" i="1" s="1"/>
  <c r="BX72" i="1"/>
  <c r="BX77" i="1" s="1"/>
  <c r="D76" i="1"/>
  <c r="G89" i="1"/>
  <c r="G106" i="1" s="1"/>
  <c r="AN36" i="9"/>
  <c r="CE21" i="2"/>
  <c r="BL21" i="2"/>
  <c r="BM21" i="2" s="1"/>
  <c r="BN21" i="2" s="1"/>
  <c r="BO21" i="2" s="1"/>
  <c r="CF21" i="2" s="1"/>
  <c r="CG21" i="2" s="1"/>
  <c r="CE66" i="2"/>
  <c r="BL66" i="2"/>
  <c r="BM66" i="2" s="1"/>
  <c r="BN66" i="2" s="1"/>
  <c r="BO66" i="2" s="1"/>
  <c r="CF66" i="2" s="1"/>
  <c r="CG66" i="2" s="1"/>
  <c r="CE36" i="2"/>
  <c r="BL36" i="2"/>
  <c r="BM36" i="2" s="1"/>
  <c r="BN36" i="2" s="1"/>
  <c r="BO36" i="2" s="1"/>
  <c r="CF36" i="2" s="1"/>
  <c r="CG36" i="2" s="1"/>
  <c r="CE64" i="2"/>
  <c r="BL64" i="2"/>
  <c r="BM64" i="2" s="1"/>
  <c r="BN64" i="2" s="1"/>
  <c r="BO64" i="2" s="1"/>
  <c r="CF64" i="2" s="1"/>
  <c r="CE38" i="2"/>
  <c r="BL38" i="2"/>
  <c r="BM38" i="2" s="1"/>
  <c r="BN38" i="2" s="1"/>
  <c r="BO38" i="2" s="1"/>
  <c r="CF38" i="2" s="1"/>
  <c r="CG38" i="2" s="1"/>
  <c r="CE17" i="2"/>
  <c r="BL17" i="2"/>
  <c r="BM17" i="2" s="1"/>
  <c r="BN17" i="2" s="1"/>
  <c r="BO17" i="2" s="1"/>
  <c r="CF17" i="2" s="1"/>
  <c r="CG17" i="2" s="1"/>
  <c r="CE62" i="2"/>
  <c r="BL62" i="2"/>
  <c r="BM62" i="2" s="1"/>
  <c r="BN62" i="2" s="1"/>
  <c r="BO62" i="2" s="1"/>
  <c r="CF62" i="2" s="1"/>
  <c r="CG62" i="2" s="1"/>
  <c r="BN63" i="2"/>
  <c r="BY29" i="1"/>
  <c r="P78" i="1"/>
  <c r="AQ89" i="1"/>
  <c r="AQ97" i="1" s="1"/>
  <c r="BV13" i="3"/>
  <c r="BV76" i="3" s="1"/>
  <c r="BV74" i="3" s="1"/>
  <c r="CB73" i="1"/>
  <c r="CB61" i="1"/>
  <c r="AH78" i="1"/>
  <c r="BR76" i="1"/>
  <c r="N91" i="1"/>
  <c r="N92" i="1" s="1"/>
  <c r="BX73" i="1"/>
  <c r="BX79" i="1" s="1"/>
  <c r="BX80" i="1" s="1"/>
  <c r="J91" i="1"/>
  <c r="J92" i="1" s="1"/>
  <c r="CB28" i="1"/>
  <c r="CB29" i="1" s="1"/>
  <c r="BW45" i="3"/>
  <c r="BY41" i="1"/>
  <c r="AX77" i="1"/>
  <c r="AX91" i="1" s="1"/>
  <c r="AQ79" i="1"/>
  <c r="AQ80" i="1" s="1"/>
  <c r="BT79" i="1"/>
  <c r="BT93" i="1" s="1"/>
  <c r="AW90" i="1"/>
  <c r="R80" i="1"/>
  <c r="CC108" i="1"/>
  <c r="AF91" i="1"/>
  <c r="AF110" i="1" s="1"/>
  <c r="O58" i="3"/>
  <c r="O59" i="3" s="1"/>
  <c r="BS34" i="3"/>
  <c r="BS58" i="3" s="1"/>
  <c r="BS59" i="3" s="1"/>
  <c r="BU45" i="3"/>
  <c r="L91" i="1"/>
  <c r="L92" i="1" s="1"/>
  <c r="AW97" i="1"/>
  <c r="BV76" i="1"/>
  <c r="AI90" i="1"/>
  <c r="CC69" i="1"/>
  <c r="CC68" i="1"/>
  <c r="CC72" i="1" s="1"/>
  <c r="AS106" i="1"/>
  <c r="AS122" i="1" s="1"/>
  <c r="AS123" i="1" s="1"/>
  <c r="Z80" i="1"/>
  <c r="P80" i="1"/>
  <c r="AL78" i="1"/>
  <c r="W90" i="1"/>
  <c r="D91" i="1"/>
  <c r="D92" i="1" s="1"/>
  <c r="CD23" i="2"/>
  <c r="BH23" i="2"/>
  <c r="BI23" i="2" s="1"/>
  <c r="BJ23" i="2" s="1"/>
  <c r="BK23" i="2" s="1"/>
  <c r="BT72" i="1"/>
  <c r="BT77" i="1" s="1"/>
  <c r="H80" i="1"/>
  <c r="AF93" i="1"/>
  <c r="AF94" i="1" s="1"/>
  <c r="BV36" i="3"/>
  <c r="F91" i="1"/>
  <c r="F92" i="1" s="1"/>
  <c r="BW58" i="3"/>
  <c r="BW59" i="3" s="1"/>
  <c r="BI45" i="1"/>
  <c r="BZ74" i="3"/>
  <c r="BZ17" i="9"/>
  <c r="BS42" i="9"/>
  <c r="BT42" i="9"/>
  <c r="J80" i="1"/>
  <c r="AP93" i="1"/>
  <c r="AP94" i="1" s="1"/>
  <c r="CB89" i="1"/>
  <c r="CB106" i="1" s="1"/>
  <c r="AP91" i="1"/>
  <c r="AP110" i="1" s="1"/>
  <c r="N80" i="1"/>
  <c r="AS97" i="1"/>
  <c r="E106" i="1"/>
  <c r="E11" i="3" s="1"/>
  <c r="E29" i="3" s="1"/>
  <c r="F93" i="1"/>
  <c r="F104" i="1" s="1"/>
  <c r="AO34" i="9"/>
  <c r="AO36" i="9" s="1"/>
  <c r="BT13" i="3"/>
  <c r="BT76" i="3" s="1"/>
  <c r="BT77" i="3" s="1"/>
  <c r="AO31" i="9"/>
  <c r="CC70" i="2"/>
  <c r="CC32" i="3"/>
  <c r="AZ45" i="2"/>
  <c r="AZ63" i="3"/>
  <c r="BE141" i="1"/>
  <c r="BF141" i="1" s="1"/>
  <c r="BH141" i="1" s="1"/>
  <c r="CC132" i="1"/>
  <c r="CC133" i="1" s="1"/>
  <c r="CD45" i="1"/>
  <c r="BE78" i="2"/>
  <c r="BT76" i="1"/>
  <c r="AI97" i="1"/>
  <c r="AM97" i="1"/>
  <c r="E90" i="1"/>
  <c r="W106" i="1"/>
  <c r="W107" i="1" s="1"/>
  <c r="BV42" i="9"/>
  <c r="BW42" i="9"/>
  <c r="BW77" i="1"/>
  <c r="BW78" i="1" s="1"/>
  <c r="BW29" i="1"/>
  <c r="BH18" i="1"/>
  <c r="CB24" i="1"/>
  <c r="L93" i="1"/>
  <c r="L112" i="1" s="1"/>
  <c r="T80" i="1"/>
  <c r="AJ80" i="1"/>
  <c r="AM106" i="1"/>
  <c r="AM11" i="3" s="1"/>
  <c r="AM29" i="3" s="1"/>
  <c r="AB80" i="1"/>
  <c r="V93" i="1"/>
  <c r="V112" i="1" s="1"/>
  <c r="D112" i="1"/>
  <c r="D127" i="1" s="1"/>
  <c r="AS93" i="1"/>
  <c r="AS104" i="1" s="1"/>
  <c r="X80" i="1"/>
  <c r="D94" i="1"/>
  <c r="D80" i="1"/>
  <c r="AE106" i="1"/>
  <c r="AE122" i="1" s="1"/>
  <c r="AE123" i="1" s="1"/>
  <c r="AE90" i="1"/>
  <c r="BZ61" i="1"/>
  <c r="V91" i="1"/>
  <c r="V110" i="1" s="1"/>
  <c r="AB78" i="1"/>
  <c r="AN93" i="1"/>
  <c r="AN104" i="1" s="1"/>
  <c r="CC147" i="1"/>
  <c r="CC71" i="1"/>
  <c r="AD93" i="1"/>
  <c r="AD112" i="1" s="1"/>
  <c r="BX76" i="1"/>
  <c r="E64" i="3"/>
  <c r="E65" i="3" s="1"/>
  <c r="E68" i="3" s="1"/>
  <c r="E74" i="3"/>
  <c r="E73" i="3" s="1"/>
  <c r="E77" i="3" s="1"/>
  <c r="AD91" i="1"/>
  <c r="AD110" i="1" s="1"/>
  <c r="AO30" i="9"/>
  <c r="AO32" i="9"/>
  <c r="AO42" i="9" s="1"/>
  <c r="BZ16" i="9"/>
  <c r="BZ29" i="9"/>
  <c r="BR42" i="9"/>
  <c r="BV72" i="1"/>
  <c r="BV77" i="1" s="1"/>
  <c r="BV77" i="3"/>
  <c r="BU42" i="9"/>
  <c r="BU76" i="3"/>
  <c r="BU74" i="3" s="1"/>
  <c r="BQ42" i="9"/>
  <c r="S11" i="3"/>
  <c r="S29" i="3" s="1"/>
  <c r="S81" i="3" s="1"/>
  <c r="S82" i="3" s="1"/>
  <c r="S305" i="2"/>
  <c r="AA11" i="3"/>
  <c r="AA29" i="3" s="1"/>
  <c r="AA81" i="3" s="1"/>
  <c r="AA82" i="3" s="1"/>
  <c r="AA305" i="2"/>
  <c r="AI11" i="3"/>
  <c r="AI29" i="3" s="1"/>
  <c r="AI305" i="2"/>
  <c r="I11" i="3"/>
  <c r="I29" i="3" s="1"/>
  <c r="I305" i="2"/>
  <c r="M11" i="3"/>
  <c r="M29" i="3" s="1"/>
  <c r="M305" i="2"/>
  <c r="AU11" i="3"/>
  <c r="AU29" i="3" s="1"/>
  <c r="AU305" i="2"/>
  <c r="AY11" i="3"/>
  <c r="AY29" i="3" s="1"/>
  <c r="AY305" i="2"/>
  <c r="BV59" i="1"/>
  <c r="AL29" i="9"/>
  <c r="AM30" i="9" s="1"/>
  <c r="CC42" i="3"/>
  <c r="BU49" i="1"/>
  <c r="D79" i="2"/>
  <c r="D81" i="2"/>
  <c r="D83" i="2"/>
  <c r="H79" i="2"/>
  <c r="H81" i="2"/>
  <c r="H83" i="2"/>
  <c r="BW83" i="2"/>
  <c r="BW79" i="2"/>
  <c r="BR81" i="2"/>
  <c r="BY49" i="1"/>
  <c r="Q11" i="3"/>
  <c r="Q29" i="3" s="1"/>
  <c r="Q305" i="2"/>
  <c r="U11" i="3"/>
  <c r="U29" i="3" s="1"/>
  <c r="U305" i="2"/>
  <c r="Y11" i="3"/>
  <c r="Y29" i="3" s="1"/>
  <c r="Y305" i="2"/>
  <c r="AC11" i="3"/>
  <c r="AC29" i="3" s="1"/>
  <c r="AC305" i="2"/>
  <c r="AG11" i="3"/>
  <c r="AG29" i="3" s="1"/>
  <c r="AG305" i="2"/>
  <c r="AK11" i="3"/>
  <c r="AK29" i="3" s="1"/>
  <c r="AK305" i="2"/>
  <c r="AO11" i="3"/>
  <c r="AO29" i="3" s="1"/>
  <c r="AO305" i="2"/>
  <c r="K11" i="3"/>
  <c r="K29" i="3" s="1"/>
  <c r="K81" i="3" s="1"/>
  <c r="K82" i="3" s="1"/>
  <c r="K305" i="2"/>
  <c r="AW11" i="3"/>
  <c r="AW29" i="3" s="1"/>
  <c r="AW305" i="2"/>
  <c r="BA81" i="3"/>
  <c r="BA82" i="3" s="1"/>
  <c r="BA49" i="3"/>
  <c r="BU59" i="1"/>
  <c r="BQ83" i="2"/>
  <c r="BQ79" i="2"/>
  <c r="BW40" i="9"/>
  <c r="BW36" i="9"/>
  <c r="AU21" i="9"/>
  <c r="AT17" i="9"/>
  <c r="AT16" i="9"/>
  <c r="AQ40" i="9"/>
  <c r="AQ35" i="9"/>
  <c r="AK40" i="9"/>
  <c r="AK36" i="9"/>
  <c r="AK35" i="9"/>
  <c r="AH40" i="9"/>
  <c r="AH36" i="9"/>
  <c r="AH35" i="9"/>
  <c r="AS29" i="9"/>
  <c r="AS27" i="9"/>
  <c r="AS26" i="9"/>
  <c r="AT24" i="9"/>
  <c r="CA22" i="9"/>
  <c r="CA21" i="9"/>
  <c r="AJ25" i="9"/>
  <c r="AI27" i="9"/>
  <c r="AI29" i="9" s="1"/>
  <c r="AM26" i="9"/>
  <c r="AI26" i="9"/>
  <c r="AI25" i="9"/>
  <c r="BX24" i="9"/>
  <c r="AR32" i="9"/>
  <c r="AR42" i="9" s="1"/>
  <c r="AR31" i="9"/>
  <c r="AR30" i="9"/>
  <c r="AR34" i="9"/>
  <c r="AP31" i="9"/>
  <c r="BQ76" i="3"/>
  <c r="BW76" i="3"/>
  <c r="F74" i="3"/>
  <c r="F73" i="3" s="1"/>
  <c r="J74" i="3"/>
  <c r="J73" i="3" s="1"/>
  <c r="N74" i="3"/>
  <c r="N73" i="3" s="1"/>
  <c r="S77" i="3"/>
  <c r="V74" i="3"/>
  <c r="V73" i="3" s="1"/>
  <c r="V77" i="3" s="1"/>
  <c r="AA77" i="3"/>
  <c r="AD74" i="3"/>
  <c r="AD73" i="3" s="1"/>
  <c r="G36" i="3"/>
  <c r="K36" i="3"/>
  <c r="BR32" i="3"/>
  <c r="BT39" i="3"/>
  <c r="BT45" i="3" s="1"/>
  <c r="G76" i="3"/>
  <c r="K76" i="3"/>
  <c r="BR13" i="3"/>
  <c r="O76" i="3"/>
  <c r="W76" i="3"/>
  <c r="AE76" i="3"/>
  <c r="BU36" i="3"/>
  <c r="G58" i="3"/>
  <c r="G59" i="3" s="1"/>
  <c r="BQ34" i="3"/>
  <c r="BQ58" i="3" s="1"/>
  <c r="BQ59" i="3" s="1"/>
  <c r="K58" i="3"/>
  <c r="K59" i="3" s="1"/>
  <c r="BR34" i="3"/>
  <c r="BR58" i="3" s="1"/>
  <c r="BR59" i="3" s="1"/>
  <c r="S36" i="3"/>
  <c r="BT32" i="3"/>
  <c r="K45" i="3"/>
  <c r="BR39" i="3"/>
  <c r="BR45" i="3" s="1"/>
  <c r="AA45" i="3"/>
  <c r="BV39" i="3"/>
  <c r="BV45" i="3" s="1"/>
  <c r="S58" i="3"/>
  <c r="S59" i="3" s="1"/>
  <c r="BT34" i="3"/>
  <c r="BT58" i="3" s="1"/>
  <c r="BT59" i="3" s="1"/>
  <c r="BS13" i="3"/>
  <c r="BA43" i="2"/>
  <c r="BA45" i="2" s="1"/>
  <c r="AM91" i="1"/>
  <c r="AM78" i="1"/>
  <c r="W93" i="1"/>
  <c r="W80" i="1"/>
  <c r="AV93" i="1"/>
  <c r="AV80" i="1"/>
  <c r="Y93" i="1"/>
  <c r="Y80" i="1"/>
  <c r="AK93" i="1"/>
  <c r="AK80" i="1"/>
  <c r="BU91" i="1"/>
  <c r="BU78" i="1"/>
  <c r="W91" i="1"/>
  <c r="W78" i="1"/>
  <c r="G91" i="1"/>
  <c r="G78" i="1"/>
  <c r="BQ89" i="1"/>
  <c r="BQ76" i="1"/>
  <c r="AR93" i="1"/>
  <c r="AR80" i="1"/>
  <c r="AI91" i="1"/>
  <c r="AI78" i="1"/>
  <c r="AQ91" i="1"/>
  <c r="AQ78" i="1"/>
  <c r="BU79" i="1"/>
  <c r="BU31" i="1"/>
  <c r="AU79" i="1"/>
  <c r="AU31" i="1"/>
  <c r="CA77" i="1"/>
  <c r="CA29" i="1"/>
  <c r="AW77" i="1"/>
  <c r="AW29" i="1"/>
  <c r="BA91" i="1"/>
  <c r="BA78" i="1"/>
  <c r="G93" i="1"/>
  <c r="G80" i="1"/>
  <c r="K93" i="1"/>
  <c r="K80" i="1"/>
  <c r="O93" i="1"/>
  <c r="O80" i="1"/>
  <c r="S93" i="1"/>
  <c r="S80" i="1"/>
  <c r="AA93" i="1"/>
  <c r="AA80" i="1"/>
  <c r="AE93" i="1"/>
  <c r="AE80" i="1"/>
  <c r="AI93" i="1"/>
  <c r="AI80" i="1"/>
  <c r="AM93" i="1"/>
  <c r="AM80" i="1"/>
  <c r="BX29" i="1"/>
  <c r="BQ73" i="1"/>
  <c r="BQ79" i="1" s="1"/>
  <c r="BQ41" i="1"/>
  <c r="AH93" i="1"/>
  <c r="AH80" i="1"/>
  <c r="Q125" i="1"/>
  <c r="Q122" i="1"/>
  <c r="Q123" i="1" s="1"/>
  <c r="Q107" i="1"/>
  <c r="U125" i="1"/>
  <c r="U122" i="1"/>
  <c r="U123" i="1" s="1"/>
  <c r="U107" i="1"/>
  <c r="Y125" i="1"/>
  <c r="Y122" i="1"/>
  <c r="Y123" i="1" s="1"/>
  <c r="Y107" i="1"/>
  <c r="AC125" i="1"/>
  <c r="AC122" i="1"/>
  <c r="AC123" i="1" s="1"/>
  <c r="AC107" i="1"/>
  <c r="AG125" i="1"/>
  <c r="AG122" i="1"/>
  <c r="AG123" i="1" s="1"/>
  <c r="AG107" i="1"/>
  <c r="AK125" i="1"/>
  <c r="AK122" i="1"/>
  <c r="AK123" i="1" s="1"/>
  <c r="AK107" i="1"/>
  <c r="AO125" i="1"/>
  <c r="AO122" i="1"/>
  <c r="AO123" i="1" s="1"/>
  <c r="AO107" i="1"/>
  <c r="AR91" i="1"/>
  <c r="AR78" i="1"/>
  <c r="AV91" i="1"/>
  <c r="AV78" i="1"/>
  <c r="AZ91" i="1"/>
  <c r="AZ78" i="1"/>
  <c r="J112" i="1"/>
  <c r="J94" i="1"/>
  <c r="J104" i="1"/>
  <c r="N112" i="1"/>
  <c r="N94" i="1"/>
  <c r="N104" i="1"/>
  <c r="BS91" i="1"/>
  <c r="BS78" i="1"/>
  <c r="BW79" i="1"/>
  <c r="BW31" i="1"/>
  <c r="BZ24" i="1"/>
  <c r="BZ30" i="1"/>
  <c r="BU89" i="1"/>
  <c r="BU76" i="1"/>
  <c r="BY89" i="1"/>
  <c r="BY76" i="1"/>
  <c r="K91" i="1"/>
  <c r="K78" i="1"/>
  <c r="O91" i="1"/>
  <c r="O78" i="1"/>
  <c r="S91" i="1"/>
  <c r="S78" i="1"/>
  <c r="AA91" i="1"/>
  <c r="AA78" i="1"/>
  <c r="AE91" i="1"/>
  <c r="AE78" i="1"/>
  <c r="AY77" i="1"/>
  <c r="AY29" i="1"/>
  <c r="E93" i="1"/>
  <c r="E80" i="1"/>
  <c r="I93" i="1"/>
  <c r="I80" i="1"/>
  <c r="M93" i="1"/>
  <c r="M80" i="1"/>
  <c r="Q93" i="1"/>
  <c r="Q80" i="1"/>
  <c r="U93" i="1"/>
  <c r="U80" i="1"/>
  <c r="AC93" i="1"/>
  <c r="AC80" i="1"/>
  <c r="AG93" i="1"/>
  <c r="AG80" i="1"/>
  <c r="AO93" i="1"/>
  <c r="AO80" i="1"/>
  <c r="BV29" i="1"/>
  <c r="BY72" i="1"/>
  <c r="BY77" i="1" s="1"/>
  <c r="AL93" i="1"/>
  <c r="AL80" i="1"/>
  <c r="AZ93" i="1"/>
  <c r="AZ80" i="1"/>
  <c r="I125" i="1"/>
  <c r="I122" i="1"/>
  <c r="I123" i="1" s="1"/>
  <c r="I107" i="1"/>
  <c r="M125" i="1"/>
  <c r="M122" i="1"/>
  <c r="M123" i="1" s="1"/>
  <c r="M107" i="1"/>
  <c r="AU125" i="1"/>
  <c r="AU122" i="1"/>
  <c r="AU123" i="1" s="1"/>
  <c r="AU107" i="1"/>
  <c r="AY125" i="1"/>
  <c r="AY122" i="1"/>
  <c r="AY123" i="1" s="1"/>
  <c r="AY107" i="1"/>
  <c r="T91" i="1"/>
  <c r="T78" i="1"/>
  <c r="AJ91" i="1"/>
  <c r="AJ78" i="1"/>
  <c r="CC139" i="1"/>
  <c r="H126" i="1"/>
  <c r="R110" i="1"/>
  <c r="R92" i="1"/>
  <c r="R102" i="1"/>
  <c r="Z110" i="1"/>
  <c r="Z92" i="1"/>
  <c r="Z102" i="1"/>
  <c r="AH110" i="1"/>
  <c r="AH92" i="1"/>
  <c r="AH102" i="1"/>
  <c r="AL110" i="1"/>
  <c r="AL92" i="1"/>
  <c r="AL102" i="1"/>
  <c r="R112" i="1"/>
  <c r="R94" i="1"/>
  <c r="R104" i="1"/>
  <c r="Z112" i="1"/>
  <c r="Z94" i="1"/>
  <c r="Z104" i="1"/>
  <c r="F106" i="1"/>
  <c r="F97" i="1"/>
  <c r="F90" i="1"/>
  <c r="J106" i="1"/>
  <c r="J97" i="1"/>
  <c r="J90" i="1"/>
  <c r="N106" i="1"/>
  <c r="N97" i="1"/>
  <c r="N90" i="1"/>
  <c r="R106" i="1"/>
  <c r="R97" i="1"/>
  <c r="R90" i="1"/>
  <c r="V106" i="1"/>
  <c r="V97" i="1"/>
  <c r="V90" i="1"/>
  <c r="Z106" i="1"/>
  <c r="Z97" i="1"/>
  <c r="Z90" i="1"/>
  <c r="AD106" i="1"/>
  <c r="AD97" i="1"/>
  <c r="AD90" i="1"/>
  <c r="AH106" i="1"/>
  <c r="AH97" i="1"/>
  <c r="AH90" i="1"/>
  <c r="AL106" i="1"/>
  <c r="AL97" i="1"/>
  <c r="AL90" i="1"/>
  <c r="AP106" i="1"/>
  <c r="AP97" i="1"/>
  <c r="AP90" i="1"/>
  <c r="AT106" i="1"/>
  <c r="AT97" i="1"/>
  <c r="AT90" i="1"/>
  <c r="AX106" i="1"/>
  <c r="AX97" i="1"/>
  <c r="AX90" i="1"/>
  <c r="AF106" i="1"/>
  <c r="AF97" i="1"/>
  <c r="AF90" i="1"/>
  <c r="AN106" i="1"/>
  <c r="AN97" i="1"/>
  <c r="AN90" i="1"/>
  <c r="AV106" i="1"/>
  <c r="AV97" i="1"/>
  <c r="AV90" i="1"/>
  <c r="AX79" i="1"/>
  <c r="AX31" i="1"/>
  <c r="AY79" i="1"/>
  <c r="AY31" i="1"/>
  <c r="BY79" i="1"/>
  <c r="BY31" i="1"/>
  <c r="CA79" i="1"/>
  <c r="CA31" i="1"/>
  <c r="BS89" i="1"/>
  <c r="BS76" i="1"/>
  <c r="BW89" i="1"/>
  <c r="BW76" i="1"/>
  <c r="CA89" i="1"/>
  <c r="CA76" i="1"/>
  <c r="E91" i="1"/>
  <c r="E78" i="1"/>
  <c r="I91" i="1"/>
  <c r="I78" i="1"/>
  <c r="M91" i="1"/>
  <c r="M78" i="1"/>
  <c r="Q91" i="1"/>
  <c r="Q78" i="1"/>
  <c r="U91" i="1"/>
  <c r="U78" i="1"/>
  <c r="Y91" i="1"/>
  <c r="Y78" i="1"/>
  <c r="AC91" i="1"/>
  <c r="AC78" i="1"/>
  <c r="AG91" i="1"/>
  <c r="AG78" i="1"/>
  <c r="AK91" i="1"/>
  <c r="AK78" i="1"/>
  <c r="AO91" i="1"/>
  <c r="AO78" i="1"/>
  <c r="AS91" i="1"/>
  <c r="AS78" i="1"/>
  <c r="BT29" i="1"/>
  <c r="BQ39" i="1"/>
  <c r="BQ72" i="1"/>
  <c r="BQ77" i="1" s="1"/>
  <c r="BA93" i="1"/>
  <c r="BA80" i="1"/>
  <c r="S125" i="1"/>
  <c r="S122" i="1"/>
  <c r="S123" i="1" s="1"/>
  <c r="S107" i="1"/>
  <c r="AA125" i="1"/>
  <c r="AA122" i="1"/>
  <c r="AA123" i="1" s="1"/>
  <c r="AA107" i="1"/>
  <c r="AI125" i="1"/>
  <c r="AI122" i="1"/>
  <c r="AI123" i="1" s="1"/>
  <c r="AI107" i="1"/>
  <c r="BS79" i="1"/>
  <c r="BS31" i="1"/>
  <c r="AW79" i="1"/>
  <c r="AW31" i="1"/>
  <c r="BR93" i="1"/>
  <c r="BR80" i="1"/>
  <c r="AT79" i="1"/>
  <c r="AT31" i="1"/>
  <c r="CB79" i="1"/>
  <c r="CB31" i="1"/>
  <c r="BZ22" i="1"/>
  <c r="BZ28" i="1"/>
  <c r="BZ75" i="1"/>
  <c r="BZ27" i="1"/>
  <c r="AU77" i="1"/>
  <c r="AU29" i="1"/>
  <c r="BR77" i="1"/>
  <c r="BR29" i="1"/>
  <c r="K125" i="1"/>
  <c r="K122" i="1"/>
  <c r="K123" i="1" s="1"/>
  <c r="K107" i="1"/>
  <c r="AW125" i="1"/>
  <c r="AW122" i="1"/>
  <c r="AW123" i="1" s="1"/>
  <c r="AW107" i="1"/>
  <c r="BA125" i="1"/>
  <c r="BA122" i="1"/>
  <c r="BA123" i="1" s="1"/>
  <c r="BA107" i="1"/>
  <c r="AT91" i="1"/>
  <c r="AT78" i="1"/>
  <c r="H112" i="1"/>
  <c r="H94" i="1"/>
  <c r="H104" i="1"/>
  <c r="BV73" i="1"/>
  <c r="BV79" i="1" s="1"/>
  <c r="BZ73" i="1"/>
  <c r="X91" i="1"/>
  <c r="X78" i="1"/>
  <c r="AN91" i="1"/>
  <c r="AN78" i="1"/>
  <c r="O89" i="1"/>
  <c r="O76" i="1"/>
  <c r="BR106" i="1"/>
  <c r="BR305" i="2" s="1"/>
  <c r="BR90" i="1"/>
  <c r="BR97" i="1"/>
  <c r="BT106" i="1"/>
  <c r="BT305" i="2" s="1"/>
  <c r="BT90" i="1"/>
  <c r="BT97" i="1"/>
  <c r="BV106" i="1"/>
  <c r="BV90" i="1"/>
  <c r="BV97" i="1"/>
  <c r="BX106" i="1"/>
  <c r="BX90" i="1"/>
  <c r="BX97" i="1"/>
  <c r="P110" i="1"/>
  <c r="P92" i="1"/>
  <c r="P102" i="1"/>
  <c r="AB110" i="1"/>
  <c r="AB92" i="1"/>
  <c r="AB102" i="1"/>
  <c r="P112" i="1"/>
  <c r="P94" i="1"/>
  <c r="P104" i="1"/>
  <c r="T112" i="1"/>
  <c r="T94" i="1"/>
  <c r="T104" i="1"/>
  <c r="X112" i="1"/>
  <c r="X94" i="1"/>
  <c r="X104" i="1"/>
  <c r="AB112" i="1"/>
  <c r="AB94" i="1"/>
  <c r="AB104" i="1"/>
  <c r="AJ112" i="1"/>
  <c r="AJ94" i="1"/>
  <c r="AJ104" i="1"/>
  <c r="D106" i="1"/>
  <c r="D97" i="1"/>
  <c r="D90" i="1"/>
  <c r="H106" i="1"/>
  <c r="H97" i="1"/>
  <c r="H90" i="1"/>
  <c r="L106" i="1"/>
  <c r="L97" i="1"/>
  <c r="L90" i="1"/>
  <c r="P106" i="1"/>
  <c r="P97" i="1"/>
  <c r="P90" i="1"/>
  <c r="T106" i="1"/>
  <c r="T97" i="1"/>
  <c r="T90" i="1"/>
  <c r="X106" i="1"/>
  <c r="X97" i="1"/>
  <c r="X90" i="1"/>
  <c r="AB106" i="1"/>
  <c r="AB97" i="1"/>
  <c r="AB90" i="1"/>
  <c r="AJ106" i="1"/>
  <c r="AJ97" i="1"/>
  <c r="AJ90" i="1"/>
  <c r="AR106" i="1"/>
  <c r="AR97" i="1"/>
  <c r="AR90" i="1"/>
  <c r="AZ106" i="1"/>
  <c r="AZ11" i="3" s="1"/>
  <c r="AZ29" i="3" s="1"/>
  <c r="AZ97" i="1"/>
  <c r="AZ90" i="1"/>
  <c r="AQ106" i="1"/>
  <c r="G97" i="1" l="1"/>
  <c r="CB77" i="1"/>
  <c r="CC73" i="1"/>
  <c r="AW12" i="9"/>
  <c r="AS12" i="9"/>
  <c r="AT10" i="9"/>
  <c r="H102" i="1"/>
  <c r="H92" i="1"/>
  <c r="G90" i="1"/>
  <c r="AQ90" i="1"/>
  <c r="L110" i="1"/>
  <c r="L111" i="1" s="1"/>
  <c r="J110" i="1"/>
  <c r="J111" i="1" s="1"/>
  <c r="BX93" i="1"/>
  <c r="BX104" i="1" s="1"/>
  <c r="CE23" i="2"/>
  <c r="BL23" i="2"/>
  <c r="BM23" i="2" s="1"/>
  <c r="BN23" i="2" s="1"/>
  <c r="BO23" i="2" s="1"/>
  <c r="CF23" i="2" s="1"/>
  <c r="CG23" i="2" s="1"/>
  <c r="BO63" i="2"/>
  <c r="CF63" i="2" s="1"/>
  <c r="CG63" i="2" s="1"/>
  <c r="AS125" i="1"/>
  <c r="BZ32" i="9"/>
  <c r="BZ42" i="9" s="1"/>
  <c r="J102" i="1"/>
  <c r="N110" i="1"/>
  <c r="N126" i="1" s="1"/>
  <c r="N102" i="1"/>
  <c r="AX78" i="1"/>
  <c r="AQ93" i="1"/>
  <c r="AQ104" i="1" s="1"/>
  <c r="AP102" i="1"/>
  <c r="BT80" i="1"/>
  <c r="AM107" i="1"/>
  <c r="W122" i="1"/>
  <c r="W123" i="1" s="1"/>
  <c r="AF102" i="1"/>
  <c r="AF92" i="1"/>
  <c r="L102" i="1"/>
  <c r="BS36" i="3"/>
  <c r="BE125" i="1"/>
  <c r="AS305" i="2"/>
  <c r="AS107" i="1"/>
  <c r="AS11" i="3"/>
  <c r="AS29" i="3" s="1"/>
  <c r="AS81" i="3" s="1"/>
  <c r="AS82" i="3" s="1"/>
  <c r="BW91" i="1"/>
  <c r="BW92" i="1" s="1"/>
  <c r="BZ34" i="9"/>
  <c r="BZ40" i="9" s="1"/>
  <c r="AF112" i="1"/>
  <c r="AF113" i="1" s="1"/>
  <c r="BE67" i="2"/>
  <c r="F110" i="1"/>
  <c r="F111" i="1" s="1"/>
  <c r="AF104" i="1"/>
  <c r="AE107" i="1"/>
  <c r="E125" i="1"/>
  <c r="D102" i="1"/>
  <c r="CB97" i="1"/>
  <c r="CB90" i="1"/>
  <c r="D110" i="1"/>
  <c r="D126" i="1" s="1"/>
  <c r="AP35" i="9"/>
  <c r="F102" i="1"/>
  <c r="BT74" i="3"/>
  <c r="AL34" i="9"/>
  <c r="AL35" i="9" s="1"/>
  <c r="BI141" i="1"/>
  <c r="BI18" i="1"/>
  <c r="BJ45" i="1"/>
  <c r="S49" i="3"/>
  <c r="AP112" i="1"/>
  <c r="AP113" i="1" s="1"/>
  <c r="V94" i="1"/>
  <c r="AP104" i="1"/>
  <c r="AA49" i="3"/>
  <c r="F94" i="1"/>
  <c r="F112" i="1"/>
  <c r="F127" i="1" s="1"/>
  <c r="V104" i="1"/>
  <c r="AP92" i="1"/>
  <c r="AM122" i="1"/>
  <c r="AM123" i="1" s="1"/>
  <c r="AM125" i="1"/>
  <c r="E107" i="1"/>
  <c r="E305" i="2"/>
  <c r="E122" i="1"/>
  <c r="E123" i="1" s="1"/>
  <c r="AM305" i="2"/>
  <c r="W305" i="2"/>
  <c r="AE11" i="3"/>
  <c r="AE29" i="3" s="1"/>
  <c r="AE81" i="3" s="1"/>
  <c r="AE82" i="3" s="1"/>
  <c r="AO40" i="9"/>
  <c r="AO35" i="9"/>
  <c r="CC65" i="2"/>
  <c r="CC67" i="2" s="1"/>
  <c r="CC137" i="1"/>
  <c r="BG78" i="2"/>
  <c r="BF78" i="2"/>
  <c r="CD141" i="1"/>
  <c r="W125" i="1"/>
  <c r="L104" i="1"/>
  <c r="W11" i="3"/>
  <c r="W29" i="3" s="1"/>
  <c r="W81" i="3" s="1"/>
  <c r="W82" i="3" s="1"/>
  <c r="L94" i="1"/>
  <c r="CD18" i="1"/>
  <c r="AN112" i="1"/>
  <c r="AN127" i="1" s="1"/>
  <c r="AN94" i="1"/>
  <c r="D113" i="1"/>
  <c r="AS94" i="1"/>
  <c r="AD92" i="1"/>
  <c r="AS112" i="1"/>
  <c r="AS127" i="1" s="1"/>
  <c r="AE125" i="1"/>
  <c r="AE305" i="2"/>
  <c r="AD104" i="1"/>
  <c r="AD94" i="1"/>
  <c r="V102" i="1"/>
  <c r="V92" i="1"/>
  <c r="CC39" i="2"/>
  <c r="CC25" i="3"/>
  <c r="AD102" i="1"/>
  <c r="AL32" i="9"/>
  <c r="AL42" i="9" s="1"/>
  <c r="AL31" i="9"/>
  <c r="AI34" i="9"/>
  <c r="AI36" i="9" s="1"/>
  <c r="AZ81" i="3"/>
  <c r="AZ82" i="3" s="1"/>
  <c r="AZ49" i="3"/>
  <c r="AJ11" i="3"/>
  <c r="AJ305" i="2"/>
  <c r="X11" i="3"/>
  <c r="X305" i="2"/>
  <c r="P11" i="3"/>
  <c r="P305" i="2"/>
  <c r="H11" i="3"/>
  <c r="H305" i="2"/>
  <c r="CB305" i="2"/>
  <c r="BV305" i="2"/>
  <c r="AV305" i="2"/>
  <c r="AV11" i="3"/>
  <c r="AF11" i="3"/>
  <c r="AF305" i="2"/>
  <c r="AT11" i="3"/>
  <c r="AT29" i="3" s="1"/>
  <c r="AT305" i="2"/>
  <c r="AL11" i="3"/>
  <c r="AL29" i="3" s="1"/>
  <c r="AL305" i="2"/>
  <c r="AD11" i="3"/>
  <c r="AD29" i="3" s="1"/>
  <c r="AD305" i="2"/>
  <c r="V11" i="3"/>
  <c r="V29" i="3" s="1"/>
  <c r="V305" i="2"/>
  <c r="N11" i="3"/>
  <c r="N29" i="3" s="1"/>
  <c r="N305" i="2"/>
  <c r="F11" i="3"/>
  <c r="F29" i="3" s="1"/>
  <c r="F305" i="2"/>
  <c r="AQ11" i="3"/>
  <c r="AQ29" i="3" s="1"/>
  <c r="AQ305" i="2"/>
  <c r="AR11" i="3"/>
  <c r="AR305" i="2"/>
  <c r="AB11" i="3"/>
  <c r="AB305" i="2"/>
  <c r="T11" i="3"/>
  <c r="T305" i="2"/>
  <c r="L11" i="3"/>
  <c r="L305" i="2"/>
  <c r="D11" i="3"/>
  <c r="D305" i="2"/>
  <c r="BX305" i="2"/>
  <c r="G11" i="3"/>
  <c r="G29" i="3" s="1"/>
  <c r="G305" i="2"/>
  <c r="AN11" i="3"/>
  <c r="AN305" i="2"/>
  <c r="AX305" i="2"/>
  <c r="AX11" i="3"/>
  <c r="AX29" i="3" s="1"/>
  <c r="AP11" i="3"/>
  <c r="AP29" i="3" s="1"/>
  <c r="AP305" i="2"/>
  <c r="AH11" i="3"/>
  <c r="AH29" i="3" s="1"/>
  <c r="AH305" i="2"/>
  <c r="Z11" i="3"/>
  <c r="Z29" i="3" s="1"/>
  <c r="Z305" i="2"/>
  <c r="R11" i="3"/>
  <c r="R29" i="3" s="1"/>
  <c r="R305" i="2"/>
  <c r="J11" i="3"/>
  <c r="J29" i="3" s="1"/>
  <c r="J305" i="2"/>
  <c r="K49" i="3"/>
  <c r="AM29" i="9"/>
  <c r="AM31" i="9" s="1"/>
  <c r="AW81" i="3"/>
  <c r="AW82" i="3" s="1"/>
  <c r="AW49" i="3"/>
  <c r="AO81" i="3"/>
  <c r="AO82" i="3" s="1"/>
  <c r="AO49" i="3"/>
  <c r="AK81" i="3"/>
  <c r="AK82" i="3" s="1"/>
  <c r="AK49" i="3"/>
  <c r="AG81" i="3"/>
  <c r="AG82" i="3" s="1"/>
  <c r="AG49" i="3"/>
  <c r="AC81" i="3"/>
  <c r="AC82" i="3" s="1"/>
  <c r="AC49" i="3"/>
  <c r="Y81" i="3"/>
  <c r="Y82" i="3" s="1"/>
  <c r="Y49" i="3"/>
  <c r="U81" i="3"/>
  <c r="U82" i="3" s="1"/>
  <c r="U49" i="3"/>
  <c r="Q81" i="3"/>
  <c r="Q82" i="3" s="1"/>
  <c r="Q49" i="3"/>
  <c r="AY81" i="3"/>
  <c r="AY82" i="3" s="1"/>
  <c r="AY49" i="3"/>
  <c r="AU81" i="3"/>
  <c r="AU82" i="3" s="1"/>
  <c r="AU49" i="3"/>
  <c r="M81" i="3"/>
  <c r="M82" i="3" s="1"/>
  <c r="M49" i="3"/>
  <c r="I81" i="3"/>
  <c r="I82" i="3" s="1"/>
  <c r="I49" i="3"/>
  <c r="AM81" i="3"/>
  <c r="AM82" i="3" s="1"/>
  <c r="AM49" i="3"/>
  <c r="AI81" i="3"/>
  <c r="AI82" i="3" s="1"/>
  <c r="AI49" i="3"/>
  <c r="E81" i="3"/>
  <c r="E82" i="3" s="1"/>
  <c r="E49" i="3"/>
  <c r="CA17" i="9"/>
  <c r="CA16" i="9"/>
  <c r="BX27" i="9"/>
  <c r="BX26" i="9"/>
  <c r="BY26" i="9"/>
  <c r="AI32" i="9"/>
  <c r="AI42" i="9" s="1"/>
  <c r="AI31" i="9"/>
  <c r="AI30" i="9"/>
  <c r="BX29" i="9"/>
  <c r="BX34" i="9" s="1"/>
  <c r="AJ30" i="9"/>
  <c r="AS32" i="9"/>
  <c r="AS42" i="9" s="1"/>
  <c r="AS31" i="9"/>
  <c r="AS30" i="9"/>
  <c r="AS34" i="9"/>
  <c r="AR40" i="9"/>
  <c r="AR36" i="9"/>
  <c r="AR35" i="9"/>
  <c r="AI40" i="9"/>
  <c r="AT29" i="9"/>
  <c r="AT27" i="9"/>
  <c r="AT26" i="9"/>
  <c r="AU24" i="9"/>
  <c r="AU17" i="9"/>
  <c r="AU16" i="9"/>
  <c r="AV21" i="9"/>
  <c r="BT36" i="3"/>
  <c r="AE74" i="3"/>
  <c r="AE73" i="3" s="1"/>
  <c r="AE77" i="3" s="1"/>
  <c r="W74" i="3"/>
  <c r="W73" i="3" s="1"/>
  <c r="W77" i="3" s="1"/>
  <c r="O74" i="3"/>
  <c r="O73" i="3" s="1"/>
  <c r="O77" i="3" s="1"/>
  <c r="BR76" i="3"/>
  <c r="BS76" i="3"/>
  <c r="K74" i="3"/>
  <c r="K73" i="3" s="1"/>
  <c r="BR73" i="3" s="1"/>
  <c r="G74" i="3"/>
  <c r="G73" i="3" s="1"/>
  <c r="BQ73" i="3" s="1"/>
  <c r="BQ77" i="3" s="1"/>
  <c r="BQ36" i="3"/>
  <c r="BR36" i="3"/>
  <c r="AD77" i="3"/>
  <c r="N77" i="3"/>
  <c r="J77" i="3"/>
  <c r="F77" i="3"/>
  <c r="BW74" i="3"/>
  <c r="BQ74" i="3"/>
  <c r="AB125" i="1"/>
  <c r="AB122" i="1"/>
  <c r="AB123" i="1" s="1"/>
  <c r="AB107" i="1"/>
  <c r="T125" i="1"/>
  <c r="T122" i="1"/>
  <c r="T123" i="1" s="1"/>
  <c r="T107" i="1"/>
  <c r="D125" i="1"/>
  <c r="D122" i="1"/>
  <c r="D123" i="1" s="1"/>
  <c r="D107" i="1"/>
  <c r="P127" i="1"/>
  <c r="P113" i="1"/>
  <c r="AB126" i="1"/>
  <c r="AB111" i="1"/>
  <c r="BX125" i="1"/>
  <c r="BX122" i="1"/>
  <c r="BX123" i="1" s="1"/>
  <c r="BX107" i="1"/>
  <c r="AP126" i="1"/>
  <c r="AP111" i="1"/>
  <c r="AZ125" i="1"/>
  <c r="AZ122" i="1"/>
  <c r="AZ123" i="1" s="1"/>
  <c r="AZ107" i="1"/>
  <c r="AJ125" i="1"/>
  <c r="AJ122" i="1"/>
  <c r="AJ123" i="1" s="1"/>
  <c r="AJ107" i="1"/>
  <c r="X125" i="1"/>
  <c r="X122" i="1"/>
  <c r="X123" i="1" s="1"/>
  <c r="X107" i="1"/>
  <c r="P125" i="1"/>
  <c r="P122" i="1"/>
  <c r="P123" i="1" s="1"/>
  <c r="P107" i="1"/>
  <c r="H125" i="1"/>
  <c r="H122" i="1"/>
  <c r="H123" i="1" s="1"/>
  <c r="H107" i="1"/>
  <c r="AJ127" i="1"/>
  <c r="AJ113" i="1"/>
  <c r="AB127" i="1"/>
  <c r="AB113" i="1"/>
  <c r="T127" i="1"/>
  <c r="T113" i="1"/>
  <c r="AF126" i="1"/>
  <c r="AF111" i="1"/>
  <c r="P126" i="1"/>
  <c r="P111" i="1"/>
  <c r="CB125" i="1"/>
  <c r="CB122" i="1"/>
  <c r="CB123" i="1" s="1"/>
  <c r="CB107" i="1"/>
  <c r="BV125" i="1"/>
  <c r="BV122" i="1"/>
  <c r="BV123" i="1" s="1"/>
  <c r="BV107" i="1"/>
  <c r="BR125" i="1"/>
  <c r="BR122" i="1"/>
  <c r="BR123" i="1" s="1"/>
  <c r="BR107" i="1"/>
  <c r="H127" i="1"/>
  <c r="H113" i="1"/>
  <c r="AT110" i="1"/>
  <c r="AT92" i="1"/>
  <c r="AT102" i="1"/>
  <c r="BR91" i="1"/>
  <c r="BR78" i="1"/>
  <c r="AU91" i="1"/>
  <c r="AU78" i="1"/>
  <c r="BZ89" i="1"/>
  <c r="BZ76" i="1"/>
  <c r="CB93" i="1"/>
  <c r="CB80" i="1"/>
  <c r="AT93" i="1"/>
  <c r="AT80" i="1"/>
  <c r="BR112" i="1"/>
  <c r="BR94" i="1"/>
  <c r="BR104" i="1"/>
  <c r="AW93" i="1"/>
  <c r="AW80" i="1"/>
  <c r="BS93" i="1"/>
  <c r="BS80" i="1"/>
  <c r="BA112" i="1"/>
  <c r="BA94" i="1"/>
  <c r="BA104" i="1"/>
  <c r="BT91" i="1"/>
  <c r="BT78" i="1"/>
  <c r="AS110" i="1"/>
  <c r="AS92" i="1"/>
  <c r="AS102" i="1"/>
  <c r="AO110" i="1"/>
  <c r="AO92" i="1"/>
  <c r="AO102" i="1"/>
  <c r="AK110" i="1"/>
  <c r="AK92" i="1"/>
  <c r="AK102" i="1"/>
  <c r="AG110" i="1"/>
  <c r="AG92" i="1"/>
  <c r="AG102" i="1"/>
  <c r="AC110" i="1"/>
  <c r="AC92" i="1"/>
  <c r="AC102" i="1"/>
  <c r="Y110" i="1"/>
  <c r="Y92" i="1"/>
  <c r="Y102" i="1"/>
  <c r="U110" i="1"/>
  <c r="U92" i="1"/>
  <c r="U102" i="1"/>
  <c r="Q110" i="1"/>
  <c r="Q92" i="1"/>
  <c r="Q102" i="1"/>
  <c r="M110" i="1"/>
  <c r="M92" i="1"/>
  <c r="M102" i="1"/>
  <c r="I110" i="1"/>
  <c r="I92" i="1"/>
  <c r="I102" i="1"/>
  <c r="E110" i="1"/>
  <c r="E92" i="1"/>
  <c r="E102" i="1"/>
  <c r="CA106" i="1"/>
  <c r="CA90" i="1"/>
  <c r="CA97" i="1"/>
  <c r="BW106" i="1"/>
  <c r="BW90" i="1"/>
  <c r="BW97" i="1"/>
  <c r="BS106" i="1"/>
  <c r="BS305" i="2" s="1"/>
  <c r="BS90" i="1"/>
  <c r="BS97" i="1"/>
  <c r="CA93" i="1"/>
  <c r="CA80" i="1"/>
  <c r="BY93" i="1"/>
  <c r="BY80" i="1"/>
  <c r="BX112" i="1"/>
  <c r="BX94" i="1"/>
  <c r="BT112" i="1"/>
  <c r="BT94" i="1"/>
  <c r="BT104" i="1"/>
  <c r="AY93" i="1"/>
  <c r="AY80" i="1"/>
  <c r="AX93" i="1"/>
  <c r="AX80" i="1"/>
  <c r="AN125" i="1"/>
  <c r="AN122" i="1"/>
  <c r="AN123" i="1" s="1"/>
  <c r="AN107" i="1"/>
  <c r="AX125" i="1"/>
  <c r="AX122" i="1"/>
  <c r="AX123" i="1" s="1"/>
  <c r="AX107" i="1"/>
  <c r="AP125" i="1"/>
  <c r="AP122" i="1"/>
  <c r="AP123" i="1" s="1"/>
  <c r="AP107" i="1"/>
  <c r="AH125" i="1"/>
  <c r="AH122" i="1"/>
  <c r="AH123" i="1" s="1"/>
  <c r="AH107" i="1"/>
  <c r="Z125" i="1"/>
  <c r="Z122" i="1"/>
  <c r="Z123" i="1" s="1"/>
  <c r="Z107" i="1"/>
  <c r="R125" i="1"/>
  <c r="R122" i="1"/>
  <c r="R123" i="1" s="1"/>
  <c r="R107" i="1"/>
  <c r="J125" i="1"/>
  <c r="J122" i="1"/>
  <c r="J123" i="1" s="1"/>
  <c r="J107" i="1"/>
  <c r="AD127" i="1"/>
  <c r="AD113" i="1"/>
  <c r="V127" i="1"/>
  <c r="V113" i="1"/>
  <c r="AH126" i="1"/>
  <c r="AH111" i="1"/>
  <c r="Z126" i="1"/>
  <c r="Z111" i="1"/>
  <c r="R126" i="1"/>
  <c r="R111" i="1"/>
  <c r="AJ110" i="1"/>
  <c r="AJ92" i="1"/>
  <c r="AJ102" i="1"/>
  <c r="T110" i="1"/>
  <c r="T92" i="1"/>
  <c r="T102" i="1"/>
  <c r="AZ112" i="1"/>
  <c r="AZ94" i="1"/>
  <c r="AZ104" i="1"/>
  <c r="AL112" i="1"/>
  <c r="AL94" i="1"/>
  <c r="AL104" i="1"/>
  <c r="BZ79" i="1"/>
  <c r="BZ31" i="1"/>
  <c r="N127" i="1"/>
  <c r="N113" i="1"/>
  <c r="AH112" i="1"/>
  <c r="AH94" i="1"/>
  <c r="AH104" i="1"/>
  <c r="BQ93" i="1"/>
  <c r="BQ80" i="1"/>
  <c r="BX91" i="1"/>
  <c r="BX78" i="1"/>
  <c r="AM112" i="1"/>
  <c r="AM94" i="1"/>
  <c r="AM104" i="1"/>
  <c r="AI112" i="1"/>
  <c r="AI94" i="1"/>
  <c r="AI104" i="1"/>
  <c r="AE112" i="1"/>
  <c r="AE94" i="1"/>
  <c r="AE104" i="1"/>
  <c r="AA112" i="1"/>
  <c r="AA94" i="1"/>
  <c r="AA104" i="1"/>
  <c r="S112" i="1"/>
  <c r="S94" i="1"/>
  <c r="S104" i="1"/>
  <c r="O112" i="1"/>
  <c r="O94" i="1"/>
  <c r="O104" i="1"/>
  <c r="K112" i="1"/>
  <c r="K94" i="1"/>
  <c r="K104" i="1"/>
  <c r="G112" i="1"/>
  <c r="G94" i="1"/>
  <c r="G104" i="1"/>
  <c r="BA110" i="1"/>
  <c r="BA92" i="1"/>
  <c r="BA102" i="1"/>
  <c r="AW91" i="1"/>
  <c r="AW78" i="1"/>
  <c r="CA91" i="1"/>
  <c r="CA78" i="1"/>
  <c r="AU93" i="1"/>
  <c r="AU80" i="1"/>
  <c r="BU93" i="1"/>
  <c r="BU80" i="1"/>
  <c r="AQ110" i="1"/>
  <c r="AQ92" i="1"/>
  <c r="AQ102" i="1"/>
  <c r="AI110" i="1"/>
  <c r="AI92" i="1"/>
  <c r="AI102" i="1"/>
  <c r="AQ125" i="1"/>
  <c r="AQ122" i="1"/>
  <c r="AQ123" i="1" s="1"/>
  <c r="AQ107" i="1"/>
  <c r="AR125" i="1"/>
  <c r="AR122" i="1"/>
  <c r="AR123" i="1" s="1"/>
  <c r="AR107" i="1"/>
  <c r="L125" i="1"/>
  <c r="L122" i="1"/>
  <c r="L123" i="1" s="1"/>
  <c r="L107" i="1"/>
  <c r="X127" i="1"/>
  <c r="X113" i="1"/>
  <c r="BT125" i="1"/>
  <c r="BT122" i="1"/>
  <c r="BT123" i="1" s="1"/>
  <c r="BT107" i="1"/>
  <c r="G125" i="1"/>
  <c r="G122" i="1"/>
  <c r="G123" i="1" s="1"/>
  <c r="G107" i="1"/>
  <c r="O106" i="1"/>
  <c r="O97" i="1"/>
  <c r="O90" i="1"/>
  <c r="AN110" i="1"/>
  <c r="AN92" i="1"/>
  <c r="AN102" i="1"/>
  <c r="X110" i="1"/>
  <c r="X92" i="1"/>
  <c r="X102" i="1"/>
  <c r="BV93" i="1"/>
  <c r="BV80" i="1"/>
  <c r="BZ77" i="1"/>
  <c r="BZ29" i="1"/>
  <c r="BQ91" i="1"/>
  <c r="BQ78" i="1"/>
  <c r="AV125" i="1"/>
  <c r="AV122" i="1"/>
  <c r="AV123" i="1" s="1"/>
  <c r="AV107" i="1"/>
  <c r="AF125" i="1"/>
  <c r="AF122" i="1"/>
  <c r="AF123" i="1" s="1"/>
  <c r="AF107" i="1"/>
  <c r="AT125" i="1"/>
  <c r="AT122" i="1"/>
  <c r="AT123" i="1" s="1"/>
  <c r="AT107" i="1"/>
  <c r="AL125" i="1"/>
  <c r="AL122" i="1"/>
  <c r="AL123" i="1" s="1"/>
  <c r="AL107" i="1"/>
  <c r="AD125" i="1"/>
  <c r="AD122" i="1"/>
  <c r="AD123" i="1" s="1"/>
  <c r="AD107" i="1"/>
  <c r="V125" i="1"/>
  <c r="V122" i="1"/>
  <c r="V123" i="1" s="1"/>
  <c r="V107" i="1"/>
  <c r="N125" i="1"/>
  <c r="N122" i="1"/>
  <c r="N123" i="1" s="1"/>
  <c r="N107" i="1"/>
  <c r="F125" i="1"/>
  <c r="F122" i="1"/>
  <c r="F123" i="1" s="1"/>
  <c r="F107" i="1"/>
  <c r="Z127" i="1"/>
  <c r="Z113" i="1"/>
  <c r="R127" i="1"/>
  <c r="R113" i="1"/>
  <c r="AL126" i="1"/>
  <c r="AL111" i="1"/>
  <c r="AD126" i="1"/>
  <c r="AD111" i="1"/>
  <c r="V126" i="1"/>
  <c r="V111" i="1"/>
  <c r="BY91" i="1"/>
  <c r="BY78" i="1"/>
  <c r="BV91" i="1"/>
  <c r="BV78" i="1"/>
  <c r="AO112" i="1"/>
  <c r="AO94" i="1"/>
  <c r="AO104" i="1"/>
  <c r="AG112" i="1"/>
  <c r="AG94" i="1"/>
  <c r="AG104" i="1"/>
  <c r="AC112" i="1"/>
  <c r="AC94" i="1"/>
  <c r="AC104" i="1"/>
  <c r="U112" i="1"/>
  <c r="U94" i="1"/>
  <c r="U104" i="1"/>
  <c r="Q112" i="1"/>
  <c r="Q94" i="1"/>
  <c r="Q104" i="1"/>
  <c r="M112" i="1"/>
  <c r="M94" i="1"/>
  <c r="M104" i="1"/>
  <c r="I112" i="1"/>
  <c r="I94" i="1"/>
  <c r="I104" i="1"/>
  <c r="E112" i="1"/>
  <c r="E94" i="1"/>
  <c r="E104" i="1"/>
  <c r="AY91" i="1"/>
  <c r="AY78" i="1"/>
  <c r="AE110" i="1"/>
  <c r="AE92" i="1"/>
  <c r="AE102" i="1"/>
  <c r="AA110" i="1"/>
  <c r="AA92" i="1"/>
  <c r="AA102" i="1"/>
  <c r="S110" i="1"/>
  <c r="S92" i="1"/>
  <c r="S102" i="1"/>
  <c r="O110" i="1"/>
  <c r="O92" i="1"/>
  <c r="O102" i="1"/>
  <c r="K110" i="1"/>
  <c r="K92" i="1"/>
  <c r="K102" i="1"/>
  <c r="BY106" i="1"/>
  <c r="BY90" i="1"/>
  <c r="BY97" i="1"/>
  <c r="BU106" i="1"/>
  <c r="BU90" i="1"/>
  <c r="BU97" i="1"/>
  <c r="CB91" i="1"/>
  <c r="CB78" i="1"/>
  <c r="BW93" i="1"/>
  <c r="BW80" i="1"/>
  <c r="BS110" i="1"/>
  <c r="BS92" i="1"/>
  <c r="BS102" i="1"/>
  <c r="J127" i="1"/>
  <c r="J113" i="1"/>
  <c r="AZ110" i="1"/>
  <c r="AZ92" i="1"/>
  <c r="AZ102" i="1"/>
  <c r="AV110" i="1"/>
  <c r="AV92" i="1"/>
  <c r="AV102" i="1"/>
  <c r="AR110" i="1"/>
  <c r="AR92" i="1"/>
  <c r="AR102" i="1"/>
  <c r="L127" i="1"/>
  <c r="L113" i="1"/>
  <c r="AX110" i="1"/>
  <c r="AX92" i="1"/>
  <c r="AX102" i="1"/>
  <c r="AR112" i="1"/>
  <c r="AR94" i="1"/>
  <c r="AR104" i="1"/>
  <c r="BQ106" i="1"/>
  <c r="BQ305" i="2" s="1"/>
  <c r="BQ90" i="1"/>
  <c r="BQ97" i="1"/>
  <c r="G110" i="1"/>
  <c r="G92" i="1"/>
  <c r="G102" i="1"/>
  <c r="W110" i="1"/>
  <c r="W92" i="1"/>
  <c r="W102" i="1"/>
  <c r="BU110" i="1"/>
  <c r="BU92" i="1"/>
  <c r="BU102" i="1"/>
  <c r="AK112" i="1"/>
  <c r="AK94" i="1"/>
  <c r="AK104" i="1"/>
  <c r="Y112" i="1"/>
  <c r="Y94" i="1"/>
  <c r="Y104" i="1"/>
  <c r="AV112" i="1"/>
  <c r="AV94" i="1"/>
  <c r="AV104" i="1"/>
  <c r="W112" i="1"/>
  <c r="W94" i="1"/>
  <c r="W104" i="1"/>
  <c r="AM110" i="1"/>
  <c r="AM92" i="1"/>
  <c r="AM102" i="1"/>
  <c r="L126" i="1" l="1"/>
  <c r="AQ94" i="1"/>
  <c r="AQ112" i="1"/>
  <c r="AQ127" i="1" s="1"/>
  <c r="AT12" i="9"/>
  <c r="AX12" i="9"/>
  <c r="AU10" i="9"/>
  <c r="J126" i="1"/>
  <c r="N111" i="1"/>
  <c r="AL40" i="9"/>
  <c r="AL36" i="9"/>
  <c r="AP36" i="9"/>
  <c r="BJ141" i="1"/>
  <c r="BK141" i="1" s="1"/>
  <c r="BL141" i="1" s="1"/>
  <c r="AS49" i="3"/>
  <c r="BW110" i="1"/>
  <c r="BW111" i="1" s="1"/>
  <c r="BW102" i="1"/>
  <c r="AF127" i="1"/>
  <c r="BF139" i="1"/>
  <c r="F126" i="1"/>
  <c r="AP127" i="1"/>
  <c r="D111" i="1"/>
  <c r="AE49" i="3"/>
  <c r="CD41" i="3"/>
  <c r="BH33" i="2"/>
  <c r="BH31" i="2"/>
  <c r="BH30" i="2"/>
  <c r="CD26" i="3"/>
  <c r="BH32" i="2"/>
  <c r="CD28" i="3"/>
  <c r="F113" i="1"/>
  <c r="BH29" i="2"/>
  <c r="BH115" i="1"/>
  <c r="BH14" i="3" s="1"/>
  <c r="BH65" i="1"/>
  <c r="CD15" i="3"/>
  <c r="BI115" i="1"/>
  <c r="BK45" i="1"/>
  <c r="BJ18" i="1"/>
  <c r="AN30" i="9"/>
  <c r="W49" i="3"/>
  <c r="CD136" i="1"/>
  <c r="CC27" i="3"/>
  <c r="CD30" i="2"/>
  <c r="CD32" i="2"/>
  <c r="CD29" i="2"/>
  <c r="CD31" i="2"/>
  <c r="CD33" i="2"/>
  <c r="BE137" i="1"/>
  <c r="BE139" i="1"/>
  <c r="CD135" i="1"/>
  <c r="AN113" i="1"/>
  <c r="AS113" i="1"/>
  <c r="CD65" i="1"/>
  <c r="AI35" i="9"/>
  <c r="G77" i="3"/>
  <c r="K77" i="3"/>
  <c r="BW73" i="3"/>
  <c r="BW77" i="3" s="1"/>
  <c r="AJ35" i="9"/>
  <c r="BY29" i="9"/>
  <c r="CA24" i="9"/>
  <c r="BU305" i="2"/>
  <c r="BW305" i="2"/>
  <c r="J81" i="3"/>
  <c r="J82" i="3" s="1"/>
  <c r="J49" i="3"/>
  <c r="R81" i="3"/>
  <c r="R82" i="3" s="1"/>
  <c r="R49" i="3"/>
  <c r="Z81" i="3"/>
  <c r="Z82" i="3" s="1"/>
  <c r="Z49" i="3"/>
  <c r="AH81" i="3"/>
  <c r="AH82" i="3" s="1"/>
  <c r="AH49" i="3"/>
  <c r="AP81" i="3"/>
  <c r="AP82" i="3" s="1"/>
  <c r="AP49" i="3"/>
  <c r="AN29" i="3"/>
  <c r="BZ11" i="3"/>
  <c r="BZ29" i="3" s="1"/>
  <c r="G81" i="3"/>
  <c r="G82" i="3" s="1"/>
  <c r="G49" i="3"/>
  <c r="D29" i="3"/>
  <c r="BQ11" i="3"/>
  <c r="BQ29" i="3" s="1"/>
  <c r="BQ81" i="3" s="1"/>
  <c r="BQ82" i="3" s="1"/>
  <c r="L29" i="3"/>
  <c r="T29" i="3"/>
  <c r="BU11" i="3"/>
  <c r="BU29" i="3" s="1"/>
  <c r="AB29" i="3"/>
  <c r="BW11" i="3"/>
  <c r="BW29" i="3" s="1"/>
  <c r="AR29" i="3"/>
  <c r="CA11" i="3"/>
  <c r="CA29" i="3" s="1"/>
  <c r="AQ81" i="3"/>
  <c r="AQ82" i="3" s="1"/>
  <c r="AQ49" i="3"/>
  <c r="F81" i="3"/>
  <c r="F82" i="3" s="1"/>
  <c r="F49" i="3"/>
  <c r="N81" i="3"/>
  <c r="N82" i="3" s="1"/>
  <c r="N49" i="3"/>
  <c r="V81" i="3"/>
  <c r="V82" i="3" s="1"/>
  <c r="V49" i="3"/>
  <c r="AD81" i="3"/>
  <c r="AD82" i="3" s="1"/>
  <c r="AD49" i="3"/>
  <c r="AL81" i="3"/>
  <c r="AL82" i="3" s="1"/>
  <c r="AL49" i="3"/>
  <c r="AT81" i="3"/>
  <c r="AT82" i="3" s="1"/>
  <c r="AT49" i="3"/>
  <c r="AF29" i="3"/>
  <c r="BX11" i="3"/>
  <c r="BX29" i="3" s="1"/>
  <c r="H29" i="3"/>
  <c r="BR11" i="3"/>
  <c r="BR29" i="3" s="1"/>
  <c r="BR81" i="3" s="1"/>
  <c r="BR82" i="3" s="1"/>
  <c r="P29" i="3"/>
  <c r="BT11" i="3"/>
  <c r="BT29" i="3" s="1"/>
  <c r="BT81" i="3" s="1"/>
  <c r="BT82" i="3" s="1"/>
  <c r="X29" i="3"/>
  <c r="BV11" i="3"/>
  <c r="BV29" i="3" s="1"/>
  <c r="AJ29" i="3"/>
  <c r="BY11" i="3"/>
  <c r="BY29" i="3" s="1"/>
  <c r="BY305" i="2"/>
  <c r="O11" i="3"/>
  <c r="O29" i="3" s="1"/>
  <c r="O305" i="2"/>
  <c r="CA305" i="2"/>
  <c r="AQ31" i="9"/>
  <c r="AM34" i="9"/>
  <c r="AM40" i="9" s="1"/>
  <c r="AM32" i="9"/>
  <c r="AM42" i="9" s="1"/>
  <c r="AX81" i="3"/>
  <c r="AX82" i="3" s="1"/>
  <c r="AX49" i="3"/>
  <c r="AV29" i="3"/>
  <c r="CB11" i="3"/>
  <c r="CB29" i="3" s="1"/>
  <c r="AU29" i="9"/>
  <c r="AU27" i="9"/>
  <c r="AU26" i="9"/>
  <c r="BX32" i="9"/>
  <c r="BX42" i="9" s="1"/>
  <c r="BX31" i="9"/>
  <c r="AW21" i="9"/>
  <c r="AT32" i="9"/>
  <c r="AT42" i="9" s="1"/>
  <c r="AT31" i="9"/>
  <c r="AT30" i="9"/>
  <c r="AS40" i="9"/>
  <c r="AS36" i="9"/>
  <c r="AS35" i="9"/>
  <c r="BX40" i="9"/>
  <c r="BX36" i="9"/>
  <c r="AT34" i="9"/>
  <c r="BU73" i="3"/>
  <c r="BU77" i="3" s="1"/>
  <c r="BS74" i="3"/>
  <c r="BS73" i="3"/>
  <c r="BS77" i="3" s="1"/>
  <c r="BR77" i="3"/>
  <c r="BR74" i="3"/>
  <c r="CC37" i="2"/>
  <c r="AM126" i="1"/>
  <c r="AM111" i="1"/>
  <c r="AV127" i="1"/>
  <c r="AV113" i="1"/>
  <c r="AK127" i="1"/>
  <c r="AK113" i="1"/>
  <c r="W126" i="1"/>
  <c r="W111" i="1"/>
  <c r="BQ125" i="1"/>
  <c r="BQ122" i="1"/>
  <c r="BQ123" i="1" s="1"/>
  <c r="BQ107" i="1"/>
  <c r="AR126" i="1"/>
  <c r="AR111" i="1"/>
  <c r="AZ126" i="1"/>
  <c r="AZ111" i="1"/>
  <c r="BU125" i="1"/>
  <c r="BU122" i="1"/>
  <c r="BU123" i="1" s="1"/>
  <c r="BU107" i="1"/>
  <c r="K126" i="1"/>
  <c r="K111" i="1"/>
  <c r="S126" i="1"/>
  <c r="S111" i="1"/>
  <c r="AE126" i="1"/>
  <c r="AE111" i="1"/>
  <c r="AY110" i="1"/>
  <c r="AY92" i="1"/>
  <c r="AY102" i="1"/>
  <c r="I127" i="1"/>
  <c r="I113" i="1"/>
  <c r="Q127" i="1"/>
  <c r="Q113" i="1"/>
  <c r="AC127" i="1"/>
  <c r="AC113" i="1"/>
  <c r="AO127" i="1"/>
  <c r="AO113" i="1"/>
  <c r="BV110" i="1"/>
  <c r="BV92" i="1"/>
  <c r="BV102" i="1"/>
  <c r="BY110" i="1"/>
  <c r="BY92" i="1"/>
  <c r="BY102" i="1"/>
  <c r="BQ110" i="1"/>
  <c r="BQ92" i="1"/>
  <c r="BQ102" i="1"/>
  <c r="BZ91" i="1"/>
  <c r="BZ78" i="1"/>
  <c r="BV112" i="1"/>
  <c r="BV94" i="1"/>
  <c r="BV104" i="1"/>
  <c r="AN126" i="1"/>
  <c r="AN111" i="1"/>
  <c r="AQ126" i="1"/>
  <c r="AQ111" i="1"/>
  <c r="BU112" i="1"/>
  <c r="BU94" i="1"/>
  <c r="BU104" i="1"/>
  <c r="AU112" i="1"/>
  <c r="AU94" i="1"/>
  <c r="AU104" i="1"/>
  <c r="CA110" i="1"/>
  <c r="CA92" i="1"/>
  <c r="CA102" i="1"/>
  <c r="AW110" i="1"/>
  <c r="AW92" i="1"/>
  <c r="AW102" i="1"/>
  <c r="G127" i="1"/>
  <c r="G113" i="1"/>
  <c r="O127" i="1"/>
  <c r="O113" i="1"/>
  <c r="AA127" i="1"/>
  <c r="AA113" i="1"/>
  <c r="AI127" i="1"/>
  <c r="AI113" i="1"/>
  <c r="BX110" i="1"/>
  <c r="BX92" i="1"/>
  <c r="BX102" i="1"/>
  <c r="BQ112" i="1"/>
  <c r="BQ94" i="1"/>
  <c r="BQ104" i="1"/>
  <c r="AL127" i="1"/>
  <c r="AL113" i="1"/>
  <c r="T126" i="1"/>
  <c r="T111" i="1"/>
  <c r="AX112" i="1"/>
  <c r="AX94" i="1"/>
  <c r="AX104" i="1"/>
  <c r="AY112" i="1"/>
  <c r="AY94" i="1"/>
  <c r="AY104" i="1"/>
  <c r="BX127" i="1"/>
  <c r="BX113" i="1"/>
  <c r="BY112" i="1"/>
  <c r="BY94" i="1"/>
  <c r="BY104" i="1"/>
  <c r="CA112" i="1"/>
  <c r="CA94" i="1"/>
  <c r="CA104" i="1"/>
  <c r="BS125" i="1"/>
  <c r="BS122" i="1"/>
  <c r="BS123" i="1" s="1"/>
  <c r="BS107" i="1"/>
  <c r="CA125" i="1"/>
  <c r="CA122" i="1"/>
  <c r="CA123" i="1" s="1"/>
  <c r="CA107" i="1"/>
  <c r="I126" i="1"/>
  <c r="I111" i="1"/>
  <c r="Q126" i="1"/>
  <c r="Q111" i="1"/>
  <c r="Y126" i="1"/>
  <c r="Y111" i="1"/>
  <c r="AG126" i="1"/>
  <c r="AG111" i="1"/>
  <c r="AO126" i="1"/>
  <c r="AO111" i="1"/>
  <c r="BA127" i="1"/>
  <c r="BA113" i="1"/>
  <c r="BS112" i="1"/>
  <c r="BS94" i="1"/>
  <c r="BS104" i="1"/>
  <c r="AW112" i="1"/>
  <c r="AW94" i="1"/>
  <c r="AW104" i="1"/>
  <c r="AT126" i="1"/>
  <c r="AT111" i="1"/>
  <c r="W127" i="1"/>
  <c r="W113" i="1"/>
  <c r="Y127" i="1"/>
  <c r="Y113" i="1"/>
  <c r="BU126" i="1"/>
  <c r="BU111" i="1"/>
  <c r="G126" i="1"/>
  <c r="G111" i="1"/>
  <c r="AR127" i="1"/>
  <c r="AR113" i="1"/>
  <c r="AX126" i="1"/>
  <c r="AX111" i="1"/>
  <c r="AV126" i="1"/>
  <c r="AV111" i="1"/>
  <c r="BS126" i="1"/>
  <c r="BS111" i="1"/>
  <c r="BW112" i="1"/>
  <c r="BW94" i="1"/>
  <c r="BW104" i="1"/>
  <c r="CB110" i="1"/>
  <c r="CB92" i="1"/>
  <c r="CB102" i="1"/>
  <c r="BY125" i="1"/>
  <c r="BY122" i="1"/>
  <c r="BY123" i="1" s="1"/>
  <c r="BY107" i="1"/>
  <c r="O126" i="1"/>
  <c r="O111" i="1"/>
  <c r="AA126" i="1"/>
  <c r="AA111" i="1"/>
  <c r="E127" i="1"/>
  <c r="E113" i="1"/>
  <c r="M127" i="1"/>
  <c r="M113" i="1"/>
  <c r="U127" i="1"/>
  <c r="U113" i="1"/>
  <c r="AG127" i="1"/>
  <c r="AG113" i="1"/>
  <c r="X126" i="1"/>
  <c r="X111" i="1"/>
  <c r="O125" i="1"/>
  <c r="O122" i="1"/>
  <c r="O123" i="1" s="1"/>
  <c r="O107" i="1"/>
  <c r="AI126" i="1"/>
  <c r="AI111" i="1"/>
  <c r="BA126" i="1"/>
  <c r="BA111" i="1"/>
  <c r="K127" i="1"/>
  <c r="K113" i="1"/>
  <c r="S127" i="1"/>
  <c r="S113" i="1"/>
  <c r="AE127" i="1"/>
  <c r="AE113" i="1"/>
  <c r="AM127" i="1"/>
  <c r="AM113" i="1"/>
  <c r="AH127" i="1"/>
  <c r="AH113" i="1"/>
  <c r="BZ93" i="1"/>
  <c r="BZ80" i="1"/>
  <c r="AZ127" i="1"/>
  <c r="AZ113" i="1"/>
  <c r="AJ126" i="1"/>
  <c r="AJ111" i="1"/>
  <c r="BT127" i="1"/>
  <c r="BT113" i="1"/>
  <c r="BW125" i="1"/>
  <c r="BW122" i="1"/>
  <c r="BW123" i="1" s="1"/>
  <c r="BW107" i="1"/>
  <c r="E126" i="1"/>
  <c r="E111" i="1"/>
  <c r="M126" i="1"/>
  <c r="M111" i="1"/>
  <c r="U126" i="1"/>
  <c r="U111" i="1"/>
  <c r="AC126" i="1"/>
  <c r="AC111" i="1"/>
  <c r="AK126" i="1"/>
  <c r="AK111" i="1"/>
  <c r="AS126" i="1"/>
  <c r="AS111" i="1"/>
  <c r="BT110" i="1"/>
  <c r="BT92" i="1"/>
  <c r="BT102" i="1"/>
  <c r="BR127" i="1"/>
  <c r="BR113" i="1"/>
  <c r="AT112" i="1"/>
  <c r="AT94" i="1"/>
  <c r="AT104" i="1"/>
  <c r="CB112" i="1"/>
  <c r="CB94" i="1"/>
  <c r="CB104" i="1"/>
  <c r="BZ106" i="1"/>
  <c r="BZ90" i="1"/>
  <c r="BZ97" i="1"/>
  <c r="AU110" i="1"/>
  <c r="AU92" i="1"/>
  <c r="AU102" i="1"/>
  <c r="BR110" i="1"/>
  <c r="BR92" i="1"/>
  <c r="BR102" i="1"/>
  <c r="AQ113" i="1" l="1"/>
  <c r="AY12" i="9"/>
  <c r="AU12" i="9"/>
  <c r="CA10" i="9"/>
  <c r="BM141" i="1"/>
  <c r="BN141" i="1" s="1"/>
  <c r="BO141" i="1" s="1"/>
  <c r="CA27" i="9"/>
  <c r="CE45" i="1"/>
  <c r="BL45" i="1"/>
  <c r="CE141" i="1"/>
  <c r="CG141" i="1" s="1"/>
  <c r="BT49" i="3"/>
  <c r="BW126" i="1"/>
  <c r="CD133" i="1"/>
  <c r="CD32" i="3"/>
  <c r="BI32" i="2"/>
  <c r="BH28" i="3"/>
  <c r="CD13" i="2"/>
  <c r="BH13" i="2"/>
  <c r="BH33" i="3" s="1"/>
  <c r="BI29" i="2"/>
  <c r="BI31" i="2"/>
  <c r="BI33" i="2"/>
  <c r="BH41" i="3"/>
  <c r="BI30" i="2"/>
  <c r="BH26" i="3"/>
  <c r="CD22" i="2"/>
  <c r="BH22" i="2"/>
  <c r="BH18" i="3" s="1"/>
  <c r="CD12" i="2"/>
  <c r="BH12" i="2"/>
  <c r="BH20" i="3" s="1"/>
  <c r="CD33" i="3"/>
  <c r="BY34" i="9"/>
  <c r="BY40" i="9" s="1"/>
  <c r="CD14" i="3"/>
  <c r="BK18" i="1"/>
  <c r="BH135" i="1"/>
  <c r="BI14" i="3"/>
  <c r="BH108" i="1"/>
  <c r="BH63" i="1"/>
  <c r="BI65" i="1"/>
  <c r="BH15" i="3"/>
  <c r="CA26" i="9"/>
  <c r="BZ31" i="9"/>
  <c r="BY31" i="9"/>
  <c r="BY32" i="9"/>
  <c r="BY42" i="9" s="1"/>
  <c r="CD78" i="2"/>
  <c r="CD18" i="3"/>
  <c r="CD20" i="3"/>
  <c r="BF137" i="1"/>
  <c r="CD115" i="1"/>
  <c r="CD108" i="1"/>
  <c r="CD63" i="1"/>
  <c r="AN35" i="9"/>
  <c r="BS11" i="3"/>
  <c r="BS29" i="3" s="1"/>
  <c r="BR49" i="3"/>
  <c r="AM36" i="9"/>
  <c r="AQ36" i="9"/>
  <c r="AM35" i="9"/>
  <c r="CA29" i="9"/>
  <c r="CA32" i="9" s="1"/>
  <c r="AV81" i="3"/>
  <c r="AV82" i="3" s="1"/>
  <c r="AV49" i="3"/>
  <c r="AJ81" i="3"/>
  <c r="AJ82" i="3" s="1"/>
  <c r="AJ49" i="3"/>
  <c r="X81" i="3"/>
  <c r="X82" i="3" s="1"/>
  <c r="X49" i="3"/>
  <c r="P81" i="3"/>
  <c r="P82" i="3" s="1"/>
  <c r="P49" i="3"/>
  <c r="H81" i="3"/>
  <c r="H82" i="3" s="1"/>
  <c r="H49" i="3"/>
  <c r="AF81" i="3"/>
  <c r="AF82" i="3" s="1"/>
  <c r="AF49" i="3"/>
  <c r="CA81" i="3"/>
  <c r="CA82" i="3" s="1"/>
  <c r="CA49" i="3"/>
  <c r="BW81" i="3"/>
  <c r="BW82" i="3" s="1"/>
  <c r="BW49" i="3"/>
  <c r="BU81" i="3"/>
  <c r="BU82" i="3" s="1"/>
  <c r="BU49" i="3"/>
  <c r="AN81" i="3"/>
  <c r="AN82" i="3" s="1"/>
  <c r="AN49" i="3"/>
  <c r="BZ305" i="2"/>
  <c r="CB81" i="3"/>
  <c r="CB82" i="3" s="1"/>
  <c r="CB49" i="3"/>
  <c r="BQ49" i="3"/>
  <c r="BQ50" i="3" s="1"/>
  <c r="O81" i="3"/>
  <c r="O82" i="3" s="1"/>
  <c r="O49" i="3"/>
  <c r="BY81" i="3"/>
  <c r="BY82" i="3" s="1"/>
  <c r="BY49" i="3"/>
  <c r="BV81" i="3"/>
  <c r="BV82" i="3" s="1"/>
  <c r="BV49" i="3"/>
  <c r="BX81" i="3"/>
  <c r="BX82" i="3" s="1"/>
  <c r="BX49" i="3"/>
  <c r="AR81" i="3"/>
  <c r="AR82" i="3" s="1"/>
  <c r="AR49" i="3"/>
  <c r="AB81" i="3"/>
  <c r="AB82" i="3" s="1"/>
  <c r="AB49" i="3"/>
  <c r="T81" i="3"/>
  <c r="T82" i="3" s="1"/>
  <c r="T49" i="3"/>
  <c r="L81" i="3"/>
  <c r="L82" i="3" s="1"/>
  <c r="L49" i="3"/>
  <c r="D81" i="3"/>
  <c r="D82" i="3" s="1"/>
  <c r="D49" i="3"/>
  <c r="D50" i="3" s="1"/>
  <c r="BZ81" i="3"/>
  <c r="BZ82" i="3" s="1"/>
  <c r="BZ49" i="3"/>
  <c r="AT40" i="9"/>
  <c r="AT36" i="9"/>
  <c r="AT35" i="9"/>
  <c r="AV26" i="9"/>
  <c r="AX21" i="9"/>
  <c r="CB19" i="9"/>
  <c r="AU32" i="9"/>
  <c r="AU42" i="9" s="1"/>
  <c r="AU31" i="9"/>
  <c r="AU30" i="9"/>
  <c r="AU34" i="9"/>
  <c r="BR126" i="1"/>
  <c r="BR111" i="1"/>
  <c r="BZ125" i="1"/>
  <c r="BZ122" i="1"/>
  <c r="BZ123" i="1" s="1"/>
  <c r="BZ107" i="1"/>
  <c r="AT127" i="1"/>
  <c r="AT113" i="1"/>
  <c r="BZ112" i="1"/>
  <c r="BZ94" i="1"/>
  <c r="BZ104" i="1"/>
  <c r="CB126" i="1"/>
  <c r="CB111" i="1"/>
  <c r="BS127" i="1"/>
  <c r="BS113" i="1"/>
  <c r="BY127" i="1"/>
  <c r="BY113" i="1"/>
  <c r="AX127" i="1"/>
  <c r="AX113" i="1"/>
  <c r="BQ127" i="1"/>
  <c r="BQ113" i="1"/>
  <c r="AW126" i="1"/>
  <c r="AW111" i="1"/>
  <c r="AU127" i="1"/>
  <c r="AU113" i="1"/>
  <c r="BV127" i="1"/>
  <c r="BV113" i="1"/>
  <c r="BZ110" i="1"/>
  <c r="BZ92" i="1"/>
  <c r="BZ102" i="1"/>
  <c r="BV126" i="1"/>
  <c r="BV111" i="1"/>
  <c r="AU126" i="1"/>
  <c r="AU111" i="1"/>
  <c r="CB127" i="1"/>
  <c r="CB113" i="1"/>
  <c r="BT126" i="1"/>
  <c r="BT111" i="1"/>
  <c r="BW127" i="1"/>
  <c r="BW113" i="1"/>
  <c r="AW127" i="1"/>
  <c r="AW113" i="1"/>
  <c r="CA127" i="1"/>
  <c r="CA113" i="1"/>
  <c r="AY127" i="1"/>
  <c r="AY113" i="1"/>
  <c r="BX126" i="1"/>
  <c r="BX111" i="1"/>
  <c r="CA126" i="1"/>
  <c r="CA111" i="1"/>
  <c r="BU127" i="1"/>
  <c r="BU113" i="1"/>
  <c r="BQ126" i="1"/>
  <c r="BQ111" i="1"/>
  <c r="BY126" i="1"/>
  <c r="BY111" i="1"/>
  <c r="AY126" i="1"/>
  <c r="AY111" i="1"/>
  <c r="CF141" i="1" l="1"/>
  <c r="CA12" i="9"/>
  <c r="CB12" i="9"/>
  <c r="BY36" i="9"/>
  <c r="CA42" i="9"/>
  <c r="CE18" i="1"/>
  <c r="CG18" i="1" s="1"/>
  <c r="BL18" i="1"/>
  <c r="BM45" i="1"/>
  <c r="BH133" i="1"/>
  <c r="BJ33" i="2"/>
  <c r="BI41" i="3"/>
  <c r="BI13" i="2"/>
  <c r="BI33" i="3" s="1"/>
  <c r="BH39" i="2"/>
  <c r="CD25" i="3"/>
  <c r="BJ32" i="2"/>
  <c r="BI28" i="3"/>
  <c r="BI22" i="2"/>
  <c r="BI18" i="3" s="1"/>
  <c r="BJ30" i="2"/>
  <c r="BI26" i="3"/>
  <c r="BJ31" i="2"/>
  <c r="BJ29" i="2"/>
  <c r="BI12" i="2"/>
  <c r="BI20" i="3" s="1"/>
  <c r="BH32" i="3"/>
  <c r="BJ115" i="1"/>
  <c r="BJ14" i="3" s="1"/>
  <c r="BZ36" i="9"/>
  <c r="BH65" i="2"/>
  <c r="BH67" i="2" s="1"/>
  <c r="BH70" i="2"/>
  <c r="BH69" i="1"/>
  <c r="BH68" i="1"/>
  <c r="BI108" i="1"/>
  <c r="BI15" i="3"/>
  <c r="BI63" i="1"/>
  <c r="BJ65" i="1"/>
  <c r="BI135" i="1"/>
  <c r="CD70" i="2"/>
  <c r="CD39" i="2"/>
  <c r="CD42" i="3"/>
  <c r="CA31" i="9"/>
  <c r="CD68" i="1"/>
  <c r="CD69" i="1"/>
  <c r="BS81" i="3"/>
  <c r="BS82" i="3" s="1"/>
  <c r="BS49" i="3"/>
  <c r="CA34" i="9"/>
  <c r="CA40" i="9" s="1"/>
  <c r="E47" i="3"/>
  <c r="E50" i="3" s="1"/>
  <c r="D53" i="3"/>
  <c r="BQ53" i="3"/>
  <c r="BR47" i="3"/>
  <c r="BR50" i="3" s="1"/>
  <c r="CB22" i="9"/>
  <c r="CB21" i="9"/>
  <c r="AY21" i="9"/>
  <c r="AU40" i="9"/>
  <c r="AU36" i="9"/>
  <c r="AU35" i="9"/>
  <c r="AW26" i="9"/>
  <c r="AV31" i="9"/>
  <c r="BZ126" i="1"/>
  <c r="BZ111" i="1"/>
  <c r="BZ127" i="1"/>
  <c r="BZ113" i="1"/>
  <c r="CE115" i="1" l="1"/>
  <c r="CD132" i="1"/>
  <c r="AV17" i="9"/>
  <c r="AV42" i="9" s="1"/>
  <c r="AV16" i="9"/>
  <c r="CA36" i="9"/>
  <c r="BN45" i="1"/>
  <c r="BM18" i="1"/>
  <c r="BL115" i="1"/>
  <c r="CD137" i="1"/>
  <c r="BI133" i="1"/>
  <c r="BH132" i="1"/>
  <c r="CD139" i="1"/>
  <c r="BK115" i="1"/>
  <c r="BK14" i="3" s="1"/>
  <c r="CE14" i="3" s="1"/>
  <c r="BI65" i="2"/>
  <c r="BI67" i="2" s="1"/>
  <c r="BJ12" i="2"/>
  <c r="BJ20" i="3" s="1"/>
  <c r="BI39" i="2"/>
  <c r="BH25" i="3"/>
  <c r="BJ13" i="2"/>
  <c r="BK29" i="2"/>
  <c r="BL29" i="2" s="1"/>
  <c r="BJ26" i="3"/>
  <c r="BK30" i="2"/>
  <c r="BL30" i="2" s="1"/>
  <c r="BK31" i="2"/>
  <c r="BL31" i="2" s="1"/>
  <c r="BJ22" i="2"/>
  <c r="BK32" i="2"/>
  <c r="BL32" i="2" s="1"/>
  <c r="BJ28" i="3"/>
  <c r="BI32" i="3"/>
  <c r="BK33" i="2"/>
  <c r="BL33" i="2" s="1"/>
  <c r="BJ41" i="3"/>
  <c r="BH45" i="3"/>
  <c r="CD65" i="2"/>
  <c r="CD67" i="2" s="1"/>
  <c r="BK65" i="1"/>
  <c r="BJ63" i="1"/>
  <c r="BJ108" i="1"/>
  <c r="BJ15" i="3"/>
  <c r="BI70" i="2"/>
  <c r="BI42" i="3"/>
  <c r="BI45" i="3" s="1"/>
  <c r="BJ135" i="1"/>
  <c r="BI69" i="1"/>
  <c r="BI68" i="1"/>
  <c r="BR53" i="3"/>
  <c r="BS47" i="3"/>
  <c r="BS50" i="3" s="1"/>
  <c r="E53" i="3"/>
  <c r="F47" i="3"/>
  <c r="F50" i="3" s="1"/>
  <c r="CB17" i="9"/>
  <c r="CB16" i="9"/>
  <c r="AW40" i="9"/>
  <c r="AW36" i="9"/>
  <c r="AW35" i="9"/>
  <c r="AX26" i="9"/>
  <c r="CB24" i="9"/>
  <c r="AV40" i="9"/>
  <c r="AV36" i="9"/>
  <c r="AV35" i="9"/>
  <c r="AW31" i="9"/>
  <c r="AZ21" i="9"/>
  <c r="BH139" i="1" l="1"/>
  <c r="AW17" i="9"/>
  <c r="AW42" i="9" s="1"/>
  <c r="AW15" i="9"/>
  <c r="AW16" i="9"/>
  <c r="BH137" i="1"/>
  <c r="BL14" i="3"/>
  <c r="BL41" i="3"/>
  <c r="BM33" i="2"/>
  <c r="BL28" i="3"/>
  <c r="BM32" i="2"/>
  <c r="BM31" i="2"/>
  <c r="BL26" i="3"/>
  <c r="BM30" i="2"/>
  <c r="BM29" i="2"/>
  <c r="CE65" i="1"/>
  <c r="BL65" i="1"/>
  <c r="BN18" i="1"/>
  <c r="BM115" i="1"/>
  <c r="BO45" i="1"/>
  <c r="BJ133" i="1"/>
  <c r="BI132" i="1"/>
  <c r="BJ65" i="2"/>
  <c r="BJ67" i="2" s="1"/>
  <c r="BK22" i="2"/>
  <c r="BK28" i="3"/>
  <c r="CE28" i="3" s="1"/>
  <c r="CE32" i="2"/>
  <c r="BJ18" i="3"/>
  <c r="BK13" i="2"/>
  <c r="BK41" i="3"/>
  <c r="CE41" i="3" s="1"/>
  <c r="CE33" i="2"/>
  <c r="CE29" i="2"/>
  <c r="CE31" i="2"/>
  <c r="BK26" i="3"/>
  <c r="CE30" i="2"/>
  <c r="BJ33" i="3"/>
  <c r="BJ39" i="2"/>
  <c r="BI25" i="3"/>
  <c r="BH37" i="2"/>
  <c r="CD27" i="3"/>
  <c r="CE26" i="3"/>
  <c r="BJ32" i="3"/>
  <c r="BK12" i="2"/>
  <c r="CE108" i="1"/>
  <c r="BK135" i="1"/>
  <c r="BJ42" i="3"/>
  <c r="BJ45" i="3" s="1"/>
  <c r="BK63" i="1"/>
  <c r="BK15" i="3"/>
  <c r="CE15" i="3" s="1"/>
  <c r="BK108" i="1"/>
  <c r="BJ70" i="2"/>
  <c r="BJ69" i="1"/>
  <c r="BJ68" i="1"/>
  <c r="CD37" i="2"/>
  <c r="G47" i="3"/>
  <c r="G50" i="3" s="1"/>
  <c r="F53" i="3"/>
  <c r="BS53" i="3"/>
  <c r="BT47" i="3"/>
  <c r="BT50" i="3" s="1"/>
  <c r="CB27" i="9"/>
  <c r="CB26" i="9"/>
  <c r="CB29" i="9"/>
  <c r="AY26" i="9"/>
  <c r="BA21" i="9"/>
  <c r="BC21" i="9"/>
  <c r="AZ16" i="9"/>
  <c r="AX40" i="9"/>
  <c r="AX36" i="9"/>
  <c r="AX35" i="9"/>
  <c r="AX31" i="9"/>
  <c r="CE63" i="1" l="1"/>
  <c r="CE68" i="1" s="1"/>
  <c r="CG65" i="1"/>
  <c r="AX17" i="9"/>
  <c r="AX42" i="9" s="1"/>
  <c r="AX15" i="9"/>
  <c r="AX16" i="9"/>
  <c r="BM14" i="3"/>
  <c r="CF45" i="1"/>
  <c r="BL15" i="3"/>
  <c r="CE12" i="2"/>
  <c r="BL12" i="2"/>
  <c r="BL20" i="3" s="1"/>
  <c r="BN29" i="2"/>
  <c r="BN30" i="2"/>
  <c r="BM26" i="3"/>
  <c r="BN31" i="2"/>
  <c r="BN32" i="2"/>
  <c r="BM28" i="3"/>
  <c r="BN33" i="2"/>
  <c r="BM41" i="3"/>
  <c r="CE13" i="2"/>
  <c r="BL13" i="2"/>
  <c r="BL32" i="3" s="1"/>
  <c r="CE22" i="2"/>
  <c r="BL22" i="2"/>
  <c r="BL18" i="3" s="1"/>
  <c r="BI139" i="1"/>
  <c r="CE135" i="1"/>
  <c r="BL135" i="1"/>
  <c r="BN115" i="1"/>
  <c r="BO18" i="1"/>
  <c r="CF18" i="1" s="1"/>
  <c r="BM65" i="1"/>
  <c r="BM15" i="3" s="1"/>
  <c r="BL108" i="1"/>
  <c r="BL63" i="1"/>
  <c r="BI137" i="1"/>
  <c r="BJ132" i="1"/>
  <c r="BJ139" i="1" s="1"/>
  <c r="BK133" i="1"/>
  <c r="CE133" i="1" s="1"/>
  <c r="BK65" i="2"/>
  <c r="BK39" i="2"/>
  <c r="BL39" i="2" s="1"/>
  <c r="BJ25" i="3"/>
  <c r="BK32" i="3"/>
  <c r="CE32" i="3" s="1"/>
  <c r="BK33" i="3"/>
  <c r="CE33" i="3" s="1"/>
  <c r="BI37" i="2"/>
  <c r="BH27" i="3"/>
  <c r="BK20" i="3"/>
  <c r="BK18" i="3"/>
  <c r="CE18" i="3" s="1"/>
  <c r="CE69" i="1"/>
  <c r="BK70" i="2"/>
  <c r="BK68" i="1"/>
  <c r="BK69" i="1"/>
  <c r="BK42" i="3"/>
  <c r="BK45" i="3" s="1"/>
  <c r="BT53" i="3"/>
  <c r="BU47" i="3"/>
  <c r="BU50" i="3" s="1"/>
  <c r="H47" i="3"/>
  <c r="H50" i="3" s="1"/>
  <c r="G53" i="3"/>
  <c r="CB32" i="9"/>
  <c r="CB42" i="9" s="1"/>
  <c r="CB31" i="9"/>
  <c r="CB34" i="9"/>
  <c r="BA16" i="9"/>
  <c r="AZ31" i="9"/>
  <c r="AZ26" i="9"/>
  <c r="BB21" i="9"/>
  <c r="AY31" i="9"/>
  <c r="CG115" i="1" l="1"/>
  <c r="CG14" i="3" s="1"/>
  <c r="CG45" i="1"/>
  <c r="CG108" i="1"/>
  <c r="CG15" i="3"/>
  <c r="CG63" i="1"/>
  <c r="CF115" i="1"/>
  <c r="AY17" i="9"/>
  <c r="AY42" i="9" s="1"/>
  <c r="AY15" i="9"/>
  <c r="AZ15" i="9"/>
  <c r="AY16" i="9"/>
  <c r="CE20" i="3"/>
  <c r="CF20" i="3"/>
  <c r="BL42" i="3"/>
  <c r="BJ137" i="1"/>
  <c r="BN14" i="3"/>
  <c r="BM39" i="2"/>
  <c r="BL25" i="3"/>
  <c r="BM13" i="2"/>
  <c r="BM32" i="3" s="1"/>
  <c r="BL33" i="3"/>
  <c r="BO29" i="2"/>
  <c r="CF29" i="2" s="1"/>
  <c r="CG29" i="2" s="1"/>
  <c r="BM22" i="2"/>
  <c r="BM18" i="3" s="1"/>
  <c r="BO33" i="2"/>
  <c r="BN41" i="3"/>
  <c r="BO32" i="2"/>
  <c r="BN28" i="3"/>
  <c r="BO31" i="2"/>
  <c r="CF31" i="2" s="1"/>
  <c r="CG31" i="2" s="1"/>
  <c r="BO30" i="2"/>
  <c r="BN26" i="3"/>
  <c r="BM12" i="2"/>
  <c r="BM20" i="3" s="1"/>
  <c r="CE70" i="2"/>
  <c r="BL70" i="2"/>
  <c r="BM70" i="2" s="1"/>
  <c r="BK67" i="2"/>
  <c r="BL65" i="2"/>
  <c r="BO115" i="1"/>
  <c r="BM135" i="1"/>
  <c r="BM42" i="3" s="1"/>
  <c r="BM45" i="3" s="1"/>
  <c r="BL133" i="1"/>
  <c r="BL69" i="1"/>
  <c r="BL68" i="1"/>
  <c r="BM108" i="1"/>
  <c r="BM63" i="1"/>
  <c r="BN65" i="1"/>
  <c r="BN15" i="3" s="1"/>
  <c r="BK132" i="1"/>
  <c r="CE132" i="1" s="1"/>
  <c r="CE65" i="2"/>
  <c r="BC16" i="9"/>
  <c r="BJ37" i="2"/>
  <c r="BI27" i="3"/>
  <c r="CE39" i="2"/>
  <c r="BK25" i="3"/>
  <c r="CE25" i="3" s="1"/>
  <c r="CE42" i="3"/>
  <c r="CE45" i="3" s="1"/>
  <c r="BV47" i="3"/>
  <c r="BV50" i="3" s="1"/>
  <c r="BU53" i="3"/>
  <c r="H53" i="3"/>
  <c r="I47" i="3"/>
  <c r="I50" i="3" s="1"/>
  <c r="BA26" i="9"/>
  <c r="BB16" i="9"/>
  <c r="CB40" i="9"/>
  <c r="CB36" i="9"/>
  <c r="AY40" i="9"/>
  <c r="AY36" i="9"/>
  <c r="AY35" i="9"/>
  <c r="CC19" i="9"/>
  <c r="AZ42" i="9"/>
  <c r="CG69" i="1" l="1"/>
  <c r="CG68" i="1"/>
  <c r="BO28" i="3"/>
  <c r="CF28" i="3" s="1"/>
  <c r="CF32" i="2"/>
  <c r="CG32" i="2" s="1"/>
  <c r="CG28" i="3" s="1"/>
  <c r="BO41" i="3"/>
  <c r="CF41" i="3" s="1"/>
  <c r="CF33" i="2"/>
  <c r="CG33" i="2" s="1"/>
  <c r="CG41" i="3" s="1"/>
  <c r="CG45" i="3" s="1"/>
  <c r="BO26" i="3"/>
  <c r="CF26" i="3" s="1"/>
  <c r="CF30" i="2"/>
  <c r="CG30" i="2" s="1"/>
  <c r="CG26" i="3" s="1"/>
  <c r="BL45" i="3"/>
  <c r="BO14" i="3"/>
  <c r="CF14" i="3" s="1"/>
  <c r="BN70" i="2"/>
  <c r="BN12" i="2"/>
  <c r="BN20" i="3" s="1"/>
  <c r="BN22" i="2"/>
  <c r="BN18" i="3" s="1"/>
  <c r="BN13" i="2"/>
  <c r="BN33" i="3" s="1"/>
  <c r="BM33" i="3"/>
  <c r="BN39" i="2"/>
  <c r="BM25" i="3"/>
  <c r="BM65" i="2"/>
  <c r="BL67" i="2"/>
  <c r="BK139" i="1"/>
  <c r="CE139" i="1" s="1"/>
  <c r="BL132" i="1"/>
  <c r="BM69" i="1"/>
  <c r="BM68" i="1"/>
  <c r="BN135" i="1"/>
  <c r="BN42" i="3" s="1"/>
  <c r="BN45" i="3" s="1"/>
  <c r="BN108" i="1"/>
  <c r="BN63" i="1"/>
  <c r="BO65" i="1"/>
  <c r="BO15" i="3" s="1"/>
  <c r="CF15" i="3" s="1"/>
  <c r="BM133" i="1"/>
  <c r="BN133" i="1" s="1"/>
  <c r="BK137" i="1"/>
  <c r="CE67" i="2"/>
  <c r="BK37" i="2"/>
  <c r="BL37" i="2" s="1"/>
  <c r="BJ27" i="3"/>
  <c r="CE137" i="1"/>
  <c r="CC16" i="9"/>
  <c r="J47" i="3"/>
  <c r="J50" i="3" s="1"/>
  <c r="I53" i="3"/>
  <c r="BW47" i="3"/>
  <c r="BW50" i="3" s="1"/>
  <c r="BV53" i="3"/>
  <c r="BA36" i="9"/>
  <c r="BA40" i="9"/>
  <c r="BA35" i="9"/>
  <c r="BB26" i="9"/>
  <c r="AZ40" i="9"/>
  <c r="AZ36" i="9"/>
  <c r="AZ35" i="9"/>
  <c r="CC21" i="9"/>
  <c r="BA42" i="9"/>
  <c r="BA31" i="9"/>
  <c r="BN32" i="3" l="1"/>
  <c r="CF65" i="1"/>
  <c r="BO70" i="2"/>
  <c r="CF70" i="2" s="1"/>
  <c r="CG70" i="2" s="1"/>
  <c r="BM37" i="2"/>
  <c r="BL27" i="3"/>
  <c r="BO39" i="2"/>
  <c r="BN25" i="3"/>
  <c r="BO13" i="2"/>
  <c r="CF13" i="2" s="1"/>
  <c r="BO22" i="2"/>
  <c r="BO12" i="2"/>
  <c r="CF12" i="2" s="1"/>
  <c r="BN65" i="2"/>
  <c r="BM67" i="2"/>
  <c r="BN68" i="1"/>
  <c r="BN69" i="1"/>
  <c r="BM132" i="1"/>
  <c r="BL139" i="1"/>
  <c r="BL137" i="1"/>
  <c r="BO108" i="1"/>
  <c r="BO63" i="1"/>
  <c r="BO135" i="1"/>
  <c r="BO42" i="3" s="1"/>
  <c r="BO45" i="3" s="1"/>
  <c r="BC26" i="9"/>
  <c r="BC31" i="9"/>
  <c r="CE37" i="2"/>
  <c r="BK27" i="3"/>
  <c r="CE27" i="3" s="1"/>
  <c r="BW53" i="3"/>
  <c r="BX47" i="3"/>
  <c r="BX50" i="3" s="1"/>
  <c r="J53" i="3"/>
  <c r="K47" i="3"/>
  <c r="K50" i="3" s="1"/>
  <c r="CC24" i="9"/>
  <c r="CG12" i="2" l="1"/>
  <c r="CG20" i="3" s="1"/>
  <c r="CG13" i="2"/>
  <c r="CG33" i="3" s="1"/>
  <c r="CF135" i="1"/>
  <c r="CG135" i="1" s="1"/>
  <c r="BO32" i="3"/>
  <c r="CF32" i="3" s="1"/>
  <c r="BO33" i="3"/>
  <c r="CF33" i="3" s="1"/>
  <c r="BO18" i="3"/>
  <c r="CF18" i="3" s="1"/>
  <c r="CF22" i="2"/>
  <c r="BO20" i="3"/>
  <c r="BO25" i="3"/>
  <c r="CF25" i="3" s="1"/>
  <c r="CF39" i="2"/>
  <c r="CG39" i="2" s="1"/>
  <c r="CG25" i="3" s="1"/>
  <c r="CF42" i="3"/>
  <c r="CF45" i="3" s="1"/>
  <c r="CF108" i="1"/>
  <c r="CF63" i="1"/>
  <c r="BN37" i="2"/>
  <c r="BM27" i="3"/>
  <c r="BO65" i="2"/>
  <c r="BN67" i="2"/>
  <c r="BO69" i="1"/>
  <c r="BO68" i="1"/>
  <c r="BN132" i="1"/>
  <c r="BM139" i="1"/>
  <c r="BM137" i="1"/>
  <c r="BO133" i="1"/>
  <c r="CF133" i="1" s="1"/>
  <c r="CG133" i="1" s="1"/>
  <c r="K53" i="3"/>
  <c r="L47" i="3"/>
  <c r="L50" i="3" s="1"/>
  <c r="BX53" i="3"/>
  <c r="BY47" i="3"/>
  <c r="BY50" i="3" s="1"/>
  <c r="CC26" i="9"/>
  <c r="CG32" i="3" l="1"/>
  <c r="CG22" i="2"/>
  <c r="CG18" i="3" s="1"/>
  <c r="CF69" i="1"/>
  <c r="CF68" i="1"/>
  <c r="BO67" i="2"/>
  <c r="CF65" i="2"/>
  <c r="BO37" i="2"/>
  <c r="BN27" i="3"/>
  <c r="BO132" i="1"/>
  <c r="CF132" i="1" s="1"/>
  <c r="CG132" i="1" s="1"/>
  <c r="CG139" i="1" s="1"/>
  <c r="BN139" i="1"/>
  <c r="BN137" i="1"/>
  <c r="BZ47" i="3"/>
  <c r="BZ50" i="3" s="1"/>
  <c r="BY53" i="3"/>
  <c r="M47" i="3"/>
  <c r="M50" i="3" s="1"/>
  <c r="L53" i="3"/>
  <c r="CF67" i="2" l="1"/>
  <c r="CG65" i="2"/>
  <c r="CG137" i="1"/>
  <c r="BO27" i="3"/>
  <c r="CF27" i="3" s="1"/>
  <c r="CF37" i="2"/>
  <c r="CG37" i="2" s="1"/>
  <c r="CG27" i="3" s="1"/>
  <c r="CF137" i="1"/>
  <c r="BO139" i="1"/>
  <c r="CF139" i="1" s="1"/>
  <c r="BO137" i="1"/>
  <c r="N47" i="3"/>
  <c r="N50" i="3" s="1"/>
  <c r="M53" i="3"/>
  <c r="BZ53" i="3"/>
  <c r="CA47" i="3"/>
  <c r="CA50" i="3" s="1"/>
  <c r="CG67" i="2" l="1"/>
  <c r="CA53" i="3"/>
  <c r="CB47" i="3"/>
  <c r="CB50" i="3" s="1"/>
  <c r="N53" i="3"/>
  <c r="O47" i="3"/>
  <c r="O50" i="3" s="1"/>
  <c r="O53" i="3" l="1"/>
  <c r="P47" i="3"/>
  <c r="P50" i="3" s="1"/>
  <c r="CC47" i="3"/>
  <c r="CB53" i="3"/>
  <c r="P53" i="3" l="1"/>
  <c r="Q47" i="3"/>
  <c r="Q50" i="3" s="1"/>
  <c r="R47" i="3" l="1"/>
  <c r="R50" i="3" s="1"/>
  <c r="Q53" i="3"/>
  <c r="S47" i="3" l="1"/>
  <c r="S50" i="3" s="1"/>
  <c r="R53" i="3"/>
  <c r="T47" i="3" l="1"/>
  <c r="T50" i="3" s="1"/>
  <c r="S53" i="3"/>
  <c r="U47" i="3" l="1"/>
  <c r="U50" i="3" s="1"/>
  <c r="T53" i="3"/>
  <c r="U53" i="3" l="1"/>
  <c r="V47" i="3"/>
  <c r="V50" i="3" s="1"/>
  <c r="W47" i="3" l="1"/>
  <c r="W50" i="3" s="1"/>
  <c r="V53" i="3"/>
  <c r="X47" i="3" l="1"/>
  <c r="X50" i="3" s="1"/>
  <c r="W53" i="3"/>
  <c r="Y47" i="3" l="1"/>
  <c r="Y50" i="3" s="1"/>
  <c r="X53" i="3"/>
  <c r="Z47" i="3" l="1"/>
  <c r="Z50" i="3" s="1"/>
  <c r="Y53" i="3"/>
  <c r="AA47" i="3" l="1"/>
  <c r="AA50" i="3" s="1"/>
  <c r="Z53" i="3"/>
  <c r="AB47" i="3" l="1"/>
  <c r="AB50" i="3" s="1"/>
  <c r="AA53" i="3"/>
  <c r="AC47" i="3" l="1"/>
  <c r="AC50" i="3" s="1"/>
  <c r="AB53" i="3"/>
  <c r="AD47" i="3" l="1"/>
  <c r="AD50" i="3" s="1"/>
  <c r="AC53" i="3"/>
  <c r="AE47" i="3" l="1"/>
  <c r="AE50" i="3" s="1"/>
  <c r="AD53" i="3"/>
  <c r="AE53" i="3" l="1"/>
  <c r="AF47" i="3"/>
  <c r="AF50" i="3" s="1"/>
  <c r="AG47" i="3" l="1"/>
  <c r="AG50" i="3" s="1"/>
  <c r="AF53" i="3"/>
  <c r="BB54" i="1" l="1"/>
  <c r="BB34" i="1"/>
  <c r="BB14" i="1"/>
  <c r="BB12" i="1"/>
  <c r="BB26" i="1"/>
  <c r="BB17" i="1"/>
  <c r="BB44" i="1"/>
  <c r="BB116" i="1"/>
  <c r="AH47" i="3"/>
  <c r="AH50" i="3" s="1"/>
  <c r="AG53" i="3"/>
  <c r="BB38" i="9" l="1"/>
  <c r="BC13" i="1"/>
  <c r="BB13" i="1"/>
  <c r="BB24" i="1"/>
  <c r="BB59" i="1"/>
  <c r="BB28" i="1"/>
  <c r="BB39" i="1"/>
  <c r="BB22" i="1"/>
  <c r="BB61" i="1"/>
  <c r="BB49" i="1"/>
  <c r="BB30" i="1"/>
  <c r="BB41" i="1"/>
  <c r="BB51" i="1"/>
  <c r="BB27" i="1"/>
  <c r="BB75" i="1"/>
  <c r="AI47" i="3"/>
  <c r="AI50" i="3" s="1"/>
  <c r="AH53" i="3"/>
  <c r="CC29" i="9" l="1"/>
  <c r="BB31" i="9"/>
  <c r="BB42" i="9"/>
  <c r="BB77" i="1"/>
  <c r="BB91" i="1" s="1"/>
  <c r="BB29" i="1"/>
  <c r="BB76" i="1"/>
  <c r="BB89" i="1"/>
  <c r="BB79" i="1"/>
  <c r="BB31" i="1"/>
  <c r="AJ47" i="3"/>
  <c r="AJ50" i="3" s="1"/>
  <c r="AI53" i="3"/>
  <c r="CC34" i="9" l="1"/>
  <c r="CC36" i="9" s="1"/>
  <c r="CC31" i="9"/>
  <c r="BB35" i="9"/>
  <c r="BB36" i="9"/>
  <c r="BB40" i="9"/>
  <c r="BB97" i="1"/>
  <c r="BB90" i="1"/>
  <c r="BB106" i="1"/>
  <c r="BB93" i="1"/>
  <c r="BB80" i="1"/>
  <c r="BB78" i="1"/>
  <c r="AK47" i="3"/>
  <c r="AK50" i="3" s="1"/>
  <c r="AJ53" i="3"/>
  <c r="BB11" i="3" l="1"/>
  <c r="BB29" i="3" s="1"/>
  <c r="BB110" i="1"/>
  <c r="BB102" i="1"/>
  <c r="BB92" i="1"/>
  <c r="BB94" i="1"/>
  <c r="BB112" i="1"/>
  <c r="BB104" i="1"/>
  <c r="BB107" i="1"/>
  <c r="BB122" i="1"/>
  <c r="BB123" i="1" s="1"/>
  <c r="BB125" i="1"/>
  <c r="AL47" i="3"/>
  <c r="AL50" i="3" s="1"/>
  <c r="AK53" i="3"/>
  <c r="CC13" i="3"/>
  <c r="BB81" i="3" l="1"/>
  <c r="BB82" i="3" s="1"/>
  <c r="BB49" i="3"/>
  <c r="CC10" i="1"/>
  <c r="CC12" i="1"/>
  <c r="BB127" i="1"/>
  <c r="BB113" i="1"/>
  <c r="BB111" i="1"/>
  <c r="BB126" i="1"/>
  <c r="CC76" i="3"/>
  <c r="AM47" i="3"/>
  <c r="AM50" i="3" s="1"/>
  <c r="AL53" i="3"/>
  <c r="CC16" i="2"/>
  <c r="CC16" i="1" l="1"/>
  <c r="CC26" i="1" s="1"/>
  <c r="CC41" i="1"/>
  <c r="CC39" i="1"/>
  <c r="CC61" i="1"/>
  <c r="CC49" i="1"/>
  <c r="CC51" i="1"/>
  <c r="CC59" i="1"/>
  <c r="CC21" i="3"/>
  <c r="CC14" i="2"/>
  <c r="CC14" i="1"/>
  <c r="CC54" i="1"/>
  <c r="CC116" i="1"/>
  <c r="CC34" i="1"/>
  <c r="CC44" i="1"/>
  <c r="CC38" i="9"/>
  <c r="CC56" i="2"/>
  <c r="AN47" i="3"/>
  <c r="AN50" i="3" s="1"/>
  <c r="AM53" i="3"/>
  <c r="CC27" i="1" l="1"/>
  <c r="CC75" i="1"/>
  <c r="CC22" i="9"/>
  <c r="CC40" i="9"/>
  <c r="CC17" i="9"/>
  <c r="CC27" i="9"/>
  <c r="CC32" i="9"/>
  <c r="CC34" i="3"/>
  <c r="CC57" i="2"/>
  <c r="CC148" i="1"/>
  <c r="CC23" i="1"/>
  <c r="CC17" i="1"/>
  <c r="CC21" i="1"/>
  <c r="CC49" i="2"/>
  <c r="BC42" i="9"/>
  <c r="AO47" i="3"/>
  <c r="AO50" i="3" s="1"/>
  <c r="AN53" i="3"/>
  <c r="CC42" i="9" l="1"/>
  <c r="CC15" i="2"/>
  <c r="CC22" i="3"/>
  <c r="CC20" i="2"/>
  <c r="CC67" i="3" s="1"/>
  <c r="CC24" i="1"/>
  <c r="CC30" i="1"/>
  <c r="CC24" i="3"/>
  <c r="CC28" i="2"/>
  <c r="CC22" i="1"/>
  <c r="CC28" i="1"/>
  <c r="CC76" i="1"/>
  <c r="CC89" i="1"/>
  <c r="CC106" i="1" s="1"/>
  <c r="CC58" i="3"/>
  <c r="CC59" i="3" s="1"/>
  <c r="CC36" i="3"/>
  <c r="AO53" i="3"/>
  <c r="AP47" i="3"/>
  <c r="AP50" i="3" s="1"/>
  <c r="CC11" i="3" l="1"/>
  <c r="CC79" i="1"/>
  <c r="CC31" i="1"/>
  <c r="CC90" i="1"/>
  <c r="CC52" i="2"/>
  <c r="CC34" i="2"/>
  <c r="CC29" i="1"/>
  <c r="CC77" i="1"/>
  <c r="CC101" i="1"/>
  <c r="CC103" i="1"/>
  <c r="CC97" i="1"/>
  <c r="CC51" i="2"/>
  <c r="CC50" i="2" s="1"/>
  <c r="CC58" i="2"/>
  <c r="CC53" i="2" s="1"/>
  <c r="AQ47" i="3"/>
  <c r="AQ50" i="3" s="1"/>
  <c r="AP53" i="3"/>
  <c r="CC24" i="2" l="1"/>
  <c r="CC54" i="2" s="1"/>
  <c r="CC93" i="1"/>
  <c r="CC80" i="1"/>
  <c r="CC125" i="1"/>
  <c r="CC107" i="1"/>
  <c r="CC122" i="1"/>
  <c r="CC123" i="1" s="1"/>
  <c r="CC69" i="2"/>
  <c r="CC91" i="1"/>
  <c r="CC78" i="1"/>
  <c r="AQ53" i="3"/>
  <c r="AR47" i="3"/>
  <c r="AR50" i="3" s="1"/>
  <c r="CC94" i="1" l="1"/>
  <c r="CC112" i="1"/>
  <c r="CC92" i="1"/>
  <c r="CC110" i="1"/>
  <c r="CC23" i="3"/>
  <c r="CC41" i="2"/>
  <c r="CC102" i="1"/>
  <c r="CC104" i="1"/>
  <c r="CC305" i="2"/>
  <c r="CC71" i="2"/>
  <c r="AS47" i="3"/>
  <c r="AS50" i="3" s="1"/>
  <c r="AR53" i="3"/>
  <c r="CC29" i="3" l="1"/>
  <c r="CC113" i="1"/>
  <c r="CC127" i="1"/>
  <c r="CC126" i="1"/>
  <c r="CC111" i="1"/>
  <c r="CC43" i="2"/>
  <c r="CC80" i="2"/>
  <c r="CC81" i="2" s="1"/>
  <c r="CC73" i="2"/>
  <c r="CC74" i="2" s="1"/>
  <c r="CC79" i="2"/>
  <c r="AT47" i="3"/>
  <c r="AT50" i="3" s="1"/>
  <c r="AS53" i="3"/>
  <c r="CC81" i="3" l="1"/>
  <c r="CC82" i="3" s="1"/>
  <c r="CC49" i="3"/>
  <c r="CC50" i="3" s="1"/>
  <c r="CD47" i="3" s="1"/>
  <c r="AT53" i="3"/>
  <c r="AU47" i="3"/>
  <c r="AU50" i="3" s="1"/>
  <c r="AV47" i="3" l="1"/>
  <c r="AV50" i="3" s="1"/>
  <c r="AU53" i="3"/>
  <c r="AV53" i="3" l="1"/>
  <c r="AW47" i="3"/>
  <c r="AW50" i="3" s="1"/>
  <c r="AW53" i="3" l="1"/>
  <c r="AX47" i="3"/>
  <c r="AX50" i="3" s="1"/>
  <c r="AY47" i="3" l="1"/>
  <c r="AY50" i="3" s="1"/>
  <c r="AX53" i="3"/>
  <c r="AY53" i="3" l="1"/>
  <c r="AZ47" i="3"/>
  <c r="AZ50" i="3" s="1"/>
  <c r="BA47" i="3" l="1"/>
  <c r="BA50" i="3" s="1"/>
  <c r="BB47" i="3" s="1"/>
  <c r="BB50" i="3" s="1"/>
  <c r="AZ53" i="3"/>
  <c r="CC11" i="2"/>
  <c r="CC52" i="3" s="1"/>
  <c r="CC53" i="3" s="1"/>
  <c r="BB53" i="3" l="1"/>
  <c r="BC47" i="3"/>
  <c r="BC50" i="3" s="1"/>
  <c r="BA53" i="3"/>
  <c r="CC82" i="2"/>
  <c r="CC83" i="2" s="1"/>
  <c r="CC18" i="2"/>
  <c r="BC53" i="3" l="1"/>
  <c r="BD47" i="3"/>
  <c r="BD50" i="3" s="1"/>
  <c r="CC87" i="2"/>
  <c r="CC25" i="2"/>
  <c r="CC45" i="2" s="1"/>
  <c r="BD53" i="3" l="1"/>
  <c r="BE47" i="3"/>
  <c r="BE50" i="3" s="1"/>
  <c r="BE53" i="3" l="1"/>
  <c r="BF47" i="3"/>
  <c r="BF50" i="3" s="1"/>
  <c r="BD42" i="9"/>
  <c r="BF53" i="3" l="1"/>
  <c r="BG47" i="3"/>
  <c r="BD80" i="2"/>
  <c r="BD81" i="2" s="1"/>
  <c r="BD79" i="2"/>
  <c r="BD74" i="2"/>
  <c r="CC64" i="3" l="1"/>
  <c r="CC62" i="3"/>
  <c r="BC63" i="3"/>
  <c r="BC65" i="3"/>
  <c r="BC68" i="3" s="1"/>
  <c r="BC74" i="3"/>
  <c r="BC73" i="3" s="1"/>
  <c r="CC65" i="3" l="1"/>
  <c r="CC68" i="3" s="1"/>
  <c r="BD77" i="3"/>
  <c r="CC74" i="3"/>
  <c r="CC73" i="3"/>
  <c r="CC77" i="3" s="1"/>
  <c r="BC77" i="3"/>
  <c r="BD65" i="3" l="1"/>
  <c r="BD67" i="3" l="1"/>
  <c r="BD68" i="3" s="1"/>
  <c r="BD81" i="3" l="1"/>
  <c r="BD82" i="3" s="1"/>
  <c r="BD82" i="2" l="1"/>
  <c r="BD85" i="2" l="1"/>
  <c r="BD86" i="2" s="1"/>
  <c r="BD83" i="2"/>
  <c r="BD87" i="2"/>
  <c r="BD63" i="3" l="1"/>
  <c r="BD35" i="9" l="1"/>
  <c r="BD40" i="9"/>
  <c r="BD36" i="9"/>
  <c r="BE25" i="9"/>
  <c r="BE20" i="9"/>
  <c r="BE30" i="9"/>
  <c r="BE15" i="9"/>
  <c r="BD15" i="9" l="1"/>
  <c r="BD16" i="9"/>
  <c r="BD31" i="9"/>
  <c r="BD30" i="9"/>
  <c r="BD21" i="9"/>
  <c r="BD20" i="9"/>
  <c r="BD25" i="9"/>
  <c r="BD26" i="9"/>
  <c r="BH19" i="9" l="1"/>
  <c r="CD19" i="9"/>
  <c r="BH29" i="9"/>
  <c r="CD29" i="9"/>
  <c r="BH31" i="9" l="1"/>
  <c r="BI29" i="9"/>
  <c r="CD31" i="9"/>
  <c r="BH21" i="9"/>
  <c r="BI19" i="9"/>
  <c r="BH24" i="9"/>
  <c r="BH10" i="9" s="1"/>
  <c r="CD24" i="9"/>
  <c r="CD10" i="9" s="1"/>
  <c r="CD12" i="9" s="1"/>
  <c r="CD21" i="9"/>
  <c r="BE58" i="3"/>
  <c r="BH11" i="9" l="1"/>
  <c r="BH12" i="9"/>
  <c r="BE74" i="3"/>
  <c r="BE73" i="3" s="1"/>
  <c r="BE147" i="1"/>
  <c r="BE148" i="1"/>
  <c r="BI24" i="9"/>
  <c r="BI10" i="9" s="1"/>
  <c r="BH26" i="9"/>
  <c r="BF147" i="1"/>
  <c r="BI21" i="9"/>
  <c r="BJ19" i="9"/>
  <c r="BE40" i="9"/>
  <c r="BI31" i="9"/>
  <c r="BJ29" i="9"/>
  <c r="CD26" i="9"/>
  <c r="BF148" i="1"/>
  <c r="BI11" i="9" l="1"/>
  <c r="BI12" i="9"/>
  <c r="BE77" i="3"/>
  <c r="BE65" i="3"/>
  <c r="BJ31" i="9"/>
  <c r="BK29" i="9"/>
  <c r="BE42" i="9"/>
  <c r="BJ21" i="9"/>
  <c r="BK19" i="9"/>
  <c r="BF42" i="9"/>
  <c r="BI26" i="9"/>
  <c r="BJ24" i="9"/>
  <c r="BJ10" i="9" s="1"/>
  <c r="BF74" i="3"/>
  <c r="BF73" i="3" s="1"/>
  <c r="BF77" i="3" s="1"/>
  <c r="BJ11" i="9" l="1"/>
  <c r="BJ12" i="9"/>
  <c r="CE19" i="9"/>
  <c r="CE21" i="9" s="1"/>
  <c r="BL19" i="9"/>
  <c r="CE29" i="9"/>
  <c r="CE31" i="9" s="1"/>
  <c r="BL29" i="9"/>
  <c r="BE67" i="3"/>
  <c r="BE68" i="3" s="1"/>
  <c r="BK24" i="9"/>
  <c r="BK10" i="9" s="1"/>
  <c r="BJ26" i="9"/>
  <c r="BK31" i="9"/>
  <c r="BK21" i="9"/>
  <c r="BK11" i="9" l="1"/>
  <c r="BK12" i="9"/>
  <c r="BL24" i="9"/>
  <c r="BL10" i="9" s="1"/>
  <c r="BM29" i="9"/>
  <c r="BL31" i="9"/>
  <c r="BM19" i="9"/>
  <c r="BL21" i="9"/>
  <c r="CE24" i="9"/>
  <c r="CE10" i="9" s="1"/>
  <c r="CE12" i="9" s="1"/>
  <c r="CD13" i="3"/>
  <c r="BK26" i="9"/>
  <c r="BL11" i="9" l="1"/>
  <c r="BL12" i="9"/>
  <c r="BN19" i="9"/>
  <c r="BM21" i="9"/>
  <c r="BM24" i="9"/>
  <c r="BM10" i="9" s="1"/>
  <c r="BL26" i="9"/>
  <c r="BN29" i="9"/>
  <c r="BM31" i="9"/>
  <c r="CE26" i="9"/>
  <c r="CD76" i="3"/>
  <c r="BM11" i="9" l="1"/>
  <c r="BM12" i="9"/>
  <c r="BO19" i="9"/>
  <c r="CF19" i="9" s="1"/>
  <c r="BN21" i="9"/>
  <c r="BO29" i="9"/>
  <c r="BN31" i="9"/>
  <c r="BN24" i="9"/>
  <c r="BN10" i="9" s="1"/>
  <c r="BM26" i="9"/>
  <c r="BE71" i="2"/>
  <c r="BN11" i="9" l="1"/>
  <c r="BN12" i="9"/>
  <c r="BO24" i="9"/>
  <c r="BN26" i="9"/>
  <c r="BO21" i="9"/>
  <c r="BO31" i="9"/>
  <c r="CF21" i="9"/>
  <c r="CF29" i="9"/>
  <c r="CD16" i="2"/>
  <c r="BE80" i="2"/>
  <c r="BE81" i="2" s="1"/>
  <c r="BE73" i="2"/>
  <c r="BE74" i="2" s="1"/>
  <c r="BE79" i="2"/>
  <c r="BE81" i="3"/>
  <c r="BE82" i="3" s="1"/>
  <c r="CF24" i="9" l="1"/>
  <c r="CF10" i="9" s="1"/>
  <c r="CF12" i="9" s="1"/>
  <c r="BO10" i="9"/>
  <c r="CF31" i="9"/>
  <c r="BO26" i="9"/>
  <c r="BF79" i="2"/>
  <c r="BF80" i="2"/>
  <c r="BF81" i="2" s="1"/>
  <c r="CF26" i="9" l="1"/>
  <c r="BO12" i="9"/>
  <c r="BO11" i="9"/>
  <c r="BF81" i="3"/>
  <c r="BF82" i="3" s="1"/>
  <c r="BE82" i="2"/>
  <c r="BE85" i="2" l="1"/>
  <c r="BE86" i="2" s="1"/>
  <c r="BE83" i="2"/>
  <c r="BE87" i="2"/>
  <c r="BF82" i="2"/>
  <c r="BF83" i="2" l="1"/>
  <c r="BF85" i="2"/>
  <c r="BF87" i="2"/>
  <c r="BE63" i="3"/>
  <c r="BF86" i="2" l="1"/>
  <c r="BH16" i="9" l="1"/>
  <c r="BI16" i="9"/>
  <c r="BJ16" i="9"/>
  <c r="BK16" i="9"/>
  <c r="BL16" i="9"/>
  <c r="BM16" i="9"/>
  <c r="BN16" i="9"/>
  <c r="BO16" i="9"/>
  <c r="CD16" i="9"/>
  <c r="CE16" i="9"/>
  <c r="CF16" i="9"/>
  <c r="BH34" i="9"/>
  <c r="BH12" i="1" s="1"/>
  <c r="BH38" i="9" s="1"/>
  <c r="BI34" i="9"/>
  <c r="BJ34" i="9"/>
  <c r="BJ10" i="1" s="1"/>
  <c r="BK34" i="9"/>
  <c r="BL34" i="9"/>
  <c r="BL36" i="9" s="1"/>
  <c r="BM34" i="9"/>
  <c r="BN34" i="9"/>
  <c r="BO34" i="9"/>
  <c r="CD34" i="9"/>
  <c r="CD36" i="9" s="1"/>
  <c r="CE34" i="9"/>
  <c r="CF34" i="9"/>
  <c r="BN36" i="9" l="1"/>
  <c r="BJ12" i="1"/>
  <c r="BJ38" i="9" s="1"/>
  <c r="BJ22" i="9" s="1"/>
  <c r="BH36" i="9"/>
  <c r="BN10" i="1"/>
  <c r="BN56" i="2" s="1"/>
  <c r="BN14" i="2" s="1"/>
  <c r="CE36" i="9"/>
  <c r="BK35" i="9"/>
  <c r="BJ36" i="9"/>
  <c r="BL10" i="1"/>
  <c r="BL56" i="2" s="1"/>
  <c r="BL14" i="2" s="1"/>
  <c r="BL12" i="1"/>
  <c r="BL38" i="9" s="1"/>
  <c r="BL22" i="9" s="1"/>
  <c r="BH10" i="1"/>
  <c r="BI35" i="9"/>
  <c r="BO35" i="9"/>
  <c r="BJ56" i="2"/>
  <c r="BJ14" i="2" s="1"/>
  <c r="BJ33" i="1"/>
  <c r="BN12" i="1"/>
  <c r="BN38" i="9" s="1"/>
  <c r="BN27" i="9" s="1"/>
  <c r="BO10" i="1"/>
  <c r="BO43" i="1" s="1"/>
  <c r="BO36" i="9"/>
  <c r="BO12" i="1"/>
  <c r="BO38" i="9" s="1"/>
  <c r="BO32" i="9" s="1"/>
  <c r="BL35" i="9"/>
  <c r="BN35" i="9"/>
  <c r="BJ35" i="9"/>
  <c r="BK12" i="1"/>
  <c r="BK10" i="1"/>
  <c r="BK58" i="3" s="1"/>
  <c r="BK34" i="3" s="1"/>
  <c r="BK36" i="3" s="1"/>
  <c r="BK36" i="9"/>
  <c r="BH35" i="9"/>
  <c r="BJ43" i="1"/>
  <c r="BJ26" i="1"/>
  <c r="BJ116" i="1"/>
  <c r="BM10" i="1"/>
  <c r="BI10" i="1"/>
  <c r="BI58" i="3" s="1"/>
  <c r="BI34" i="3" s="1"/>
  <c r="BI36" i="3" s="1"/>
  <c r="BM35" i="9"/>
  <c r="BM12" i="1"/>
  <c r="BI12" i="1"/>
  <c r="BJ58" i="3"/>
  <c r="BJ34" i="3" s="1"/>
  <c r="BJ36" i="3" s="1"/>
  <c r="BH40" i="9"/>
  <c r="BH17" i="9"/>
  <c r="BH22" i="9"/>
  <c r="BH27" i="9"/>
  <c r="BH32" i="9"/>
  <c r="BJ16" i="1"/>
  <c r="BJ14" i="1"/>
  <c r="BJ17" i="9"/>
  <c r="BG58" i="3"/>
  <c r="CF36" i="9"/>
  <c r="BM36" i="9"/>
  <c r="BI36" i="9"/>
  <c r="BJ27" i="9" l="1"/>
  <c r="BJ40" i="9"/>
  <c r="BN33" i="1"/>
  <c r="BN40" i="1" s="1"/>
  <c r="BJ32" i="9"/>
  <c r="BN116" i="1"/>
  <c r="BN14" i="1"/>
  <c r="BN58" i="3"/>
  <c r="BN34" i="3" s="1"/>
  <c r="BN36" i="3" s="1"/>
  <c r="BN26" i="1"/>
  <c r="BN16" i="1"/>
  <c r="BN21" i="1" s="1"/>
  <c r="BN43" i="1"/>
  <c r="BN50" i="1" s="1"/>
  <c r="BN51" i="1" s="1"/>
  <c r="BH116" i="1"/>
  <c r="BL32" i="9"/>
  <c r="BL40" i="9"/>
  <c r="BH58" i="3"/>
  <c r="BH34" i="3" s="1"/>
  <c r="BH36" i="3" s="1"/>
  <c r="BL17" i="9"/>
  <c r="BL27" i="9"/>
  <c r="BL58" i="3"/>
  <c r="BL34" i="3" s="1"/>
  <c r="BL36" i="3" s="1"/>
  <c r="BL33" i="1"/>
  <c r="BL40" i="1" s="1"/>
  <c r="BH33" i="1"/>
  <c r="BH40" i="1" s="1"/>
  <c r="BH41" i="1" s="1"/>
  <c r="BH16" i="1"/>
  <c r="BH14" i="1"/>
  <c r="BH26" i="1"/>
  <c r="BN38" i="1"/>
  <c r="BN39" i="1" s="1"/>
  <c r="BL14" i="1"/>
  <c r="BL16" i="1"/>
  <c r="BL57" i="2" s="1"/>
  <c r="BL43" i="1"/>
  <c r="BL50" i="1" s="1"/>
  <c r="BL51" i="1" s="1"/>
  <c r="BL26" i="1"/>
  <c r="BL116" i="1"/>
  <c r="BO27" i="9"/>
  <c r="BO58" i="3"/>
  <c r="BO34" i="3" s="1"/>
  <c r="BO36" i="3" s="1"/>
  <c r="BO26" i="1"/>
  <c r="CF10" i="1"/>
  <c r="BO116" i="1"/>
  <c r="BN17" i="9"/>
  <c r="BM58" i="3"/>
  <c r="BM34" i="3" s="1"/>
  <c r="BM36" i="3" s="1"/>
  <c r="BH56" i="2"/>
  <c r="BH14" i="2" s="1"/>
  <c r="BH43" i="1"/>
  <c r="BN40" i="9"/>
  <c r="BN22" i="9"/>
  <c r="BN32" i="9"/>
  <c r="CE12" i="1"/>
  <c r="CF12" i="1"/>
  <c r="BO22" i="9"/>
  <c r="BO40" i="9"/>
  <c r="BO17" i="9"/>
  <c r="BN13" i="1"/>
  <c r="BN41" i="1"/>
  <c r="BO13" i="1"/>
  <c r="BO14" i="1"/>
  <c r="BJ38" i="1"/>
  <c r="BJ39" i="1" s="1"/>
  <c r="BJ40" i="1"/>
  <c r="BJ41" i="1" s="1"/>
  <c r="BL13" i="1"/>
  <c r="BO56" i="2"/>
  <c r="BO14" i="2" s="1"/>
  <c r="BO16" i="1"/>
  <c r="BO33" i="1"/>
  <c r="BK13" i="1"/>
  <c r="CE10" i="1"/>
  <c r="BJ48" i="1"/>
  <c r="BJ50" i="1"/>
  <c r="BH13" i="1"/>
  <c r="BG40" i="9"/>
  <c r="BG42" i="9"/>
  <c r="BO50" i="1"/>
  <c r="BO48" i="1"/>
  <c r="BJ147" i="1"/>
  <c r="CD10" i="1"/>
  <c r="BK38" i="9"/>
  <c r="CD12" i="1"/>
  <c r="BJ71" i="1"/>
  <c r="BJ75" i="1" s="1"/>
  <c r="BK56" i="2"/>
  <c r="BK14" i="2" s="1"/>
  <c r="BK16" i="1"/>
  <c r="BK43" i="1"/>
  <c r="BK116" i="1"/>
  <c r="BK14" i="1"/>
  <c r="BK26" i="1"/>
  <c r="BK33" i="1"/>
  <c r="BI56" i="2"/>
  <c r="BI14" i="2" s="1"/>
  <c r="BI33" i="1"/>
  <c r="BI116" i="1"/>
  <c r="BI43" i="1"/>
  <c r="BI14" i="1"/>
  <c r="BI16" i="1"/>
  <c r="BI26" i="1"/>
  <c r="BI38" i="9"/>
  <c r="BI13" i="1"/>
  <c r="BJ13" i="1"/>
  <c r="BM56" i="2"/>
  <c r="BM14" i="2" s="1"/>
  <c r="BM33" i="1"/>
  <c r="BM116" i="1"/>
  <c r="BM14" i="1"/>
  <c r="BM16" i="1"/>
  <c r="BM43" i="1"/>
  <c r="BM26" i="1"/>
  <c r="BM38" i="9"/>
  <c r="BM13" i="1"/>
  <c r="BH42" i="9"/>
  <c r="BG62" i="3"/>
  <c r="BG74" i="3" s="1"/>
  <c r="BG73" i="3" s="1"/>
  <c r="CE34" i="3"/>
  <c r="BJ57" i="2"/>
  <c r="BJ17" i="1"/>
  <c r="BJ21" i="1"/>
  <c r="BJ23" i="1"/>
  <c r="BJ148" i="1"/>
  <c r="BN57" i="2"/>
  <c r="BN17" i="1"/>
  <c r="CF56" i="2" l="1"/>
  <c r="CG10" i="1"/>
  <c r="CG33" i="1" s="1"/>
  <c r="BJ42" i="9"/>
  <c r="BN148" i="1"/>
  <c r="BN48" i="1"/>
  <c r="BN49" i="1" s="1"/>
  <c r="BN147" i="1"/>
  <c r="BN23" i="1"/>
  <c r="BN24" i="1" s="1"/>
  <c r="BN71" i="1"/>
  <c r="BN75" i="1" s="1"/>
  <c r="BN76" i="1" s="1"/>
  <c r="BG77" i="3"/>
  <c r="BG64" i="3"/>
  <c r="CD64" i="3" s="1"/>
  <c r="CD73" i="3"/>
  <c r="CD77" i="3" s="1"/>
  <c r="CE38" i="9"/>
  <c r="CE22" i="9" s="1"/>
  <c r="BL42" i="9"/>
  <c r="BL38" i="1"/>
  <c r="BL39" i="1" s="1"/>
  <c r="BL23" i="1"/>
  <c r="BL24" i="1" s="1"/>
  <c r="BH148" i="1"/>
  <c r="BL147" i="1"/>
  <c r="BH147" i="1"/>
  <c r="BL48" i="1"/>
  <c r="BL49" i="1" s="1"/>
  <c r="BL148" i="1"/>
  <c r="BH38" i="1"/>
  <c r="BL71" i="1"/>
  <c r="BL75" i="1" s="1"/>
  <c r="BL89" i="1" s="1"/>
  <c r="BL90" i="1" s="1"/>
  <c r="CE14" i="1"/>
  <c r="BH57" i="2"/>
  <c r="BH17" i="1"/>
  <c r="BH21" i="1"/>
  <c r="BH23" i="1"/>
  <c r="BL21" i="1"/>
  <c r="BL22" i="1" s="1"/>
  <c r="BL17" i="1"/>
  <c r="CF38" i="9"/>
  <c r="CF27" i="9" s="1"/>
  <c r="CF116" i="1"/>
  <c r="CF14" i="1"/>
  <c r="CF34" i="3"/>
  <c r="BN42" i="9"/>
  <c r="BH71" i="1"/>
  <c r="BH75" i="1" s="1"/>
  <c r="BH48" i="1"/>
  <c r="BH50" i="1"/>
  <c r="CE116" i="1"/>
  <c r="CE56" i="2"/>
  <c r="BO42" i="9"/>
  <c r="BL41" i="1"/>
  <c r="BL73" i="1"/>
  <c r="CE16" i="1"/>
  <c r="CE26" i="1" s="1"/>
  <c r="CE27" i="1" s="1"/>
  <c r="BN73" i="1"/>
  <c r="BO57" i="2"/>
  <c r="BO23" i="1"/>
  <c r="BO21" i="1"/>
  <c r="BO17" i="1"/>
  <c r="CF14" i="2"/>
  <c r="BO21" i="3"/>
  <c r="BO148" i="1"/>
  <c r="BO38" i="1"/>
  <c r="BO39" i="1" s="1"/>
  <c r="BO40" i="1"/>
  <c r="BO41" i="1" s="1"/>
  <c r="BO147" i="1"/>
  <c r="BO71" i="1"/>
  <c r="BO75" i="1" s="1"/>
  <c r="BO89" i="1" s="1"/>
  <c r="BK71" i="1"/>
  <c r="BK75" i="1" s="1"/>
  <c r="BK147" i="1"/>
  <c r="BK38" i="1"/>
  <c r="BK40" i="1"/>
  <c r="BK41" i="1" s="1"/>
  <c r="BL21" i="3"/>
  <c r="BK21" i="3"/>
  <c r="CE14" i="2"/>
  <c r="CD21" i="3"/>
  <c r="BH21" i="3"/>
  <c r="CD14" i="2"/>
  <c r="BJ76" i="1"/>
  <c r="BJ89" i="1"/>
  <c r="CD33" i="1"/>
  <c r="BK17" i="9"/>
  <c r="BK40" i="9"/>
  <c r="BK27" i="9"/>
  <c r="BK22" i="9"/>
  <c r="BK32" i="9"/>
  <c r="CD43" i="1"/>
  <c r="CD16" i="1"/>
  <c r="BK48" i="1"/>
  <c r="BK49" i="1" s="1"/>
  <c r="BK50" i="1"/>
  <c r="BO49" i="1"/>
  <c r="BJ51" i="1"/>
  <c r="BJ73" i="1"/>
  <c r="BL28" i="2"/>
  <c r="BL15" i="2"/>
  <c r="BK57" i="2"/>
  <c r="BK23" i="1"/>
  <c r="BK148" i="1"/>
  <c r="BK17" i="1"/>
  <c r="BK21" i="1"/>
  <c r="CD14" i="1"/>
  <c r="CD116" i="1"/>
  <c r="CD56" i="2"/>
  <c r="CD38" i="9"/>
  <c r="BO51" i="1"/>
  <c r="BJ72" i="1"/>
  <c r="BJ49" i="1"/>
  <c r="BM17" i="9"/>
  <c r="BM22" i="9"/>
  <c r="BM27" i="9"/>
  <c r="BM32" i="9"/>
  <c r="BM40" i="9"/>
  <c r="BM48" i="1"/>
  <c r="BM49" i="1" s="1"/>
  <c r="BM50" i="1"/>
  <c r="BM51" i="1" s="1"/>
  <c r="CF43" i="1"/>
  <c r="CG43" i="1" s="1"/>
  <c r="CF33" i="1"/>
  <c r="BM40" i="1"/>
  <c r="BM147" i="1"/>
  <c r="BM71" i="1"/>
  <c r="BM75" i="1" s="1"/>
  <c r="BM38" i="1"/>
  <c r="BI17" i="9"/>
  <c r="BI22" i="9"/>
  <c r="BI27" i="9"/>
  <c r="BI32" i="9"/>
  <c r="BI40" i="9"/>
  <c r="BI21" i="3"/>
  <c r="BJ21" i="3"/>
  <c r="BM57" i="2"/>
  <c r="BM17" i="1"/>
  <c r="BM148" i="1"/>
  <c r="BM21" i="1"/>
  <c r="BM23" i="1"/>
  <c r="BN21" i="3"/>
  <c r="BM21" i="3"/>
  <c r="BI48" i="1"/>
  <c r="BI49" i="1" s="1"/>
  <c r="BI50" i="1"/>
  <c r="BI51" i="1" s="1"/>
  <c r="CE43" i="1"/>
  <c r="CF16" i="1"/>
  <c r="BI57" i="2"/>
  <c r="BI17" i="1"/>
  <c r="BI148" i="1"/>
  <c r="BI21" i="1"/>
  <c r="BI23" i="1"/>
  <c r="BI38" i="1"/>
  <c r="CE33" i="1"/>
  <c r="BI40" i="1"/>
  <c r="BI147" i="1"/>
  <c r="BI71" i="1"/>
  <c r="BI75" i="1" s="1"/>
  <c r="BJ28" i="2"/>
  <c r="BJ15" i="2"/>
  <c r="BN28" i="1"/>
  <c r="BN22" i="1"/>
  <c r="CE40" i="9"/>
  <c r="BJ30" i="1"/>
  <c r="BJ24" i="1"/>
  <c r="BH62" i="3"/>
  <c r="CD62" i="3"/>
  <c r="BH73" i="3"/>
  <c r="BN28" i="2"/>
  <c r="BN15" i="2"/>
  <c r="BJ28" i="1"/>
  <c r="BJ22" i="1"/>
  <c r="CD34" i="3"/>
  <c r="CE36" i="3"/>
  <c r="CE58" i="3"/>
  <c r="CE59" i="3" s="1"/>
  <c r="CG12" i="1" l="1"/>
  <c r="CG58" i="3"/>
  <c r="CG34" i="3" s="1"/>
  <c r="CG36" i="3" s="1"/>
  <c r="CG56" i="2"/>
  <c r="CG14" i="2" s="1"/>
  <c r="CG21" i="3" s="1"/>
  <c r="CG116" i="1"/>
  <c r="BI72" i="1"/>
  <c r="BH39" i="1"/>
  <c r="BH72" i="1"/>
  <c r="BN89" i="1"/>
  <c r="BN90" i="1" s="1"/>
  <c r="BN30" i="1"/>
  <c r="BN31" i="1" s="1"/>
  <c r="CE32" i="9"/>
  <c r="CE27" i="9"/>
  <c r="CE17" i="9"/>
  <c r="BN72" i="1"/>
  <c r="BN77" i="1" s="1"/>
  <c r="BL30" i="1"/>
  <c r="BL31" i="1" s="1"/>
  <c r="BG65" i="3"/>
  <c r="CG50" i="1"/>
  <c r="CG51" i="1" s="1"/>
  <c r="CG48" i="1"/>
  <c r="CF49" i="2"/>
  <c r="CF58" i="3"/>
  <c r="CF59" i="3" s="1"/>
  <c r="CF36" i="3"/>
  <c r="CE21" i="1"/>
  <c r="CE22" i="1" s="1"/>
  <c r="BL28" i="1"/>
  <c r="BL29" i="1" s="1"/>
  <c r="BL72" i="1"/>
  <c r="CE49" i="2"/>
  <c r="CF17" i="9"/>
  <c r="BH30" i="1"/>
  <c r="BH31" i="1" s="1"/>
  <c r="BH24" i="1"/>
  <c r="BH28" i="1"/>
  <c r="BH29" i="1" s="1"/>
  <c r="BH22" i="1"/>
  <c r="CF40" i="9"/>
  <c r="BH15" i="2"/>
  <c r="BH28" i="2"/>
  <c r="BH34" i="2" s="1"/>
  <c r="BL76" i="1"/>
  <c r="CF32" i="9"/>
  <c r="BL96" i="1"/>
  <c r="BL103" i="1" s="1"/>
  <c r="CF22" i="9"/>
  <c r="BO76" i="1"/>
  <c r="BH51" i="1"/>
  <c r="BH73" i="1"/>
  <c r="BO72" i="1"/>
  <c r="BH49" i="1"/>
  <c r="BH76" i="1"/>
  <c r="BH89" i="1"/>
  <c r="CE23" i="1"/>
  <c r="CE17" i="1"/>
  <c r="CE57" i="2"/>
  <c r="BM42" i="9"/>
  <c r="BI42" i="9"/>
  <c r="BO73" i="1"/>
  <c r="BO22" i="1"/>
  <c r="BO28" i="1"/>
  <c r="CE21" i="3"/>
  <c r="BO30" i="1"/>
  <c r="BO31" i="1" s="1"/>
  <c r="BO24" i="1"/>
  <c r="BO28" i="2"/>
  <c r="BO24" i="3" s="1"/>
  <c r="BO15" i="2"/>
  <c r="CF15" i="2" s="1"/>
  <c r="CD17" i="9"/>
  <c r="CD22" i="9"/>
  <c r="CD40" i="9"/>
  <c r="CD27" i="9"/>
  <c r="CD32" i="9"/>
  <c r="BK76" i="1"/>
  <c r="BK89" i="1"/>
  <c r="CD148" i="1"/>
  <c r="CD57" i="2"/>
  <c r="CD21" i="1"/>
  <c r="CD17" i="1"/>
  <c r="CD26" i="1"/>
  <c r="CD23" i="1"/>
  <c r="BO90" i="1"/>
  <c r="BO96" i="1"/>
  <c r="BO106" i="1" s="1"/>
  <c r="CD49" i="2"/>
  <c r="BK39" i="1"/>
  <c r="BK72" i="1"/>
  <c r="BK42" i="9"/>
  <c r="BK24" i="1"/>
  <c r="BK30" i="1"/>
  <c r="BK31" i="1" s="1"/>
  <c r="BL34" i="2"/>
  <c r="BK73" i="1"/>
  <c r="BK51" i="1"/>
  <c r="BJ90" i="1"/>
  <c r="BJ96" i="1"/>
  <c r="BJ106" i="1" s="1"/>
  <c r="BK22" i="1"/>
  <c r="BK28" i="1"/>
  <c r="BK15" i="2"/>
  <c r="BK22" i="3" s="1"/>
  <c r="BK28" i="2"/>
  <c r="BL24" i="3" s="1"/>
  <c r="CD44" i="1"/>
  <c r="CD50" i="1"/>
  <c r="CD48" i="1"/>
  <c r="CD34" i="1"/>
  <c r="CD147" i="1"/>
  <c r="CD38" i="1"/>
  <c r="CD39" i="1" s="1"/>
  <c r="CD40" i="1"/>
  <c r="CD71" i="1"/>
  <c r="BI41" i="1"/>
  <c r="BI73" i="1"/>
  <c r="CE40" i="1"/>
  <c r="CE147" i="1"/>
  <c r="CE71" i="1"/>
  <c r="CE75" i="1" s="1"/>
  <c r="CE76" i="1" s="1"/>
  <c r="CE38" i="1"/>
  <c r="CE34" i="1"/>
  <c r="CF21" i="3"/>
  <c r="BM39" i="1"/>
  <c r="BM72" i="1"/>
  <c r="CF40" i="1"/>
  <c r="CF38" i="1"/>
  <c r="CF147" i="1"/>
  <c r="CF34" i="1"/>
  <c r="CF71" i="1"/>
  <c r="BI89" i="1"/>
  <c r="BI76" i="1"/>
  <c r="BI39" i="1"/>
  <c r="CE48" i="1"/>
  <c r="CE50" i="1"/>
  <c r="CE44" i="1"/>
  <c r="BM76" i="1"/>
  <c r="BM89" i="1"/>
  <c r="CF44" i="1"/>
  <c r="CG44" i="1" s="1"/>
  <c r="CF50" i="1"/>
  <c r="CF48" i="1"/>
  <c r="CE148" i="1"/>
  <c r="BI30" i="1"/>
  <c r="BI24" i="1"/>
  <c r="BI15" i="2"/>
  <c r="BJ22" i="3" s="1"/>
  <c r="BI28" i="2"/>
  <c r="BJ24" i="3" s="1"/>
  <c r="BM30" i="1"/>
  <c r="BM24" i="1"/>
  <c r="BM28" i="2"/>
  <c r="BN24" i="3" s="1"/>
  <c r="BM15" i="2"/>
  <c r="BM22" i="3" s="1"/>
  <c r="BI22" i="1"/>
  <c r="BI28" i="1"/>
  <c r="CF17" i="1"/>
  <c r="CF148" i="1"/>
  <c r="CF21" i="1"/>
  <c r="CF23" i="1"/>
  <c r="CF57" i="2"/>
  <c r="CF26" i="1"/>
  <c r="BM28" i="1"/>
  <c r="BM22" i="1"/>
  <c r="BM41" i="1"/>
  <c r="BM73" i="1"/>
  <c r="CD74" i="3"/>
  <c r="CD65" i="3"/>
  <c r="CD36" i="3"/>
  <c r="CD58" i="3"/>
  <c r="CD59" i="3" s="1"/>
  <c r="CD20" i="2"/>
  <c r="BG67" i="3"/>
  <c r="BG68" i="3" s="1"/>
  <c r="BJ31" i="1"/>
  <c r="BJ79" i="1"/>
  <c r="BN79" i="1"/>
  <c r="BJ34" i="2"/>
  <c r="BI62" i="3"/>
  <c r="BI73" i="3"/>
  <c r="BI13" i="3" s="1"/>
  <c r="BI76" i="3" s="1"/>
  <c r="BI77" i="3" s="1"/>
  <c r="BN29" i="1"/>
  <c r="BJ29" i="1"/>
  <c r="BJ77" i="1"/>
  <c r="BN34" i="2"/>
  <c r="BH13" i="3"/>
  <c r="BH64" i="3"/>
  <c r="BH79" i="1" l="1"/>
  <c r="BH93" i="1" s="1"/>
  <c r="BH94" i="1" s="1"/>
  <c r="CG49" i="1"/>
  <c r="CG71" i="1"/>
  <c r="CE42" i="9"/>
  <c r="BN96" i="1"/>
  <c r="BN106" i="1" s="1"/>
  <c r="BN122" i="1" s="1"/>
  <c r="BN123" i="1" s="1"/>
  <c r="CE28" i="1"/>
  <c r="CE29" i="1" s="1"/>
  <c r="BL79" i="1"/>
  <c r="BL80" i="1" s="1"/>
  <c r="BI64" i="3"/>
  <c r="BI65" i="3" s="1"/>
  <c r="BI20" i="2" s="1"/>
  <c r="CD41" i="1"/>
  <c r="CE24" i="1"/>
  <c r="BL77" i="1"/>
  <c r="BL91" i="1" s="1"/>
  <c r="BL92" i="1" s="1"/>
  <c r="BK24" i="3"/>
  <c r="BH77" i="1"/>
  <c r="BH91" i="1" s="1"/>
  <c r="BH92" i="1" s="1"/>
  <c r="CE30" i="1"/>
  <c r="CE31" i="1" s="1"/>
  <c r="BI22" i="3"/>
  <c r="CF42" i="9"/>
  <c r="BL101" i="1"/>
  <c r="BL106" i="1"/>
  <c r="BL125" i="1" s="1"/>
  <c r="BO22" i="3"/>
  <c r="BH96" i="1"/>
  <c r="BH90" i="1"/>
  <c r="BH80" i="1"/>
  <c r="BN22" i="3"/>
  <c r="CF28" i="2"/>
  <c r="CF34" i="2" s="1"/>
  <c r="BO34" i="2"/>
  <c r="BO79" i="1"/>
  <c r="BO29" i="1"/>
  <c r="BO77" i="1"/>
  <c r="CE89" i="1"/>
  <c r="CE90" i="1" s="1"/>
  <c r="CD73" i="1"/>
  <c r="CD51" i="1"/>
  <c r="BK29" i="1"/>
  <c r="BK77" i="1"/>
  <c r="BK79" i="1"/>
  <c r="CD30" i="1"/>
  <c r="CD24" i="1"/>
  <c r="CD42" i="9"/>
  <c r="BO11" i="3"/>
  <c r="BO125" i="1"/>
  <c r="BO107" i="1"/>
  <c r="BO122" i="1"/>
  <c r="BO123" i="1" s="1"/>
  <c r="CD75" i="1"/>
  <c r="CD27" i="1"/>
  <c r="CE28" i="2"/>
  <c r="BK34" i="2"/>
  <c r="BJ11" i="3"/>
  <c r="BJ107" i="1"/>
  <c r="BJ122" i="1"/>
  <c r="BJ123" i="1" s="1"/>
  <c r="BJ125" i="1"/>
  <c r="CD22" i="3"/>
  <c r="BH22" i="3"/>
  <c r="CD15" i="2"/>
  <c r="CD51" i="2" s="1"/>
  <c r="CD50" i="2" s="1"/>
  <c r="BK90" i="1"/>
  <c r="BK96" i="1"/>
  <c r="CD72" i="1"/>
  <c r="CD49" i="1"/>
  <c r="CE15" i="2"/>
  <c r="CE51" i="2" s="1"/>
  <c r="CE50" i="2" s="1"/>
  <c r="BL22" i="3"/>
  <c r="BJ101" i="1"/>
  <c r="BJ103" i="1"/>
  <c r="CD28" i="2"/>
  <c r="BH24" i="3"/>
  <c r="CD24" i="3"/>
  <c r="BO101" i="1"/>
  <c r="BO103" i="1"/>
  <c r="CD22" i="1"/>
  <c r="CD28" i="1"/>
  <c r="BM77" i="1"/>
  <c r="BM29" i="1"/>
  <c r="CF51" i="2"/>
  <c r="CF50" i="2" s="1"/>
  <c r="BM34" i="2"/>
  <c r="BM24" i="3"/>
  <c r="CF24" i="3" s="1"/>
  <c r="CE72" i="1"/>
  <c r="CE39" i="1"/>
  <c r="CF24" i="1"/>
  <c r="CF30" i="1"/>
  <c r="BI29" i="1"/>
  <c r="BI77" i="1"/>
  <c r="BM96" i="1"/>
  <c r="BM90" i="1"/>
  <c r="CE51" i="1"/>
  <c r="CF28" i="1"/>
  <c r="CF22" i="1"/>
  <c r="BM79" i="1"/>
  <c r="BM31" i="1"/>
  <c r="BI31" i="1"/>
  <c r="BI79" i="1"/>
  <c r="CF49" i="1"/>
  <c r="CE49" i="1"/>
  <c r="BI96" i="1"/>
  <c r="BI90" i="1"/>
  <c r="CF39" i="1"/>
  <c r="CF72" i="1"/>
  <c r="CF27" i="1"/>
  <c r="CF75" i="1"/>
  <c r="BI34" i="2"/>
  <c r="BI24" i="3"/>
  <c r="CF51" i="1"/>
  <c r="CF73" i="1"/>
  <c r="CF41" i="1"/>
  <c r="CE73" i="1"/>
  <c r="CE41" i="1"/>
  <c r="BJ78" i="1"/>
  <c r="BJ91" i="1"/>
  <c r="BH65" i="3"/>
  <c r="BH20" i="2" s="1"/>
  <c r="CD67" i="3"/>
  <c r="CD68" i="3" s="1"/>
  <c r="BJ80" i="1"/>
  <c r="BJ93" i="1"/>
  <c r="BH76" i="3"/>
  <c r="BH77" i="3" s="1"/>
  <c r="BJ73" i="3"/>
  <c r="BJ64" i="3" s="1"/>
  <c r="BJ62" i="3"/>
  <c r="BN80" i="1"/>
  <c r="BN93" i="1"/>
  <c r="BN78" i="1"/>
  <c r="BN91" i="1"/>
  <c r="BN103" i="1" l="1"/>
  <c r="BN112" i="1" s="1"/>
  <c r="BL93" i="1"/>
  <c r="BL112" i="1" s="1"/>
  <c r="BL127" i="1" s="1"/>
  <c r="CG27" i="1"/>
  <c r="CG40" i="1"/>
  <c r="CG73" i="1" s="1"/>
  <c r="CG38" i="1"/>
  <c r="CG39" i="1" s="1"/>
  <c r="CG147" i="1"/>
  <c r="BN125" i="1"/>
  <c r="BN101" i="1"/>
  <c r="BN102" i="1" s="1"/>
  <c r="CE79" i="1"/>
  <c r="CE80" i="1" s="1"/>
  <c r="BN11" i="3"/>
  <c r="BN107" i="1"/>
  <c r="BH16" i="2"/>
  <c r="BH58" i="2" s="1"/>
  <c r="CE77" i="1"/>
  <c r="CE78" i="1" s="1"/>
  <c r="BH78" i="1"/>
  <c r="BL110" i="1"/>
  <c r="BL126" i="1" s="1"/>
  <c r="BL78" i="1"/>
  <c r="CE22" i="3"/>
  <c r="BL107" i="1"/>
  <c r="BL102" i="1"/>
  <c r="BL11" i="3"/>
  <c r="BL122" i="1"/>
  <c r="BL123" i="1" s="1"/>
  <c r="CD58" i="2"/>
  <c r="CD53" i="2" s="1"/>
  <c r="CF52" i="2"/>
  <c r="CF22" i="3"/>
  <c r="BH106" i="1"/>
  <c r="BH103" i="1"/>
  <c r="BH101" i="1"/>
  <c r="CE24" i="3"/>
  <c r="BO80" i="1"/>
  <c r="BO93" i="1"/>
  <c r="BO94" i="1" s="1"/>
  <c r="BO78" i="1"/>
  <c r="BO91" i="1"/>
  <c r="BO102" i="1" s="1"/>
  <c r="CD77" i="1"/>
  <c r="CD29" i="1"/>
  <c r="CD52" i="2"/>
  <c r="CD34" i="2"/>
  <c r="CE34" i="2"/>
  <c r="CE52" i="2"/>
  <c r="CD79" i="1"/>
  <c r="CD31" i="1"/>
  <c r="BK101" i="1"/>
  <c r="BK103" i="1"/>
  <c r="CD96" i="1"/>
  <c r="BK106" i="1"/>
  <c r="BK93" i="1"/>
  <c r="BK80" i="1"/>
  <c r="CD76" i="1"/>
  <c r="CD89" i="1"/>
  <c r="BK91" i="1"/>
  <c r="BK78" i="1"/>
  <c r="CF76" i="1"/>
  <c r="CF89" i="1"/>
  <c r="CF29" i="1"/>
  <c r="CF77" i="1"/>
  <c r="CF96" i="1"/>
  <c r="BM106" i="1"/>
  <c r="BM101" i="1"/>
  <c r="BM103" i="1"/>
  <c r="BI78" i="1"/>
  <c r="BI91" i="1"/>
  <c r="BI103" i="1"/>
  <c r="CE96" i="1"/>
  <c r="BI106" i="1"/>
  <c r="BI101" i="1"/>
  <c r="BM80" i="1"/>
  <c r="BM93" i="1"/>
  <c r="CF31" i="1"/>
  <c r="CF79" i="1"/>
  <c r="BI80" i="1"/>
  <c r="BI93" i="1"/>
  <c r="BM78" i="1"/>
  <c r="BM91" i="1"/>
  <c r="BI67" i="3"/>
  <c r="BI68" i="3" s="1"/>
  <c r="BH67" i="3"/>
  <c r="BH68" i="3" s="1"/>
  <c r="BN94" i="1"/>
  <c r="BJ65" i="3"/>
  <c r="BJ20" i="2" s="1"/>
  <c r="BK73" i="3"/>
  <c r="BK13" i="3" s="1"/>
  <c r="BK62" i="3"/>
  <c r="CD24" i="2"/>
  <c r="BJ94" i="1"/>
  <c r="BJ112" i="1"/>
  <c r="BJ104" i="1"/>
  <c r="BJ92" i="1"/>
  <c r="BJ110" i="1"/>
  <c r="BJ102" i="1"/>
  <c r="BN92" i="1"/>
  <c r="BJ13" i="3"/>
  <c r="BN104" i="1" l="1"/>
  <c r="BN110" i="1"/>
  <c r="BN111" i="1" s="1"/>
  <c r="BL104" i="1"/>
  <c r="BL113" i="1"/>
  <c r="BL94" i="1"/>
  <c r="CG41" i="1"/>
  <c r="CG72" i="1"/>
  <c r="CG16" i="1"/>
  <c r="CG26" i="1"/>
  <c r="CG75" i="1" s="1"/>
  <c r="CE93" i="1"/>
  <c r="CE94" i="1" s="1"/>
  <c r="CE91" i="1"/>
  <c r="CE92" i="1" s="1"/>
  <c r="BL111" i="1"/>
  <c r="BO112" i="1"/>
  <c r="BO113" i="1" s="1"/>
  <c r="BH102" i="1"/>
  <c r="BH110" i="1"/>
  <c r="BI102" i="1"/>
  <c r="BH104" i="1"/>
  <c r="BH112" i="1"/>
  <c r="BH125" i="1"/>
  <c r="BH11" i="3"/>
  <c r="BH122" i="1"/>
  <c r="BH123" i="1" s="1"/>
  <c r="BH107" i="1"/>
  <c r="BO104" i="1"/>
  <c r="BO110" i="1"/>
  <c r="BO92" i="1"/>
  <c r="BK92" i="1"/>
  <c r="BK110" i="1"/>
  <c r="BK102" i="1"/>
  <c r="CD90" i="1"/>
  <c r="CD106" i="1"/>
  <c r="CD125" i="1" s="1"/>
  <c r="BK104" i="1"/>
  <c r="BK112" i="1"/>
  <c r="BK94" i="1"/>
  <c r="CD101" i="1"/>
  <c r="CD103" i="1"/>
  <c r="CD97" i="1"/>
  <c r="BK11" i="3"/>
  <c r="BK107" i="1"/>
  <c r="BK125" i="1"/>
  <c r="BK122" i="1"/>
  <c r="BK123" i="1" s="1"/>
  <c r="BG11" i="3"/>
  <c r="CD80" i="1"/>
  <c r="CD93" i="1"/>
  <c r="CD91" i="1"/>
  <c r="CD78" i="1"/>
  <c r="BM110" i="1"/>
  <c r="BM92" i="1"/>
  <c r="BI112" i="1"/>
  <c r="BI94" i="1"/>
  <c r="BI104" i="1"/>
  <c r="BM102" i="1"/>
  <c r="CF80" i="1"/>
  <c r="CF93" i="1"/>
  <c r="BI110" i="1"/>
  <c r="BI92" i="1"/>
  <c r="BM11" i="3"/>
  <c r="CF11" i="3" s="1"/>
  <c r="BM107" i="1"/>
  <c r="BM122" i="1"/>
  <c r="BM123" i="1" s="1"/>
  <c r="BM125" i="1"/>
  <c r="BI11" i="3"/>
  <c r="CE11" i="3" s="1"/>
  <c r="BI107" i="1"/>
  <c r="BI122" i="1"/>
  <c r="BI123" i="1" s="1"/>
  <c r="BI125" i="1"/>
  <c r="CF103" i="1"/>
  <c r="CF97" i="1"/>
  <c r="CG97" i="1" s="1"/>
  <c r="CF101" i="1"/>
  <c r="CF78" i="1"/>
  <c r="CF91" i="1"/>
  <c r="BM94" i="1"/>
  <c r="BM112" i="1"/>
  <c r="CE106" i="1"/>
  <c r="CE97" i="1"/>
  <c r="CE101" i="1"/>
  <c r="CE103" i="1"/>
  <c r="BM104" i="1"/>
  <c r="CF90" i="1"/>
  <c r="CF106" i="1"/>
  <c r="CE73" i="3"/>
  <c r="BJ76" i="3"/>
  <c r="BJ77" i="3" s="1"/>
  <c r="CE13" i="3"/>
  <c r="CE76" i="3" s="1"/>
  <c r="BJ113" i="1"/>
  <c r="BJ127" i="1"/>
  <c r="CD23" i="3"/>
  <c r="BK76" i="3"/>
  <c r="BK77" i="3" s="1"/>
  <c r="BJ111" i="1"/>
  <c r="BJ126" i="1"/>
  <c r="CD54" i="2"/>
  <c r="BJ67" i="3"/>
  <c r="BJ68" i="3" s="1"/>
  <c r="BL62" i="3"/>
  <c r="CE62" i="3"/>
  <c r="BL73" i="3"/>
  <c r="BN113" i="1"/>
  <c r="BN127" i="1"/>
  <c r="BI16" i="2"/>
  <c r="BH24" i="2"/>
  <c r="BK64" i="3"/>
  <c r="BK65" i="3" s="1"/>
  <c r="BK20" i="2" s="1"/>
  <c r="BN126" i="1" l="1"/>
  <c r="CG89" i="1"/>
  <c r="CG90" i="1" s="1"/>
  <c r="CG76" i="1"/>
  <c r="CG57" i="2"/>
  <c r="CG148" i="1"/>
  <c r="CG23" i="1"/>
  <c r="CG17" i="1"/>
  <c r="CG21" i="1"/>
  <c r="BO127" i="1"/>
  <c r="CD11" i="3"/>
  <c r="CD29" i="3" s="1"/>
  <c r="BG29" i="3"/>
  <c r="BG49" i="3" s="1"/>
  <c r="BG50" i="3" s="1"/>
  <c r="BG53" i="3" s="1"/>
  <c r="CE112" i="1"/>
  <c r="CE127" i="1" s="1"/>
  <c r="CF110" i="1"/>
  <c r="BH113" i="1"/>
  <c r="BH127" i="1"/>
  <c r="BH126" i="1"/>
  <c r="BH111" i="1"/>
  <c r="CE110" i="1"/>
  <c r="CE111" i="1" s="1"/>
  <c r="CD102" i="1"/>
  <c r="BO126" i="1"/>
  <c r="BO111" i="1"/>
  <c r="CD110" i="1"/>
  <c r="CD92" i="1"/>
  <c r="CD69" i="2"/>
  <c r="BH69" i="2"/>
  <c r="BK127" i="1"/>
  <c r="BK113" i="1"/>
  <c r="CD122" i="1"/>
  <c r="CD123" i="1" s="1"/>
  <c r="CD107" i="1"/>
  <c r="BK126" i="1"/>
  <c r="BK111" i="1"/>
  <c r="CE102" i="1"/>
  <c r="CD94" i="1"/>
  <c r="CD112" i="1"/>
  <c r="CD104" i="1"/>
  <c r="CF92" i="1"/>
  <c r="CE125" i="1"/>
  <c r="CE107" i="1"/>
  <c r="CE122" i="1"/>
  <c r="CE123" i="1" s="1"/>
  <c r="CF112" i="1"/>
  <c r="CF94" i="1"/>
  <c r="CF104" i="1"/>
  <c r="BM113" i="1"/>
  <c r="BM127" i="1"/>
  <c r="CF102" i="1"/>
  <c r="CE104" i="1"/>
  <c r="BI113" i="1"/>
  <c r="BI127" i="1"/>
  <c r="CF107" i="1"/>
  <c r="CF122" i="1"/>
  <c r="CF123" i="1" s="1"/>
  <c r="CF125" i="1"/>
  <c r="BI111" i="1"/>
  <c r="BI126" i="1"/>
  <c r="BM126" i="1"/>
  <c r="BM111" i="1"/>
  <c r="CE20" i="2"/>
  <c r="BK67" i="3"/>
  <c r="BK68" i="3" s="1"/>
  <c r="BL13" i="3"/>
  <c r="CE74" i="3"/>
  <c r="CE77" i="3"/>
  <c r="BL64" i="3"/>
  <c r="CE64" i="3"/>
  <c r="CE65" i="3" s="1"/>
  <c r="BH23" i="3"/>
  <c r="BI58" i="2"/>
  <c r="BM62" i="3"/>
  <c r="BM73" i="3"/>
  <c r="BM13" i="3" s="1"/>
  <c r="CG28" i="1" l="1"/>
  <c r="CG22" i="1"/>
  <c r="CG28" i="2"/>
  <c r="CG15" i="2"/>
  <c r="CG22" i="3" s="1"/>
  <c r="CG24" i="1"/>
  <c r="CG30" i="1"/>
  <c r="CG96" i="1"/>
  <c r="CE113" i="1"/>
  <c r="BG81" i="3"/>
  <c r="BG82" i="3" s="1"/>
  <c r="CE126" i="1"/>
  <c r="CD41" i="2"/>
  <c r="BG79" i="2"/>
  <c r="BG80" i="2"/>
  <c r="BG81" i="2" s="1"/>
  <c r="CD71" i="2"/>
  <c r="CD305" i="2"/>
  <c r="CD113" i="1"/>
  <c r="CD127" i="1"/>
  <c r="BH71" i="2"/>
  <c r="BH41" i="2" s="1"/>
  <c r="BI69" i="2"/>
  <c r="CD126" i="1"/>
  <c r="CD111" i="1"/>
  <c r="CF111" i="1"/>
  <c r="CF126" i="1"/>
  <c r="CF113" i="1"/>
  <c r="CF127" i="1"/>
  <c r="BM64" i="3"/>
  <c r="BM65" i="3" s="1"/>
  <c r="BM20" i="2" s="1"/>
  <c r="BH47" i="3"/>
  <c r="BM76" i="3"/>
  <c r="BM77" i="3" s="1"/>
  <c r="BH29" i="3"/>
  <c r="BL65" i="3"/>
  <c r="BL20" i="2" s="1"/>
  <c r="CD81" i="3"/>
  <c r="CD82" i="3" s="1"/>
  <c r="CD49" i="3"/>
  <c r="CD50" i="3" s="1"/>
  <c r="CE47" i="3" s="1"/>
  <c r="BN73" i="3"/>
  <c r="BN13" i="3" s="1"/>
  <c r="BN62" i="3"/>
  <c r="BJ16" i="2"/>
  <c r="BI24" i="2"/>
  <c r="BL76" i="3"/>
  <c r="BL77" i="3" s="1"/>
  <c r="CE67" i="3"/>
  <c r="CE68" i="3" s="1"/>
  <c r="CG103" i="1" l="1"/>
  <c r="CG101" i="1"/>
  <c r="CG106" i="1"/>
  <c r="CG34" i="2"/>
  <c r="CG24" i="3"/>
  <c r="CG31" i="1"/>
  <c r="CG79" i="1"/>
  <c r="CG29" i="1"/>
  <c r="CG77" i="1"/>
  <c r="BJ69" i="2"/>
  <c r="BI71" i="2"/>
  <c r="BI41" i="2" s="1"/>
  <c r="BH80" i="2"/>
  <c r="BH81" i="2" s="1"/>
  <c r="BH73" i="2"/>
  <c r="BH74" i="2" s="1"/>
  <c r="BH79" i="2"/>
  <c r="BH43" i="2"/>
  <c r="CD80" i="2"/>
  <c r="CD81" i="2" s="1"/>
  <c r="CD73" i="2"/>
  <c r="CD74" i="2" s="1"/>
  <c r="CD79" i="2"/>
  <c r="CD43" i="2"/>
  <c r="BN64" i="3"/>
  <c r="BN65" i="3" s="1"/>
  <c r="BN20" i="2" s="1"/>
  <c r="BI23" i="3"/>
  <c r="BO73" i="3"/>
  <c r="BO62" i="3"/>
  <c r="BJ58" i="2"/>
  <c r="BL67" i="3"/>
  <c r="BL68" i="3" s="1"/>
  <c r="BM67" i="3"/>
  <c r="BM68" i="3" s="1"/>
  <c r="CD11" i="2"/>
  <c r="BN76" i="3"/>
  <c r="BN77" i="3" s="1"/>
  <c r="BH81" i="3"/>
  <c r="BH82" i="3" s="1"/>
  <c r="BH49" i="3"/>
  <c r="BH11" i="2" s="1"/>
  <c r="CG91" i="1" l="1"/>
  <c r="CG78" i="1"/>
  <c r="CG80" i="1"/>
  <c r="CG93" i="1"/>
  <c r="CG104" i="1" s="1"/>
  <c r="CG11" i="3"/>
  <c r="CG122" i="1"/>
  <c r="CG123" i="1" s="1"/>
  <c r="CG125" i="1"/>
  <c r="CG107" i="1"/>
  <c r="BK69" i="2"/>
  <c r="BJ71" i="2"/>
  <c r="BJ41" i="2" s="1"/>
  <c r="BI79" i="2"/>
  <c r="BI43" i="2"/>
  <c r="BI73" i="2"/>
  <c r="BI74" i="2" s="1"/>
  <c r="BI80" i="2"/>
  <c r="BI81" i="2" s="1"/>
  <c r="BH82" i="2"/>
  <c r="BH18" i="2"/>
  <c r="BH52" i="3"/>
  <c r="CF62" i="3"/>
  <c r="BI29" i="3"/>
  <c r="CD82" i="2"/>
  <c r="CD83" i="2" s="1"/>
  <c r="CD18" i="2"/>
  <c r="CD52" i="3"/>
  <c r="CD53" i="3" s="1"/>
  <c r="BJ24" i="2"/>
  <c r="BK16" i="2"/>
  <c r="BG87" i="2"/>
  <c r="BO13" i="3"/>
  <c r="CF73" i="3"/>
  <c r="BH50" i="3"/>
  <c r="BI47" i="3" s="1"/>
  <c r="BG83" i="2"/>
  <c r="BG85" i="2"/>
  <c r="BG86" i="2" s="1"/>
  <c r="BO64" i="3"/>
  <c r="CF64" i="3" s="1"/>
  <c r="BN67" i="3"/>
  <c r="BN68" i="3" s="1"/>
  <c r="CG112" i="1" l="1"/>
  <c r="CG94" i="1"/>
  <c r="CG110" i="1"/>
  <c r="CG92" i="1"/>
  <c r="CG102" i="1"/>
  <c r="CG73" i="3"/>
  <c r="CG62" i="3"/>
  <c r="BL69" i="2"/>
  <c r="BK71" i="2"/>
  <c r="BK41" i="2" s="1"/>
  <c r="CE69" i="2"/>
  <c r="BJ73" i="2"/>
  <c r="BJ74" i="2" s="1"/>
  <c r="BJ79" i="2"/>
  <c r="BJ43" i="2"/>
  <c r="BJ80" i="2"/>
  <c r="BJ81" i="2" s="1"/>
  <c r="BI81" i="3"/>
  <c r="BI82" i="3" s="1"/>
  <c r="BI49" i="3"/>
  <c r="BI11" i="2" s="1"/>
  <c r="CE16" i="2"/>
  <c r="BK58" i="2"/>
  <c r="BH87" i="2"/>
  <c r="BH25" i="2"/>
  <c r="BO76" i="3"/>
  <c r="BO77" i="3" s="1"/>
  <c r="CF13" i="3"/>
  <c r="BJ23" i="3"/>
  <c r="BO65" i="3"/>
  <c r="BO20" i="2" s="1"/>
  <c r="BH53" i="3"/>
  <c r="BG63" i="3"/>
  <c r="CD87" i="2"/>
  <c r="CD25" i="2"/>
  <c r="CD45" i="2" s="1"/>
  <c r="CF65" i="3"/>
  <c r="BH83" i="2"/>
  <c r="BH85" i="2"/>
  <c r="BH86" i="2" s="1"/>
  <c r="CG127" i="1" l="1"/>
  <c r="CG113" i="1"/>
  <c r="CG126" i="1"/>
  <c r="CG111" i="1"/>
  <c r="CG64" i="3"/>
  <c r="CG65" i="3" s="1"/>
  <c r="CG20" i="2" s="1"/>
  <c r="CG13" i="3"/>
  <c r="CG76" i="3" s="1"/>
  <c r="CG77" i="3" s="1"/>
  <c r="BI50" i="3"/>
  <c r="BJ47" i="3" s="1"/>
  <c r="BK79" i="2"/>
  <c r="BK43" i="2"/>
  <c r="CE41" i="2"/>
  <c r="BK80" i="2"/>
  <c r="BK81" i="2" s="1"/>
  <c r="BK73" i="2"/>
  <c r="BK74" i="2" s="1"/>
  <c r="CE305" i="2"/>
  <c r="CE71" i="2"/>
  <c r="BL71" i="2"/>
  <c r="BL41" i="2" s="1"/>
  <c r="BM69" i="2"/>
  <c r="BJ29" i="3"/>
  <c r="BH63" i="3"/>
  <c r="BH45" i="2"/>
  <c r="CF20" i="2"/>
  <c r="BO67" i="3"/>
  <c r="BO68" i="3" s="1"/>
  <c r="BK24" i="2"/>
  <c r="BL16" i="2"/>
  <c r="CE58" i="2"/>
  <c r="CE53" i="2" s="1"/>
  <c r="CF76" i="3"/>
  <c r="BI82" i="2"/>
  <c r="BI18" i="2"/>
  <c r="BI52" i="3"/>
  <c r="CG67" i="3" l="1"/>
  <c r="CG68" i="3" s="1"/>
  <c r="BI53" i="3"/>
  <c r="BN69" i="2"/>
  <c r="BM71" i="2"/>
  <c r="BM41" i="2" s="1"/>
  <c r="BL43" i="2"/>
  <c r="BL79" i="2"/>
  <c r="BL80" i="2"/>
  <c r="BL81" i="2" s="1"/>
  <c r="BL73" i="2"/>
  <c r="BL74" i="2" s="1"/>
  <c r="CE43" i="2"/>
  <c r="CE79" i="2"/>
  <c r="CE80" i="2"/>
  <c r="CE81" i="2" s="1"/>
  <c r="CE73" i="2"/>
  <c r="CE74" i="2" s="1"/>
  <c r="BI87" i="2"/>
  <c r="BI25" i="2"/>
  <c r="BL58" i="2"/>
  <c r="CF67" i="3"/>
  <c r="CF68" i="3" s="1"/>
  <c r="BJ81" i="3"/>
  <c r="BJ82" i="3" s="1"/>
  <c r="BJ49" i="3"/>
  <c r="BI83" i="2"/>
  <c r="BI85" i="2"/>
  <c r="CE24" i="2"/>
  <c r="BK23" i="3"/>
  <c r="CF74" i="3"/>
  <c r="CF77" i="3"/>
  <c r="BI86" i="2" l="1"/>
  <c r="BM43" i="2"/>
  <c r="BM79" i="2"/>
  <c r="BM80" i="2"/>
  <c r="BM81" i="2" s="1"/>
  <c r="BM73" i="2"/>
  <c r="BM74" i="2" s="1"/>
  <c r="BO69" i="2"/>
  <c r="BN71" i="2"/>
  <c r="BN41" i="2" s="1"/>
  <c r="BM16" i="2"/>
  <c r="BL24" i="2"/>
  <c r="BJ50" i="3"/>
  <c r="BK47" i="3" s="1"/>
  <c r="BJ11" i="2"/>
  <c r="CE54" i="2"/>
  <c r="BK29" i="3"/>
  <c r="CE23" i="3"/>
  <c r="CE29" i="3" s="1"/>
  <c r="BI63" i="3"/>
  <c r="BI45" i="2"/>
  <c r="BN79" i="2" l="1"/>
  <c r="BN80" i="2"/>
  <c r="BN81" i="2" s="1"/>
  <c r="BN43" i="2"/>
  <c r="BN73" i="2"/>
  <c r="BN74" i="2" s="1"/>
  <c r="BO71" i="2"/>
  <c r="BO41" i="2" s="1"/>
  <c r="CF69" i="2"/>
  <c r="CG69" i="2" s="1"/>
  <c r="CE81" i="3"/>
  <c r="CE82" i="3" s="1"/>
  <c r="CE49" i="3"/>
  <c r="CE50" i="3" s="1"/>
  <c r="CF47" i="3" s="1"/>
  <c r="BK81" i="3"/>
  <c r="BK82" i="3" s="1"/>
  <c r="BK49" i="3"/>
  <c r="BK50" i="3" s="1"/>
  <c r="BL47" i="3" s="1"/>
  <c r="BJ18" i="2"/>
  <c r="BJ82" i="2"/>
  <c r="BJ52" i="3"/>
  <c r="BJ53" i="3" s="1"/>
  <c r="BM58" i="2"/>
  <c r="BL23" i="3"/>
  <c r="CG305" i="2" l="1"/>
  <c r="CG71" i="2"/>
  <c r="CG41" i="2" s="1"/>
  <c r="CF305" i="2"/>
  <c r="CF71" i="2"/>
  <c r="BK11" i="2"/>
  <c r="CE11" i="2" s="1"/>
  <c r="BO43" i="2"/>
  <c r="BO79" i="2"/>
  <c r="CF41" i="2"/>
  <c r="BO73" i="2"/>
  <c r="BO74" i="2" s="1"/>
  <c r="BO80" i="2"/>
  <c r="BO81" i="2" s="1"/>
  <c r="BL29" i="3"/>
  <c r="BN16" i="2"/>
  <c r="BM24" i="2"/>
  <c r="BJ83" i="2"/>
  <c r="BJ85" i="2"/>
  <c r="BJ86" i="2" s="1"/>
  <c r="BJ87" i="2"/>
  <c r="BJ25" i="2"/>
  <c r="CG79" i="2" l="1"/>
  <c r="CG43" i="2"/>
  <c r="CG73" i="2"/>
  <c r="CG74" i="2" s="1"/>
  <c r="CG80" i="2"/>
  <c r="CG81" i="2" s="1"/>
  <c r="BK52" i="3"/>
  <c r="BK53" i="3" s="1"/>
  <c r="BK18" i="2"/>
  <c r="BK87" i="2" s="1"/>
  <c r="BK82" i="2"/>
  <c r="BK83" i="2" s="1"/>
  <c r="CF79" i="2"/>
  <c r="CF80" i="2"/>
  <c r="CF81" i="2" s="1"/>
  <c r="CF73" i="2"/>
  <c r="CF74" i="2" s="1"/>
  <c r="CF43" i="2"/>
  <c r="BN58" i="2"/>
  <c r="CE82" i="2"/>
  <c r="CE83" i="2" s="1"/>
  <c r="CE18" i="2"/>
  <c r="CE52" i="3"/>
  <c r="CE53" i="3" s="1"/>
  <c r="BJ63" i="3"/>
  <c r="BJ45" i="2"/>
  <c r="BM23" i="3"/>
  <c r="BL81" i="3"/>
  <c r="BL82" i="3" s="1"/>
  <c r="BL49" i="3"/>
  <c r="BK25" i="2" l="1"/>
  <c r="BK63" i="3" s="1"/>
  <c r="BK85" i="2"/>
  <c r="BK86" i="2" s="1"/>
  <c r="BL50" i="3"/>
  <c r="BM47" i="3" s="1"/>
  <c r="BL11" i="2"/>
  <c r="CE87" i="2"/>
  <c r="CE25" i="2"/>
  <c r="CE45" i="2" s="1"/>
  <c r="BM29" i="3"/>
  <c r="BN24" i="2"/>
  <c r="BO16" i="2"/>
  <c r="BK45" i="2" l="1"/>
  <c r="BN23" i="3"/>
  <c r="CF16" i="2"/>
  <c r="BO58" i="2"/>
  <c r="BO24" i="2" s="1"/>
  <c r="BO23" i="3" s="1"/>
  <c r="BO29" i="3" s="1"/>
  <c r="BL82" i="2"/>
  <c r="BL18" i="2"/>
  <c r="BL52" i="3"/>
  <c r="BL53" i="3" s="1"/>
  <c r="BM81" i="3"/>
  <c r="BM82" i="3" s="1"/>
  <c r="BM49" i="3"/>
  <c r="BM11" i="2" s="1"/>
  <c r="BM50" i="3" l="1"/>
  <c r="BN47" i="3" s="1"/>
  <c r="BM82" i="2"/>
  <c r="BM18" i="2"/>
  <c r="BM52" i="3"/>
  <c r="BO81" i="3"/>
  <c r="BO82" i="3" s="1"/>
  <c r="BO49" i="3"/>
  <c r="BL87" i="2"/>
  <c r="BL25" i="2"/>
  <c r="BL83" i="2"/>
  <c r="BL85" i="2"/>
  <c r="BL86" i="2" s="1"/>
  <c r="CF24" i="2"/>
  <c r="BN29" i="3"/>
  <c r="CF23" i="3"/>
  <c r="CF58" i="2"/>
  <c r="CF53" i="2" l="1"/>
  <c r="CG16" i="2"/>
  <c r="CG58" i="2" s="1"/>
  <c r="CG24" i="2" s="1"/>
  <c r="BM53" i="3"/>
  <c r="CF54" i="2"/>
  <c r="BM87" i="2"/>
  <c r="BM25" i="2"/>
  <c r="BN81" i="3"/>
  <c r="BN82" i="3" s="1"/>
  <c r="BN49" i="3"/>
  <c r="BM83" i="2"/>
  <c r="BM85" i="2"/>
  <c r="BM86" i="2" s="1"/>
  <c r="BL63" i="3"/>
  <c r="BL45" i="2"/>
  <c r="CF29" i="3"/>
  <c r="CG23" i="3" l="1"/>
  <c r="CG29" i="3" s="1"/>
  <c r="CF81" i="3"/>
  <c r="CF82" i="3" s="1"/>
  <c r="CF49" i="3"/>
  <c r="CF50" i="3" s="1"/>
  <c r="CG47" i="3" s="1"/>
  <c r="BM63" i="3"/>
  <c r="BM45" i="2"/>
  <c r="BN11" i="2"/>
  <c r="BN50" i="3"/>
  <c r="BO47" i="3" s="1"/>
  <c r="BO50" i="3" s="1"/>
  <c r="CG81" i="3" l="1"/>
  <c r="CG82" i="3" s="1"/>
  <c r="CG49" i="3"/>
  <c r="CG50" i="3" s="1"/>
  <c r="BN18" i="2"/>
  <c r="BN82" i="2"/>
  <c r="BO11" i="2"/>
  <c r="BN52" i="3"/>
  <c r="BN53" i="3" s="1"/>
  <c r="BN87" i="2" l="1"/>
  <c r="BN25" i="2"/>
  <c r="BO18" i="2"/>
  <c r="CF11" i="2"/>
  <c r="CG11" i="2" s="1"/>
  <c r="BO82" i="2"/>
  <c r="BO52" i="3"/>
  <c r="BO53" i="3" s="1"/>
  <c r="BN83" i="2"/>
  <c r="BN85" i="2"/>
  <c r="BN86" i="2" s="1"/>
  <c r="CG52" i="3" l="1"/>
  <c r="CG53" i="3" s="1"/>
  <c r="CG82" i="2"/>
  <c r="CG83" i="2" s="1"/>
  <c r="CG18" i="2"/>
  <c r="BO83" i="2"/>
  <c r="BO85" i="2"/>
  <c r="BO86" i="2" s="1"/>
  <c r="CF18" i="2"/>
  <c r="CF82" i="2"/>
  <c r="CF83" i="2" s="1"/>
  <c r="CF52" i="3"/>
  <c r="CF53" i="3" s="1"/>
  <c r="BO87" i="2"/>
  <c r="BO25" i="2"/>
  <c r="BN63" i="3"/>
  <c r="BN45" i="2"/>
  <c r="CG87" i="2" l="1"/>
  <c r="CG25" i="2"/>
  <c r="CF87" i="2"/>
  <c r="CF25" i="2"/>
  <c r="CF45" i="2" s="1"/>
  <c r="BO63" i="3"/>
  <c r="BO45" i="2"/>
  <c r="CG63" i="3" l="1"/>
  <c r="CG45" i="2"/>
  <c r="H1" i="2" s="1"/>
  <c r="AR1" i="2" l="1"/>
  <c r="BY1" i="2"/>
  <c r="T1" i="1"/>
  <c r="AX1" i="3"/>
  <c r="AL1" i="1"/>
  <c r="AR1" i="3"/>
  <c r="AP1" i="1"/>
  <c r="BS1" i="3"/>
  <c r="V1" i="2"/>
  <c r="BW1" i="2"/>
  <c r="CA1" i="3"/>
  <c r="V1" i="3"/>
  <c r="P1" i="1"/>
  <c r="CC1" i="1"/>
  <c r="CF1" i="2"/>
  <c r="H1" i="3"/>
  <c r="BQ1" i="2"/>
  <c r="R1" i="1"/>
  <c r="AN1" i="1"/>
  <c r="AB1" i="3"/>
  <c r="N1" i="3"/>
  <c r="CC1" i="3"/>
  <c r="CB1" i="3"/>
  <c r="L1" i="1"/>
  <c r="J1" i="3"/>
  <c r="AL1" i="2"/>
  <c r="AB1" i="1"/>
  <c r="BY1" i="1"/>
  <c r="F1" i="1"/>
  <c r="Z1" i="3"/>
  <c r="AF1" i="3"/>
  <c r="AR1" i="1"/>
  <c r="D1" i="2"/>
  <c r="X1" i="3"/>
  <c r="BS1" i="1"/>
  <c r="BU1" i="1"/>
  <c r="AJ1" i="1"/>
  <c r="AJ1" i="2"/>
  <c r="AF1" i="1"/>
  <c r="N1" i="2"/>
  <c r="AP1" i="2"/>
  <c r="V1" i="1"/>
  <c r="J1" i="1"/>
  <c r="BU1" i="3"/>
  <c r="AB1" i="2"/>
  <c r="Z1" i="1"/>
  <c r="AP1" i="3"/>
  <c r="F1" i="2"/>
  <c r="CA1" i="1"/>
  <c r="BQ1" i="3"/>
  <c r="D1" i="3"/>
  <c r="R1" i="2"/>
  <c r="CF1" i="1"/>
  <c r="AD1" i="2"/>
  <c r="BQ1" i="1"/>
  <c r="AD1" i="1"/>
  <c r="H1" i="1"/>
  <c r="AV1" i="2"/>
  <c r="BW1" i="1"/>
  <c r="AT1" i="1"/>
  <c r="BS1" i="2"/>
  <c r="J1" i="2"/>
  <c r="AX1" i="1"/>
  <c r="Z1" i="2"/>
  <c r="X1" i="1"/>
  <c r="AT1" i="2"/>
  <c r="AN1" i="3"/>
  <c r="L1" i="2"/>
  <c r="AF1" i="2"/>
  <c r="AV1" i="3"/>
  <c r="AL1" i="3"/>
  <c r="AJ1" i="3"/>
  <c r="CB1" i="1"/>
  <c r="BY1" i="3"/>
  <c r="AN1" i="2"/>
  <c r="BU1" i="2"/>
  <c r="AX1" i="2"/>
  <c r="AV1" i="1"/>
  <c r="AH1" i="3"/>
  <c r="AH1" i="2"/>
  <c r="X1" i="2"/>
  <c r="F1" i="3"/>
  <c r="N1" i="1"/>
  <c r="CB1" i="2"/>
  <c r="BW1" i="3"/>
  <c r="T1" i="2"/>
  <c r="T1" i="3"/>
  <c r="AD1" i="3"/>
  <c r="AT1" i="3"/>
  <c r="P1" i="3"/>
  <c r="AH1" i="1"/>
  <c r="P1" i="2"/>
  <c r="CA1" i="2"/>
  <c r="CC1" i="2"/>
  <c r="L1" i="3"/>
  <c r="D1" i="1"/>
  <c r="R1" i="3"/>
</calcChain>
</file>

<file path=xl/comments1.xml><?xml version="1.0" encoding="utf-8"?>
<comments xmlns="http://schemas.openxmlformats.org/spreadsheetml/2006/main">
  <authors>
    <author>devgans</author>
    <author>Louis Gerhardy</author>
    <author>higlac</author>
    <author>Sanjay Devgan</author>
    <author>Matthew Nerlinger</author>
    <author>mattne</author>
    <author>kimmic</author>
    <author>vasanthm</author>
    <author>Lim, Alvin (Research)</author>
    <author>Paniagua, Marco (Research)</author>
    <author>curtain</author>
    <author>Jimenez, Jimena (Research)</author>
    <author>Lira, Sergio (Research)</author>
  </authors>
  <commentList>
    <comment ref="L10" authorId="0">
      <text>
        <r>
          <rPr>
            <b/>
            <sz val="8"/>
            <color indexed="8"/>
            <rFont val="tahoma"/>
            <family val="2"/>
          </rPr>
          <t>devgans:</t>
        </r>
        <r>
          <rPr>
            <sz val="8"/>
            <color indexed="8"/>
            <rFont val="Tahoma"/>
            <family val="2"/>
          </rPr>
          <t xml:space="preserve">
Expect q/q growth of 5% - 6% (does not include partial qtr. From AVAGO)</t>
        </r>
      </text>
    </comment>
    <comment ref="M10" authorId="1">
      <text>
        <r>
          <rPr>
            <b/>
            <sz val="8"/>
            <color indexed="8"/>
            <rFont val="tahoma"/>
            <family val="2"/>
          </rPr>
          <t>Louis Gerhardy:</t>
        </r>
        <r>
          <rPr>
            <sz val="8"/>
            <color indexed="8"/>
            <rFont val="Tahoma"/>
            <family val="2"/>
          </rPr>
          <t xml:space="preserve">
first full quarter with AVAGO</t>
        </r>
      </text>
    </comment>
    <comment ref="U10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guidance $830-$840
</t>
        </r>
      </text>
    </comment>
    <comment ref="V10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Original guidance $860-$880 (up 2-4% q/q)
Revised guidance - down 6 - 7%.</t>
        </r>
      </text>
    </comment>
    <comment ref="W10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Original guidance $690-$730 (down 8-13% q/q)
Revised Guidance: 1/22/09: $500-$520m; down 34-37%</t>
        </r>
      </text>
    </comment>
    <comment ref="X10" authorId="2">
      <text>
        <r>
          <rPr>
            <sz val="8"/>
            <color indexed="8"/>
            <rFont val="Tahoma"/>
            <family val="2"/>
          </rPr>
          <t xml:space="preserve">Original guidance $490-$530 
</t>
        </r>
      </text>
    </comment>
    <comment ref="Y10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to $540 - $580 million.
Updated Guidance $600 - $630 million.</t>
        </r>
      </text>
    </comment>
    <comment ref="Z10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to $680 - $730 million.
Revised Guidance $760 - $775.</t>
        </r>
      </text>
    </comment>
    <comment ref="AA10" authorId="4">
      <text>
        <r>
          <rPr>
            <b/>
            <sz val="8"/>
            <color indexed="8"/>
            <rFont val="tahoma"/>
            <family val="2"/>
          </rPr>
          <t>Matthew Nerlinger:</t>
        </r>
        <r>
          <rPr>
            <sz val="8"/>
            <color indexed="8"/>
            <rFont val="Tahoma"/>
            <family val="2"/>
          </rPr>
          <t xml:space="preserve">
Guided $820-850M</t>
        </r>
      </text>
    </comment>
    <comment ref="AB10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Guided to $825 - $860</t>
        </r>
      </text>
    </comment>
    <comment ref="AC10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$900 - $930 million</t>
        </r>
      </text>
    </comment>
    <comment ref="AD10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$930 - $970 million</t>
        </r>
      </text>
    </comment>
    <comment ref="AE10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$900 - $950 million</t>
        </r>
      </text>
    </comment>
    <comment ref="AF10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Guided to $800 - $855 million.</t>
        </r>
      </text>
    </comment>
    <comment ref="AG10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$870 - $910</t>
        </r>
      </text>
    </comment>
    <comment ref="AH10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$940 - $980 million.</t>
        </r>
      </text>
    </comment>
    <comment ref="AI10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$775 - $825 million.
Updated guidance to $735 - $745 million.</t>
        </r>
      </text>
    </comment>
    <comment ref="AJ10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flat to up 6%.</t>
        </r>
      </text>
    </comment>
    <comment ref="AK10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Guide: 840-890M up 6-12%</t>
        </r>
      </text>
    </comment>
    <comment ref="AL10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$800 - $850 million</t>
        </r>
      </text>
    </comment>
    <comment ref="AM10" authorId="0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Guided to $700 - $740 million</t>
        </r>
      </text>
    </comment>
    <comment ref="AO10" authorId="7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$770-810m</t>
        </r>
      </text>
    </comment>
    <comment ref="AW10" authorId="8">
      <text>
        <r>
          <rPr>
            <b/>
            <sz val="9"/>
            <color indexed="81"/>
            <rFont val="Tahoma"/>
            <family val="2"/>
          </rPr>
          <t xml:space="preserve">Lim, Alvin (Research)
</t>
        </r>
        <r>
          <rPr>
            <sz val="9"/>
            <color indexed="81"/>
            <rFont val="Tahoma"/>
            <family val="2"/>
          </rPr>
          <t>Previously 711.326</t>
        </r>
      </text>
    </comment>
    <comment ref="AX10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Previously 674.056</t>
        </r>
      </text>
    </comment>
    <comment ref="AW16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Previously 763.37</t>
        </r>
      </text>
    </comment>
    <comment ref="AX16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Previously 382.386</t>
        </r>
      </text>
    </comment>
    <comment ref="AW19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Litigation accruals of $394 recognized as Contingencies in connection with CMU
$395mn as of 3Q 8K + $14mn inventory writedown</t>
        </r>
      </text>
    </comment>
    <comment ref="AY19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inventory writedown</t>
        </r>
      </text>
    </comment>
    <comment ref="AO27" authorId="7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52.2%+/-100bps</t>
        </r>
      </text>
    </comment>
    <comment ref="AV27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50.1% +/- 1%</t>
        </r>
      </text>
    </comment>
    <comment ref="AW27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48.5% - 50.5%</t>
        </r>
      </text>
    </comment>
    <comment ref="BS27" authorId="0">
      <text>
        <r>
          <rPr>
            <b/>
            <sz val="8"/>
            <color indexed="8"/>
            <rFont val="tahoma"/>
            <family val="2"/>
          </rPr>
          <t>devgans:</t>
        </r>
        <r>
          <rPr>
            <sz val="8"/>
            <color indexed="8"/>
            <rFont val="Tahoma"/>
            <family val="2"/>
          </rPr>
          <t xml:space="preserve">
F2007 Gross margins to be 54% +/- 50 basis points. (note, the long-term guidance is now 53%).</t>
        </r>
      </text>
    </comment>
    <comment ref="U29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non-gaap guidance 51% to 52%</t>
        </r>
      </text>
    </comment>
    <comment ref="V29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52.5% +/- 50 bps
</t>
        </r>
      </text>
    </comment>
    <comment ref="X29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non-gaap GM% to 51.5% +/- 50 bps.</t>
        </r>
      </text>
    </comment>
    <comment ref="Y29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non-gaap GM% to 52.2% +/- 50 bps.</t>
        </r>
      </text>
    </comment>
    <comment ref="Z29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non-gaap GM% to 55% +/- 50 bps.</t>
        </r>
      </text>
    </comment>
    <comment ref="AA29" authorId="0">
      <text>
        <r>
          <rPr>
            <b/>
            <sz val="8"/>
            <color indexed="8"/>
            <rFont val="tahoma"/>
            <family val="2"/>
          </rPr>
          <t>devgans:</t>
        </r>
        <r>
          <rPr>
            <sz val="8"/>
            <color indexed="8"/>
            <rFont val="Tahoma"/>
            <family val="2"/>
          </rPr>
          <t xml:space="preserve">
Non-Gaap GM% to be 58.5% +/- 50 bps.</t>
        </r>
      </text>
    </comment>
    <comment ref="AB29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Guided GM to 60% +/-50bps.</t>
        </r>
      </text>
    </comment>
    <comment ref="AC2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non-gaap GM to 59% - 60%.</t>
        </r>
      </text>
    </comment>
    <comment ref="AD2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non-gaap GM to 59% - 60%.</t>
        </r>
      </text>
    </comment>
    <comment ref="AE2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non-gaap GM to 59.5% +/- 50bps.</t>
        </r>
      </text>
    </comment>
    <comment ref="AF29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Guided non-gaap GM to 59%.</t>
        </r>
      </text>
    </comment>
    <comment ref="AG29" authorId="0">
      <text>
        <r>
          <rPr>
            <b/>
            <sz val="10"/>
            <color indexed="81"/>
            <rFont val="Arial"/>
            <family val="2"/>
          </rPr>
          <t>devgans:</t>
        </r>
        <r>
          <rPr>
            <sz val="10"/>
            <color indexed="81"/>
            <rFont val="Arial"/>
            <family val="2"/>
          </rPr>
          <t xml:space="preserve">
Guided to 58% - 58.5%</t>
        </r>
      </text>
    </comment>
    <comment ref="AH2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non-Gaap GM% to 57% +/- 50 bps.</t>
        </r>
      </text>
    </comment>
    <comment ref="AI2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55% +/- 50 bps.</t>
        </r>
      </text>
    </comment>
    <comment ref="AJ2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Non-gaap GM% to be 54.5% +/- 50 bps.</t>
        </r>
      </text>
    </comment>
    <comment ref="AK29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Flat Q/Q, at 54.5 +/- 50bps</t>
        </r>
      </text>
    </comment>
    <comment ref="AL29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GM Flat at 53.5%</t>
        </r>
      </text>
    </comment>
    <comment ref="AM29" authorId="0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GM at 53.0% +/- 50bps</t>
        </r>
      </text>
    </comment>
    <comment ref="AO29" authorId="7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52.5+/-100bps</t>
        </r>
      </text>
    </comment>
    <comment ref="AV29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50.5% +/- 1%</t>
        </r>
      </text>
    </comment>
    <comment ref="AW29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49-51%</t>
        </r>
      </text>
    </comment>
    <comment ref="O33" authorId="0">
      <text>
        <r>
          <rPr>
            <b/>
            <sz val="8"/>
            <color indexed="8"/>
            <rFont val="tahoma"/>
            <family val="2"/>
          </rPr>
          <t>devgans:</t>
        </r>
        <r>
          <rPr>
            <sz val="8"/>
            <color indexed="8"/>
            <rFont val="Tahoma"/>
            <family val="2"/>
          </rPr>
          <t xml:space="preserve">
Reduced R&amp;D by $24.2 M to account for liability on certain stock option excercises.</t>
        </r>
      </text>
    </comment>
    <comment ref="AW33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Previously 296.16</t>
        </r>
      </text>
    </comment>
    <comment ref="Y36" authorId="10">
      <text>
        <r>
          <rPr>
            <b/>
            <sz val="8"/>
            <color indexed="81"/>
            <rFont val="Tahoma"/>
            <family val="2"/>
          </rPr>
          <t>curtain:</t>
        </r>
        <r>
          <rPr>
            <sz val="8"/>
            <color indexed="81"/>
            <rFont val="Tahoma"/>
            <family val="2"/>
          </rPr>
          <t xml:space="preserve">
Restructuring + Legal/tax settlement</t>
        </r>
      </text>
    </comment>
    <comment ref="AY36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restructuring expense $55mn in 2H16 with SG&amp;A + 30mn in asset impairment</t>
        </r>
      </text>
    </comment>
    <comment ref="W38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$3.652- reversal of remaining payroll related tax liabilities in connection w/ stock option backdating</t>
        </r>
      </text>
    </comment>
    <comment ref="AA38" authorId="4">
      <text>
        <r>
          <rPr>
            <b/>
            <sz val="8"/>
            <color indexed="8"/>
            <rFont val="tahoma"/>
            <family val="2"/>
          </rPr>
          <t>Matthew Nerlinger:</t>
        </r>
        <r>
          <rPr>
            <sz val="8"/>
            <color indexed="8"/>
            <rFont val="Tahoma"/>
            <family val="2"/>
          </rPr>
          <t xml:space="preserve">
reiterated f2q10 guidance of $185M</t>
        </r>
      </text>
    </comment>
    <comment ref="AI3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R&amp;D to be ~$240 million.</t>
        </r>
      </text>
    </comment>
    <comment ref="AJ3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Non-Gaap R&amp;D to be $237 million.</t>
        </r>
      </text>
    </comment>
    <comment ref="AK38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Guide; NG R&amp;D $245M</t>
        </r>
      </text>
    </comment>
    <comment ref="AM38" authorId="6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Non-GAAP R&amp;D $248m</t>
        </r>
      </text>
    </comment>
    <comment ref="AV38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265
</t>
        </r>
      </text>
    </comment>
    <comment ref="AW38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253</t>
        </r>
      </text>
    </comment>
    <comment ref="Q43" authorId="1">
      <text>
        <r>
          <rPr>
            <b/>
            <sz val="8"/>
            <color indexed="8"/>
            <rFont val="tahoma"/>
            <family val="2"/>
          </rPr>
          <t>Louis Gerhardy:</t>
        </r>
        <r>
          <rPr>
            <sz val="8"/>
            <color indexed="8"/>
            <rFont val="Tahoma"/>
            <family val="2"/>
          </rPr>
          <t xml:space="preserve">
includes $5MM benefit</t>
        </r>
      </text>
    </comment>
    <comment ref="W48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$1.323- reversal of remaining payroll related tax liabilities in connection w/ stock option backdating</t>
        </r>
      </text>
    </comment>
    <comment ref="AI4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SG&amp;A to be ~$60 million.</t>
        </r>
      </text>
    </comment>
    <comment ref="AJ4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SG&amp;A to be ~$58 million.</t>
        </r>
      </text>
    </comment>
    <comment ref="AK48" authorId="6">
      <text>
        <r>
          <rPr>
            <b/>
            <sz val="8"/>
            <color indexed="81"/>
            <rFont val="Tahoma"/>
            <family val="2"/>
          </rPr>
          <t xml:space="preserve">kimmic: 
</t>
        </r>
        <r>
          <rPr>
            <sz val="8"/>
            <color indexed="81"/>
            <rFont val="Tahoma"/>
            <family val="2"/>
          </rPr>
          <t>Guide: NG SGA $60M</t>
        </r>
      </text>
    </comment>
    <comment ref="AM48" authorId="6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Non-GAAP SG&amp;A $62m</t>
        </r>
      </text>
    </comment>
    <comment ref="AV48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SG&amp;A 55</t>
        </r>
      </text>
    </comment>
    <comment ref="AW48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sg&amp;a 52</t>
        </r>
      </text>
    </comment>
    <comment ref="AW53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Previously 36.033</t>
        </r>
      </text>
    </comment>
    <comment ref="AX53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Previously 34.731</t>
        </r>
      </text>
    </comment>
    <comment ref="X56" authorId="10">
      <text>
        <r>
          <rPr>
            <sz val="8"/>
            <color indexed="81"/>
            <rFont val="Tahoma"/>
            <family val="2"/>
          </rPr>
          <t xml:space="preserve">72m of Legal/Tax settlement
</t>
        </r>
      </text>
    </comment>
    <comment ref="W58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$.317- reversal of remaining payroll related tax liabilities in connection w/ stock option backdating</t>
        </r>
      </text>
    </comment>
    <comment ref="AI5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SG&amp;A to be ~$60 million.</t>
        </r>
      </text>
    </comment>
    <comment ref="AJ5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SG&amp;A to be ~$58 million.</t>
        </r>
      </text>
    </comment>
    <comment ref="AK58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Guide: NG SGA $60M</t>
        </r>
      </text>
    </comment>
    <comment ref="AM58" authorId="6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Non-GAAP SG&amp;A $62m</t>
        </r>
      </text>
    </comment>
    <comment ref="AN5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SG&amp;A to be ~$58 million.</t>
        </r>
      </text>
    </comment>
    <comment ref="AV58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SG&amp;A 55</t>
        </r>
      </text>
    </comment>
    <comment ref="AW64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Carnegie Mellon University litigation settlement</t>
        </r>
      </text>
    </comment>
    <comment ref="AX64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Restructuring charges</t>
        </r>
      </text>
    </comment>
    <comment ref="BD64" authorId="11">
      <text>
        <r>
          <rPr>
            <sz val="9"/>
            <color indexed="81"/>
            <rFont val="Tahoma"/>
            <family val="2"/>
          </rPr>
          <t xml:space="preserve">restructuring related charges
</t>
        </r>
      </text>
    </comment>
    <comment ref="BE64" authorId="11">
      <text>
        <r>
          <rPr>
            <sz val="9"/>
            <color indexed="81"/>
            <rFont val="Tahoma"/>
            <family val="2"/>
          </rPr>
          <t xml:space="preserve">restructuring related charges
</t>
        </r>
      </text>
    </comment>
    <comment ref="BF64" authorId="11">
      <text>
        <r>
          <rPr>
            <sz val="9"/>
            <color indexed="81"/>
            <rFont val="Tahoma"/>
            <family val="2"/>
          </rPr>
          <t xml:space="preserve">restructuring related charges
</t>
        </r>
      </text>
    </comment>
    <comment ref="BG64" authorId="11">
      <text>
        <r>
          <rPr>
            <sz val="9"/>
            <color indexed="81"/>
            <rFont val="Tahoma"/>
            <family val="2"/>
          </rPr>
          <t xml:space="preserve">Restructuring related charges and litigation settlement
</t>
        </r>
      </text>
    </comment>
    <comment ref="D65" authorId="10">
      <text>
        <r>
          <rPr>
            <sz val="8"/>
            <color indexed="81"/>
            <rFont val="Tahoma"/>
            <family val="2"/>
          </rPr>
          <t xml:space="preserve">Amoritzation of acquired intangibles + Amortization of stock-based compensation </t>
        </r>
      </text>
    </comment>
    <comment ref="E65" authorId="10">
      <text>
        <r>
          <rPr>
            <sz val="8"/>
            <color indexed="81"/>
            <rFont val="Tahoma"/>
            <family val="2"/>
          </rPr>
          <t xml:space="preserve">Amoritzation of acquired intangibles + Amortization of stock-based compensation </t>
        </r>
      </text>
    </comment>
    <comment ref="F65" authorId="10">
      <text>
        <r>
          <rPr>
            <sz val="8"/>
            <color indexed="81"/>
            <rFont val="Tahoma"/>
            <family val="2"/>
          </rPr>
          <t>Amoritzation of acquired intangibles + Amortization of stock-based compensation + Facilites consolidation charge</t>
        </r>
      </text>
    </comment>
    <comment ref="G65" authorId="10">
      <text>
        <r>
          <rPr>
            <sz val="8"/>
            <color indexed="81"/>
            <rFont val="Tahoma"/>
            <family val="2"/>
          </rPr>
          <t>Amortization of stock-based compensation + Amoritzation of acquired intangibles + Facilites consolidation charge</t>
        </r>
      </text>
    </comment>
    <comment ref="K65" authorId="10">
      <text>
        <r>
          <rPr>
            <sz val="8"/>
            <color indexed="81"/>
            <rFont val="Tahoma"/>
            <family val="2"/>
          </rPr>
          <t>Amoritzation of acquired intangibles + Acquired in-process research and development</t>
        </r>
      </text>
    </comment>
    <comment ref="O65" authorId="10">
      <text>
        <r>
          <rPr>
            <sz val="8"/>
            <color indexed="81"/>
            <rFont val="Tahoma"/>
            <family val="2"/>
          </rPr>
          <t>Amoritzation of acquired intangibles + Acquired in-process research and development</t>
        </r>
      </text>
    </comment>
    <comment ref="AA65" authorId="4">
      <text>
        <r>
          <rPr>
            <b/>
            <sz val="8"/>
            <color indexed="8"/>
            <rFont val="tahoma"/>
            <family val="2"/>
          </rPr>
          <t>Matthew Nerlinger:</t>
        </r>
        <r>
          <rPr>
            <sz val="8"/>
            <color indexed="8"/>
            <rFont val="Tahoma"/>
            <family val="2"/>
          </rPr>
          <t xml:space="preserve">
guided for $25M amortization of intangible per quarter for remainder of fiscal year on f2q10 call</t>
        </r>
      </text>
    </comment>
    <comment ref="AX65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Previously 2.848</t>
        </r>
      </text>
    </comment>
    <comment ref="AO71" authorId="7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GAAP Opex in the $370+/-$10m</t>
        </r>
      </text>
    </comment>
    <comment ref="AV71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350-370
</t>
        </r>
      </text>
    </comment>
    <comment ref="U72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guidance of $280-$290
</t>
        </r>
      </text>
    </comment>
    <comment ref="V72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non-gaap opex approximately flat +/- $5m</t>
        </r>
      </text>
    </comment>
    <comment ref="W72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non-gaap opex $260 million +/- $5m.</t>
        </r>
      </text>
    </comment>
    <comment ref="X72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Non-Gaap OpEx to $235 million +/- $5 million.  Then reduce OpEx by $5 million per quarter for the next 3 qtrs.</t>
        </r>
      </text>
    </comment>
    <comment ref="Y72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Non-Gaap OpEx to $225 million +/- $5 million.</t>
        </r>
      </text>
    </comment>
    <comment ref="Z72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Non-gaap opex to be $235 million +/- $5 million.
R&amp;D ~$185 million
SG&amp;A ~$50 million.</t>
        </r>
      </text>
    </comment>
    <comment ref="AA72" authorId="4">
      <text>
        <r>
          <rPr>
            <b/>
            <sz val="8"/>
            <color indexed="8"/>
            <rFont val="tahoma"/>
            <family val="2"/>
          </rPr>
          <t>Matthew Nerlinger:</t>
        </r>
        <r>
          <rPr>
            <sz val="8"/>
            <color indexed="8"/>
            <rFont val="Tahoma"/>
            <family val="2"/>
          </rPr>
          <t xml:space="preserve">
reiterated opex guidance from f2q10:
Non-gaap opex to be $235 million +/- $5 million.
R&amp;D ~$185 million
SG&amp;A ~$50 million.</t>
        </r>
      </text>
    </comment>
    <comment ref="AB72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Guided total OpEx to $255 m +/-$5 m.
R&amp;D to be $203 million.
SG&amp;A to be $52 million.</t>
        </r>
      </text>
    </comment>
    <comment ref="AC72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Guided total OpEx to $265 m +/-$5 m.
R&amp;D to be $210 million.
SG&amp;A to be $55 million.</t>
        </r>
      </text>
    </comment>
    <comment ref="AD72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Guided total OpEx to $270 m +/-$5 m.
R&amp;D to be $205 million.
SG&amp;A to be $60 million.</t>
        </r>
      </text>
    </comment>
    <comment ref="AE72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Guided total OpEx to $260 - $270 million.
R&amp;D to be $202 million.
SG&amp;A to be $63 million.</t>
        </r>
      </text>
    </comment>
    <comment ref="AF72" authorId="5">
      <text>
        <r>
          <rPr>
            <b/>
            <sz val="10"/>
            <color indexed="8"/>
            <rFont val="Tahoma"/>
            <family val="2"/>
          </rPr>
          <t>mattne:</t>
        </r>
        <r>
          <rPr>
            <sz val="10"/>
            <color indexed="8"/>
            <rFont val="Tahoma"/>
            <family val="2"/>
          </rPr>
          <t xml:space="preserve">
Guided total OpEx to $280 +/1 $5 million.
R&amp;D to be $220 million.
SG&amp;A to be $60 million.</t>
        </r>
      </text>
    </comment>
    <comment ref="AG72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Total Opex to be $285 million.
R&amp;D to be $225 million.
SG&amp;A to be $60 million.</t>
        </r>
      </text>
    </comment>
    <comment ref="AH72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Total Opex to be $295 million.
R&amp;D to be $235 million.
SG&amp;A to be $60 million.</t>
        </r>
      </text>
    </comment>
    <comment ref="AI72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OpEx to be flat +/- $5 million.</t>
        </r>
      </text>
    </comment>
    <comment ref="AJ72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Non-gaap Opex to be $295 million +/- $5 million.</t>
        </r>
      </text>
    </comment>
    <comment ref="AK72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Guide: NG $305M +/- $5M</t>
        </r>
      </text>
    </comment>
    <comment ref="AL72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Total OpEx of $300 million +/- $5 million.</t>
        </r>
      </text>
    </comment>
    <comment ref="AM72" authorId="0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Total OpEx of $310m +/- $5m.</t>
        </r>
      </text>
    </comment>
    <comment ref="AO72" authorId="7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Non-GAAP in the $315+/-$10mn</t>
        </r>
      </text>
    </comment>
    <comment ref="AV72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310-330
</t>
        </r>
      </text>
    </comment>
    <comment ref="L73" authorId="0">
      <text>
        <r>
          <rPr>
            <b/>
            <sz val="8"/>
            <color indexed="8"/>
            <rFont val="tahoma"/>
            <family val="2"/>
          </rPr>
          <t>devgans:</t>
        </r>
        <r>
          <rPr>
            <sz val="8"/>
            <color indexed="8"/>
            <rFont val="Tahoma"/>
            <family val="2"/>
          </rPr>
          <t xml:space="preserve">
Expect operating expenses to increase by 90 basis points in Q1 relative to Q4.</t>
        </r>
      </text>
    </comment>
    <comment ref="M73" authorId="1">
      <text>
        <r>
          <rPr>
            <b/>
            <sz val="8"/>
            <color indexed="8"/>
            <rFont val="tahoma"/>
            <family val="2"/>
          </rPr>
          <t>Louis Gerhardy:</t>
        </r>
        <r>
          <rPr>
            <sz val="8"/>
            <color indexed="8"/>
            <rFont val="Tahoma"/>
            <family val="2"/>
          </rPr>
          <t xml:space="preserve">
variable costs were a little lower than they thought</t>
        </r>
      </text>
    </comment>
    <comment ref="AA77" authorId="4">
      <text>
        <r>
          <rPr>
            <b/>
            <sz val="8"/>
            <color indexed="8"/>
            <rFont val="tahoma"/>
            <family val="2"/>
          </rPr>
          <t>Matthew Nerlinger:</t>
        </r>
        <r>
          <rPr>
            <sz val="8"/>
            <color indexed="8"/>
            <rFont val="Tahoma"/>
            <family val="2"/>
          </rPr>
          <t xml:space="preserve">
guidance of op profit of $254M (30% op margin)</t>
        </r>
      </text>
    </comment>
    <comment ref="AC78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OM% 31% +/- 100bps.</t>
        </r>
      </text>
    </comment>
    <comment ref="AD78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OM% 31%.</t>
        </r>
      </text>
    </comment>
    <comment ref="AE7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OM% to be 31%.</t>
        </r>
      </text>
    </comment>
    <comment ref="AF78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OM to be 25% +/- 100 bps.</t>
        </r>
      </text>
    </comment>
    <comment ref="AG78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Operating Margin to be 26% +/- 1 point.</t>
        </r>
      </text>
    </comment>
    <comment ref="AH78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Operating Margin to be 26% +/- 1 point.</t>
        </r>
      </text>
    </comment>
    <comment ref="AI7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Operating Margins to be 18%.</t>
        </r>
      </text>
    </comment>
    <comment ref="AJ78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Operating Margins to be 16%.</t>
        </r>
      </text>
    </comment>
    <comment ref="AK78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Guide: NG Op Margin 19%+/- 1%</t>
        </r>
      </text>
    </comment>
    <comment ref="L83" authorId="10">
      <text>
        <r>
          <rPr>
            <sz val="8"/>
            <color indexed="81"/>
            <rFont val="Tahoma"/>
            <family val="2"/>
          </rPr>
          <t>$8.846m of Cumulative effect of change in accounting principle (one-time)</t>
        </r>
      </text>
    </comment>
    <comment ref="AC8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Total Other Income to be $1 million.</t>
        </r>
      </text>
    </comment>
    <comment ref="AD8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Total Other Income to be $1 million.</t>
        </r>
      </text>
    </comment>
    <comment ref="AE8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Interest income to be a $3 million benefit.</t>
        </r>
      </text>
    </comment>
    <comment ref="AG83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Interest Income / Other to be ~$2 million.</t>
        </r>
      </text>
    </comment>
    <comment ref="AH83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Interest Income / Other to be ~$2 million.</t>
        </r>
      </text>
    </comment>
    <comment ref="AI83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Interest Income / Other to be ~$2 million.</t>
        </r>
      </text>
    </comment>
    <comment ref="AJ83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Interest Income / Other to be ~$2 million.</t>
        </r>
      </text>
    </comment>
    <comment ref="AK83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Guide: interest Income other $2M</t>
        </r>
      </text>
    </comment>
    <comment ref="AL83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$2 million.</t>
        </r>
      </text>
    </comment>
    <comment ref="AM83" authorId="0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$2m.</t>
        </r>
      </text>
    </comment>
    <comment ref="AV83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2</t>
        </r>
      </text>
    </comment>
    <comment ref="L85" authorId="10">
      <text>
        <r>
          <rPr>
            <sz val="8"/>
            <color indexed="81"/>
            <rFont val="Tahoma"/>
            <family val="2"/>
          </rPr>
          <t>$8.846m of Cumulative effect of change in accounting principle (one-time)</t>
        </r>
      </text>
    </comment>
    <comment ref="AQ85" authorId="12">
      <text>
        <r>
          <rPr>
            <sz val="9"/>
            <color indexed="81"/>
            <rFont val="Tahoma"/>
            <family val="2"/>
          </rPr>
          <t>Gain of sale, Non GAAP adjustment</t>
        </r>
      </text>
    </comment>
    <comment ref="AC9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Non-Gaap Tax Expense to be $3 - $5 million.
</t>
        </r>
      </text>
    </comment>
    <comment ref="AD9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Non-Gaap Tax Expense to be $4 - $6 million.
</t>
        </r>
      </text>
    </comment>
    <comment ref="AE9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Cash taxes to be $3 million.</t>
        </r>
      </text>
    </comment>
    <comment ref="AW96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Previously -7.817</t>
        </r>
      </text>
    </comment>
    <comment ref="AX96" authorId="9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Previously 3.684</t>
        </r>
      </text>
    </comment>
    <comment ref="AA97" authorId="4">
      <text>
        <r>
          <rPr>
            <b/>
            <sz val="8"/>
            <color indexed="8"/>
            <rFont val="tahoma"/>
            <family val="2"/>
          </rPr>
          <t>Matthew Nerlinger:</t>
        </r>
        <r>
          <rPr>
            <sz val="8"/>
            <color indexed="8"/>
            <rFont val="Tahoma"/>
            <family val="2"/>
          </rPr>
          <t xml:space="preserve">
tax rate of about 5%, or 12M non-gaap</t>
        </r>
      </text>
    </comment>
    <comment ref="AC97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Long-term rate to be 5%- 8%.</t>
        </r>
      </text>
    </comment>
    <comment ref="AD97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Long-term rate to be 5%- 8%.</t>
        </r>
      </text>
    </comment>
    <comment ref="Z101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Non-gaap tax rate to be $6 - $ 9 million.</t>
        </r>
      </text>
    </comment>
    <comment ref="AB101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ProForma tax only $2 million due to one-time benefit.
</t>
        </r>
      </text>
    </comment>
    <comment ref="AG101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Non-Gaap tax expense to be $3 million.</t>
        </r>
      </text>
    </comment>
    <comment ref="AH101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Non-Gaap tax expense to be $2 million.</t>
        </r>
      </text>
    </comment>
    <comment ref="AJ101" authorId="0">
      <text>
        <r>
          <rPr>
            <b/>
            <sz val="11"/>
            <color indexed="81"/>
            <rFont val="Arial"/>
            <family val="2"/>
          </rPr>
          <t>devgans:</t>
        </r>
        <r>
          <rPr>
            <sz val="11"/>
            <color indexed="81"/>
            <rFont val="Arial"/>
            <family val="2"/>
          </rPr>
          <t xml:space="preserve">
Non-Gaap tax expense to be $2 million.</t>
        </r>
      </text>
    </comment>
    <comment ref="AK101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Guide: NG Tax $2M</t>
        </r>
      </text>
    </comment>
    <comment ref="AL101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$2 million.</t>
        </r>
      </text>
    </comment>
    <comment ref="AM101" authorId="0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$2m</t>
        </r>
      </text>
    </comment>
    <comment ref="U102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non-gaap guidance between 5%-6%</t>
        </r>
      </text>
    </comment>
    <comment ref="V102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non-gaap tax 6-8%</t>
        </r>
      </text>
    </comment>
    <comment ref="AX110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28mn</t>
        </r>
      </text>
    </comment>
    <comment ref="Y115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Said SBC would be ~$30 - $35 million per qtr for the remainder of F2010.</t>
        </r>
      </text>
    </comment>
    <comment ref="Z115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Said SBC would be ~$30 - $35 million per qtr for the remainder of F2010.</t>
        </r>
      </text>
    </comment>
    <comment ref="AA115" authorId="4">
      <text>
        <r>
          <rPr>
            <b/>
            <sz val="8"/>
            <color indexed="8"/>
            <rFont val="tahoma"/>
            <family val="2"/>
          </rPr>
          <t>Matthew Nerlinger:</t>
        </r>
        <r>
          <rPr>
            <sz val="8"/>
            <color indexed="8"/>
            <rFont val="Tahoma"/>
            <family val="2"/>
          </rPr>
          <t xml:space="preserve">
Said SBC would be ~$30 - $35 million per qtr for the remainder of F2010 in F2Q10 call</t>
        </r>
      </text>
    </comment>
    <comment ref="V125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guidance: $0.13 lower than non-gaap eps</t>
        </r>
      </text>
    </comment>
    <comment ref="W125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guidance: $0.13 lower than non-gaap eps</t>
        </r>
      </text>
    </comment>
    <comment ref="Y125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Total Gaap Net Income to be lower than non-gaap by ~$0.10 +/- $0.01.</t>
        </r>
      </text>
    </comment>
    <comment ref="Z125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Total Gaap Net Income to be lower than non-gaap by ~$0.09 +/- $0.01.</t>
        </r>
      </text>
    </comment>
    <comment ref="AA125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Total Gaap Net Income to be lower than non-gaap by ~$0.09 +/- $0.01.</t>
        </r>
      </text>
    </comment>
    <comment ref="AB125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GAAP EPS to be $0.08 lower than non-gaap eps.
$0.05 due to SBC
$0.03 due to amortization</t>
        </r>
      </text>
    </comment>
    <comment ref="AC125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GAAP EPS to be $0.07 lower than non-gaap eps +/- $0.01.
$0.04 due to SBC
$0.03 due to amortization</t>
        </r>
      </text>
    </comment>
    <comment ref="AD125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GAAP EPS to be $0.08 lower than non-gaap eps +/- $0.01.
$0.05 due to SBC
$0.03 due to amortization</t>
        </r>
      </text>
    </comment>
    <comment ref="AE12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Gaap EPS to be $0.06 +/- $0.01.</t>
        </r>
      </text>
    </comment>
    <comment ref="AG125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Gaap EPS to be lower than non-Gaap by $0.07 +/- $0.07.</t>
        </r>
      </text>
    </comment>
    <comment ref="AH125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Gaap EPS to be lower than non-Gaap by $0.07 +/- $0.01.</t>
        </r>
      </text>
    </comment>
    <comment ref="AI12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GAAP EPS to lower than non-gaap by $0.07 +/- $0.01.</t>
        </r>
      </text>
    </comment>
    <comment ref="AK125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Gaap EPS $0.07 +/-$0.01 lower than NG, 5c due to sbc</t>
        </r>
      </text>
    </comment>
    <comment ref="AL125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GAAP lower by $0.08</t>
        </r>
      </text>
    </comment>
    <comment ref="AM125" authorId="0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GAAP lower by $0.08</t>
        </r>
      </text>
    </comment>
    <comment ref="AO125" authorId="7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$0.09+/-$0.02</t>
        </r>
      </text>
    </comment>
    <comment ref="AV125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0.08-0.10</t>
        </r>
      </text>
    </comment>
    <comment ref="V126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guidance: $0.24-$0.26</t>
        </r>
      </text>
    </comment>
    <comment ref="W126" authorId="2">
      <text>
        <r>
          <rPr>
            <b/>
            <sz val="8"/>
            <color indexed="8"/>
            <rFont val="tahoma"/>
            <family val="2"/>
          </rPr>
          <t>higlac:</t>
        </r>
        <r>
          <rPr>
            <sz val="8"/>
            <color indexed="8"/>
            <rFont val="Tahoma"/>
            <family val="2"/>
          </rPr>
          <t xml:space="preserve">
$0.05</t>
        </r>
      </text>
    </comment>
    <comment ref="X126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Non-Gaap EPS to $0.03 - $0.05.</t>
        </r>
      </text>
    </comment>
    <comment ref="Y126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Non-Gaap EPS to $0.07 - $0.13.</t>
        </r>
      </text>
    </comment>
    <comment ref="Z126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Non-Gaap EPS to $0.18 - $0.26.</t>
        </r>
      </text>
    </comment>
    <comment ref="AA126" authorId="0">
      <text>
        <r>
          <rPr>
            <b/>
            <sz val="8"/>
            <color indexed="8"/>
            <rFont val="tahoma"/>
            <family val="2"/>
          </rPr>
          <t>devgans:</t>
        </r>
        <r>
          <rPr>
            <sz val="8"/>
            <color indexed="8"/>
            <rFont val="Tahoma"/>
            <family val="2"/>
          </rPr>
          <t xml:space="preserve">
Non-Gaap EPS to be $0.33 - $0.39
</t>
        </r>
      </text>
    </comment>
    <comment ref="AB126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Guided non-gaap EPS to $0.34 - $0.40.</t>
        </r>
      </text>
    </comment>
    <comment ref="AC12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Non-Gaap EPS to be $0.38 - $0.43.</t>
        </r>
      </text>
    </comment>
    <comment ref="AD12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Non-Gaap EPS to be $0.41 - $0.44.</t>
        </r>
      </text>
    </comment>
    <comment ref="AE12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EPS to be $0.40 - $0.44.</t>
        </r>
      </text>
    </comment>
    <comment ref="AF126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Guided to $0.30 +/-$0.02</t>
        </r>
      </text>
    </comment>
    <comment ref="AG126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Guided to $0.37 +/-$0.02</t>
        </r>
      </text>
    </comment>
    <comment ref="AH126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Guided to $0.41 +/-$0.02</t>
        </r>
      </text>
    </comment>
    <comment ref="AI12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Non-Gaap EPS to be $0.23.</t>
        </r>
      </text>
    </comment>
    <comment ref="AK126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Guide: NG EPS of $0.28</t>
        </r>
      </text>
    </comment>
    <comment ref="AL12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$0.24 +/- $0.02</t>
        </r>
      </text>
    </comment>
    <comment ref="AM126" authorId="0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Guided to $0.13</t>
        </r>
      </text>
    </comment>
    <comment ref="AO126" authorId="7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$0.19+/-$0.02</t>
        </r>
      </text>
    </comment>
    <comment ref="AV126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0.17-0.19
</t>
        </r>
      </text>
    </comment>
    <comment ref="AX126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+0.05</t>
        </r>
      </text>
    </comment>
    <comment ref="X127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Said EPS excluding option expense would be $0.07 less than non-Gaap EPS.</t>
        </r>
      </text>
    </comment>
    <comment ref="Y127" authorId="3">
      <text>
        <r>
          <rPr>
            <b/>
            <sz val="8"/>
            <color indexed="8"/>
            <rFont val="tahoma"/>
            <family val="2"/>
          </rPr>
          <t xml:space="preserve">Sanjay Devgan:
</t>
        </r>
        <r>
          <rPr>
            <sz val="8"/>
            <color indexed="8"/>
            <rFont val="Tahoma"/>
            <family val="2"/>
          </rPr>
          <t>Gaap including SBC will be ~$0.05 lower than non-gaap EPS.</t>
        </r>
      </text>
    </comment>
    <comment ref="Z127" authorId="3">
      <text>
        <r>
          <rPr>
            <b/>
            <sz val="8"/>
            <color indexed="8"/>
            <rFont val="tahoma"/>
            <family val="2"/>
          </rPr>
          <t xml:space="preserve">Sanjay Devgan:
</t>
        </r>
        <r>
          <rPr>
            <sz val="8"/>
            <color indexed="8"/>
            <rFont val="Tahoma"/>
            <family val="2"/>
          </rPr>
          <t>Gaap including SBC will be ~$0.05 lower than non-gaap EPS.</t>
        </r>
      </text>
    </comment>
    <comment ref="AA127" authorId="3">
      <text>
        <r>
          <rPr>
            <b/>
            <sz val="8"/>
            <color indexed="8"/>
            <rFont val="tahoma"/>
            <family val="2"/>
          </rPr>
          <t xml:space="preserve">Sanjay Devgan:
</t>
        </r>
        <r>
          <rPr>
            <sz val="8"/>
            <color indexed="8"/>
            <rFont val="Tahoma"/>
            <family val="2"/>
          </rPr>
          <t>Gaap including SBC will be ~$0.05 lower than non-gaap EPS.</t>
        </r>
      </text>
    </comment>
    <comment ref="D132" authorId="10">
      <text>
        <r>
          <rPr>
            <sz val="8"/>
            <color indexed="81"/>
            <rFont val="Tahoma"/>
            <family val="2"/>
          </rPr>
          <t>Adjusted for 2-for-1 stock split</t>
        </r>
      </text>
    </comment>
    <comment ref="E132" authorId="10">
      <text>
        <r>
          <rPr>
            <sz val="8"/>
            <color indexed="81"/>
            <rFont val="Tahoma"/>
            <family val="2"/>
          </rPr>
          <t>Adjusted for 2-for-1 stock split</t>
        </r>
      </text>
    </comment>
    <comment ref="F132" authorId="10">
      <text>
        <r>
          <rPr>
            <sz val="8"/>
            <color indexed="81"/>
            <rFont val="Tahoma"/>
            <family val="2"/>
          </rPr>
          <t>Adjusted for 2-for-1 stock split</t>
        </r>
      </text>
    </comment>
    <comment ref="G132" authorId="10">
      <text>
        <r>
          <rPr>
            <sz val="8"/>
            <color indexed="81"/>
            <rFont val="Tahoma"/>
            <family val="2"/>
          </rPr>
          <t>Adjusted for 2-for-1 stock split</t>
        </r>
      </text>
    </comment>
    <comment ref="H132" authorId="10">
      <text>
        <r>
          <rPr>
            <sz val="8"/>
            <color indexed="81"/>
            <rFont val="Tahoma"/>
            <family val="2"/>
          </rPr>
          <t>Adjusted for 2-for-1 stock split</t>
        </r>
      </text>
    </comment>
    <comment ref="D135" authorId="10">
      <text>
        <r>
          <rPr>
            <sz val="8"/>
            <color indexed="81"/>
            <rFont val="Tahoma"/>
            <family val="2"/>
          </rPr>
          <t>Adjusted for 2-for-1 stock split</t>
        </r>
      </text>
    </comment>
    <comment ref="E135" authorId="10">
      <text>
        <r>
          <rPr>
            <sz val="8"/>
            <color indexed="81"/>
            <rFont val="Tahoma"/>
            <family val="2"/>
          </rPr>
          <t>Adjusted for 2-for-1 stock split</t>
        </r>
      </text>
    </comment>
    <comment ref="F135" authorId="10">
      <text>
        <r>
          <rPr>
            <sz val="8"/>
            <color indexed="81"/>
            <rFont val="Tahoma"/>
            <family val="2"/>
          </rPr>
          <t>Adjusted for 2-for-1 stock split</t>
        </r>
      </text>
    </comment>
    <comment ref="G135" authorId="10">
      <text>
        <r>
          <rPr>
            <sz val="8"/>
            <color indexed="81"/>
            <rFont val="Tahoma"/>
            <family val="2"/>
          </rPr>
          <t>Adjusted for 2-for-1 stock split</t>
        </r>
      </text>
    </comment>
    <comment ref="H135" authorId="10">
      <text>
        <r>
          <rPr>
            <sz val="8"/>
            <color indexed="81"/>
            <rFont val="Tahoma"/>
            <family val="2"/>
          </rPr>
          <t>Adjusted for 2-for-1 stock split</t>
        </r>
      </text>
    </comment>
    <comment ref="Y136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non-gaap sharecount to 638 million.</t>
        </r>
      </text>
    </comment>
    <comment ref="Z136" authorId="3">
      <text>
        <r>
          <rPr>
            <b/>
            <sz val="8"/>
            <color indexed="8"/>
            <rFont val="tahoma"/>
            <family val="2"/>
          </rPr>
          <t>Sanjay Devgan:</t>
        </r>
        <r>
          <rPr>
            <sz val="8"/>
            <color indexed="8"/>
            <rFont val="Tahoma"/>
            <family val="2"/>
          </rPr>
          <t xml:space="preserve">
Guided non-gaap sharecount to 660 million.</t>
        </r>
      </text>
    </comment>
    <comment ref="AA136" authorId="4">
      <text>
        <r>
          <rPr>
            <b/>
            <sz val="8"/>
            <color indexed="8"/>
            <rFont val="tahoma"/>
            <family val="2"/>
          </rPr>
          <t>Matthew Nerlinger:</t>
        </r>
        <r>
          <rPr>
            <sz val="8"/>
            <color indexed="8"/>
            <rFont val="Tahoma"/>
            <family val="2"/>
          </rPr>
          <t xml:space="preserve">
guided non-gaap share count to 670M</t>
        </r>
      </text>
    </comment>
    <comment ref="AB136" authorId="5">
      <text>
        <r>
          <rPr>
            <b/>
            <sz val="8"/>
            <color indexed="8"/>
            <rFont val="tahoma"/>
            <family val="2"/>
          </rPr>
          <t>mattne:</t>
        </r>
        <r>
          <rPr>
            <sz val="8"/>
            <color indexed="8"/>
            <rFont val="Tahoma"/>
            <family val="2"/>
          </rPr>
          <t xml:space="preserve">
Sharecount to be 680 million.
</t>
        </r>
      </text>
    </comment>
    <comment ref="AC13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Sharecount to be 688 million
</t>
        </r>
      </text>
    </comment>
    <comment ref="AD13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Sharecount to be 675 million
</t>
        </r>
      </text>
    </comment>
    <comment ref="AE13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sharecount to be 687 million (excluding any potential buy-backs).</t>
        </r>
      </text>
    </comment>
    <comment ref="AF136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Guided to 682 million</t>
        </r>
      </text>
    </comment>
    <comment ref="AG136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Guided to 630 million shares.</t>
        </r>
      </text>
    </comment>
    <comment ref="AH136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Guided to 620 million shares.</t>
        </r>
      </text>
    </comment>
    <comment ref="AI136" authorId="0">
      <text>
        <r>
          <rPr>
            <b/>
            <sz val="10"/>
            <color indexed="81"/>
            <rFont val="Tahoma"/>
            <family val="2"/>
          </rPr>
          <t>devgans:</t>
        </r>
        <r>
          <rPr>
            <sz val="10"/>
            <color indexed="81"/>
            <rFont val="Tahoma"/>
            <family val="2"/>
          </rPr>
          <t xml:space="preserve">
Guided to 615 million shares.</t>
        </r>
      </text>
    </comment>
    <comment ref="AJ13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Sharecount to be $610 million.</t>
        </r>
      </text>
    </comment>
    <comment ref="AK136" authorId="6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602M shares excl buy backs</t>
        </r>
      </text>
    </comment>
    <comment ref="AL136" authorId="0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Guided to 580 million.</t>
        </r>
      </text>
    </comment>
    <comment ref="AW136" authorId="8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539</t>
        </r>
      </text>
    </comment>
  </commentList>
</comments>
</file>

<file path=xl/comments2.xml><?xml version="1.0" encoding="utf-8"?>
<comments xmlns="http://schemas.openxmlformats.org/spreadsheetml/2006/main">
  <authors>
    <author>Gonzalez, Andres (Research)</author>
    <author>zachaa</author>
  </authors>
  <commentList>
    <comment ref="AV30" authorId="0">
      <text>
        <r>
          <rPr>
            <sz val="9"/>
            <color indexed="81"/>
            <rFont val="Tahoma"/>
            <family val="2"/>
          </rPr>
          <t>No information released</t>
        </r>
      </text>
    </comment>
    <comment ref="B64" authorId="1">
      <text>
        <r>
          <rPr>
            <b/>
            <sz val="8"/>
            <color indexed="81"/>
            <rFont val="Tahoma"/>
            <family val="2"/>
          </rPr>
          <t>zachaa:</t>
        </r>
        <r>
          <rPr>
            <sz val="8"/>
            <color indexed="81"/>
            <rFont val="Tahoma"/>
            <family val="2"/>
          </rPr>
          <t xml:space="preserve">
During earnings, paste value first difference in row 74 (check) (from the next quarter) into this row (current quarter).  </t>
        </r>
        <r>
          <rPr>
            <b/>
            <sz val="8"/>
            <color indexed="81"/>
            <rFont val="Tahoma"/>
            <family val="2"/>
          </rPr>
          <t>Not necessary to use this plug if input actual numbers, given in the press release, for rows 62-70</t>
        </r>
      </text>
    </comment>
  </commentList>
</comments>
</file>

<file path=xl/comments3.xml><?xml version="1.0" encoding="utf-8"?>
<comments xmlns="http://schemas.openxmlformats.org/spreadsheetml/2006/main">
  <authors>
    <author>curtain</author>
    <author>gonzalan</author>
    <author>Paniagua, Marco (Research)</author>
    <author>Gonzalez, Andres (Research)</author>
    <author>zachaa</author>
    <author>Matthew Nerlinger</author>
  </authors>
  <commentList>
    <comment ref="D18" authorId="0">
      <text>
        <r>
          <rPr>
            <sz val="8"/>
            <color indexed="81"/>
            <rFont val="Tahoma"/>
            <family val="2"/>
          </rPr>
          <t>Accrued facility consolidation charge</t>
        </r>
      </text>
    </comment>
    <comment ref="E18" authorId="0">
      <text>
        <r>
          <rPr>
            <sz val="8"/>
            <color indexed="81"/>
            <rFont val="Tahoma"/>
            <family val="2"/>
          </rPr>
          <t>Accrued facility consolidation charge</t>
        </r>
      </text>
    </comment>
    <comment ref="F18" authorId="0">
      <text>
        <r>
          <rPr>
            <sz val="8"/>
            <color indexed="81"/>
            <rFont val="Tahoma"/>
            <family val="2"/>
          </rPr>
          <t>Facilities consolidation charges + Accrued facility consolidation charge</t>
        </r>
      </text>
    </comment>
    <comment ref="G18" authorId="0">
      <text>
        <r>
          <rPr>
            <sz val="8"/>
            <color indexed="81"/>
            <rFont val="Tahoma"/>
            <family val="2"/>
          </rPr>
          <t>Accelerated vesting on stock options and other + Facilities consolidation charge + Accrued facilities consolidation charges</t>
        </r>
      </text>
    </comment>
    <comment ref="K18" authorId="0">
      <text>
        <r>
          <rPr>
            <sz val="8"/>
            <color indexed="81"/>
            <rFont val="Tahoma"/>
            <family val="2"/>
          </rPr>
          <t>Acquired in-process research and developmnent + Accelerated vesting on stock options and other + Accrued facilities consolidation charges</t>
        </r>
      </text>
    </comment>
    <comment ref="L18" authorId="0">
      <text>
        <r>
          <rPr>
            <sz val="8"/>
            <color indexed="81"/>
            <rFont val="Tahoma"/>
            <family val="2"/>
          </rPr>
          <t>Cumulative effect of change in accounting principle, net</t>
        </r>
      </text>
    </comment>
    <comment ref="M18" authorId="0">
      <text>
        <r>
          <rPr>
            <sz val="8"/>
            <color indexed="81"/>
            <rFont val="Tahoma"/>
            <family val="2"/>
          </rPr>
          <t>Cumulative effect of change in accounting principle, net</t>
        </r>
      </text>
    </comment>
    <comment ref="N18" authorId="0">
      <text>
        <r>
          <rPr>
            <sz val="8"/>
            <color indexed="81"/>
            <rFont val="Tahoma"/>
            <family val="2"/>
          </rPr>
          <t>Cumulative effect of change in accounting principle, net</t>
        </r>
      </text>
    </comment>
    <comment ref="O18" authorId="0">
      <text>
        <r>
          <rPr>
            <sz val="8"/>
            <color indexed="81"/>
            <rFont val="Tahoma"/>
            <family val="2"/>
          </rPr>
          <t>Cumulative effect of change in accounting principle, net + Acquired in-process research and development + Fair market value adjustment to Intel inventory sold</t>
        </r>
      </text>
    </comment>
    <comment ref="P18" authorId="0">
      <text>
        <r>
          <rPr>
            <sz val="8"/>
            <color indexed="81"/>
            <rFont val="Tahoma"/>
            <family val="2"/>
          </rPr>
          <t>Fair market value adjustment to Intel inventory sold + Interest expense related to supply contract</t>
        </r>
      </text>
    </comment>
    <comment ref="Q18" authorId="0">
      <text>
        <r>
          <rPr>
            <sz val="8"/>
            <color indexed="81"/>
            <rFont val="Tahoma"/>
            <family val="2"/>
          </rPr>
          <t>Gain from sale of asset under construction + Fair market value adjustment to Intel inventory sold + Interest expense related to supply contract</t>
        </r>
      </text>
    </comment>
    <comment ref="R18" authorId="0">
      <text>
        <r>
          <rPr>
            <sz val="8"/>
            <color indexed="81"/>
            <rFont val="Tahoma"/>
            <family val="2"/>
          </rPr>
          <t>Gain from sale of asset under construction + Fair market value adjustment to Intel inventory sold + Interest expense related to supply contract</t>
        </r>
      </text>
    </comment>
    <comment ref="S18" authorId="0">
      <text>
        <r>
          <rPr>
            <sz val="8"/>
            <color indexed="81"/>
            <rFont val="Tahoma"/>
            <family val="2"/>
          </rPr>
          <t>Loss fro wirt-off and siposition of assets + Fair market value adjustment to Intel inventory sold + Termination of supply contract + Interest expense related to supply contract</t>
        </r>
      </text>
    </comment>
    <comment ref="T18" authorId="0">
      <text>
        <r>
          <rPr>
            <sz val="8"/>
            <color indexed="81"/>
            <rFont val="Tahoma"/>
            <family val="2"/>
          </rPr>
          <t>Fair market value adjustment to Intel inventory sold</t>
        </r>
      </text>
    </comment>
    <comment ref="U18" authorId="0">
      <text>
        <r>
          <rPr>
            <sz val="8"/>
            <color indexed="81"/>
            <rFont val="Tahoma"/>
            <family val="2"/>
          </rPr>
          <t>Fair market value adjustment to Intel inventory sold</t>
        </r>
      </text>
    </comment>
    <comment ref="V18" authorId="0">
      <text>
        <r>
          <rPr>
            <sz val="8"/>
            <color indexed="81"/>
            <rFont val="Tahoma"/>
            <family val="2"/>
          </rPr>
          <t>Fair market value adjustment to Intel inventory sold</t>
        </r>
      </text>
    </comment>
    <comment ref="W18" authorId="0">
      <text>
        <r>
          <rPr>
            <sz val="8"/>
            <color indexed="81"/>
            <rFont val="Tahoma"/>
            <family val="2"/>
          </rPr>
          <t>Fair market value adjustment to Intel inventory sold</t>
        </r>
      </text>
    </comment>
    <comment ref="X18" authorId="0">
      <text>
        <r>
          <rPr>
            <sz val="8"/>
            <color indexed="81"/>
            <rFont val="Tahoma"/>
            <family val="2"/>
          </rPr>
          <t>Fair market value adjustment to Intel inventory sold</t>
        </r>
      </text>
    </comment>
    <comment ref="Y18" authorId="0">
      <text>
        <r>
          <rPr>
            <sz val="8"/>
            <color indexed="81"/>
            <rFont val="Tahoma"/>
            <family val="2"/>
          </rPr>
          <t>Fair market value adjustment to acquired inventory sold</t>
        </r>
      </text>
    </comment>
    <comment ref="Z18" authorId="0">
      <text>
        <r>
          <rPr>
            <sz val="8"/>
            <color indexed="81"/>
            <rFont val="Tahoma"/>
            <family val="2"/>
          </rPr>
          <t>Fair market value adjustment to acquired inventory sold</t>
        </r>
      </text>
    </comment>
    <comment ref="AA18" authorId="0">
      <text>
        <r>
          <rPr>
            <sz val="8"/>
            <color indexed="81"/>
            <rFont val="Tahoma"/>
            <family val="2"/>
          </rPr>
          <t xml:space="preserve">Gain on sale of equity investment + Loss from write-off and disposition of assets + Amortization of marketable securities premium + Fair market value adjustment to Intel inventory sold </t>
        </r>
      </text>
    </comment>
    <comment ref="AB18" authorId="0">
      <text>
        <r>
          <rPr>
            <sz val="8"/>
            <color indexed="81"/>
            <rFont val="Tahoma"/>
            <family val="2"/>
          </rPr>
          <t>Fair market value adjustment to acquired inventory sold + Amortization of marketable securities premium</t>
        </r>
      </text>
    </comment>
    <comment ref="AC18" authorId="0">
      <text>
        <r>
          <rPr>
            <sz val="8"/>
            <color indexed="81"/>
            <rFont val="Tahoma"/>
            <family val="2"/>
          </rPr>
          <t>Facilities impairment + Fair market value adjustment to acquired inventory sold + Amortization of marketable securities premium</t>
        </r>
      </text>
    </comment>
    <comment ref="AD18" authorId="0">
      <text>
        <r>
          <rPr>
            <sz val="8"/>
            <color indexed="81"/>
            <rFont val="Tahoma"/>
            <family val="2"/>
          </rPr>
          <t>Facilities impairment + Loss on investments + Fair market value adjustment to acquired inventory sold</t>
        </r>
      </text>
    </comment>
    <comment ref="AQ18" authorId="1">
      <text>
        <r>
          <rPr>
            <sz val="8"/>
            <color indexed="81"/>
            <rFont val="Tahoma"/>
            <family val="2"/>
          </rPr>
          <t>Includes gain on sale of business</t>
        </r>
      </text>
    </comment>
    <comment ref="AX25" authorId="2">
      <text>
        <r>
          <rPr>
            <b/>
            <sz val="9"/>
            <color indexed="81"/>
            <rFont val="Tahoma"/>
            <family val="2"/>
          </rPr>
          <t>Paniagua, Marco (Research):</t>
        </r>
        <r>
          <rPr>
            <sz val="9"/>
            <color indexed="81"/>
            <rFont val="Tahoma"/>
            <family val="2"/>
          </rPr>
          <t xml:space="preserve">
Previously 11.129</t>
        </r>
      </text>
    </comment>
    <comment ref="E35" authorId="0">
      <text>
        <r>
          <rPr>
            <sz val="8"/>
            <color indexed="81"/>
            <rFont val="Tahoma"/>
            <family val="2"/>
          </rPr>
          <t>Purchases of technology licenses</t>
        </r>
      </text>
    </comment>
    <comment ref="F35" authorId="0">
      <text>
        <r>
          <rPr>
            <sz val="8"/>
            <color indexed="81"/>
            <rFont val="Tahoma"/>
            <family val="2"/>
          </rPr>
          <t>Purchases of technology licenses</t>
        </r>
      </text>
    </comment>
    <comment ref="G35" authorId="0">
      <text>
        <r>
          <rPr>
            <sz val="8"/>
            <color indexed="81"/>
            <rFont val="Tahoma"/>
            <family val="2"/>
          </rPr>
          <t xml:space="preserve">Purchases of technology licenses + Purchases of equity investments and loans advanced+ Acquisiton related costs </t>
        </r>
      </text>
    </comment>
    <comment ref="K35" authorId="0">
      <text>
        <r>
          <rPr>
            <sz val="8"/>
            <color indexed="81"/>
            <rFont val="Tahoma"/>
            <family val="2"/>
          </rPr>
          <t xml:space="preserve">Purchases of technology licenses + Cash paid for acquisition + Purchases of equity investments and loans advanced+ Acquisiton related costs </t>
        </r>
      </text>
    </comment>
    <comment ref="L35" authorId="0">
      <text>
        <r>
          <rPr>
            <sz val="8"/>
            <color indexed="81"/>
            <rFont val="Tahoma"/>
            <family val="2"/>
          </rPr>
          <t>Cash paid in acqusitions + Acquisiton costs</t>
        </r>
      </text>
    </comment>
    <comment ref="M35" authorId="0">
      <text>
        <r>
          <rPr>
            <sz val="8"/>
            <color indexed="81"/>
            <rFont val="Tahoma"/>
            <family val="2"/>
          </rPr>
          <t xml:space="preserve">Cash paid in acqusitions + Acquisiton costs + Purchases of technology licenses </t>
        </r>
      </text>
    </comment>
    <comment ref="N35" authorId="0">
      <text>
        <r>
          <rPr>
            <sz val="8"/>
            <color indexed="81"/>
            <rFont val="Tahoma"/>
            <family val="2"/>
          </rPr>
          <t xml:space="preserve">Cash paid in acqusitions + Acquisiton costs + Purchases of technology licenses </t>
        </r>
      </text>
    </comment>
    <comment ref="O35" authorId="0">
      <text>
        <r>
          <rPr>
            <sz val="8"/>
            <color indexed="81"/>
            <rFont val="Tahoma"/>
            <family val="2"/>
          </rPr>
          <t xml:space="preserve">Purchases of technology licenses + Cash paid for acquisition + Acquisiton related costs </t>
        </r>
      </text>
    </comment>
    <comment ref="P35" authorId="0">
      <text>
        <r>
          <rPr>
            <sz val="8"/>
            <color indexed="81"/>
            <rFont val="Tahoma"/>
            <family val="2"/>
          </rPr>
          <t xml:space="preserve">Acquisiton costs + Purchases of technology licenses </t>
        </r>
      </text>
    </comment>
    <comment ref="Q35" authorId="0">
      <text>
        <r>
          <rPr>
            <sz val="8"/>
            <color indexed="81"/>
            <rFont val="Tahoma"/>
            <family val="2"/>
          </rPr>
          <t>Cash paid for acquisition + Purchases of technology licenses + Proceeds from sale of asset under construction</t>
        </r>
      </text>
    </comment>
    <comment ref="R35" authorId="0">
      <text>
        <r>
          <rPr>
            <sz val="8"/>
            <color indexed="81"/>
            <rFont val="Tahoma"/>
            <family val="2"/>
          </rPr>
          <t>Cash paid for acquisition + Purchases of technology licenses + Proceeds from sale of asset under construction</t>
        </r>
      </text>
    </comment>
    <comment ref="S35" authorId="0">
      <text>
        <r>
          <rPr>
            <sz val="8"/>
            <color indexed="81"/>
            <rFont val="Tahoma"/>
            <family val="2"/>
          </rPr>
          <t>Purchases of technology licenses + Cash paid for acquisition + Purchases of equity investments + Acquisiton related costs + Proceeds from sale of asset under construction</t>
        </r>
      </text>
    </comment>
    <comment ref="W35" authorId="0">
      <text>
        <r>
          <rPr>
            <sz val="8"/>
            <color indexed="81"/>
            <rFont val="Tahoma"/>
            <family val="2"/>
          </rPr>
          <t>Purchases of technology licenses + Cash paid for acquisition</t>
        </r>
      </text>
    </comment>
    <comment ref="X35" authorId="0">
      <text>
        <r>
          <rPr>
            <sz val="8"/>
            <color indexed="81"/>
            <rFont val="Tahoma"/>
            <family val="2"/>
          </rPr>
          <t>Purchases of technology licenses</t>
        </r>
      </text>
    </comment>
    <comment ref="Y35" authorId="0">
      <text>
        <r>
          <rPr>
            <sz val="8"/>
            <color indexed="81"/>
            <rFont val="Tahoma"/>
            <family val="2"/>
          </rPr>
          <t>Purchases of technology licenses</t>
        </r>
      </text>
    </comment>
    <comment ref="Z35" authorId="0">
      <text>
        <r>
          <rPr>
            <sz val="8"/>
            <color indexed="81"/>
            <rFont val="Tahoma"/>
            <family val="2"/>
          </rPr>
          <t>Purchases of technology licenses</t>
        </r>
      </text>
    </comment>
    <comment ref="AA35" authorId="0">
      <text>
        <r>
          <rPr>
            <sz val="8"/>
            <color indexed="81"/>
            <rFont val="Tahoma"/>
            <family val="2"/>
          </rPr>
          <t>Purchases of equity investments and loans advanced + Purchases of technology licenses</t>
        </r>
      </text>
    </comment>
    <comment ref="AB35" authorId="0">
      <text>
        <r>
          <rPr>
            <sz val="8"/>
            <color indexed="81"/>
            <rFont val="Tahoma"/>
            <family val="2"/>
          </rPr>
          <t>Purchases of technology licenses</t>
        </r>
      </text>
    </comment>
    <comment ref="AC35" authorId="0">
      <text>
        <r>
          <rPr>
            <sz val="8"/>
            <color indexed="81"/>
            <rFont val="Tahoma"/>
            <family val="2"/>
          </rPr>
          <t>Purchases of technology licenses + Cash paid for acquisition</t>
        </r>
      </text>
    </comment>
    <comment ref="AD35" authorId="0">
      <text>
        <r>
          <rPr>
            <sz val="8"/>
            <color indexed="81"/>
            <rFont val="Tahoma"/>
            <family val="2"/>
          </rPr>
          <t>Purchases of technology licenses + Cash paid for acquisition</t>
        </r>
      </text>
    </comment>
    <comment ref="AS35" authorId="3">
      <text>
        <r>
          <rPr>
            <sz val="9"/>
            <color indexed="81"/>
            <rFont val="Tahoma"/>
            <family val="2"/>
          </rPr>
          <t>Includes Purchases of technology licenses</t>
        </r>
      </text>
    </comment>
    <comment ref="AT35" authorId="3">
      <text>
        <r>
          <rPr>
            <sz val="9"/>
            <color indexed="81"/>
            <rFont val="Tahoma"/>
            <family val="2"/>
          </rPr>
          <t>Investments in provately-held companies</t>
        </r>
      </text>
    </comment>
    <comment ref="O41" authorId="0">
      <text>
        <r>
          <rPr>
            <sz val="8"/>
            <color indexed="81"/>
            <rFont val="Tahoma"/>
            <family val="2"/>
          </rPr>
          <t xml:space="preserve">$400m of Proceeds from term loan obligations
</t>
        </r>
      </text>
    </comment>
    <comment ref="AT41" authorId="3">
      <text>
        <r>
          <rPr>
            <sz val="9"/>
            <color indexed="81"/>
            <rFont val="Tahoma"/>
            <family val="2"/>
          </rPr>
          <t>Includes Payments on technology license obligations</t>
        </r>
      </text>
    </comment>
    <comment ref="G48" authorId="0">
      <text>
        <r>
          <rPr>
            <sz val="8"/>
            <color indexed="81"/>
            <rFont val="Tahoma"/>
            <family val="2"/>
          </rPr>
          <t>Difference to reconcile ending cash on Jan-05 with the beginning cash on Apr-05 due to a restatement effective as of F1Q06</t>
        </r>
      </text>
    </comment>
    <comment ref="B60" authorId="4">
      <text>
        <r>
          <rPr>
            <b/>
            <sz val="8"/>
            <color indexed="81"/>
            <rFont val="Tahoma"/>
            <family val="2"/>
          </rPr>
          <t>zachaa:</t>
        </r>
        <r>
          <rPr>
            <sz val="8"/>
            <color indexed="81"/>
            <rFont val="Tahoma"/>
            <family val="2"/>
          </rPr>
          <t xml:space="preserve">
During earnings, paste value first incorrect value from line 66 (check).  When updating from Q, delete.</t>
        </r>
      </text>
    </comment>
    <comment ref="D62" authorId="0">
      <text>
        <r>
          <rPr>
            <sz val="8"/>
            <color indexed="81"/>
            <rFont val="Tahoma"/>
            <family val="2"/>
          </rPr>
          <t>Estimate</t>
        </r>
      </text>
    </comment>
    <comment ref="E62" authorId="0">
      <text>
        <r>
          <rPr>
            <sz val="8"/>
            <color indexed="81"/>
            <rFont val="Tahoma"/>
            <family val="2"/>
          </rPr>
          <t>Estimate</t>
        </r>
      </text>
    </comment>
    <comment ref="F62" authorId="0">
      <text>
        <r>
          <rPr>
            <sz val="8"/>
            <color indexed="81"/>
            <rFont val="Tahoma"/>
            <family val="2"/>
          </rPr>
          <t>Estimate</t>
        </r>
      </text>
    </comment>
    <comment ref="D64" authorId="0">
      <text>
        <r>
          <rPr>
            <sz val="8"/>
            <color indexed="81"/>
            <rFont val="Tahoma"/>
            <family val="2"/>
          </rPr>
          <t>Estimate</t>
        </r>
      </text>
    </comment>
    <comment ref="E64" authorId="0">
      <text>
        <r>
          <rPr>
            <sz val="8"/>
            <color indexed="81"/>
            <rFont val="Tahoma"/>
            <family val="2"/>
          </rPr>
          <t>Estimate</t>
        </r>
      </text>
    </comment>
    <comment ref="F64" authorId="0">
      <text>
        <r>
          <rPr>
            <sz val="8"/>
            <color indexed="81"/>
            <rFont val="Tahoma"/>
            <family val="2"/>
          </rPr>
          <t>Estimate</t>
        </r>
      </text>
    </comment>
    <comment ref="AA81" authorId="5">
      <text>
        <r>
          <rPr>
            <b/>
            <sz val="8"/>
            <color indexed="8"/>
            <rFont val="tahoma"/>
            <family val="2"/>
          </rPr>
          <t>Matthew Nerlinger:</t>
        </r>
        <r>
          <rPr>
            <sz val="8"/>
            <color indexed="8"/>
            <rFont val="Tahoma"/>
            <family val="2"/>
          </rPr>
          <t xml:space="preserve">
guided for $150M in FCF</t>
        </r>
      </text>
    </comment>
  </commentList>
</comments>
</file>

<file path=xl/comments4.xml><?xml version="1.0" encoding="utf-8"?>
<comments xmlns="http://schemas.openxmlformats.org/spreadsheetml/2006/main">
  <authors>
    <author>hazlett</author>
    <author>devgans</author>
    <author>kimmic</author>
    <author>vasanthm</author>
    <author>josuev</author>
    <author>Lim, Alvin (Research)</author>
  </authors>
  <commentList>
    <comment ref="AG14" authorId="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Low to mid-single digit growth</t>
        </r>
      </text>
    </comment>
    <comment ref="AH14" authorId="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Flat to down</t>
        </r>
      </text>
    </comment>
    <comment ref="AI14" authorId="1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Storage to be down 20% - 30% q/q. (assuming 10-15% of HDD capacity comes back in the Jan qtr)</t>
        </r>
      </text>
    </comment>
    <comment ref="AJ14" authorId="2">
      <text>
        <r>
          <rPr>
            <b/>
            <sz val="8"/>
            <color indexed="81"/>
            <rFont val="Tahoma"/>
            <family val="2"/>
          </rPr>
          <t>Guide Up 10-20% Q/Q primarily due to an HDD recovery</t>
        </r>
        <r>
          <rPr>
            <b/>
            <sz val="8"/>
            <color indexed="81"/>
            <rFont val="Tahoma"/>
            <family val="2"/>
          </rPr>
          <t xml:space="preserve">
kimmic:</t>
        </r>
        <r>
          <rPr>
            <sz val="8"/>
            <color indexed="81"/>
            <rFont val="Tahoma"/>
            <family val="2"/>
          </rPr>
          <t xml:space="preserve">
(assuming 50% of HDD capacity comes back in the April qtr)</t>
        </r>
      </text>
    </comment>
    <comment ref="AN14" authorId="3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HDD market stable despite PC slowdown due to non-PC applications; share gains in HDD mobile; double digit growth in SSDs from Tier 1 OEMs</t>
        </r>
      </text>
    </comment>
    <comment ref="AO14" authorId="3">
      <text>
        <r>
          <rPr>
            <sz val="8"/>
            <color indexed="81"/>
            <rFont val="Tahoma"/>
            <family val="2"/>
          </rPr>
          <t>HDD share gains, particularly NA cnterprise HDD customer where shipments to this customer grew 50% sequentially.  Double digit growth in SSDs</t>
        </r>
      </text>
    </comment>
    <comment ref="AK15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up 10-15% qq
Update: Cut numbers by $25M due to numbers change</t>
        </r>
      </text>
    </comment>
    <comment ref="AL15" authorId="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low-single digits</t>
        </r>
      </text>
    </comment>
    <comment ref="AM15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Storage, flat</t>
        </r>
      </text>
    </comment>
    <comment ref="AQ15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3%</t>
        </r>
      </text>
    </comment>
    <comment ref="AR15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-6%</t>
        </r>
      </text>
    </comment>
    <comment ref="AS15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+6%</t>
        </r>
      </text>
    </comment>
    <comment ref="AT15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+3%</t>
        </r>
      </text>
    </comment>
    <comment ref="AU15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3%</t>
        </r>
      </text>
    </comment>
    <comment ref="AQ1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15%</t>
        </r>
      </text>
    </comment>
    <comment ref="AR1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+7%</t>
        </r>
      </text>
    </comment>
    <comment ref="AS1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+5%</t>
        </r>
      </text>
    </comment>
    <comment ref="AT1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+5%</t>
        </r>
      </text>
    </comment>
    <comment ref="AU1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15%</t>
        </r>
      </text>
    </comment>
    <comment ref="CA1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4%</t>
        </r>
      </text>
    </comment>
    <comment ref="AQ17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48%</t>
        </r>
      </text>
    </comment>
    <comment ref="AR17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44%</t>
        </r>
      </text>
    </comment>
    <comment ref="AT17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+49%</t>
        </r>
      </text>
    </comment>
    <comment ref="AU17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48%</t>
        </r>
      </text>
    </comment>
    <comment ref="CA17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47%</t>
        </r>
      </text>
    </comment>
    <comment ref="AG19" authorId="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Mid-single digit growth</t>
        </r>
      </text>
    </comment>
    <comment ref="AH19" authorId="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by high single double digits</t>
        </r>
      </text>
    </comment>
    <comment ref="AI19" authorId="1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Networking to be relatively flat q/q.</t>
        </r>
      </text>
    </comment>
    <comment ref="AJ19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Guide Flat Q/Q</t>
        </r>
      </text>
    </comment>
    <comment ref="AN19" authorId="3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Double digit growth in network processors and PON; broad based softness in networking; traction in network processors and ARM-based CPUs</t>
        </r>
      </text>
    </comment>
    <comment ref="AO19" authorId="3">
      <text>
        <r>
          <rPr>
            <sz val="8"/>
            <color indexed="81"/>
            <rFont val="Tahoma"/>
            <family val="2"/>
          </rPr>
          <t>HDD share gains, particularly NA cnterprise HDD customer where shipments to this customer grew 50% sequentially.  Double digit growth in SSDs</t>
        </r>
      </text>
    </comment>
    <comment ref="AR19" authorId="3">
      <text>
        <r>
          <rPr>
            <sz val="8"/>
            <color indexed="81"/>
            <rFont val="Tahoma"/>
            <family val="2"/>
          </rPr>
          <t>HDD share gains, particularly NA cnterprise HDD customer where shipments to this customer grew 50% sequentially.  Double digit growth in SSDs</t>
        </r>
      </text>
    </comment>
    <comment ref="AS19" authorId="3">
      <text>
        <r>
          <rPr>
            <sz val="8"/>
            <color indexed="81"/>
            <rFont val="Tahoma"/>
            <family val="2"/>
          </rPr>
          <t>HDD share gains, particularly NA cnterprise HDD customer where shipments to this customer grew 50% sequentially.  Double digit growth in SSDs</t>
        </r>
      </text>
    </comment>
    <comment ref="AK20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up mid single digits qq</t>
        </r>
      </text>
    </comment>
    <comment ref="AL20" authorId="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low single digits</t>
        </r>
      </text>
    </comment>
    <comment ref="AM20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Networking to be up low-single-digits</t>
        </r>
      </text>
    </comment>
    <comment ref="AN20" authorId="3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02/21/13 - g - down mid single digits</t>
        </r>
      </text>
    </comment>
    <comment ref="AQ20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+5%</t>
        </r>
      </text>
    </comment>
    <comment ref="AR20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0%</t>
        </r>
      </text>
    </comment>
    <comment ref="AS20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+6%</t>
        </r>
      </text>
    </comment>
    <comment ref="AT20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-7%</t>
        </r>
      </text>
    </comment>
    <comment ref="AU20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+5%</t>
        </r>
      </text>
    </comment>
    <comment ref="AQ21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-5%</t>
        </r>
      </text>
    </comment>
    <comment ref="AR21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-3%</t>
        </r>
      </text>
    </comment>
    <comment ref="AS21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+7%</t>
        </r>
      </text>
    </comment>
    <comment ref="AT21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+3%</t>
        </r>
      </text>
    </comment>
    <comment ref="AU21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-5%</t>
        </r>
      </text>
    </comment>
    <comment ref="CA21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1%</t>
        </r>
      </text>
    </comment>
    <comment ref="AQ22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18%</t>
        </r>
      </text>
    </comment>
    <comment ref="AR22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18%</t>
        </r>
      </text>
    </comment>
    <comment ref="AT22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+18%</t>
        </r>
      </text>
    </comment>
    <comment ref="AU22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18%</t>
        </r>
      </text>
    </comment>
    <comment ref="CA22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18%</t>
        </r>
      </text>
    </comment>
    <comment ref="AG24" authorId="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&gt;20% Q/Q growth</t>
        </r>
      </text>
    </comment>
    <comment ref="AH24" authorId="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double digits</t>
        </r>
      </text>
    </comment>
    <comment ref="AI24" authorId="1">
      <text>
        <r>
          <rPr>
            <b/>
            <sz val="8"/>
            <color indexed="81"/>
            <rFont val="Tahoma"/>
            <family val="2"/>
          </rPr>
          <t>devgans:</t>
        </r>
        <r>
          <rPr>
            <sz val="8"/>
            <color indexed="81"/>
            <rFont val="Tahoma"/>
            <family val="2"/>
          </rPr>
          <t xml:space="preserve">
M&amp;W down 10% - 15% q/q due to dimished seasonality in game console business.</t>
        </r>
      </text>
    </comment>
    <comment ref="AJ24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Guidance Down in the high-single digit range due to normal down seasonality</t>
        </r>
      </text>
    </comment>
    <comment ref="AK24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Up mid to high single digits qq</t>
        </r>
      </text>
    </comment>
    <comment ref="AN24" authorId="3">
      <text>
        <r>
          <rPr>
            <b/>
            <sz val="8"/>
            <color indexed="81"/>
            <rFont val="Tahoma"/>
            <family val="2"/>
          </rPr>
          <t>vasanthm:</t>
        </r>
        <r>
          <rPr>
            <sz val="8"/>
            <color indexed="81"/>
            <rFont val="Tahoma"/>
            <family val="2"/>
          </rPr>
          <t xml:space="preserve">
Lower demand for older gen mobile products from NA customer; continued traction of quad-core 3G and new quad core 5-mode LTE; as well as 2x2 and 4x4 combo connectivity</t>
        </r>
      </text>
    </comment>
    <comment ref="AO24" authorId="3">
      <text>
        <r>
          <rPr>
            <sz val="8"/>
            <color indexed="81"/>
            <rFont val="Tahoma"/>
            <family val="2"/>
          </rPr>
          <t>HDD share gains, particularly NA cnterprise HDD customer where shipments to this customer grew 50% sequentially.  Double digit growth in SSDs</t>
        </r>
      </text>
    </comment>
    <comment ref="AL25" authorId="0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Down mid-single digits</t>
        </r>
      </text>
    </comment>
    <comment ref="AM25" authorId="4">
      <text>
        <r>
          <rPr>
            <b/>
            <sz val="8"/>
            <color indexed="81"/>
            <rFont val="Tahoma"/>
            <family val="2"/>
          </rPr>
          <t>josuev:</t>
        </r>
        <r>
          <rPr>
            <sz val="8"/>
            <color indexed="81"/>
            <rFont val="Tahoma"/>
            <family val="2"/>
          </rPr>
          <t xml:space="preserve">
Mobile and Wireless to decrease ~30%</t>
        </r>
      </text>
    </comment>
    <comment ref="AQ25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-14%</t>
        </r>
      </text>
    </comment>
    <comment ref="AR25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+30%</t>
        </r>
      </text>
    </comment>
    <comment ref="AS25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-9%</t>
        </r>
      </text>
    </comment>
    <comment ref="AT25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-13%</t>
        </r>
      </text>
    </comment>
    <comment ref="AU25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-14%</t>
        </r>
      </text>
    </comment>
    <comment ref="AQ2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+39%</t>
        </r>
      </text>
    </comment>
    <comment ref="AR2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+139%</t>
        </r>
      </text>
    </comment>
    <comment ref="AS2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+67%</t>
        </r>
      </text>
    </comment>
    <comment ref="AT2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-11%</t>
        </r>
      </text>
    </comment>
    <comment ref="AU2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+39%</t>
        </r>
      </text>
    </comment>
    <comment ref="CA26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28%</t>
        </r>
      </text>
    </comment>
    <comment ref="AQ27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26%</t>
        </r>
      </text>
    </comment>
    <comment ref="AR27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33%</t>
        </r>
      </text>
    </comment>
    <comment ref="AT27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27%
</t>
        </r>
      </text>
    </comment>
    <comment ref="AU27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+24%</t>
        </r>
      </text>
    </comment>
    <comment ref="CA27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29%</t>
        </r>
      </text>
    </comment>
    <comment ref="AV34" authorId="5">
      <text>
        <r>
          <rPr>
            <b/>
            <sz val="9"/>
            <color indexed="81"/>
            <rFont val="Tahoma"/>
            <family val="2"/>
          </rPr>
          <t>Lim, Alvin (Research):</t>
        </r>
        <r>
          <rPr>
            <sz val="9"/>
            <color indexed="81"/>
            <rFont val="Tahoma"/>
            <family val="2"/>
          </rPr>
          <t xml:space="preserve">
810-830mn</t>
        </r>
      </text>
    </comment>
    <comment ref="BX48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would have been 24% with full year of Hitachi</t>
        </r>
      </text>
    </comment>
    <comment ref="B52" authorId="2">
      <text>
        <r>
          <rPr>
            <b/>
            <sz val="8"/>
            <color indexed="81"/>
            <rFont val="Tahoma"/>
            <family val="2"/>
          </rPr>
          <t>kimmic:</t>
        </r>
        <r>
          <rPr>
            <sz val="8"/>
            <color indexed="81"/>
            <rFont val="Tahoma"/>
            <family val="2"/>
          </rPr>
          <t xml:space="preserve">
All of our sales to date have been denominated in U.S. dollars.</t>
        </r>
      </text>
    </comment>
  </commentList>
</comments>
</file>

<file path=xl/comments5.xml><?xml version="1.0" encoding="utf-8"?>
<comments xmlns="http://schemas.openxmlformats.org/spreadsheetml/2006/main">
  <authors>
    <author>kimmic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꽲仅B前䱖䙞彅卅䥔䅍䕔✨䅓䕌❓✬䕍乁Ⱗ儧䅕呒剅奌剟䱏❌✬〲ㄱ㐯❆〬Ⱜ✬⤧_x0018_＀＀_x0018_＀＀_x0008_＀＀_x0001_＀＀_x0001_＀＀㨪쮒晿䂉▁乌@前䱖䙞彅卅䥔䅍䕔✨偅❓✬䕍乁Ⱗ儧䅕呒剅奌剟䱏❌✬〲ㄱ㈯❃〬Ⱜ✬⤧_x0018_＀＀_x0018_＀＀_x0008_＀＀_x0001_＀＀_x0001_＀＀焂_xDB68_靺㿗꽲仅@前䱖䙞彅卅䥔䅍䕔✨偅❓✬䕍乁Ⱗ儧䅕呒剅奌剟䱏❌✬〲ㄱ㐯❆〬Ⱜ✬⤧_x0018_＀＀_x0018_＀＀_x0008_＀＀_x0001_＀＀_x0001_＀＀ᣌ鈰쾇㿐ѝ䵰B前䱖䙞彅卅䥔䅍䕔✨䅓䕌❓✬䕍乁Ⱗ儧䅕呒剅奌剟䱏❌✬〲〱㐯❃〬Ⱜ✬⤧_x0018_＀＀_x0018_＀＀_x0008_＀＀_x0001_＀＀_x0001_＀＀冃鵉䂌▁乌B前䱖䙞彅卅䥔䅍䕔✨䅓䕌❓✬䕍乁Ⱗ儧䅕呒剅奌剟䱏❌✬〲ㄱ㌯❃〬Ⱜ✬⤧_x0018_＀＀_x0018_＀＀_x0008_＀＀_x0001_＀＀_x0001_＀＀丼金䂍婛䷝B前䱖䙞彅卅䥔䅍䕔✨䅓䕌❓✬䕍乁Ⱗ儧䅕呒剅奌剟䱏❌✬〲ㄱㄯ❃〬Ⱜ✬⤧_x0018_＀＀_x0018_＀＀_x0008_＀＀_x0001_＀＀_x0001_＀＀ꏗ㵰촊䂉꽲仅B前䱖䙞彅卅䥔䅍䕔✨䅓䕌❓✬䕍乁Ⱗ儧䅕呒剅奌剟䱏❌✬〲ㄱ㌯❆〬Ⱜ✬⤧_x0018_＀＀_x0018_＀＀_x0008_＀＀_x0001_＀＀_x0001_＀＀䋄榭回䂍ѝ䵰@前䱖䙞彅卅䥔䅍䕔✨偅❓✬䕍乁Ⱗ儧䅕呒剅奌剟䱏❌✬〲〱㐯❃〬Ⱜ✬⤧_x0018_＀＀_x0018_＀＀_x0008_＀＀_x0001_＀＀_x0001_＀＀됺盈龾㿚▁乌@前䱖䙞彅卅䥔䅍䕔✨偅❓✬䕍乁Ⱗ儧䅕呒剅奌剟䱏❌✬〲ㄱ㌯❃〬Ⱜ✬⤧_x0018_＀＀_x0018_＀＀_x0008_＀＀_x0001_＀＀_x0001_＀＀㶞ꦗ灉㿚婛䷝@前䱖䙞彅卅䥔䅍䕔✨偅❓✬䕍乁Ⱗ儧䅕呒剅奌剟䱏❌✬〲ㄱㄯ❃〬Ⱜ✬⤧_x0018_＀＀_x0018_＀＀_x0008_＀＀_x0001_＀＀_x0001_＀＀ᘟۅ恦㿓꽲仅@前䱖䙞彅卅䥔䅍䕔✨偅❓✬䕍乁Ⱗ儧䅕呒剅奌剟䱏❌✬〲ㄱ㌯❆〬Ⱜ✬⤧_x0018_＀＀_x0018_＀＀_x0008_＀＀_x0001_＀＀_x0001_＀＀᪠_xDD2F_ؤ㿙▁乌B前䱖䙞彅卅䥔䅍䕔✨䅓䕌❓✬䕍乁Ⱗ儧䅕呒剅奌剟䱏❌✬〲ㄱ㈯❃〬Ⱜ✬⤧_x0018_＀＀_x0018_＀＀_x0008_＀＀_x0001_＀＀_x0001_＀＀臘䙳잔䂋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659</t>
        </r>
      </text>
    </comment>
  </commentList>
</comments>
</file>

<file path=xl/sharedStrings.xml><?xml version="1.0" encoding="utf-8"?>
<sst xmlns="http://schemas.openxmlformats.org/spreadsheetml/2006/main" count="1025" uniqueCount="870">
  <si>
    <t>2594653</t>
  </si>
  <si>
    <t>Extraordinary</t>
  </si>
  <si>
    <t>Sequential Change</t>
  </si>
  <si>
    <t>Y-o-Y Change</t>
  </si>
  <si>
    <t>`</t>
  </si>
  <si>
    <t>COGS - GAAP</t>
  </si>
  <si>
    <t>Percentage of Revenues</t>
  </si>
  <si>
    <t>SBC</t>
  </si>
  <si>
    <t>Other non GAAP expenses</t>
  </si>
  <si>
    <t>Discontinued operations</t>
  </si>
  <si>
    <t>COGS - non GAAP</t>
  </si>
  <si>
    <t>Percentage of MW Revenues</t>
  </si>
  <si>
    <t>COGS - MW</t>
  </si>
  <si>
    <t>Gross Margin GAAP %</t>
  </si>
  <si>
    <t>Gross Margin non GAAP%</t>
  </si>
  <si>
    <t>Gross Margin MW%</t>
  </si>
  <si>
    <t>R&amp;D - GAAP</t>
  </si>
  <si>
    <t>R&amp;D - non GAAP</t>
  </si>
  <si>
    <t>R&amp;D - MW</t>
  </si>
  <si>
    <t>Other OpEx - GAAP</t>
  </si>
  <si>
    <t>Other OpEx - non GAAP</t>
  </si>
  <si>
    <t>Other OpEx - MW</t>
  </si>
  <si>
    <t>Total Operating Expenses - GAAP</t>
  </si>
  <si>
    <t>Total Operating Expenses - non GAAP</t>
  </si>
  <si>
    <t>Total Operating Expenses - MW</t>
  </si>
  <si>
    <t>Operating Income - GAAP</t>
  </si>
  <si>
    <t>Operating Income - non GAAP</t>
  </si>
  <si>
    <t>Operating Income - MW</t>
  </si>
  <si>
    <t>Total Interest income and other income - GAAP</t>
  </si>
  <si>
    <t>Interest expense</t>
  </si>
  <si>
    <t>Interest income and other, net</t>
  </si>
  <si>
    <t>Total Interest income and other income - non GAAP</t>
  </si>
  <si>
    <t>Total Interest income and other income - MW</t>
  </si>
  <si>
    <t>PBT - GAAP</t>
  </si>
  <si>
    <t>PBT Margin GAAP %</t>
  </si>
  <si>
    <t>PBT - non GAAP</t>
  </si>
  <si>
    <t>PBT - MW</t>
  </si>
  <si>
    <t>Income Tax Expense (Benefit) - GAAP</t>
  </si>
  <si>
    <t>Taxes-SBC</t>
  </si>
  <si>
    <t>Taxes-Extraordinary</t>
  </si>
  <si>
    <t>Taxes-Disc. Operations</t>
  </si>
  <si>
    <t>Income Tax Expense (Benefit) - non GAAP</t>
  </si>
  <si>
    <t>Income Tax Expense (Benefit) - MW</t>
  </si>
  <si>
    <t>Net Income, Cont. Ops. - GAAP</t>
  </si>
  <si>
    <t>Extraordinary, net of tax</t>
  </si>
  <si>
    <t>Discontinued Operations - non GAAP</t>
  </si>
  <si>
    <t>Net Income, Cont. Ops. - non GAAP</t>
  </si>
  <si>
    <t>Net Income, Cont. Ops. - MW</t>
  </si>
  <si>
    <t>SBC, net of tax</t>
  </si>
  <si>
    <t>Income (loss) from Discontinued Operations - GAAP</t>
  </si>
  <si>
    <t>Total GAAP to non GAAP Adjustments</t>
  </si>
  <si>
    <t>Income (loss) from Discontinued Operations - non GAAP</t>
  </si>
  <si>
    <t>Net Income - GAAP</t>
  </si>
  <si>
    <t>EPS - GAAP</t>
  </si>
  <si>
    <t>EPS - non GAAP</t>
  </si>
  <si>
    <t xml:space="preserve">EPS - MW </t>
  </si>
  <si>
    <t>Average Basic Shares - GAAP</t>
  </si>
  <si>
    <t>Average Basic Shares - non-GAAP</t>
  </si>
  <si>
    <t>Average Diluted Shares - GAAP</t>
  </si>
  <si>
    <t>Average Diluted Shares - non-GAAP</t>
  </si>
  <si>
    <t>Dilution Ratio</t>
  </si>
  <si>
    <t>Period-end shares</t>
  </si>
  <si>
    <t>Dividends declared Per Share</t>
  </si>
  <si>
    <t>Price per share</t>
  </si>
  <si>
    <t>Cost of equity</t>
  </si>
  <si>
    <t>Statutory tax (%)</t>
  </si>
  <si>
    <t>Operating expenses</t>
  </si>
  <si>
    <t>Total costs</t>
  </si>
  <si>
    <t>2008-Q1</t>
  </si>
  <si>
    <t>2008-Q2</t>
  </si>
  <si>
    <t>2008-Q3</t>
  </si>
  <si>
    <t>2008-Q4</t>
  </si>
  <si>
    <t>Actual/Estimate Toggle</t>
  </si>
  <si>
    <t>Fiscal Year</t>
  </si>
  <si>
    <t>Fiscal Quarter</t>
  </si>
  <si>
    <t>Calendar Year</t>
  </si>
  <si>
    <t>Calendar Quarter</t>
  </si>
  <si>
    <t>Marvell Technology Group Ltd.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</si>
  <si>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</si>
  <si>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</si>
  <si>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</si>
  <si>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</si>
  <si>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</si>
  <si>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</si>
  <si>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</si>
  <si>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</si>
  <si>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($ in millions; fiscal year ends in January)</t>
  </si>
  <si>
    <t>Gross Profit - GAAP</t>
  </si>
  <si>
    <t>Gross Profit - non GAAP</t>
  </si>
  <si>
    <t>Gross Profit - MW</t>
  </si>
  <si>
    <t>Operating Margin GAAP%</t>
  </si>
  <si>
    <t>Operating Margin non GAAP%</t>
  </si>
  <si>
    <t>Operating Margin MW%</t>
  </si>
  <si>
    <t>PBT Margin MW%</t>
  </si>
  <si>
    <t>PBT Margin non GAAP%</t>
  </si>
  <si>
    <t>Effective Tax rate GAAP%</t>
  </si>
  <si>
    <t>Effective Tax rate non GAAP%</t>
  </si>
  <si>
    <t>Effective Tax rate MW%</t>
  </si>
  <si>
    <t>Net Income Margin GAAP%</t>
  </si>
  <si>
    <t>Net Income Margin non GAAP%</t>
  </si>
  <si>
    <t>Net Income Margin MW%</t>
  </si>
  <si>
    <t>Net Income Margin GAAP %</t>
  </si>
  <si>
    <t>Selling and marketing - GAAP</t>
  </si>
  <si>
    <t>Selling and marketing  - non GAAP</t>
  </si>
  <si>
    <t>Selling and marketing  - MW</t>
  </si>
  <si>
    <t>General and administrative - GAAP</t>
  </si>
  <si>
    <t>General and administrative  - non GAAP</t>
  </si>
  <si>
    <t>General and administrative  - MW</t>
  </si>
  <si>
    <t>Assets</t>
  </si>
  <si>
    <t>Cash and cash equivalents</t>
  </si>
  <si>
    <t>Accounts receivable, net</t>
  </si>
  <si>
    <t>Total Current Assets</t>
  </si>
  <si>
    <t>Property and equipment, net</t>
  </si>
  <si>
    <t>Goodwill</t>
  </si>
  <si>
    <t>Other non-current assets</t>
  </si>
  <si>
    <t>Total Assets</t>
  </si>
  <si>
    <t>Liabilities &amp; Shareholders Equity</t>
  </si>
  <si>
    <t>Accounts payable</t>
  </si>
  <si>
    <t>Total Current Liabilities</t>
  </si>
  <si>
    <t>Shareholders Equity</t>
  </si>
  <si>
    <t>Total Liabilities &amp; Equity</t>
  </si>
  <si>
    <t>Check</t>
  </si>
  <si>
    <t>Working Capital Metrics</t>
  </si>
  <si>
    <t>A/R Days Sales Out</t>
  </si>
  <si>
    <t>Inventory Turns</t>
  </si>
  <si>
    <t>Days of Inventory</t>
  </si>
  <si>
    <t>Accounts Payable DSO</t>
  </si>
  <si>
    <t>Revenues</t>
  </si>
  <si>
    <t>Stockholders Equity</t>
  </si>
  <si>
    <t>Preferred stock</t>
  </si>
  <si>
    <t>Common Stock</t>
  </si>
  <si>
    <t>Temporary BS plug for earnings</t>
  </si>
  <si>
    <t>Additional paid-in capital</t>
  </si>
  <si>
    <t>Total share capital</t>
  </si>
  <si>
    <t>Dividends</t>
  </si>
  <si>
    <t>Retained earnings (Accumulated deficit)</t>
  </si>
  <si>
    <t>Other comprehensive income</t>
  </si>
  <si>
    <t>vs. Balance Sheet</t>
  </si>
  <si>
    <t>Balance Sheet Metrics</t>
  </si>
  <si>
    <t>Book value per share</t>
  </si>
  <si>
    <t>Tangible book value</t>
  </si>
  <si>
    <t>Tangible book value per share</t>
  </si>
  <si>
    <t>Total Cash</t>
  </si>
  <si>
    <t>Total Cash per share</t>
  </si>
  <si>
    <t>Net working capital</t>
  </si>
  <si>
    <t>MODELWARE</t>
  </si>
  <si>
    <t>Unrecorded goodwill from poolings, write-offs, and cumulative amortization</t>
  </si>
  <si>
    <t>ND</t>
  </si>
  <si>
    <t>Change in Share Capital</t>
  </si>
  <si>
    <t>Marvell Technology Balance Sheet</t>
  </si>
  <si>
    <t>Short-term investments</t>
  </si>
  <si>
    <t>Inventories</t>
  </si>
  <si>
    <t>Prepaid expenses and other current assets</t>
  </si>
  <si>
    <t>Deferred income taxes</t>
  </si>
  <si>
    <t>Long-term investments</t>
  </si>
  <si>
    <t>Acquired intangible assets, net</t>
  </si>
  <si>
    <t>Accrued liabilities</t>
  </si>
  <si>
    <t>Accrued employee compensation</t>
  </si>
  <si>
    <t>Income taxes payable</t>
  </si>
  <si>
    <t>Deferred income</t>
  </si>
  <si>
    <t>Current portion of capital lease obligations</t>
  </si>
  <si>
    <t>Capital lease obligations, net of current portion</t>
  </si>
  <si>
    <t>Non-current income taxes payable</t>
  </si>
  <si>
    <t>Other long-term liabilities</t>
  </si>
  <si>
    <t>Cash flows provided by (used for) operating activities:</t>
  </si>
  <si>
    <t>Net income</t>
  </si>
  <si>
    <t>Adjustments to reconcile net income to net cash provided by operating activities:</t>
  </si>
  <si>
    <t>Depreciation and amortization</t>
  </si>
  <si>
    <t>Others</t>
  </si>
  <si>
    <t>Changes in assets and liabilities, net of effects of acquisitions:</t>
  </si>
  <si>
    <t>Net cash provided by operating activities</t>
  </si>
  <si>
    <t>Cash flows from investing activities:</t>
  </si>
  <si>
    <t>Purchases of property and equipment</t>
  </si>
  <si>
    <t>Net cash used for investing activities</t>
  </si>
  <si>
    <t>Cash flows from financing activities:</t>
  </si>
  <si>
    <t>Net cash used for financing activities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</si>
  <si>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</si>
  <si>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</si>
  <si>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</si>
  <si>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</si>
  <si>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PP&amp;E Schedule</t>
  </si>
  <si>
    <t>Capital Expenditures</t>
  </si>
  <si>
    <t>One time PPE Plug</t>
  </si>
  <si>
    <t>Percentage of Total Revenues</t>
  </si>
  <si>
    <t>Gain on sale of assets</t>
  </si>
  <si>
    <t>Gross PP&amp;E</t>
  </si>
  <si>
    <t>Percentage of Total Assets</t>
  </si>
  <si>
    <t>Net PP&amp;E</t>
  </si>
  <si>
    <t>Depreciation Schedule</t>
  </si>
  <si>
    <t>Total Depreciation and Amortization</t>
  </si>
  <si>
    <t>Percentage of Gross PP&amp;E</t>
  </si>
  <si>
    <t>vs. Cash Flow Statement</t>
  </si>
  <si>
    <t>Cash Flow Statement Metrics</t>
  </si>
  <si>
    <t>Free Cash Flow</t>
  </si>
  <si>
    <t>Adjusted FCF</t>
  </si>
  <si>
    <t>Marvell Technology Statement of Cash Flows</t>
  </si>
  <si>
    <t>Stock-based compensation</t>
  </si>
  <si>
    <t>Excess tax benefits from stock-based compensation</t>
  </si>
  <si>
    <t>Restricted cash</t>
  </si>
  <si>
    <t>Accrued liabilities and other</t>
  </si>
  <si>
    <t>Purchases of investments</t>
  </si>
  <si>
    <t>Repurchase of common stock</t>
  </si>
  <si>
    <t>USD</t>
  </si>
  <si>
    <t>MRVL.O</t>
  </si>
  <si>
    <t>Marvell Technology Group Ltd</t>
  </si>
  <si>
    <t>A</t>
  </si>
  <si>
    <t>2005-Q1</t>
  </si>
  <si>
    <t>2005-Q2</t>
  </si>
  <si>
    <t>2005-Q3</t>
  </si>
  <si>
    <t>2005-Q4</t>
  </si>
  <si>
    <t>2005-FY</t>
  </si>
  <si>
    <t>2006-Q1</t>
  </si>
  <si>
    <t>2006-Q2</t>
  </si>
  <si>
    <t>2006-Q3</t>
  </si>
  <si>
    <t>2006-Q4</t>
  </si>
  <si>
    <t>2006-FY</t>
  </si>
  <si>
    <t>2007-Q1</t>
  </si>
  <si>
    <t>2007-Q2</t>
  </si>
  <si>
    <t>2007-Q3</t>
  </si>
  <si>
    <t>2007-Q4</t>
  </si>
  <si>
    <t>2007-FY</t>
  </si>
  <si>
    <t>2008-FY</t>
  </si>
  <si>
    <t>2009-FY</t>
  </si>
  <si>
    <t>2010-FY</t>
  </si>
  <si>
    <t>2011-Q1</t>
  </si>
  <si>
    <t>2011-Q2</t>
  </si>
  <si>
    <t>2011-Q3</t>
  </si>
  <si>
    <t>2011-Q4</t>
  </si>
  <si>
    <t>2011-FY</t>
  </si>
  <si>
    <t>2012-Q1</t>
  </si>
  <si>
    <t>2012-Q2</t>
  </si>
  <si>
    <t>2012-Q3</t>
  </si>
  <si>
    <t>2012-Q4</t>
  </si>
  <si>
    <t>2012-FY</t>
  </si>
  <si>
    <t>2013-Q1</t>
  </si>
  <si>
    <t>2013-Q2</t>
  </si>
  <si>
    <t>2013-Q3</t>
  </si>
  <si>
    <t>2013-Q4</t>
  </si>
  <si>
    <t>2013-FY</t>
  </si>
  <si>
    <t>2014-Q1</t>
  </si>
  <si>
    <t>2014-Q2</t>
  </si>
  <si>
    <t>2014-Q3</t>
  </si>
  <si>
    <t>2014-Q4</t>
  </si>
  <si>
    <t>2014-FY</t>
  </si>
  <si>
    <t>2015-Q1</t>
  </si>
  <si>
    <t>2015-Q2</t>
  </si>
  <si>
    <t>2015-Q3</t>
  </si>
  <si>
    <t>2015-Q4</t>
  </si>
  <si>
    <t>2015-FY</t>
  </si>
  <si>
    <t>2016-Q1</t>
  </si>
  <si>
    <t>2016-Q2</t>
  </si>
  <si>
    <t>2016-Q3</t>
  </si>
  <si>
    <t>2016-Q4</t>
  </si>
  <si>
    <t>2016-FY</t>
  </si>
  <si>
    <t>2017-Q1</t>
  </si>
  <si>
    <t>2017-Q2</t>
  </si>
  <si>
    <t>2017-Q3</t>
  </si>
  <si>
    <t>2017-Q4</t>
  </si>
  <si>
    <t>2017-FY</t>
  </si>
  <si>
    <t>2018-Q1</t>
  </si>
  <si>
    <t>2018-Q2</t>
  </si>
  <si>
    <t>2018-Q3</t>
  </si>
  <si>
    <t>2018-Q4</t>
  </si>
  <si>
    <t>2018-FY</t>
  </si>
  <si>
    <t>2019-Q1</t>
  </si>
  <si>
    <t>2019-Q2</t>
  </si>
  <si>
    <t>2019-Q3</t>
  </si>
  <si>
    <t>2019-Q4</t>
  </si>
  <si>
    <t>2019-FY</t>
  </si>
  <si>
    <t>Amortization and write-off of acquired intangible assets</t>
  </si>
  <si>
    <t>Sales and maturities short-term and long-term of investments</t>
  </si>
  <si>
    <t>Proceeds from issuance of common shares</t>
  </si>
  <si>
    <t>Other interest income (one-time)</t>
  </si>
  <si>
    <t>Other non-current assets % of Operating Assets</t>
  </si>
  <si>
    <t>Other current assets % of Operating assets</t>
  </si>
  <si>
    <t xml:space="preserve">Operating assets </t>
  </si>
  <si>
    <t>Cost of goods sold</t>
  </si>
  <si>
    <t>Term loan obligations, long-term portion</t>
  </si>
  <si>
    <t>Less: Accumulated Depreciation and Amortization</t>
  </si>
  <si>
    <t>Deferred stock-based compensation</t>
  </si>
  <si>
    <t>Currency</t>
  </si>
  <si>
    <t>Current Stock Price</t>
  </si>
  <si>
    <t>Count</t>
  </si>
  <si>
    <t>Company</t>
  </si>
  <si>
    <t>MRVL.O,mscalc:sedolCodeCalc</t>
  </si>
  <si>
    <t>MRVL.O,mscalc:closePriceCurrencyCalc</t>
  </si>
  <si>
    <t>MRVL.O,mscalc:targetPrice,,,,USD</t>
  </si>
  <si>
    <t>Q-o-Q growth</t>
  </si>
  <si>
    <t>Y-o-Y growth</t>
  </si>
  <si>
    <t>Percent of Revenue</t>
  </si>
  <si>
    <t>Total Bottoms Up Revenue</t>
  </si>
  <si>
    <t>Actual Revenue from Income Statement</t>
  </si>
  <si>
    <t>BU / Income Statement Check</t>
  </si>
  <si>
    <t>100% Check</t>
  </si>
  <si>
    <t>Marvell Technology Bottoms Up Model</t>
  </si>
  <si>
    <t>MRVL</t>
  </si>
  <si>
    <t>This sheet contains Factset binary data for use with this workbook's =FDS codes.  Modifying the worksheet's contents may damage the workbook's =FDS functionality.</t>
  </si>
  <si>
    <t>Amortization of acquired intangibles</t>
  </si>
  <si>
    <t>Dividend payment to shareholders</t>
  </si>
  <si>
    <t>Other</t>
  </si>
  <si>
    <t>Total</t>
  </si>
  <si>
    <t xml:space="preserve">Customers </t>
  </si>
  <si>
    <t xml:space="preserve">Toshiba </t>
  </si>
  <si>
    <t>RIM</t>
  </si>
  <si>
    <t>&lt;10%</t>
  </si>
  <si>
    <t xml:space="preserve">Western Digital </t>
  </si>
  <si>
    <t xml:space="preserve"> </t>
  </si>
  <si>
    <t>20</t>
  </si>
  <si>
    <t>MRVL.O,mscalc:targetPrice</t>
  </si>
  <si>
    <t>,mscalc:targetPrice,,,,USD</t>
  </si>
  <si>
    <t>NA</t>
  </si>
  <si>
    <t>,mscalc:closePriceCurrencyCalc</t>
  </si>
  <si>
    <t>,mscalc:sedolCodeCalc</t>
  </si>
  <si>
    <t>$N$2</t>
  </si>
  <si>
    <t>Seagate</t>
  </si>
  <si>
    <t>11% incl Samsung</t>
  </si>
  <si>
    <t>Geographic</t>
  </si>
  <si>
    <t xml:space="preserve">Asia </t>
  </si>
  <si>
    <t>United States</t>
  </si>
  <si>
    <t>China</t>
  </si>
  <si>
    <t>Thailand</t>
  </si>
  <si>
    <t>Malaysia</t>
  </si>
  <si>
    <t>Japan</t>
  </si>
  <si>
    <t xml:space="preserve">Total </t>
  </si>
  <si>
    <t xml:space="preserve">Revenues </t>
  </si>
  <si>
    <t>C1Q12A</t>
  </si>
  <si>
    <t>C2Q12A</t>
  </si>
  <si>
    <t>C3Q12A</t>
  </si>
  <si>
    <t>C4Q12A</t>
  </si>
  <si>
    <t>C1Q13A</t>
  </si>
  <si>
    <t>C2Q13A</t>
  </si>
  <si>
    <t>C3Q13A</t>
  </si>
  <si>
    <t>C4Q13A</t>
  </si>
  <si>
    <t>F1Q13A</t>
  </si>
  <si>
    <t>F2Q13A</t>
  </si>
  <si>
    <t>F3Q13A</t>
  </si>
  <si>
    <t>F4Q13A</t>
  </si>
  <si>
    <t>F1Q14A</t>
  </si>
  <si>
    <t>F2Q14A</t>
  </si>
  <si>
    <t>F3Q14A</t>
  </si>
  <si>
    <t>F4Q14A</t>
  </si>
  <si>
    <t>Net cash</t>
  </si>
  <si>
    <t>Net cash per share</t>
  </si>
  <si>
    <t>Percentage of Non-GAAP Revenues</t>
  </si>
  <si>
    <t>($ in millions, fiscal year ends in January)</t>
  </si>
  <si>
    <t>Total Cash per share excluding litigation reserve/CMU</t>
  </si>
  <si>
    <t>C1Q04A</t>
  </si>
  <si>
    <t>C2Q04A</t>
  </si>
  <si>
    <t>C3Q04A</t>
  </si>
  <si>
    <t>C4Q04A</t>
  </si>
  <si>
    <t>C1Q05A</t>
  </si>
  <si>
    <t>C2Q05A</t>
  </si>
  <si>
    <t>C3Q05A</t>
  </si>
  <si>
    <t>C4Q05A</t>
  </si>
  <si>
    <t>C1Q06A</t>
  </si>
  <si>
    <t>C2Q06A</t>
  </si>
  <si>
    <t>C3Q06A</t>
  </si>
  <si>
    <t>C4Q06A</t>
  </si>
  <si>
    <t>C1Q07A</t>
  </si>
  <si>
    <t>C2Q07A</t>
  </si>
  <si>
    <t>C3Q07A</t>
  </si>
  <si>
    <t>C4Q07A</t>
  </si>
  <si>
    <t>C1Q08A</t>
  </si>
  <si>
    <t>C2Q08A</t>
  </si>
  <si>
    <t>C3Q08A</t>
  </si>
  <si>
    <t>C4Q08A</t>
  </si>
  <si>
    <t>C1Q09A</t>
  </si>
  <si>
    <t>C2Q09A</t>
  </si>
  <si>
    <t>C3Q09A</t>
  </si>
  <si>
    <t>C4Q09A</t>
  </si>
  <si>
    <t>C1Q10A</t>
  </si>
  <si>
    <t>C2Q10A</t>
  </si>
  <si>
    <t>C3Q10A</t>
  </si>
  <si>
    <t>C4Q10A</t>
  </si>
  <si>
    <t>C1Q11A</t>
  </si>
  <si>
    <t>C2Q11A</t>
  </si>
  <si>
    <t>C3Q11A</t>
  </si>
  <si>
    <t>C4Q11A</t>
  </si>
  <si>
    <t>C1Q14A</t>
  </si>
  <si>
    <t>C2Q14A</t>
  </si>
  <si>
    <t>C3Q14A</t>
  </si>
  <si>
    <t>C4Q14A</t>
  </si>
  <si>
    <t>C1Q15A</t>
  </si>
  <si>
    <t>C2Q15A</t>
  </si>
  <si>
    <t>C3Q15A</t>
  </si>
  <si>
    <t>C4Q15A</t>
  </si>
  <si>
    <t>F1Q05A</t>
  </si>
  <si>
    <t>F2Q05A</t>
  </si>
  <si>
    <t>F3Q05A</t>
  </si>
  <si>
    <t>F4Q05A</t>
  </si>
  <si>
    <t>F1Q06A</t>
  </si>
  <si>
    <t>F2Q06A</t>
  </si>
  <si>
    <t>F3Q06A</t>
  </si>
  <si>
    <t>F4Q06A</t>
  </si>
  <si>
    <t>F1Q07A</t>
  </si>
  <si>
    <t>F2Q07A</t>
  </si>
  <si>
    <t>F3Q07A</t>
  </si>
  <si>
    <t>F4Q07A</t>
  </si>
  <si>
    <t>F1Q08A</t>
  </si>
  <si>
    <t>F2Q08A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</si>
  <si>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</si>
  <si>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</si>
  <si>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</si>
  <si>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</si>
  <si>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</si>
  <si>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</si>
  <si>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</si>
  <si>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</si>
  <si>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</si>
  <si>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</si>
  <si>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</si>
  <si>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</si>
  <si>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F3Q11A</t>
  </si>
  <si>
    <t>F4Q11A</t>
  </si>
  <si>
    <t>F1Q12A</t>
  </si>
  <si>
    <t>F2Q12A</t>
  </si>
  <si>
    <t>F3Q12A</t>
  </si>
  <si>
    <t>F4Q12A</t>
  </si>
  <si>
    <t>F1Q15A</t>
  </si>
  <si>
    <t>F2Q15A</t>
  </si>
  <si>
    <t>F3Q15A</t>
  </si>
  <si>
    <t>F4Q15A</t>
  </si>
  <si>
    <t>F1Q16A</t>
  </si>
  <si>
    <t>F2Q16A</t>
  </si>
  <si>
    <t>F3Q16A</t>
  </si>
  <si>
    <t>F4Q16A</t>
  </si>
  <si>
    <t>CY2004A</t>
  </si>
  <si>
    <t>CY2005A</t>
  </si>
  <si>
    <t>CY2006A</t>
  </si>
  <si>
    <t>CY2007A</t>
  </si>
  <si>
    <t>CY2008A</t>
  </si>
  <si>
    <t>CY2009A</t>
  </si>
  <si>
    <t>CY2010A</t>
  </si>
  <si>
    <t>CY2011A</t>
  </si>
  <si>
    <t>CY2012A</t>
  </si>
  <si>
    <t>CY2013A</t>
  </si>
  <si>
    <t>CY2014A</t>
  </si>
  <si>
    <t>CY2015A</t>
  </si>
  <si>
    <t>FY2005A</t>
  </si>
  <si>
    <t>FY2006A</t>
  </si>
  <si>
    <t>FY2007A</t>
  </si>
  <si>
    <t>FY2008A</t>
  </si>
  <si>
    <t>FY2009A</t>
  </si>
  <si>
    <t>FY2010A</t>
  </si>
  <si>
    <t>FY2011A</t>
  </si>
  <si>
    <t>FY2012A</t>
  </si>
  <si>
    <t>FY2013A</t>
  </si>
  <si>
    <t>FY2014A</t>
  </si>
  <si>
    <t>FY2015A</t>
  </si>
  <si>
    <t>FY2016A</t>
  </si>
  <si>
    <t>Others Gaap</t>
  </si>
  <si>
    <t>F1Q17A</t>
  </si>
  <si>
    <t>C2Q16A</t>
  </si>
  <si>
    <t>C1Q16A</t>
  </si>
  <si>
    <t>F2Q17A</t>
  </si>
  <si>
    <t>Payments on technology license obligations</t>
  </si>
  <si>
    <t>C1Q17A</t>
  </si>
  <si>
    <t>C2Q17A</t>
  </si>
  <si>
    <t>F3Q17A</t>
  </si>
  <si>
    <t>CY2018E</t>
  </si>
  <si>
    <t>FY2019E</t>
  </si>
  <si>
    <t>C1Q18A</t>
  </si>
  <si>
    <t>C2Q18A</t>
  </si>
  <si>
    <t>C3Q18E</t>
  </si>
  <si>
    <t>C4Q18E</t>
  </si>
  <si>
    <t>F1Q19E</t>
  </si>
  <si>
    <t>F2Q19E</t>
  </si>
  <si>
    <t>F3Q19E</t>
  </si>
  <si>
    <t>F4Q19E</t>
  </si>
  <si>
    <t>CY2019E</t>
  </si>
  <si>
    <t>FY2020E</t>
  </si>
  <si>
    <t>2020-FY</t>
  </si>
  <si>
    <t>2020-Q1</t>
  </si>
  <si>
    <t>2020-Q2</t>
  </si>
  <si>
    <t>2020-Q3</t>
  </si>
  <si>
    <t>2020-Q4</t>
  </si>
  <si>
    <t>F4Q17A</t>
  </si>
  <si>
    <t>C4Q16A</t>
  </si>
  <si>
    <t>C3Q16A</t>
  </si>
  <si>
    <t>CY2016A</t>
  </si>
  <si>
    <t>FY2017A</t>
  </si>
  <si>
    <t>F1Q18A</t>
  </si>
  <si>
    <t>F2Q18A</t>
  </si>
  <si>
    <t>Revenues - GAAP</t>
  </si>
  <si>
    <t>C1Q19A</t>
  </si>
  <si>
    <t>C2Q19A</t>
  </si>
  <si>
    <t>C3Q19E</t>
  </si>
  <si>
    <t>C4Q19E</t>
  </si>
  <si>
    <t>F1Q20E</t>
  </si>
  <si>
    <t>F2Q20E</t>
  </si>
  <si>
    <t>F3Q20E</t>
  </si>
  <si>
    <t>F4Q20E</t>
  </si>
  <si>
    <t>C3Q17A</t>
  </si>
  <si>
    <t>F3Q18A</t>
  </si>
  <si>
    <t xml:space="preserve">   Storage</t>
  </si>
  <si>
    <t xml:space="preserve">   Networking</t>
  </si>
  <si>
    <t xml:space="preserve">   Wireless Connectivity</t>
  </si>
  <si>
    <t>Core Marvell</t>
  </si>
  <si>
    <t>CY2020E</t>
  </si>
  <si>
    <t>FY2021E</t>
  </si>
  <si>
    <t>C4Q17A</t>
  </si>
  <si>
    <t>F4Q18A</t>
  </si>
  <si>
    <t>22</t>
  </si>
  <si>
    <t>CY2017A</t>
  </si>
  <si>
    <t>FY2018A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</si>
  <si>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</si>
  <si>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</si>
  <si>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</si>
  <si>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</si>
  <si>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</si>
  <si>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</si>
  <si>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</si>
  <si>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Joseph Moore, Craig Hettenbach, Vinayak Rao</t>
  </si>
  <si>
    <t>Date: 08 Mar 2018</t>
  </si>
  <si>
    <t>Ticker: MRVL.O</t>
  </si>
  <si>
    <t>Stock Rating: Equal-Weight</t>
  </si>
  <si>
    <t>Industry: Semiconductors</t>
  </si>
  <si>
    <t>Industry View: In-Line</t>
  </si>
  <si>
    <t>Price as of 08 Mar 2018: 24.30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</si>
  <si>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</si>
  <si>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</si>
  <si>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</si>
  <si>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</si>
  <si>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Marvell Technology Group Ltd.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</si>
  <si>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</si>
  <si>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</si>
  <si>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</si>
  <si>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</si>
  <si>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</si>
  <si>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</si>
  <si>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</si>
  <si>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</si>
  <si>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</si>
  <si>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</si>
  <si>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</si>
  <si>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</si>
  <si>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</si>
  <si>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</si>
  <si>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</si>
  <si>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</si>
  <si>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</si>
  <si>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</si>
  <si>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</si>
  <si>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</si>
  <si>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</si>
  <si>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</si>
  <si>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</si>
  <si>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</si>
  <si>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</si>
  <si>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</si>
  <si>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</si>
  <si>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</si>
  <si>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</si>
  <si>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</si>
  <si>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</si>
  <si>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</si>
  <si>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</si>
  <si>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</si>
  <si>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</si>
  <si>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</si>
  <si>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</si>
  <si>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</si>
  <si>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</si>
  <si>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</si>
  <si>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</si>
  <si>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</si>
  <si>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</si>
  <si>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</si>
  <si>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</si>
  <si>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</si>
  <si>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</si>
  <si>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</si>
  <si>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</si>
  <si>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</si>
  <si>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</si>
  <si>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</si>
  <si>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</si>
  <si>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</si>
  <si>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</si>
  <si>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</si>
  <si>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</si>
  <si>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</si>
  <si>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</si>
  <si>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</si>
  <si>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</si>
  <si>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</si>
  <si>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</si>
  <si>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</si>
  <si>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</si>
  <si>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</si>
  <si>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</si>
  <si>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</si>
  <si>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</si>
  <si>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</si>
  <si>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</si>
  <si>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</si>
  <si>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</si>
  <si>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</si>
  <si>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</si>
  <si>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</si>
  <si>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</si>
  <si>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</si>
  <si>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</si>
  <si>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</si>
  <si>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</si>
  <si>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</si>
  <si>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</si>
  <si>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</si>
  <si>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</si>
  <si>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</si>
  <si>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</si>
  <si>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</si>
  <si>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</si>
  <si>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</si>
  <si>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</si>
  <si>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</si>
  <si>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</si>
  <si>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</si>
  <si>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</si>
  <si>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</si>
  <si>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</si>
  <si>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</si>
  <si>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</si>
  <si>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</si>
  <si>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</si>
  <si>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</si>
  <si>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</si>
  <si>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</si>
  <si>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</si>
  <si>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</si>
  <si>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</si>
  <si>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</si>
  <si>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</si>
  <si>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</si>
  <si>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</si>
  <si>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</si>
  <si>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</si>
  <si>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</si>
  <si>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</si>
  <si>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</si>
  <si>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</si>
  <si>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</si>
  <si>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</si>
  <si>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</si>
  <si>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</si>
  <si>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</si>
  <si>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</si>
  <si>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</si>
  <si>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</si>
  <si>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</si>
  <si>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</si>
  <si>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</si>
  <si>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</si>
  <si>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</si>
  <si>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</si>
  <si>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</si>
  <si>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</si>
  <si>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</si>
  <si>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</si>
  <si>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</si>
  <si>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</si>
  <si>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</si>
  <si>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</si>
  <si>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</si>
  <si>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</si>
  <si>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</si>
  <si>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</si>
  <si>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</si>
  <si>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</si>
  <si>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</si>
  <si>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</si>
  <si>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</si>
  <si>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</si>
  <si>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</si>
  <si>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</si>
  <si>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</si>
  <si>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</si>
  <si>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</si>
  <si>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</si>
  <si>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</si>
  <si>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</si>
  <si>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</si>
  <si>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</si>
  <si>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</si>
  <si>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</si>
  <si>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</si>
  <si>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</si>
  <si>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</si>
  <si>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</si>
  <si>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</si>
  <si>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</si>
  <si>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</si>
  <si>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</si>
  <si>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</si>
  <si>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</si>
  <si>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</si>
  <si>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</si>
  <si>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</si>
  <si>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</si>
  <si>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</si>
  <si>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</si>
  <si>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</si>
  <si>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</si>
  <si>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</si>
  <si>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</si>
  <si>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</si>
  <si>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</si>
  <si>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</si>
  <si>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</si>
  <si>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</si>
  <si>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</si>
  <si>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</si>
  <si>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</si>
  <si>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</si>
  <si>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</si>
  <si>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</si>
  <si>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</si>
  <si>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</si>
  <si>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</si>
  <si>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</si>
  <si>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</si>
  <si>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</si>
  <si>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</si>
  <si>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</si>
  <si>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</si>
  <si>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</si>
  <si>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</si>
  <si>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</si>
  <si>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</si>
  <si>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</si>
  <si>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</si>
  <si>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</si>
  <si>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</si>
  <si>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</si>
  <si>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</si>
  <si>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</si>
  <si>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</si>
  <si>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</si>
  <si>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</si>
  <si>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</si>
  <si>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</si>
  <si>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</si>
  <si>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</si>
  <si>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</si>
  <si>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</si>
  <si>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</si>
  <si>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</si>
  <si>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</si>
  <si>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</si>
  <si>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</si>
  <si>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</si>
  <si>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</si>
  <si>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</si>
  <si>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</si>
  <si>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</si>
  <si>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</si>
  <si>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</si>
  <si>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</si>
  <si>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</si>
  <si>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</si>
  <si>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</si>
  <si>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</si>
  <si>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</si>
  <si>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</si>
  <si>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</si>
  <si>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</si>
  <si>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</si>
  <si>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Marvell Technology Group Ltd.</t>
  </si>
  <si>
    <t>Within the last 12 months, Morgan Stanley has provided or is providing investment banking services to,</t>
  </si>
  <si>
    <t>or has an investment banking client relationship with, the following company: Marvell Technology Group</t>
  </si>
  <si>
    <t>Ltd.</t>
  </si>
  <si>
    <t>Within the last 12 months, Morgan Stanley has received compensation for products and services other than</t>
  </si>
  <si>
    <t>investment banking services from Marvell Technology Group Ltd.</t>
  </si>
  <si>
    <t>In the next 3 months, Morgan Stanley expects to receive or intends to seek compensation for investment</t>
  </si>
  <si>
    <t>banking services from Marvell Technology Group Ltd.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</si>
  <si>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</si>
  <si>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</si>
  <si>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</si>
  <si>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</si>
  <si>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</si>
  <si>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Joseph Moore.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</si>
  <si>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</si>
  <si>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</si>
  <si>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</si>
  <si>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</si>
  <si>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</si>
  <si>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</si>
  <si>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</si>
  <si>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</si>
  <si>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</si>
  <si>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</si>
  <si>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</si>
  <si>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</si>
  <si>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</si>
  <si>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</si>
  <si>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</si>
  <si>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</si>
  <si>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</si>
  <si>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</si>
  <si>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</si>
  <si>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</si>
  <si>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</si>
  <si>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</si>
  <si>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</si>
  <si>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</si>
  <si>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</si>
  <si>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</si>
  <si>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</si>
  <si>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Description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</si>
  <si>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</si>
  <si>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</si>
  <si>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</si>
  <si>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</si>
  <si>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</si>
  <si>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</si>
  <si>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</si>
  <si>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</si>
  <si>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</si>
  <si>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</si>
  <si>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</si>
  <si>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</si>
  <si>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</si>
  <si>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</si>
  <si>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</si>
  <si>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</si>
  <si>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</si>
  <si>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</si>
  <si>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</si>
  <si>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</si>
  <si>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</si>
  <si>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</si>
  <si>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</si>
  <si>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</si>
  <si>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</si>
  <si>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</si>
  <si>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</si>
  <si>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</si>
  <si>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</si>
  <si>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</si>
  <si>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</si>
  <si>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</si>
  <si>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</si>
  <si>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</si>
  <si>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</si>
  <si>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</si>
  <si>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</si>
  <si>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</si>
  <si>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</si>
  <si>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</si>
  <si>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Quarterly Update</t>
  </si>
  <si>
    <t>NorthAmerica</t>
  </si>
  <si>
    <t>vinayakr</t>
  </si>
  <si>
    <t>MSA32FNJ, MSA89GWN, MSA68HLF</t>
  </si>
  <si>
    <t>G5876H105</t>
  </si>
  <si>
    <t>L:\SEMI CAP\Joe Files\Companies\MRVL\MRVL_WIP2.xlsm</t>
  </si>
  <si>
    <t>Please publish MRVL model after the note has gone out..Thanks</t>
  </si>
  <si>
    <t>[BRO MSA]</t>
  </si>
  <si>
    <t>[PRODUCT MODEL]</t>
  </si>
  <si>
    <t>[EMAIL_ALERT YES]</t>
  </si>
  <si>
    <t>[DISCIPLINE Company]</t>
  </si>
  <si>
    <t>[SUPPRESSED NO]</t>
  </si>
  <si>
    <t>[DOCDAT 2018-03-08]</t>
  </si>
  <si>
    <t>[DOCTIME 21:30]</t>
  </si>
  <si>
    <t>[PSYM MRVL.O(S&amp;P) (None)]</t>
  </si>
  <si>
    <t>[COU 3]</t>
  </si>
  <si>
    <t>[ANA MSA89GWN MSA68HLF]</t>
  </si>
  <si>
    <t>[HL MRVL.O Model]</t>
  </si>
  <si>
    <t>[IND SEMICO]</t>
  </si>
  <si>
    <t>[PANA MSA32FNJ]</t>
  </si>
  <si>
    <t>Target Price: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</si>
</sst>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4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&quot;$&quot;#,##0.0_);\(&quot;$&quot;#,##0.0\)"/>
    <numFmt numFmtId="166" formatCode="_(&quot;$&quot;* #,##0.0_);_(&quot;$&quot;* \(#,##0.0\);_(&quot;$&quot;* &quot;-&quot;?_);_(@_)"/>
    <numFmt numFmtId="167" formatCode="_(* #,##0.0_);_(* \(#,##0.0\);_(* &quot;-&quot;?_);_(@_)"/>
    <numFmt numFmtId="168" formatCode="0.0%"/>
    <numFmt numFmtId="169" formatCode="_(&quot;$&quot;* #,##0.0_);_(&quot;$&quot;* \(#,##0.0\);_(&quot;$&quot;* &quot;-&quot;_);_(@_)"/>
    <numFmt numFmtId="170" formatCode="_(* #,##0.000_);_(* \(#,##0.000\);_(* &quot;-&quot;?_);_(@_)"/>
    <numFmt numFmtId="171" formatCode="_(&quot;$&quot;* #,##0.0000_);_(&quot;$&quot;* \(#,##0.0000\);_(&quot;$&quot;* &quot;-&quot;_);_(@_)"/>
    <numFmt numFmtId="172" formatCode="_(&quot;$&quot;* #,##0.000_);_(&quot;$&quot;* \(#,##0.000\);_(&quot;$&quot;* &quot;-&quot;_);_(@_)"/>
    <numFmt numFmtId="173" formatCode="_(&quot;$&quot;* #,##0.00_);_(&quot;$&quot;* \(#,##0.00\);_(&quot;$&quot;* &quot;-&quot;_);_(@_)"/>
    <numFmt numFmtId="174" formatCode="_(* #,##0.00_);_(* \(#,##0.00\);_(* &quot;-&quot;?_);_(@_)"/>
    <numFmt numFmtId="175" formatCode="_(* #,##0.0_);_(* \(#,##0.0\);_(* &quot;-&quot;_);_(@_)"/>
    <numFmt numFmtId="176" formatCode="_(* #,##0.0_);_(* \(#,##0.0\);_(* &quot;-&quot;??_);_(@_)"/>
    <numFmt numFmtId="177" formatCode="0.0;[Red]0.0"/>
    <numFmt numFmtId="178" formatCode="#,##0.0_);\(#,##0.0\)"/>
    <numFmt numFmtId="179" formatCode="_(* #,##0.00_);_(* \(#,##0.00\);_(* &quot;-&quot;_);_(@_)"/>
    <numFmt numFmtId="180" formatCode="_(* #,##0.000_);_(* \(#,##0.000\);_(* &quot;-&quot;??_);_(@_)"/>
    <numFmt numFmtId="181" formatCode="_(* #,##0.0000_);_(* \(#,##0.0000\);_(* &quot;-&quot;??_);_(@_)"/>
    <numFmt numFmtId="182" formatCode="0.00_);\(0.00\)"/>
    <numFmt numFmtId="183" formatCode="_(* #,##0_);_(* \(#,##0\);_(* &quot;-&quot;??_);_(@_)"/>
    <numFmt numFmtId="184" formatCode="#,##0.0_);\(#,##0.0\);#,##0.0_);@_)"/>
    <numFmt numFmtId="185" formatCode="0.0"/>
    <numFmt numFmtId="186" formatCode="&quot;$&quot;#,##0.0_);\(&quot;$&quot;#,##0.0\);&quot;$&quot;#,##0.0_);@_)"/>
    <numFmt numFmtId="187" formatCode="#,##0%_);\(#,##0%\);#,##0%_);@_)"/>
    <numFmt numFmtId="188" formatCode="#,##0.000_);\(#,##0.000\);#,##0.000_);@_)"/>
    <numFmt numFmtId="189" formatCode="#,##0.0"/>
    <numFmt numFmtId="190" formatCode="_(&quot;$&quot;* #,##0.0_);_(&quot;$&quot;* \(#,##0.0\);_(&quot;$&quot;* &quot;-&quot;??_);_(@_)"/>
    <numFmt numFmtId="191" formatCode="0.000"/>
    <numFmt numFmtId="192" formatCode="_(&quot;$&quot;* #,##0_);_(&quot;$&quot;* \(#,##0\);_(&quot;$&quot;* &quot;-&quot;??_);_(@_)"/>
    <numFmt numFmtId="193" formatCode="&quot;$&quot;#,##0.0_);[Red]\(&quot;$&quot;#,##0.0\)"/>
    <numFmt numFmtId="194" formatCode="_(* #,##0.000_);_(* \(#,##0.000\);_(* &quot;-&quot;_);_(@_)"/>
    <numFmt numFmtId="195" formatCode="#,##0.0_);[Red]\(#,##0.0\)"/>
    <numFmt numFmtId="196" formatCode="0_)"/>
    <numFmt numFmtId="197" formatCode="_(* #,##0.000000_);_(* \(#,##0.000000\);_(* &quot;-&quot;??_);_(@_)"/>
    <numFmt numFmtId="198" formatCode="0.0%_);\(0.0%\);&quot;–&quot;_)"/>
    <numFmt numFmtId="199" formatCode="_(* #,##0.000_);_(* \(#,##0.000\);_(* &quot;-&quot;???_);_(@_)"/>
    <numFmt numFmtId="200" formatCode="&quot;$&quot;#,##0.0;\(&quot;$&quot;#,##0.0\)"/>
    <numFmt numFmtId="201" formatCode="\£\ #,##0_);[Red]\(\£\ #,##0\)"/>
    <numFmt numFmtId="202" formatCode="\¥\ #,##0_);[Red]\(\¥\ #,##0\)"/>
    <numFmt numFmtId="203" formatCode="_(* #,##0.0_);_(* \(#,##0.0\);_(* &quot;--- &quot;_)"/>
    <numFmt numFmtId="204" formatCode="General_)"/>
    <numFmt numFmtId="205" formatCode="\•\ \ @"/>
    <numFmt numFmtId="206" formatCode="0.000_)"/>
    <numFmt numFmtId="207" formatCode="\ \ _•\–\ \ \ \ @"/>
    <numFmt numFmtId="208" formatCode="#,##0.0;\(###0.0\)"/>
    <numFmt numFmtId="209" formatCode="mmm\-yyyy"/>
    <numFmt numFmtId="210" formatCode="0.00_)"/>
    <numFmt numFmtId="211" formatCode="0.00000000000000000%"/>
    <numFmt numFmtId="212" formatCode="#,##0.0;\(#,##0.0\)"/>
    <numFmt numFmtId="213" formatCode="0.00\ "/>
    <numFmt numFmtId="214" formatCode="#,##0_);\(#,##0\);\-_)"/>
    <numFmt numFmtId="215" formatCode="_(#,##0_)\ &quot;e&quot;;\(#,##0\)\ &quot;e&quot;"/>
    <numFmt numFmtId="216" formatCode="_([$€-2]* #,##0.00_);_([$€-2]* \(#,##0.00\);_([$€-2]* &quot;-&quot;??_)"/>
    <numFmt numFmtId="217" formatCode="_-* #,##0.00_-;\-* #,##0.00_-;_-* &quot;-&quot;??_-;_-@_-"/>
    <numFmt numFmtId="218" formatCode="&quot;$&quot;#,##0.000_);[Red]\(&quot;$&quot;#,##0.000\)"/>
    <numFmt numFmtId="219" formatCode="&quot;Ç&quot;\ &quot;´&quot;&quot;´&quot;&quot;´&quot;&quot;´&quot;\ &quot;»&quot;&quot;»&quot;&quot;»&quot;&quot;»&quot;"/>
    <numFmt numFmtId="220" formatCode="0.0_)\%;\(0.0\)\%;0.0_)\%;@_)_%"/>
    <numFmt numFmtId="221" formatCode="&quot;$&quot;_(#,##0.00_);&quot;$&quot;\(#,##0.00\);&quot;$&quot;_(0.00_);@_)"/>
    <numFmt numFmtId="222" formatCode="#,##0.0_)_x;\(#,##0.0\)_x;0.0_)_x;@_)_x"/>
    <numFmt numFmtId="223" formatCode="0.0%;\(0.0%\)"/>
    <numFmt numFmtId="224" formatCode="0.0%_);\(0.0%\)"/>
    <numFmt numFmtId="225" formatCode="0.00\ \ \ \ "/>
    <numFmt numFmtId="226" formatCode="yyyy"/>
    <numFmt numFmtId="227" formatCode="0.00%_);[Red]\(0.00%\)"/>
    <numFmt numFmtId="228" formatCode="0.0%_);[Red]\(0.0%\)"/>
    <numFmt numFmtId="229" formatCode="#,##0.000_);[Red]\(#,##0.000\)"/>
    <numFmt numFmtId="230" formatCode="0.00%;[Red]\(0.00%\)"/>
    <numFmt numFmtId="231" formatCode="&quot;Fr.&quot;#,##0_);[Red]\(&quot;Fr.&quot;#,##0\)"/>
    <numFmt numFmtId="232" formatCode="&quot;£&quot;\ #,##0_);[Red]\(&quot;£&quot;\ #,##0\)"/>
    <numFmt numFmtId="233" formatCode="&quot;\&quot;\ #,##0_);[Red]\(&quot;\&quot;\ #,##0\)"/>
    <numFmt numFmtId="234" formatCode="&quot;•&quot;\ \ @"/>
    <numFmt numFmtId="235" formatCode="#,##0.00000;[Red]\(#,##0.00000\)"/>
    <numFmt numFmtId="236" formatCode="&quot;$&quot;#,##0.00;\(&quot;$&quot;#,##0.00\)"/>
    <numFmt numFmtId="237" formatCode="_ * #,##0_)_£_ ;_ * \(#,##0\)_£_ ;_ * &quot;-&quot;_)_£_ ;_ @_ "/>
    <numFmt numFmtId="238" formatCode="&quot;$&quot;#,##0.0;[Red]\(&quot;$&quot;#,##0.0\)"/>
    <numFmt numFmtId="239" formatCode="\ \ _•&quot;–&quot;\ \ \ \ @"/>
    <numFmt numFmtId="240" formatCode="#,##0.0;[Red]\(#,##0.0\)"/>
    <numFmt numFmtId="241" formatCode="#,##0;[Red]\(#,##0\)"/>
    <numFmt numFmtId="242" formatCode="#,##0.00\x_);[Red]\(#,##0.00\x\)"/>
    <numFmt numFmtId="243" formatCode="0%;[Red]\(0%\)"/>
    <numFmt numFmtId="244" formatCode="_-&quot;$&quot;* #,##0_-;\-&quot;$&quot;* #,##0_-;_-&quot;$&quot;* &quot;-&quot;_-;_-@_-"/>
    <numFmt numFmtId="245" formatCode="_-* #,##0_-;\-* #,##0_-;_-* &quot;-&quot;_-;_-@_-"/>
    <numFmt numFmtId="246" formatCode="&quot;¥&quot;\ #,##0_);[Red]\(&quot;¥&quot;\ #,##0\)"/>
    <numFmt numFmtId="247" formatCode="_-&quot;$&quot;* #,##0.00_-;\-&quot;$&quot;* #,##0.00_-;_-&quot;$&quot;* &quot;-&quot;??_-;_-@_-"/>
    <numFmt numFmtId="248" formatCode="[Blue]General;[Blue]\-General;[Blue]&quot;--&quot;"/>
    <numFmt numFmtId="249" formatCode="&quot;$&quot;#,##0.00;[Red]\(&quot;$&quot;#,##0.00\)"/>
    <numFmt numFmtId="250" formatCode="0.00_);\(0.00\);0.00"/>
    <numFmt numFmtId="251" formatCode="&quot;$&quot;#,##0\ ;\(&quot;$&quot;#,##0\)"/>
    <numFmt numFmtId="252" formatCode="&quot;SFr.&quot;#,##0.00;&quot;SFr.&quot;\-#,##0.00"/>
    <numFmt numFmtId="253" formatCode="0.0%;[Red]\(0.0%\)"/>
    <numFmt numFmtId="254" formatCode="0.00\%;\-0.00\%;0.00\%"/>
    <numFmt numFmtId="255" formatCode="0.00\x;\-0.00\x;0.00\x"/>
    <numFmt numFmtId="256" formatCode="##0.00000"/>
    <numFmt numFmtId="257" formatCode="&quot;?G&quot;#,##0.00;\-&quot;?G&quot;#,###"/>
    <numFmt numFmtId="258" formatCode="#,###,##0"/>
    <numFmt numFmtId="259" formatCode="&quot;DM&quot;#,##0.00;[Red]\-&quot;DM&quot;#,##0.00"/>
    <numFmt numFmtId="260" formatCode="mm/dd/yy\ hh:mm"/>
  </numFmts>
  <fonts count="27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Arial"/>
      <family val="2"/>
    </font>
    <font>
      <sz val="12"/>
      <color indexed="8"/>
      <name val="Arial MT"/>
    </font>
    <font>
      <b/>
      <sz val="11"/>
      <color indexed="12"/>
      <name val="Arial"/>
      <family val="2"/>
    </font>
    <font>
      <sz val="9"/>
      <color indexed="8"/>
      <name val="Arial MT"/>
    </font>
    <font>
      <sz val="11"/>
      <name val="Arial"/>
      <family val="2"/>
    </font>
    <font>
      <sz val="11"/>
      <color indexed="12"/>
      <name val="Arial"/>
      <family val="2"/>
    </font>
    <font>
      <sz val="11"/>
      <color indexed="53"/>
      <name val="Arial"/>
      <family val="2"/>
    </font>
    <font>
      <i/>
      <sz val="11"/>
      <name val="Arial"/>
      <family val="2"/>
    </font>
    <font>
      <i/>
      <sz val="11"/>
      <color indexed="12"/>
      <name val="Arial"/>
      <family val="2"/>
    </font>
    <font>
      <b/>
      <sz val="11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1"/>
      <color indexed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  <font>
      <b/>
      <sz val="8"/>
      <color indexed="81"/>
      <name val="Tahoma"/>
      <family val="2"/>
    </font>
    <font>
      <b/>
      <sz val="16"/>
      <color indexed="53"/>
      <name val="Arial"/>
      <family val="2"/>
    </font>
    <font>
      <sz val="11"/>
      <color indexed="12"/>
      <name val="Arial"/>
      <family val="2"/>
    </font>
    <font>
      <sz val="11"/>
      <color indexed="53"/>
      <name val="Arial"/>
      <family val="2"/>
    </font>
    <font>
      <b/>
      <sz val="11"/>
      <color indexed="12"/>
      <name val="Arial"/>
      <family val="2"/>
    </font>
    <font>
      <i/>
      <sz val="11"/>
      <name val="Arial"/>
      <family val="2"/>
    </font>
    <font>
      <sz val="11"/>
      <color indexed="8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name val="Arial"/>
      <family val="2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8"/>
      <color indexed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10"/>
      <color indexed="8"/>
      <name val="MS Sans Serif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tahoma"/>
      <family val="2"/>
    </font>
    <font>
      <sz val="8"/>
      <color indexed="8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b/>
      <sz val="10"/>
      <color indexed="81"/>
      <name val="Arial"/>
      <family val="2"/>
    </font>
    <font>
      <sz val="10"/>
      <color indexed="81"/>
      <name val="Arial"/>
      <family val="2"/>
    </font>
    <font>
      <b/>
      <sz val="11"/>
      <color indexed="81"/>
      <name val="Arial"/>
      <family val="2"/>
    </font>
    <font>
      <sz val="11"/>
      <color indexed="81"/>
      <name val="Arial"/>
      <family val="2"/>
    </font>
    <font>
      <sz val="9"/>
      <name val="Arial"/>
      <family val="2"/>
    </font>
    <font>
      <b/>
      <sz val="12"/>
      <color indexed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i/>
      <sz val="9"/>
      <name val="Arial"/>
      <family val="2"/>
    </font>
    <font>
      <u/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i/>
      <sz val="11"/>
      <color rgb="FF000000"/>
      <name val="Arial"/>
      <family val="2"/>
    </font>
    <font>
      <sz val="10"/>
      <color rgb="FF000000"/>
      <name val="Arial"/>
      <family val="2"/>
    </font>
    <font>
      <u/>
      <sz val="10"/>
      <color indexed="8"/>
      <name val="Arial"/>
      <family val="2"/>
    </font>
    <font>
      <sz val="11"/>
      <color theme="9" tint="-0.249977111117893"/>
      <name val="Arial"/>
      <family val="2"/>
    </font>
    <font>
      <sz val="11"/>
      <color rgb="FF0070C0"/>
      <name val="Arial"/>
      <family val="2"/>
    </font>
    <font>
      <sz val="7"/>
      <name val="Arial"/>
      <family val="2"/>
    </font>
    <font>
      <b/>
      <sz val="9"/>
      <color indexed="8"/>
      <name val="Arial"/>
      <family val="2"/>
    </font>
    <font>
      <sz val="8"/>
      <name val="Tms Rmn"/>
    </font>
    <font>
      <sz val="10"/>
      <name val="Helv"/>
      <family val="2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4"/>
      <color indexed="32"/>
      <name val="Times New Roman"/>
      <family val="1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color indexed="12"/>
      <name val="Times New Roman"/>
      <family val="1"/>
    </font>
    <font>
      <sz val="10"/>
      <name val="GillSans Light"/>
    </font>
    <font>
      <sz val="7"/>
      <name val="Small Fonts"/>
      <family val="2"/>
    </font>
    <font>
      <b/>
      <i/>
      <sz val="16"/>
      <name val="Helv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sz val="10"/>
      <name val="Segoe UI"/>
      <family val="2"/>
    </font>
    <font>
      <sz val="10"/>
      <color indexed="4"/>
      <name val="Segoe UI"/>
      <family val="2"/>
    </font>
    <font>
      <b/>
      <sz val="10"/>
      <color indexed="0"/>
      <name val="Segoe UI"/>
      <family val="2"/>
    </font>
    <font>
      <sz val="10"/>
      <color indexed="2"/>
      <name val="Segoe UI"/>
      <family val="2"/>
    </font>
    <font>
      <b/>
      <i/>
      <sz val="10"/>
      <color indexed="4"/>
      <name val="Segoe UI"/>
      <family val="2"/>
    </font>
    <font>
      <sz val="10"/>
      <color indexed="2"/>
      <name val="Tahoma"/>
      <family val="2"/>
    </font>
    <font>
      <b/>
      <sz val="10"/>
      <color indexed="0"/>
      <name val="Tahoma"/>
      <family val="2"/>
    </font>
    <font>
      <sz val="10"/>
      <name val="Tahoma"/>
      <family val="2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10"/>
      <color theme="1"/>
      <name val="Arial"/>
      <family val="2"/>
    </font>
    <font>
      <u/>
      <sz val="9"/>
      <color indexed="12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indexed="62"/>
      <name val="Arial"/>
      <family val="2"/>
    </font>
    <font>
      <sz val="12"/>
      <name val="Osaka"/>
      <family val="3"/>
      <charset val="128"/>
    </font>
    <font>
      <sz val="11"/>
      <name val="ＭＳ Ｐゴシック"/>
      <family val="3"/>
      <charset val="128"/>
    </font>
    <font>
      <sz val="10"/>
      <name val="Courier"/>
      <family val="3"/>
    </font>
    <font>
      <sz val="12"/>
      <name val="바탕체"/>
      <family val="3"/>
    </font>
    <font>
      <sz val="12"/>
      <name val="新細明體"/>
      <family val="1"/>
      <charset val="136"/>
    </font>
    <font>
      <u/>
      <sz val="8.5"/>
      <color indexed="12"/>
      <name val="Arial"/>
      <family val="2"/>
    </font>
    <font>
      <u/>
      <sz val="8"/>
      <color indexed="12"/>
      <name val="Arial"/>
      <family val="2"/>
    </font>
    <font>
      <sz val="12"/>
      <name val="바탕체"/>
      <family val="1"/>
    </font>
    <font>
      <sz val="10"/>
      <color indexed="63"/>
      <name val="Verdana"/>
      <family val="2"/>
    </font>
    <font>
      <sz val="10"/>
      <color indexed="9"/>
      <name val="Verdana"/>
      <family val="2"/>
    </font>
    <font>
      <b/>
      <sz val="10"/>
      <color indexed="9"/>
      <name val="Verdana"/>
      <family val="2"/>
    </font>
    <font>
      <b/>
      <sz val="10"/>
      <color indexed="63"/>
      <name val="Verdana"/>
      <family val="2"/>
    </font>
    <font>
      <u/>
      <sz val="11"/>
      <color indexed="24"/>
      <name val="Calibri"/>
      <family val="2"/>
    </font>
    <font>
      <u/>
      <sz val="11"/>
      <color indexed="2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etica"/>
      <family val="2"/>
    </font>
    <font>
      <sz val="12"/>
      <name val="¹UAAA¼"/>
      <family val="1"/>
      <charset val="129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b/>
      <sz val="11"/>
      <color indexed="10"/>
      <name val="Calibri"/>
      <family val="2"/>
    </font>
    <font>
      <sz val="11"/>
      <color indexed="19"/>
      <name val="Calibri"/>
      <family val="2"/>
    </font>
    <font>
      <sz val="12"/>
      <name val="뼻뮝"/>
      <family val="1"/>
      <charset val="129"/>
    </font>
    <font>
      <sz val="12"/>
      <name val="바탕체"/>
      <family val="3"/>
      <charset val="129"/>
    </font>
    <font>
      <sz val="8"/>
      <color indexed="8"/>
      <name val="Arial"/>
      <family val="2"/>
    </font>
    <font>
      <b/>
      <sz val="8"/>
      <color indexed="8"/>
      <name val="Arial"/>
      <family val="2"/>
    </font>
    <font>
      <u/>
      <sz val="8.5"/>
      <color indexed="9"/>
      <name val="Arial"/>
      <family val="2"/>
    </font>
    <font>
      <sz val="12"/>
      <name val="바탕체"/>
      <family val="1"/>
      <charset val="129"/>
    </font>
    <font>
      <sz val="10"/>
      <name val="GillSans"/>
      <family val="2"/>
    </font>
    <font>
      <sz val="7"/>
      <color indexed="8"/>
      <name val="Avenir LT Std 35 Light"/>
      <family val="2"/>
    </font>
    <font>
      <b/>
      <sz val="8"/>
      <name val="Times New Roman"/>
      <family val="1"/>
    </font>
    <font>
      <sz val="8"/>
      <color indexed="8"/>
      <name val="Times New Roman"/>
      <family val="1"/>
    </font>
    <font>
      <sz val="8"/>
      <color indexed="18"/>
      <name val="Times New Roman"/>
      <family val="1"/>
    </font>
    <font>
      <sz val="10"/>
      <name val="Geneva"/>
    </font>
    <font>
      <sz val="8"/>
      <color indexed="17"/>
      <name val="Times New Roman"/>
      <family val="1"/>
    </font>
    <font>
      <sz val="11"/>
      <name val="明朝"/>
      <family val="1"/>
      <charset val="128"/>
    </font>
    <font>
      <sz val="12"/>
      <name val="???"/>
      <family val="1"/>
      <charset val="129"/>
    </font>
    <font>
      <sz val="11"/>
      <name val="??"/>
      <family val="1"/>
    </font>
    <font>
      <u/>
      <sz val="8.4"/>
      <color indexed="12"/>
      <name val="Arial"/>
      <family val="2"/>
    </font>
    <font>
      <sz val="9"/>
      <name val="‚l‚r –¾’©"/>
      <family val="1"/>
      <charset val="128"/>
    </font>
    <font>
      <sz val="12"/>
      <name val="Arial MT"/>
      <family val="2"/>
    </font>
    <font>
      <sz val="8"/>
      <color indexed="12"/>
      <name val="Tms Rmn"/>
      <family val="1"/>
    </font>
    <font>
      <sz val="12"/>
      <name val="Tms Rmn"/>
      <family val="1"/>
    </font>
    <font>
      <i/>
      <sz val="10"/>
      <name val="Tms Rmn"/>
    </font>
    <font>
      <sz val="8"/>
      <name val="Tms Rmn"/>
      <family val="1"/>
    </font>
    <font>
      <u/>
      <sz val="8"/>
      <name val="Times New Roman"/>
      <family val="1"/>
    </font>
    <font>
      <sz val="10"/>
      <name val="MS Serif"/>
      <family val="1"/>
    </font>
    <font>
      <b/>
      <sz val="14"/>
      <name val="Tms Rmn"/>
    </font>
    <font>
      <sz val="10"/>
      <color indexed="16"/>
      <name val="MS Serif"/>
      <family val="1"/>
    </font>
    <font>
      <sz val="10"/>
      <color indexed="2"/>
      <name val="MS UI Gothic"/>
      <family val="3"/>
    </font>
    <font>
      <b/>
      <sz val="10"/>
      <color indexed="0"/>
      <name val="MS UI Gothic"/>
      <family val="3"/>
    </font>
    <font>
      <b/>
      <u/>
      <sz val="11"/>
      <color indexed="37"/>
      <name val="Arial"/>
      <family val="2"/>
    </font>
    <font>
      <sz val="11"/>
      <name val="??"/>
      <family val="3"/>
      <charset val="129"/>
    </font>
    <font>
      <sz val="10"/>
      <name val="MS UI Gothic"/>
      <family val="3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i/>
      <sz val="10"/>
      <color indexed="4"/>
      <name val="MS UI Gothic"/>
      <family val="3"/>
    </font>
    <font>
      <sz val="10"/>
      <color indexed="4"/>
      <name val="MS UI Gothic"/>
      <family val="3"/>
    </font>
    <font>
      <b/>
      <sz val="12"/>
      <name val="Tms Rmn"/>
      <family val="1"/>
    </font>
    <font>
      <sz val="6"/>
      <color indexed="12"/>
      <name val="Tms Rmn"/>
    </font>
    <font>
      <sz val="14"/>
      <name val="Terminal"/>
      <family val="3"/>
      <charset val="255"/>
    </font>
    <font>
      <sz val="6"/>
      <name val="Tms Rmn"/>
    </font>
    <font>
      <sz val="7"/>
      <name val="Times New Roman"/>
      <family val="1"/>
    </font>
    <font>
      <sz val="7"/>
      <color indexed="17"/>
      <name val="Times New Roman"/>
      <family val="1"/>
    </font>
    <font>
      <b/>
      <sz val="8"/>
      <color indexed="8"/>
      <name val="Helv"/>
      <family val="2"/>
    </font>
    <font>
      <b/>
      <sz val="8"/>
      <color indexed="18"/>
      <name val="Times New Roman"/>
      <family val="1"/>
    </font>
    <font>
      <sz val="7"/>
      <color indexed="12"/>
      <name val="Tms Rmn"/>
    </font>
    <font>
      <sz val="8"/>
      <color indexed="16"/>
      <name val="Helv"/>
      <family val="2"/>
    </font>
    <font>
      <sz val="14"/>
      <name val="ＭＳ 明朝"/>
      <family val="1"/>
      <charset val="128"/>
    </font>
    <font>
      <sz val="11"/>
      <color indexed="16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b/>
      <sz val="18"/>
      <color indexed="18"/>
      <name val="Cambria"/>
      <family val="2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sz val="10"/>
      <color indexed="8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i/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11"/>
      <color indexed="53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13"/>
      <name val="Calibri"/>
      <family val="2"/>
      <scheme val="minor"/>
    </font>
    <font>
      <sz val="8"/>
      <color theme="1"/>
      <name val="Arial"/>
      <family val="2"/>
    </font>
    <font>
      <sz val="7"/>
      <color theme="1"/>
      <name val="Avenir LT Std 35 Light"/>
      <family val="2"/>
    </font>
    <font>
      <b/>
      <sz val="10"/>
      <name val="Helvetica"/>
      <family val="2"/>
    </font>
    <font>
      <sz val="12"/>
      <name val="±¼¸²A¼"/>
      <family val="3"/>
      <charset val="129"/>
    </font>
    <font>
      <sz val="24"/>
      <name val="Arial"/>
      <family val="2"/>
    </font>
    <font>
      <b/>
      <sz val="8"/>
      <name val="Helv"/>
      <family val="2"/>
    </font>
    <font>
      <b/>
      <sz val="14"/>
      <name val="Tms Rmn"/>
      <family val="1"/>
    </font>
    <font>
      <sz val="8"/>
      <color indexed="39"/>
      <name val="Arial"/>
      <family val="2"/>
    </font>
    <font>
      <sz val="10"/>
      <color indexed="12"/>
      <name val="MS Sans Serif"/>
      <family val="2"/>
    </font>
    <font>
      <i/>
      <sz val="10"/>
      <name val="Helv"/>
      <family val="2"/>
    </font>
    <font>
      <sz val="10"/>
      <name val="Garamond"/>
      <family val="1"/>
    </font>
    <font>
      <sz val="9"/>
      <color indexed="18"/>
      <name val="Arial"/>
      <family val="2"/>
    </font>
    <font>
      <sz val="10"/>
      <color indexed="23"/>
      <name val="MS Sans Serif"/>
      <family val="2"/>
    </font>
    <font>
      <b/>
      <sz val="8"/>
      <color indexed="12"/>
      <name val="FrankfurtGothicHeavy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ＭＳ 明朝"/>
      <family val="2"/>
      <charset val="128"/>
    </font>
    <font>
      <sz val="11"/>
      <color theme="1"/>
      <name val="Calibri"/>
      <family val="2"/>
      <charset val="128"/>
      <scheme val="minor"/>
    </font>
    <font>
      <sz val="8"/>
      <color indexed="12"/>
      <name val="Times"/>
      <family val="1"/>
    </font>
    <font>
      <sz val="10"/>
      <color indexed="62"/>
      <name val="Arial"/>
      <family val="2"/>
    </font>
    <font>
      <sz val="10"/>
      <name val="MS Sans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9"/>
      <color indexed="8"/>
      <name val="Arial"/>
      <family val="2"/>
    </font>
    <font>
      <b/>
      <sz val="18"/>
      <color indexed="56"/>
      <name val="Cambria"/>
      <family val="2"/>
    </font>
    <font>
      <sz val="9"/>
      <color indexed="8"/>
      <name val="Arial"/>
      <family val="2"/>
    </font>
    <font>
      <b/>
      <i/>
      <sz val="12"/>
      <color indexed="10"/>
      <name val="Arial"/>
      <family val="2"/>
    </font>
    <font>
      <b/>
      <i/>
      <sz val="10"/>
      <color indexed="8"/>
      <name val="Arial"/>
      <family val="2"/>
    </font>
    <font>
      <b/>
      <sz val="12"/>
      <color rgb="FF000080"/>
      <name val="Arial"/>
      <family val="2"/>
    </font>
  </fonts>
  <fills count="99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8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26"/>
        <bgColor indexed="64"/>
      </patternFill>
    </fill>
    <fill>
      <patternFill patternType="mediumGray"/>
    </fill>
    <fill>
      <patternFill patternType="solid">
        <fgColor rgb="FFFFFFCC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indexed="41"/>
      </patternFill>
    </fill>
    <fill>
      <patternFill patternType="solid">
        <fgColor indexed="60"/>
      </patternFill>
    </fill>
    <fill>
      <patternFill patternType="solid">
        <fgColor indexed="15"/>
      </patternFill>
    </fill>
    <fill>
      <patternFill patternType="solid">
        <fgColor indexed="53"/>
      </patternFill>
    </fill>
    <fill>
      <patternFill patternType="solid">
        <fgColor indexed="28"/>
      </patternFill>
    </fill>
    <fill>
      <patternFill patternType="solid">
        <fgColor indexed="51"/>
      </patternFill>
    </fill>
    <fill>
      <patternFill patternType="solid">
        <fgColor indexed="35"/>
      </patternFill>
    </fill>
    <fill>
      <patternFill patternType="solid">
        <fgColor indexed="56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23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31"/>
      </patternFill>
    </fill>
    <fill>
      <patternFill patternType="solid">
        <fgColor indexed="63"/>
        <bgColor indexed="64"/>
      </patternFill>
    </fill>
    <fill>
      <patternFill patternType="solid">
        <fgColor indexed="56"/>
        <bgColor indexed="64"/>
      </patternFill>
    </fill>
    <fill>
      <patternFill patternType="gray0625"/>
    </fill>
    <fill>
      <patternFill patternType="lightGray">
        <fgColor indexed="12"/>
      </patternFill>
    </fill>
    <fill>
      <patternFill patternType="solid">
        <fgColor indexed="21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lightGray">
        <fgColor indexed="9"/>
      </patternFill>
    </fill>
    <fill>
      <patternFill patternType="gray0625">
        <fgColor indexed="9"/>
        <bgColor indexed="9"/>
      </patternFill>
    </fill>
    <fill>
      <patternFill patternType="lightGray">
        <fgColor indexed="9"/>
        <bgColor indexed="9"/>
      </patternFill>
    </fill>
    <fill>
      <patternFill patternType="solid">
        <fgColor indexed="9"/>
        <bgColor indexed="9"/>
      </patternFill>
    </fill>
    <fill>
      <patternFill patternType="gray125">
        <fgColor indexed="9"/>
        <bgColor indexed="9"/>
      </patternFill>
    </fill>
    <fill>
      <patternFill patternType="gray0625">
        <fgColor indexed="22"/>
      </patternFill>
    </fill>
    <fill>
      <patternFill patternType="gray0625">
        <fgColor indexed="9"/>
      </patternFill>
    </fill>
    <fill>
      <patternFill patternType="lightGray">
        <fgColor indexed="22"/>
      </patternFill>
    </fill>
    <fill>
      <patternFill patternType="solid">
        <fgColor indexed="65"/>
        <bgColor indexed="64"/>
      </patternFill>
    </fill>
  </fills>
  <borders count="7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medium">
        <color indexed="4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double">
        <color indexed="53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0294">
    <xf numFmtId="0" fontId="0" fillId="0" borderId="0"/>
    <xf numFmtId="0" fontId="44" fillId="0" borderId="0" applyNumberFormat="0" applyFont="0" applyFill="0" applyBorder="0" applyAlignment="0" applyProtection="0"/>
    <xf numFmtId="0" fontId="4" fillId="0" borderId="0"/>
    <xf numFmtId="0" fontId="33" fillId="0" borderId="0" applyFill="0" applyAlignment="0">
      <protection locked="0"/>
    </xf>
    <xf numFmtId="0" fontId="30" fillId="0" borderId="0"/>
    <xf numFmtId="0" fontId="30" fillId="0" borderId="0"/>
    <xf numFmtId="196" fontId="30" fillId="0" borderId="0"/>
    <xf numFmtId="0" fontId="62" fillId="2" borderId="0" applyNumberFormat="0" applyBorder="0" applyAlignment="0" applyProtection="0"/>
    <xf numFmtId="0" fontId="62" fillId="3" borderId="0" applyNumberFormat="0" applyBorder="0" applyAlignment="0" applyProtection="0"/>
    <xf numFmtId="0" fontId="62" fillId="4" borderId="0" applyNumberFormat="0" applyBorder="0" applyAlignment="0" applyProtection="0"/>
    <xf numFmtId="0" fontId="62" fillId="2" borderId="0" applyNumberFormat="0" applyBorder="0" applyAlignment="0" applyProtection="0"/>
    <xf numFmtId="0" fontId="62" fillId="5" borderId="0" applyNumberFormat="0" applyBorder="0" applyAlignment="0" applyProtection="0"/>
    <xf numFmtId="0" fontId="62" fillId="4" borderId="0" applyNumberFormat="0" applyBorder="0" applyAlignment="0" applyProtection="0"/>
    <xf numFmtId="0" fontId="62" fillId="6" borderId="0" applyNumberFormat="0" applyBorder="0" applyAlignment="0" applyProtection="0"/>
    <xf numFmtId="0" fontId="62" fillId="3" borderId="0" applyNumberFormat="0" applyBorder="0" applyAlignment="0" applyProtection="0"/>
    <xf numFmtId="0" fontId="62" fillId="4" borderId="0" applyNumberFormat="0" applyBorder="0" applyAlignment="0" applyProtection="0"/>
    <xf numFmtId="0" fontId="62" fillId="6" borderId="0" applyNumberFormat="0" applyBorder="0" applyAlignment="0" applyProtection="0"/>
    <xf numFmtId="0" fontId="62" fillId="7" borderId="0" applyNumberFormat="0" applyBorder="0" applyAlignment="0" applyProtection="0"/>
    <xf numFmtId="0" fontId="62" fillId="4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6" borderId="0" applyNumberFormat="0" applyBorder="0" applyAlignment="0" applyProtection="0"/>
    <xf numFmtId="0" fontId="63" fillId="8" borderId="0" applyNumberFormat="0" applyBorder="0" applyAlignment="0" applyProtection="0"/>
    <xf numFmtId="0" fontId="63" fillId="4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10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4" fillId="11" borderId="0" applyNumberFormat="0" applyBorder="0" applyAlignment="0" applyProtection="0"/>
    <xf numFmtId="0" fontId="31" fillId="0" borderId="0"/>
    <xf numFmtId="0" fontId="65" fillId="12" borderId="1" applyNumberFormat="0" applyAlignment="0" applyProtection="0"/>
    <xf numFmtId="0" fontId="66" fillId="13" borderId="2" applyNumberFormat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83" fillId="0" borderId="0" applyFont="0" applyFill="0" applyBorder="0" applyAlignment="0" applyProtection="0"/>
    <xf numFmtId="44" fontId="84" fillId="0" borderId="0" applyFont="0" applyFill="0" applyBorder="0" applyAlignment="0" applyProtection="0"/>
    <xf numFmtId="44" fontId="85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68" fillId="14" borderId="0" applyNumberFormat="0" applyBorder="0" applyAlignment="0" applyProtection="0"/>
    <xf numFmtId="0" fontId="69" fillId="0" borderId="3" applyNumberFormat="0" applyFill="0" applyAlignment="0" applyProtection="0"/>
    <xf numFmtId="0" fontId="70" fillId="0" borderId="4" applyNumberFormat="0" applyFill="0" applyAlignment="0" applyProtection="0"/>
    <xf numFmtId="0" fontId="71" fillId="0" borderId="5" applyNumberFormat="0" applyFill="0" applyAlignment="0" applyProtection="0"/>
    <xf numFmtId="0" fontId="71" fillId="0" borderId="0" applyNumberFormat="0" applyFill="0" applyBorder="0" applyAlignment="0" applyProtection="0"/>
    <xf numFmtId="0" fontId="72" fillId="4" borderId="1" applyNumberFormat="0" applyAlignment="0" applyProtection="0"/>
    <xf numFmtId="0" fontId="73" fillId="0" borderId="6" applyNumberFormat="0" applyFill="0" applyAlignment="0" applyProtection="0"/>
    <xf numFmtId="0" fontId="74" fillId="4" borderId="0" applyNumberFormat="0" applyBorder="0" applyAlignment="0" applyProtection="0"/>
    <xf numFmtId="0" fontId="7" fillId="0" borderId="0"/>
    <xf numFmtId="165" fontId="9" fillId="0" borderId="0"/>
    <xf numFmtId="0" fontId="7" fillId="0" borderId="0"/>
    <xf numFmtId="0" fontId="44" fillId="0" borderId="0" applyNumberFormat="0" applyFont="0" applyFill="0" applyBorder="0" applyAlignment="0" applyProtection="0"/>
    <xf numFmtId="0" fontId="4" fillId="4" borderId="7" applyNumberFormat="0" applyFont="0" applyAlignment="0" applyProtection="0"/>
    <xf numFmtId="185" fontId="33" fillId="0" borderId="0"/>
    <xf numFmtId="0" fontId="75" fillId="12" borderId="8" applyNumberFormat="0" applyAlignment="0" applyProtection="0"/>
    <xf numFmtId="0" fontId="32" fillId="0" borderId="0">
      <alignment vertical="center"/>
    </xf>
    <xf numFmtId="9" fontId="4" fillId="0" borderId="0" applyFont="0" applyFill="0" applyBorder="0" applyAlignment="0" applyProtection="0"/>
    <xf numFmtId="0" fontId="33" fillId="16" borderId="0" applyNumberFormat="0" applyFont="0" applyBorder="0" applyAlignment="0" applyProtection="0"/>
    <xf numFmtId="178" fontId="34" fillId="0" borderId="0"/>
    <xf numFmtId="0" fontId="34" fillId="0" borderId="0"/>
    <xf numFmtId="0" fontId="34" fillId="0" borderId="9">
      <alignment horizontal="centerContinuous"/>
    </xf>
    <xf numFmtId="0" fontId="35" fillId="0" borderId="9"/>
    <xf numFmtId="0" fontId="4" fillId="0" borderId="0">
      <alignment vertical="top"/>
    </xf>
    <xf numFmtId="0" fontId="76" fillId="0" borderId="0" applyNumberFormat="0" applyFill="0" applyBorder="0" applyAlignment="0" applyProtection="0"/>
    <xf numFmtId="0" fontId="77" fillId="0" borderId="10" applyNumberFormat="0" applyFill="0" applyAlignment="0" applyProtection="0"/>
    <xf numFmtId="0" fontId="78" fillId="0" borderId="0" applyNumberFormat="0" applyFill="0" applyBorder="0" applyAlignment="0" applyProtection="0"/>
    <xf numFmtId="0" fontId="4" fillId="0" borderId="0"/>
    <xf numFmtId="0" fontId="4" fillId="0" borderId="0" applyFill="0" applyAlignment="0">
      <protection locked="0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16" borderId="0" applyNumberFormat="0" applyFont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43" fillId="0" borderId="0">
      <alignment horizontal="right"/>
    </xf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200" fontId="93" fillId="0" borderId="0">
      <alignment horizontal="right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4" fillId="0" borderId="0"/>
    <xf numFmtId="44" fontId="61" fillId="0" borderId="0" applyFont="0" applyFill="0" applyBorder="0" applyAlignment="0" applyProtection="0"/>
    <xf numFmtId="42" fontId="61" fillId="0" borderId="0" applyFont="0" applyFill="0" applyBorder="0" applyAlignment="0" applyProtection="0"/>
    <xf numFmtId="201" fontId="95" fillId="0" borderId="0" applyFont="0" applyFill="0" applyBorder="0" applyAlignment="0" applyProtection="0"/>
    <xf numFmtId="202" fontId="9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96" fillId="0" borderId="0"/>
    <xf numFmtId="0" fontId="30" fillId="0" borderId="0"/>
    <xf numFmtId="0" fontId="30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2" fontId="30" fillId="0" borderId="0"/>
    <xf numFmtId="2" fontId="30" fillId="0" borderId="0"/>
    <xf numFmtId="10" fontId="30" fillId="0" borderId="0"/>
    <xf numFmtId="1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196" fontId="30" fillId="0" borderId="0"/>
    <xf numFmtId="196" fontId="30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0" fontId="62" fillId="2" borderId="0" applyNumberFormat="0" applyBorder="0" applyAlignment="0" applyProtection="0"/>
    <xf numFmtId="0" fontId="62" fillId="2" borderId="0" applyNumberFormat="0" applyBorder="0" applyAlignment="0" applyProtection="0"/>
    <xf numFmtId="0" fontId="62" fillId="3" borderId="0" applyNumberFormat="0" applyBorder="0" applyAlignment="0" applyProtection="0"/>
    <xf numFmtId="0" fontId="62" fillId="3" borderId="0" applyNumberFormat="0" applyBorder="0" applyAlignment="0" applyProtection="0"/>
    <xf numFmtId="0" fontId="62" fillId="4" borderId="0" applyNumberFormat="0" applyBorder="0" applyAlignment="0" applyProtection="0"/>
    <xf numFmtId="0" fontId="62" fillId="4" borderId="0" applyNumberFormat="0" applyBorder="0" applyAlignment="0" applyProtection="0"/>
    <xf numFmtId="0" fontId="62" fillId="2" borderId="0" applyNumberFormat="0" applyBorder="0" applyAlignment="0" applyProtection="0"/>
    <xf numFmtId="0" fontId="62" fillId="2" borderId="0" applyNumberFormat="0" applyBorder="0" applyAlignment="0" applyProtection="0"/>
    <xf numFmtId="0" fontId="62" fillId="5" borderId="0" applyNumberFormat="0" applyBorder="0" applyAlignment="0" applyProtection="0"/>
    <xf numFmtId="0" fontId="62" fillId="5" borderId="0" applyNumberFormat="0" applyBorder="0" applyAlignment="0" applyProtection="0"/>
    <xf numFmtId="0" fontId="62" fillId="4" borderId="0" applyNumberFormat="0" applyBorder="0" applyAlignment="0" applyProtection="0"/>
    <xf numFmtId="0" fontId="62" fillId="4" borderId="0" applyNumberFormat="0" applyBorder="0" applyAlignment="0" applyProtection="0"/>
    <xf numFmtId="0" fontId="62" fillId="6" borderId="0" applyNumberFormat="0" applyBorder="0" applyAlignment="0" applyProtection="0"/>
    <xf numFmtId="0" fontId="62" fillId="6" borderId="0" applyNumberFormat="0" applyBorder="0" applyAlignment="0" applyProtection="0"/>
    <xf numFmtId="0" fontId="62" fillId="3" borderId="0" applyNumberFormat="0" applyBorder="0" applyAlignment="0" applyProtection="0"/>
    <xf numFmtId="0" fontId="62" fillId="3" borderId="0" applyNumberFormat="0" applyBorder="0" applyAlignment="0" applyProtection="0"/>
    <xf numFmtId="0" fontId="62" fillId="4" borderId="0" applyNumberFormat="0" applyBorder="0" applyAlignment="0" applyProtection="0"/>
    <xf numFmtId="0" fontId="62" fillId="4" borderId="0" applyNumberFormat="0" applyBorder="0" applyAlignment="0" applyProtection="0"/>
    <xf numFmtId="0" fontId="62" fillId="6" borderId="0" applyNumberFormat="0" applyBorder="0" applyAlignment="0" applyProtection="0"/>
    <xf numFmtId="0" fontId="62" fillId="6" borderId="0" applyNumberFormat="0" applyBorder="0" applyAlignment="0" applyProtection="0"/>
    <xf numFmtId="0" fontId="62" fillId="7" borderId="0" applyNumberFormat="0" applyBorder="0" applyAlignment="0" applyProtection="0"/>
    <xf numFmtId="0" fontId="62" fillId="7" borderId="0" applyNumberFormat="0" applyBorder="0" applyAlignment="0" applyProtection="0"/>
    <xf numFmtId="0" fontId="62" fillId="4" borderId="0" applyNumberFormat="0" applyBorder="0" applyAlignment="0" applyProtection="0"/>
    <xf numFmtId="0" fontId="62" fillId="4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6" borderId="0" applyNumberFormat="0" applyBorder="0" applyAlignment="0" applyProtection="0"/>
    <xf numFmtId="0" fontId="63" fillId="8" borderId="0" applyNumberFormat="0" applyBorder="0" applyAlignment="0" applyProtection="0"/>
    <xf numFmtId="0" fontId="63" fillId="4" borderId="0" applyNumberFormat="0" applyBorder="0" applyAlignment="0" applyProtection="0"/>
    <xf numFmtId="37" fontId="97" fillId="0" borderId="0">
      <alignment horizontal="center"/>
    </xf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10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203" fontId="98" fillId="0" borderId="0" applyFont="0" applyFill="0" applyBorder="0" applyAlignment="0" applyProtection="0"/>
    <xf numFmtId="204" fontId="99" fillId="0" borderId="0">
      <alignment horizontal="left"/>
    </xf>
    <xf numFmtId="0" fontId="64" fillId="11" borderId="0" applyNumberFormat="0" applyBorder="0" applyAlignment="0" applyProtection="0"/>
    <xf numFmtId="1" fontId="100" fillId="28" borderId="13" applyNumberFormat="0" applyBorder="0" applyAlignment="0">
      <alignment horizontal="center" vertical="top" wrapText="1"/>
      <protection hidden="1"/>
    </xf>
    <xf numFmtId="0" fontId="101" fillId="0" borderId="0" applyNumberFormat="0" applyFill="0" applyBorder="0" applyAlignment="0" applyProtection="0"/>
    <xf numFmtId="0" fontId="102" fillId="0" borderId="20" applyNumberFormat="0" applyFill="0" applyAlignment="0" applyProtection="0"/>
    <xf numFmtId="205" fontId="95" fillId="0" borderId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" fillId="0" borderId="0"/>
    <xf numFmtId="0" fontId="65" fillId="12" borderId="1" applyNumberFormat="0" applyAlignment="0" applyProtection="0"/>
    <xf numFmtId="0" fontId="93" fillId="0" borderId="0">
      <alignment horizontal="right"/>
    </xf>
    <xf numFmtId="1" fontId="103" fillId="0" borderId="0"/>
    <xf numFmtId="0" fontId="66" fillId="13" borderId="2" applyNumberFormat="0" applyAlignment="0" applyProtection="0"/>
    <xf numFmtId="0" fontId="104" fillId="0" borderId="20" applyNumberFormat="0" applyFill="0" applyProtection="0">
      <alignment horizontal="left" vertical="center"/>
    </xf>
    <xf numFmtId="185" fontId="42" fillId="0" borderId="0" applyBorder="0">
      <alignment horizontal="right"/>
    </xf>
    <xf numFmtId="185" fontId="42" fillId="0" borderId="29" applyAlignment="0">
      <alignment horizontal="right"/>
    </xf>
    <xf numFmtId="206" fontId="105" fillId="0" borderId="0"/>
    <xf numFmtId="206" fontId="105" fillId="0" borderId="0"/>
    <xf numFmtId="206" fontId="105" fillId="0" borderId="0"/>
    <xf numFmtId="206" fontId="105" fillId="0" borderId="0"/>
    <xf numFmtId="206" fontId="105" fillId="0" borderId="0"/>
    <xf numFmtId="206" fontId="105" fillId="0" borderId="0"/>
    <xf numFmtId="206" fontId="105" fillId="0" borderId="0"/>
    <xf numFmtId="206" fontId="105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6" fillId="0" borderId="0"/>
    <xf numFmtId="0" fontId="107" fillId="0" borderId="0" applyFill="0" applyBorder="0">
      <alignment horizontal="left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207" fontId="95" fillId="0" borderId="0" applyFont="0" applyFill="0" applyBorder="0" applyAlignment="0" applyProtection="0"/>
    <xf numFmtId="14" fontId="5" fillId="0" borderId="16" applyFont="0">
      <alignment horizontal="right"/>
    </xf>
    <xf numFmtId="0" fontId="61" fillId="0" borderId="0"/>
    <xf numFmtId="0" fontId="108" fillId="0" borderId="0"/>
    <xf numFmtId="208" fontId="93" fillId="0" borderId="0">
      <alignment horizontal="right"/>
    </xf>
    <xf numFmtId="0" fontId="93" fillId="0" borderId="0"/>
    <xf numFmtId="5" fontId="45" fillId="0" borderId="0" applyFont="0" applyFill="0" applyBorder="0" applyAlignment="0" applyProtection="0">
      <protection locked="0"/>
    </xf>
    <xf numFmtId="5" fontId="45" fillId="0" borderId="0" applyFont="0" applyFill="0" applyBorder="0" applyAlignment="0" applyProtection="0">
      <protection locked="0"/>
    </xf>
    <xf numFmtId="0" fontId="67" fillId="0" borderId="0" applyNumberFormat="0" applyFill="0" applyBorder="0" applyAlignment="0" applyProtection="0"/>
    <xf numFmtId="0" fontId="130" fillId="0" borderId="0"/>
    <xf numFmtId="1" fontId="109" fillId="29" borderId="21" applyNumberFormat="0" applyBorder="0" applyAlignment="0">
      <alignment horizontal="centerContinuous" vertical="center"/>
      <protection locked="0"/>
    </xf>
    <xf numFmtId="0" fontId="129" fillId="27" borderId="0"/>
    <xf numFmtId="0" fontId="93" fillId="0" borderId="0"/>
    <xf numFmtId="0" fontId="110" fillId="0" borderId="0" applyNumberFormat="0" applyFill="0" applyBorder="0" applyProtection="0">
      <alignment horizontal="left" vertical="center"/>
    </xf>
    <xf numFmtId="49" fontId="17" fillId="0" borderId="0" applyFill="0" applyBorder="0"/>
    <xf numFmtId="49" fontId="17" fillId="0" borderId="0" applyFill="0" applyBorder="0"/>
    <xf numFmtId="49" fontId="4" fillId="0" borderId="0"/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0" fontId="68" fillId="14" borderId="0" applyNumberFormat="0" applyBorder="0" applyAlignment="0" applyProtection="0"/>
    <xf numFmtId="0" fontId="111" fillId="0" borderId="0"/>
    <xf numFmtId="0" fontId="111" fillId="0" borderId="0"/>
    <xf numFmtId="0" fontId="111" fillId="0" borderId="0"/>
    <xf numFmtId="0" fontId="111" fillId="0" borderId="0"/>
    <xf numFmtId="38" fontId="17" fillId="18" borderId="0" applyNumberFormat="0" applyBorder="0" applyAlignment="0" applyProtection="0"/>
    <xf numFmtId="38" fontId="17" fillId="18" borderId="0" applyNumberFormat="0" applyBorder="0" applyAlignment="0" applyProtection="0"/>
    <xf numFmtId="38" fontId="17" fillId="18" borderId="0" applyNumberFormat="0" applyBorder="0" applyAlignment="0" applyProtection="0"/>
    <xf numFmtId="168" fontId="4" fillId="21" borderId="27" applyNumberFormat="0" applyFont="0" applyBorder="0" applyAlignment="0" applyProtection="0"/>
    <xf numFmtId="168" fontId="4" fillId="21" borderId="27" applyNumberFormat="0" applyFont="0" applyBorder="0" applyAlignment="0" applyProtection="0"/>
    <xf numFmtId="178" fontId="112" fillId="21" borderId="0" applyNumberFormat="0" applyFont="0" applyAlignment="0"/>
    <xf numFmtId="0" fontId="39" fillId="0" borderId="28" applyNumberFormat="0" applyAlignment="0" applyProtection="0">
      <alignment horizontal="left" vertical="center"/>
    </xf>
    <xf numFmtId="0" fontId="39" fillId="0" borderId="16">
      <alignment horizontal="left" vertical="center"/>
    </xf>
    <xf numFmtId="0" fontId="69" fillId="0" borderId="3" applyNumberFormat="0" applyFill="0" applyAlignment="0" applyProtection="0"/>
    <xf numFmtId="0" fontId="70" fillId="0" borderId="4" applyNumberFormat="0" applyFill="0" applyAlignment="0" applyProtection="0"/>
    <xf numFmtId="0" fontId="71" fillId="0" borderId="5" applyNumberFormat="0" applyFill="0" applyAlignment="0" applyProtection="0"/>
    <xf numFmtId="0" fontId="71" fillId="0" borderId="0" applyNumberFormat="0" applyFill="0" applyBorder="0" applyAlignment="0" applyProtection="0"/>
    <xf numFmtId="0" fontId="127" fillId="0" borderId="0">
      <alignment wrapText="1"/>
    </xf>
    <xf numFmtId="10" fontId="17" fillId="30" borderId="27" applyNumberFormat="0" applyBorder="0" applyAlignment="0" applyProtection="0"/>
    <xf numFmtId="10" fontId="17" fillId="30" borderId="27" applyNumberFormat="0" applyBorder="0" applyAlignment="0" applyProtection="0"/>
    <xf numFmtId="10" fontId="17" fillId="30" borderId="27" applyNumberFormat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113" fillId="0" borderId="0" applyNumberFormat="0" applyFill="0" applyBorder="0" applyAlignment="0">
      <protection locked="0"/>
    </xf>
    <xf numFmtId="0" fontId="93" fillId="0" borderId="0"/>
    <xf numFmtId="0" fontId="114" fillId="0" borderId="0" applyNumberFormat="0" applyFill="0" applyBorder="0" applyProtection="0">
      <alignment horizontal="left" vertical="center"/>
    </xf>
    <xf numFmtId="0" fontId="73" fillId="0" borderId="6" applyNumberFormat="0" applyFill="0" applyAlignment="0" applyProtection="0"/>
    <xf numFmtId="0" fontId="129" fillId="0" borderId="0"/>
    <xf numFmtId="0" fontId="131" fillId="0" borderId="0"/>
    <xf numFmtId="0" fontId="128" fillId="0" borderId="0"/>
    <xf numFmtId="209" fontId="17" fillId="30" borderId="0">
      <alignment horizontal="center"/>
    </xf>
    <xf numFmtId="209" fontId="17" fillId="30" borderId="0">
      <alignment horizontal="center"/>
    </xf>
    <xf numFmtId="209" fontId="17" fillId="30" borderId="0">
      <alignment horizontal="center"/>
    </xf>
    <xf numFmtId="0" fontId="74" fillId="4" borderId="0" applyNumberFormat="0" applyBorder="0" applyAlignment="0" applyProtection="0"/>
    <xf numFmtId="37" fontId="115" fillId="0" borderId="0"/>
    <xf numFmtId="210" fontId="116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2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17" fillId="0" borderId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167" fontId="43" fillId="0" borderId="0" applyFont="0" applyFill="0" applyBorder="0" applyProtection="0">
      <alignment horizontal="right"/>
    </xf>
    <xf numFmtId="43" fontId="61" fillId="0" borderId="0" applyFont="0" applyFill="0" applyBorder="0" applyAlignment="0" applyProtection="0"/>
    <xf numFmtId="41" fontId="61" fillId="0" borderId="0" applyFont="0" applyFill="0" applyBorder="0" applyAlignment="0" applyProtection="0"/>
    <xf numFmtId="0" fontId="118" fillId="0" borderId="0">
      <alignment horizontal="left"/>
    </xf>
    <xf numFmtId="0" fontId="75" fillId="12" borderId="8" applyNumberFormat="0" applyAlignment="0" applyProtection="0"/>
    <xf numFmtId="0" fontId="128" fillId="0" borderId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" fontId="119" fillId="18" borderId="0">
      <alignment horizontal="center"/>
    </xf>
    <xf numFmtId="211" fontId="17" fillId="0" borderId="0"/>
    <xf numFmtId="211" fontId="17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14" fillId="0" borderId="0" applyNumberFormat="0" applyFill="0" applyBorder="0" applyProtection="0">
      <alignment horizontal="right" vertical="center"/>
    </xf>
    <xf numFmtId="178" fontId="34" fillId="0" borderId="0"/>
    <xf numFmtId="178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9">
      <alignment horizontal="centerContinuous"/>
    </xf>
    <xf numFmtId="0" fontId="34" fillId="0" borderId="9">
      <alignment horizontal="centerContinuous"/>
    </xf>
    <xf numFmtId="0" fontId="34" fillId="0" borderId="9">
      <alignment horizontal="centerContinuous"/>
    </xf>
    <xf numFmtId="0" fontId="34" fillId="0" borderId="9">
      <alignment horizontal="centerContinuous"/>
    </xf>
    <xf numFmtId="0" fontId="34" fillId="0" borderId="9">
      <alignment horizontal="centerContinuous"/>
    </xf>
    <xf numFmtId="0" fontId="34" fillId="0" borderId="9">
      <alignment horizontal="centerContinuous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38" fillId="0" borderId="0"/>
    <xf numFmtId="0" fontId="38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76" fillId="0" borderId="0" applyNumberFormat="0" applyFill="0" applyBorder="0" applyAlignment="0" applyProtection="0"/>
    <xf numFmtId="0" fontId="122" fillId="31" borderId="0" applyNumberFormat="0" applyBorder="0" applyProtection="0">
      <alignment horizontal="left" vertical="center"/>
    </xf>
    <xf numFmtId="0" fontId="123" fillId="1" borderId="0" applyNumberFormat="0" applyBorder="0" applyProtection="0">
      <alignment horizontal="left" vertical="center"/>
    </xf>
    <xf numFmtId="185" fontId="37" fillId="0" borderId="0"/>
    <xf numFmtId="192" fontId="124" fillId="0" borderId="22" applyNumberFormat="0" applyFont="0" applyFill="0" applyAlignment="0" applyProtection="0"/>
    <xf numFmtId="0" fontId="77" fillId="0" borderId="10" applyNumberFormat="0" applyFill="0" applyAlignment="0" applyProtection="0"/>
    <xf numFmtId="185" fontId="42" fillId="0" borderId="38"/>
    <xf numFmtId="212" fontId="125" fillId="0" borderId="0">
      <alignment horizontal="right"/>
    </xf>
    <xf numFmtId="213" fontId="119" fillId="18" borderId="13" applyBorder="0">
      <alignment horizontal="right" vertical="center"/>
      <protection locked="0"/>
    </xf>
    <xf numFmtId="0" fontId="126" fillId="0" borderId="0" applyNumberFormat="0"/>
    <xf numFmtId="0" fontId="78" fillId="0" borderId="0" applyNumberFormat="0" applyFill="0" applyBorder="0" applyAlignment="0" applyProtection="0"/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/>
    <xf numFmtId="178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0" fontId="111" fillId="0" borderId="0"/>
    <xf numFmtId="0" fontId="4" fillId="0" borderId="0"/>
    <xf numFmtId="0" fontId="4" fillId="4" borderId="7" applyNumberFormat="0" applyFont="0" applyAlignment="0" applyProtection="0"/>
    <xf numFmtId="10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20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1" fontId="4" fillId="0" borderId="0">
      <alignment horizontal="center"/>
    </xf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111" fillId="0" borderId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120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11" fillId="0" borderId="0"/>
    <xf numFmtId="0" fontId="120" fillId="0" borderId="0"/>
    <xf numFmtId="0" fontId="4" fillId="0" borderId="0" applyNumberFormat="0" applyFont="0" applyFill="0" applyBorder="0" applyAlignment="0" applyProtection="0"/>
    <xf numFmtId="0" fontId="111" fillId="0" borderId="0"/>
    <xf numFmtId="0" fontId="120" fillId="0" borderId="0"/>
    <xf numFmtId="0" fontId="111" fillId="0" borderId="0"/>
    <xf numFmtId="0" fontId="120" fillId="0" borderId="0"/>
    <xf numFmtId="0" fontId="4" fillId="0" borderId="0" applyNumberFormat="0" applyFon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32" fillId="0" borderId="0"/>
    <xf numFmtId="0" fontId="133" fillId="27" borderId="0"/>
    <xf numFmtId="0" fontId="134" fillId="0" borderId="0">
      <alignment wrapText="1"/>
    </xf>
    <xf numFmtId="0" fontId="133" fillId="0" borderId="0"/>
    <xf numFmtId="0" fontId="135" fillId="0" borderId="0"/>
    <xf numFmtId="0" fontId="136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7" fillId="0" borderId="0"/>
    <xf numFmtId="0" fontId="4" fillId="0" borderId="0" applyNumberFormat="0" applyFont="0" applyFill="0" applyBorder="0" applyAlignment="0" applyProtection="0"/>
    <xf numFmtId="0" fontId="4" fillId="0" borderId="0"/>
    <xf numFmtId="0" fontId="137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136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72" fillId="4" borderId="1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5" fillId="0" borderId="0" applyFont="0" applyFill="0" applyBorder="0" applyAlignment="0" applyProtection="0"/>
    <xf numFmtId="0" fontId="72" fillId="4" borderId="1" applyNumberFormat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9">
      <alignment horizontal="centerContinuous"/>
    </xf>
    <xf numFmtId="0" fontId="34" fillId="0" borderId="9">
      <alignment horizontal="centerContinuous"/>
    </xf>
    <xf numFmtId="0" fontId="34" fillId="0" borderId="9">
      <alignment horizontal="centerContinuous"/>
    </xf>
    <xf numFmtId="0" fontId="34" fillId="0" borderId="9">
      <alignment horizontal="centerContinuous"/>
    </xf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 applyNumberFormat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137" fillId="0" borderId="0"/>
    <xf numFmtId="0" fontId="137" fillId="0" borderId="0"/>
    <xf numFmtId="9" fontId="45" fillId="0" borderId="0" applyFont="0" applyFill="0" applyBorder="0" applyAlignment="0" applyProtection="0"/>
    <xf numFmtId="0" fontId="137" fillId="0" borderId="0"/>
    <xf numFmtId="9" fontId="45" fillId="0" borderId="0" applyFont="0" applyFill="0" applyBorder="0" applyAlignment="0" applyProtection="0"/>
    <xf numFmtId="0" fontId="137" fillId="0" borderId="0"/>
    <xf numFmtId="9" fontId="45" fillId="0" borderId="0" applyFont="0" applyFill="0" applyBorder="0" applyAlignment="0" applyProtection="0"/>
    <xf numFmtId="0" fontId="137" fillId="0" borderId="0"/>
    <xf numFmtId="9" fontId="45" fillId="0" borderId="0" applyFont="0" applyFill="0" applyBorder="0" applyAlignment="0" applyProtection="0"/>
    <xf numFmtId="9" fontId="45" fillId="0" borderId="0" applyFont="0" applyFill="0" applyBorder="0" applyAlignment="0" applyProtection="0"/>
    <xf numFmtId="3" fontId="59" fillId="0" borderId="0"/>
    <xf numFmtId="0" fontId="4" fillId="0" borderId="0"/>
    <xf numFmtId="3" fontId="59" fillId="0" borderId="0"/>
    <xf numFmtId="0" fontId="4" fillId="0" borderId="0"/>
    <xf numFmtId="0" fontId="4" fillId="0" borderId="0"/>
    <xf numFmtId="0" fontId="4" fillId="0" borderId="0"/>
    <xf numFmtId="3" fontId="59" fillId="0" borderId="0"/>
    <xf numFmtId="3" fontId="59" fillId="0" borderId="0"/>
    <xf numFmtId="3" fontId="59" fillId="0" borderId="0"/>
    <xf numFmtId="3" fontId="59" fillId="0" borderId="0"/>
    <xf numFmtId="3" fontId="59" fillId="0" borderId="0"/>
    <xf numFmtId="0" fontId="4" fillId="0" borderId="0"/>
    <xf numFmtId="3" fontId="59" fillId="0" borderId="0"/>
    <xf numFmtId="0" fontId="4" fillId="0" borderId="0"/>
    <xf numFmtId="0" fontId="4" fillId="0" borderId="0"/>
    <xf numFmtId="3" fontId="59" fillId="0" borderId="0"/>
    <xf numFmtId="3" fontId="59" fillId="0" borderId="0"/>
    <xf numFmtId="0" fontId="4" fillId="0" borderId="0"/>
    <xf numFmtId="189" fontId="59" fillId="0" borderId="0"/>
    <xf numFmtId="209" fontId="4" fillId="0" borderId="0" applyFont="0" applyFill="0" applyBorder="0" applyAlignment="0" applyProtection="0"/>
    <xf numFmtId="0" fontId="138" fillId="0" borderId="0" applyNumberFormat="0" applyFill="0" applyBorder="0" applyAlignment="0" applyProtection="0">
      <alignment vertical="top"/>
      <protection locked="0"/>
    </xf>
    <xf numFmtId="0" fontId="139" fillId="0" borderId="0" applyNumberFormat="0" applyFill="0" applyBorder="0" applyAlignment="0" applyProtection="0"/>
    <xf numFmtId="0" fontId="3" fillId="0" borderId="0"/>
    <xf numFmtId="3" fontId="59" fillId="0" borderId="0"/>
    <xf numFmtId="168" fontId="4" fillId="0" borderId="0" applyFont="0" applyFill="0" applyBorder="0" applyAlignment="0" applyProtection="0"/>
    <xf numFmtId="49" fontId="59" fillId="0" borderId="0">
      <alignment horizontal="right"/>
    </xf>
    <xf numFmtId="3" fontId="17" fillId="0" borderId="0"/>
    <xf numFmtId="3" fontId="59" fillId="0" borderId="0"/>
    <xf numFmtId="3" fontId="37" fillId="0" borderId="0" applyNumberFormat="0"/>
    <xf numFmtId="3" fontId="140" fillId="0" borderId="0"/>
    <xf numFmtId="0" fontId="37" fillId="0" borderId="16">
      <alignment horizontal="right" wrapText="1"/>
    </xf>
    <xf numFmtId="0" fontId="37" fillId="0" borderId="16">
      <alignment horizontal="right" wrapText="1"/>
    </xf>
    <xf numFmtId="3" fontId="37" fillId="0" borderId="20" applyNumberFormat="0"/>
    <xf numFmtId="168" fontId="141" fillId="0" borderId="0" applyFont="0" applyFill="0" applyBorder="0" applyAlignment="0" applyProtection="0"/>
    <xf numFmtId="42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0" fontId="142" fillId="0" borderId="0" applyFont="0" applyFill="0" applyBorder="0" applyAlignment="0" applyProtection="0">
      <alignment vertical="center"/>
    </xf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11" fillId="0" borderId="0"/>
    <xf numFmtId="0" fontId="120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44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2" fillId="2" borderId="0" applyNumberFormat="0" applyBorder="0" applyAlignment="0" applyProtection="0"/>
    <xf numFmtId="0" fontId="62" fillId="3" borderId="0" applyNumberFormat="0" applyBorder="0" applyAlignment="0" applyProtection="0"/>
    <xf numFmtId="0" fontId="62" fillId="4" borderId="0" applyNumberFormat="0" applyBorder="0" applyAlignment="0" applyProtection="0"/>
    <xf numFmtId="0" fontId="62" fillId="2" borderId="0" applyNumberFormat="0" applyBorder="0" applyAlignment="0" applyProtection="0"/>
    <xf numFmtId="0" fontId="62" fillId="5" borderId="0" applyNumberFormat="0" applyBorder="0" applyAlignment="0" applyProtection="0"/>
    <xf numFmtId="0" fontId="62" fillId="4" borderId="0" applyNumberFormat="0" applyBorder="0" applyAlignment="0" applyProtection="0"/>
    <xf numFmtId="0" fontId="62" fillId="6" borderId="0" applyNumberFormat="0" applyBorder="0" applyAlignment="0" applyProtection="0"/>
    <xf numFmtId="0" fontId="62" fillId="3" borderId="0" applyNumberFormat="0" applyBorder="0" applyAlignment="0" applyProtection="0"/>
    <xf numFmtId="0" fontId="62" fillId="4" borderId="0" applyNumberFormat="0" applyBorder="0" applyAlignment="0" applyProtection="0"/>
    <xf numFmtId="0" fontId="62" fillId="6" borderId="0" applyNumberFormat="0" applyBorder="0" applyAlignment="0" applyProtection="0"/>
    <xf numFmtId="0" fontId="62" fillId="7" borderId="0" applyNumberFormat="0" applyBorder="0" applyAlignment="0" applyProtection="0"/>
    <xf numFmtId="0" fontId="62" fillId="4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6" borderId="0" applyNumberFormat="0" applyBorder="0" applyAlignment="0" applyProtection="0"/>
    <xf numFmtId="0" fontId="63" fillId="8" borderId="0" applyNumberFormat="0" applyBorder="0" applyAlignment="0" applyProtection="0"/>
    <xf numFmtId="0" fontId="63" fillId="4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10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168" fontId="145" fillId="0" borderId="0" applyFont="0" applyFill="0" applyBorder="0" applyAlignment="0" applyProtection="0"/>
    <xf numFmtId="0" fontId="64" fillId="11" borderId="0" applyNumberFormat="0" applyBorder="0" applyAlignment="0" applyProtection="0"/>
    <xf numFmtId="0" fontId="31" fillId="0" borderId="0"/>
    <xf numFmtId="0" fontId="31" fillId="0" borderId="0"/>
    <xf numFmtId="0" fontId="65" fillId="12" borderId="1" applyNumberFormat="0" applyAlignment="0" applyProtection="0"/>
    <xf numFmtId="0" fontId="66" fillId="13" borderId="2" applyNumberFormat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67" fillId="0" borderId="0" applyNumberFormat="0" applyFill="0" applyBorder="0" applyAlignment="0" applyProtection="0"/>
    <xf numFmtId="0" fontId="68" fillId="14" borderId="0" applyNumberFormat="0" applyBorder="0" applyAlignment="0" applyProtection="0"/>
    <xf numFmtId="0" fontId="69" fillId="0" borderId="3" applyNumberFormat="0" applyFill="0" applyAlignment="0" applyProtection="0"/>
    <xf numFmtId="0" fontId="70" fillId="0" borderId="4" applyNumberFormat="0" applyFill="0" applyAlignment="0" applyProtection="0"/>
    <xf numFmtId="0" fontId="71" fillId="0" borderId="5" applyNumberFormat="0" applyFill="0" applyAlignment="0" applyProtection="0"/>
    <xf numFmtId="0" fontId="71" fillId="0" borderId="0" applyNumberFormat="0" applyFill="0" applyBorder="0" applyAlignment="0" applyProtection="0"/>
    <xf numFmtId="0" fontId="73" fillId="0" borderId="6" applyNumberFormat="0" applyFill="0" applyAlignment="0" applyProtection="0"/>
    <xf numFmtId="0" fontId="74" fillId="4" borderId="0" applyNumberFormat="0" applyBorder="0" applyAlignment="0" applyProtection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12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" fontId="59" fillId="0" borderId="0"/>
    <xf numFmtId="0" fontId="4" fillId="0" borderId="0"/>
    <xf numFmtId="0" fontId="4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3" fontId="59" fillId="0" borderId="0" applyBorder="0"/>
    <xf numFmtId="167" fontId="43" fillId="0" borderId="0" applyFont="0" applyFill="0" applyBorder="0" applyProtection="0">
      <alignment horizontal="right"/>
    </xf>
    <xf numFmtId="0" fontId="75" fillId="12" borderId="8" applyNumberFormat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9">
      <alignment horizontal="centerContinuous"/>
    </xf>
    <xf numFmtId="0" fontId="34" fillId="0" borderId="9">
      <alignment horizontal="centerContinuous"/>
    </xf>
    <xf numFmtId="3" fontId="59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38" fillId="0" borderId="0"/>
    <xf numFmtId="0" fontId="38" fillId="0" borderId="0"/>
    <xf numFmtId="0" fontId="76" fillId="0" borderId="0" applyNumberFormat="0" applyFill="0" applyBorder="0" applyAlignment="0" applyProtection="0"/>
    <xf numFmtId="0" fontId="77" fillId="0" borderId="10" applyNumberFormat="0" applyFill="0" applyAlignment="0" applyProtection="0"/>
    <xf numFmtId="0" fontId="78" fillId="0" borderId="0" applyNumberFormat="0" applyFill="0" applyBorder="0" applyAlignment="0" applyProtection="0"/>
    <xf numFmtId="0" fontId="4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10" fontId="4" fillId="0" borderId="0" applyFont="0" applyFill="0" applyBorder="0" applyAlignment="0" applyProtection="0"/>
    <xf numFmtId="3" fontId="59" fillId="0" borderId="0"/>
    <xf numFmtId="0" fontId="4" fillId="0" borderId="0"/>
    <xf numFmtId="0" fontId="4" fillId="0" borderId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214" fontId="17" fillId="0" borderId="0" applyFont="0" applyFill="0" applyBorder="0" applyProtection="0"/>
    <xf numFmtId="216" fontId="62" fillId="0" borderId="0" applyFon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17" fillId="0" borderId="0" applyNumberFormat="0" applyBorder="0" applyAlignment="0" applyProtection="0"/>
    <xf numFmtId="0" fontId="14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42" fillId="0" borderId="0" applyNumberFormat="0" applyFill="0" applyBorder="0" applyProtection="0">
      <alignment vertical="center"/>
    </xf>
    <xf numFmtId="215" fontId="17" fillId="0" borderId="0"/>
    <xf numFmtId="0" fontId="17" fillId="0" borderId="0" applyNumberFormat="0" applyBorder="0" applyAlignment="0" applyProtection="0"/>
    <xf numFmtId="0" fontId="4" fillId="0" borderId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4" fillId="0" borderId="0">
      <alignment vertical="center"/>
    </xf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4" fillId="0" borderId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4" fillId="0" borderId="0"/>
    <xf numFmtId="0" fontId="4" fillId="0" borderId="0"/>
    <xf numFmtId="0" fontId="44" fillId="0" borderId="0" applyNumberFormat="0" applyFont="0" applyFill="0" applyBorder="0" applyAlignment="0" applyProtection="0"/>
    <xf numFmtId="0" fontId="94" fillId="0" borderId="0"/>
    <xf numFmtId="0" fontId="4" fillId="0" borderId="0"/>
    <xf numFmtId="0" fontId="4" fillId="0" borderId="0"/>
    <xf numFmtId="0" fontId="4" fillId="0" borderId="0"/>
    <xf numFmtId="0" fontId="72" fillId="4" borderId="1" applyNumberFormat="0" applyAlignment="0" applyProtection="0"/>
    <xf numFmtId="0" fontId="72" fillId="4" borderId="1" applyNumberFormat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0" fontId="72" fillId="4" borderId="1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" fontId="59" fillId="0" borderId="0" applyBorder="0"/>
    <xf numFmtId="9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4" fillId="0" borderId="0"/>
    <xf numFmtId="0" fontId="4" fillId="4" borderId="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4" fillId="0" borderId="0"/>
    <xf numFmtId="0" fontId="34" fillId="0" borderId="0"/>
    <xf numFmtId="0" fontId="34" fillId="0" borderId="9">
      <alignment horizontal="centerContinuous"/>
    </xf>
    <xf numFmtId="0" fontId="34" fillId="0" borderId="9">
      <alignment horizontal="centerContinuous"/>
    </xf>
    <xf numFmtId="0" fontId="148" fillId="0" borderId="0"/>
    <xf numFmtId="0" fontId="4" fillId="0" borderId="0"/>
    <xf numFmtId="0" fontId="4" fillId="0" borderId="0" applyNumberForma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/>
    <xf numFmtId="0" fontId="4" fillId="0" borderId="0"/>
    <xf numFmtId="0" fontId="3" fillId="0" borderId="0"/>
    <xf numFmtId="43" fontId="6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7" fillId="0" borderId="0" applyNumberFormat="0" applyBorder="0" applyAlignment="0" applyProtection="0"/>
    <xf numFmtId="0" fontId="44" fillId="0" borderId="0" applyNumberFormat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147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0" fontId="72" fillId="4" borderId="1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" fontId="59" fillId="0" borderId="0" applyBorder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" fontId="59" fillId="0" borderId="0"/>
    <xf numFmtId="3" fontId="59" fillId="0" borderId="0"/>
    <xf numFmtId="3" fontId="5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" fontId="59" fillId="0" borderId="0"/>
    <xf numFmtId="0" fontId="4" fillId="0" borderId="0"/>
    <xf numFmtId="0" fontId="4" fillId="0" borderId="0"/>
    <xf numFmtId="3" fontId="59" fillId="0" borderId="0"/>
    <xf numFmtId="3" fontId="59" fillId="0" borderId="0"/>
    <xf numFmtId="3" fontId="59" fillId="0" borderId="0"/>
    <xf numFmtId="0" fontId="4" fillId="0" borderId="0"/>
    <xf numFmtId="0" fontId="4" fillId="0" borderId="0"/>
    <xf numFmtId="0" fontId="4" fillId="0" borderId="0"/>
    <xf numFmtId="3" fontId="59" fillId="0" borderId="0"/>
    <xf numFmtId="3" fontId="59" fillId="0" borderId="0"/>
    <xf numFmtId="3" fontId="59" fillId="0" borderId="0"/>
    <xf numFmtId="3" fontId="59" fillId="0" borderId="0"/>
    <xf numFmtId="0" fontId="4" fillId="0" borderId="0"/>
    <xf numFmtId="0" fontId="4" fillId="0" borderId="0"/>
    <xf numFmtId="0" fontId="4" fillId="0" borderId="0"/>
    <xf numFmtId="0" fontId="4" fillId="0" borderId="0"/>
    <xf numFmtId="3" fontId="59" fillId="0" borderId="0"/>
    <xf numFmtId="0" fontId="4" fillId="0" borderId="0"/>
    <xf numFmtId="0" fontId="4" fillId="0" borderId="0"/>
    <xf numFmtId="3" fontId="59" fillId="0" borderId="0"/>
    <xf numFmtId="0" fontId="4" fillId="0" borderId="0"/>
    <xf numFmtId="0" fontId="4" fillId="0" borderId="0"/>
    <xf numFmtId="3" fontId="59" fillId="0" borderId="0"/>
    <xf numFmtId="3" fontId="59" fillId="0" borderId="0"/>
    <xf numFmtId="3" fontId="59" fillId="0" borderId="0"/>
    <xf numFmtId="3" fontId="59" fillId="0" borderId="0"/>
    <xf numFmtId="0" fontId="4" fillId="0" borderId="0"/>
    <xf numFmtId="0" fontId="4" fillId="0" borderId="0"/>
    <xf numFmtId="0" fontId="59" fillId="0" borderId="0"/>
    <xf numFmtId="3" fontId="59" fillId="0" borderId="22" applyBorder="0"/>
    <xf numFmtId="214" fontId="17" fillId="0" borderId="0" applyFont="0" applyFill="0" applyBorder="0" applyProtection="0"/>
    <xf numFmtId="43" fontId="3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189" fontId="59" fillId="0" borderId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217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72" fillId="4" borderId="1" applyNumberFormat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62" fillId="0" borderId="0" applyFont="0" applyFill="0" applyBorder="0" applyAlignment="0" applyProtection="0"/>
    <xf numFmtId="0" fontId="80" fillId="0" borderId="0" applyNumberFormat="0" applyFill="0" applyBorder="0" applyAlignment="0" applyProtection="0">
      <alignment vertical="top"/>
      <protection locked="0"/>
    </xf>
    <xf numFmtId="0" fontId="13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147" fillId="0" borderId="0" applyNumberFormat="0" applyFill="0" applyBorder="0" applyAlignment="0" applyProtection="0">
      <alignment vertical="top"/>
      <protection locked="0"/>
    </xf>
    <xf numFmtId="0" fontId="146" fillId="0" borderId="0" applyNumberFormat="0" applyFill="0" applyBorder="0" applyAlignment="0" applyProtection="0">
      <alignment vertical="top"/>
      <protection locked="0"/>
    </xf>
    <xf numFmtId="0" fontId="138" fillId="0" borderId="0" applyNumberFormat="0" applyFill="0" applyBorder="0" applyAlignment="0" applyProtection="0">
      <alignment vertical="top"/>
      <protection locked="0"/>
    </xf>
    <xf numFmtId="0" fontId="139" fillId="0" borderId="0" applyNumberForma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3" fontId="59" fillId="0" borderId="0"/>
    <xf numFmtId="3" fontId="59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5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3" fontId="59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3" fontId="5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7" fillId="0" borderId="0" applyNumberFormat="0" applyBorder="0" applyAlignment="0" applyProtection="0"/>
    <xf numFmtId="0" fontId="4" fillId="0" borderId="0"/>
    <xf numFmtId="0" fontId="4" fillId="0" borderId="0"/>
    <xf numFmtId="3" fontId="59" fillId="0" borderId="22" applyBorder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 applyNumberFormat="0" applyFont="0" applyFill="0" applyBorder="0" applyAlignment="0" applyProtection="0"/>
    <xf numFmtId="0" fontId="62" fillId="32" borderId="39" applyNumberFormat="0" applyFont="0" applyAlignment="0" applyProtection="0"/>
    <xf numFmtId="0" fontId="4" fillId="4" borderId="7" applyNumberFormat="0" applyFont="0" applyAlignment="0" applyProtection="0"/>
    <xf numFmtId="3" fontId="59" fillId="0" borderId="22" applyBorder="0"/>
    <xf numFmtId="167" fontId="43" fillId="0" borderId="0" applyFont="0" applyFill="0" applyBorder="0" applyProtection="0">
      <alignment horizontal="right"/>
    </xf>
    <xf numFmtId="3" fontId="59" fillId="0" borderId="0" applyBorder="0"/>
    <xf numFmtId="3" fontId="59" fillId="0" borderId="0" applyBorder="0"/>
    <xf numFmtId="3" fontId="59" fillId="0" borderId="0" applyBorder="0"/>
    <xf numFmtId="9" fontId="3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59" fillId="0" borderId="0" applyFont="0" applyFill="0" applyBorder="0" applyProtection="0">
      <alignment horizontal="right"/>
    </xf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59" fillId="0" borderId="0" applyFont="0" applyFill="0" applyBorder="0" applyProtection="0">
      <alignment horizontal="right"/>
    </xf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9" fontId="59" fillId="0" borderId="0">
      <alignment horizontal="right"/>
    </xf>
    <xf numFmtId="3" fontId="17" fillId="0" borderId="0"/>
    <xf numFmtId="0" fontId="4" fillId="0" borderId="0" applyNumberFormat="0" applyFill="0" applyBorder="0" applyAlignment="0" applyProtection="0"/>
    <xf numFmtId="3" fontId="59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149" fillId="33" borderId="40" applyNumberFormat="0" applyAlignment="0" applyProtection="0"/>
    <xf numFmtId="2" fontId="149" fillId="34" borderId="40" applyProtection="0">
      <alignment horizontal="right"/>
    </xf>
    <xf numFmtId="2" fontId="150" fillId="20" borderId="40" applyProtection="0">
      <alignment horizontal="right"/>
    </xf>
    <xf numFmtId="14" fontId="151" fillId="23" borderId="40" applyProtection="0">
      <alignment horizontal="right"/>
    </xf>
    <xf numFmtId="14" fontId="151" fillId="23" borderId="40" applyProtection="0">
      <alignment horizontal="left"/>
    </xf>
    <xf numFmtId="0" fontId="152" fillId="33" borderId="40" applyNumberFormat="0" applyProtection="0">
      <alignment horizontal="left"/>
    </xf>
    <xf numFmtId="0" fontId="37" fillId="0" borderId="16">
      <alignment horizontal="center" wrapText="1"/>
    </xf>
    <xf numFmtId="0" fontId="37" fillId="0" borderId="16">
      <alignment horizontal="right" wrapText="1"/>
    </xf>
    <xf numFmtId="0" fontId="37" fillId="0" borderId="16">
      <alignment horizontal="right" wrapText="1"/>
    </xf>
    <xf numFmtId="0" fontId="37" fillId="0" borderId="16">
      <alignment horizontal="right" wrapText="1"/>
    </xf>
    <xf numFmtId="0" fontId="37" fillId="0" borderId="16">
      <alignment horizontal="right" wrapText="1"/>
    </xf>
    <xf numFmtId="0" fontId="37" fillId="0" borderId="16">
      <alignment horizontal="right" wrapText="1"/>
    </xf>
    <xf numFmtId="0" fontId="37" fillId="0" borderId="16">
      <alignment horizontal="right" wrapText="1"/>
    </xf>
    <xf numFmtId="0" fontId="37" fillId="0" borderId="16">
      <alignment horizontal="right" wrapText="1"/>
    </xf>
    <xf numFmtId="0" fontId="37" fillId="0" borderId="16">
      <alignment horizontal="right" wrapText="1"/>
    </xf>
    <xf numFmtId="0" fontId="37" fillId="0" borderId="16">
      <alignment horizontal="right" wrapText="1"/>
    </xf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2" fillId="4" borderId="1" applyNumberFormat="0" applyAlignment="0" applyProtection="0"/>
    <xf numFmtId="3" fontId="59" fillId="0" borderId="22" applyBorder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72" fillId="4" borderId="1" applyNumberFormat="0" applyAlignment="0" applyProtection="0"/>
    <xf numFmtId="0" fontId="72" fillId="4" borderId="1" applyNumberFormat="0" applyAlignment="0" applyProtection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97" fillId="0" borderId="0">
      <alignment horizontal="center"/>
    </xf>
    <xf numFmtId="214" fontId="17" fillId="0" borderId="0" applyFont="0" applyFill="0" applyBorder="0" applyProtection="0"/>
    <xf numFmtId="0" fontId="31" fillId="0" borderId="0"/>
    <xf numFmtId="0" fontId="31" fillId="0" borderId="0"/>
    <xf numFmtId="0" fontId="31" fillId="0" borderId="0"/>
    <xf numFmtId="3" fontId="59" fillId="0" borderId="22" applyBorder="0"/>
    <xf numFmtId="185" fontId="42" fillId="0" borderId="0" applyBorder="0">
      <alignment horizontal="right"/>
    </xf>
    <xf numFmtId="185" fontId="42" fillId="0" borderId="0" applyBorder="0">
      <alignment horizontal="right"/>
    </xf>
    <xf numFmtId="185" fontId="42" fillId="0" borderId="29" applyAlignment="0">
      <alignment horizontal="right"/>
    </xf>
    <xf numFmtId="185" fontId="42" fillId="0" borderId="29" applyAlignment="0">
      <alignment horizontal="right"/>
    </xf>
    <xf numFmtId="0" fontId="72" fillId="4" borderId="1" applyNumberFormat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61" fillId="0" borderId="0" applyFont="0" applyFill="0" applyBorder="0" applyAlignment="0" applyProtection="0"/>
    <xf numFmtId="44" fontId="61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16" fontId="5" fillId="0" borderId="16" applyFont="0">
      <alignment horizontal="right"/>
    </xf>
    <xf numFmtId="5" fontId="45" fillId="0" borderId="0" applyFont="0" applyFill="0" applyBorder="0" applyAlignment="0" applyProtection="0">
      <protection locked="0"/>
    </xf>
    <xf numFmtId="0" fontId="130" fillId="0" borderId="0"/>
    <xf numFmtId="0" fontId="129" fillId="27" borderId="0"/>
    <xf numFmtId="190" fontId="17" fillId="0" borderId="0" applyFill="0" applyBorder="0"/>
    <xf numFmtId="49" fontId="17" fillId="0" borderId="0" applyFill="0" applyBorder="0"/>
    <xf numFmtId="190" fontId="17" fillId="0" borderId="0" applyFill="0" applyBorder="0"/>
    <xf numFmtId="49" fontId="17" fillId="0" borderId="0" applyFill="0" applyBorder="0"/>
    <xf numFmtId="190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190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9" fontId="4" fillId="0" borderId="0" applyFill="0" applyBorder="0">
      <alignment horizontal="right" vertical="center"/>
    </xf>
    <xf numFmtId="43" fontId="62" fillId="0" borderId="0" applyFont="0" applyFill="0" applyBorder="0" applyAlignment="0" applyProtection="0"/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190" fontId="4" fillId="0" borderId="0" applyFill="0" applyBorder="0">
      <alignment horizontal="right" vertical="center"/>
    </xf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9" fontId="4" fillId="0" borderId="0" applyFill="0" applyBorder="0">
      <alignment horizontal="right" vertical="center"/>
    </xf>
    <xf numFmtId="190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7" fillId="18" borderId="0" applyNumberFormat="0" applyBorder="0" applyAlignment="0" applyProtection="0"/>
    <xf numFmtId="38" fontId="17" fillId="18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127" fillId="0" borderId="0">
      <alignment wrapText="1"/>
    </xf>
    <xf numFmtId="0" fontId="154" fillId="0" borderId="0" applyNumberForma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129" fillId="0" borderId="0"/>
    <xf numFmtId="0" fontId="131" fillId="0" borderId="0"/>
    <xf numFmtId="0" fontId="128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1" fillId="0" borderId="0"/>
    <xf numFmtId="0" fontId="115" fillId="0" borderId="0"/>
    <xf numFmtId="0" fontId="4" fillId="0" borderId="0" applyNumberFormat="0" applyFont="0" applyFill="0" applyBorder="0" applyAlignment="0" applyProtection="0"/>
    <xf numFmtId="0" fontId="4" fillId="0" borderId="0"/>
    <xf numFmtId="0" fontId="3" fillId="0" borderId="0"/>
    <xf numFmtId="0" fontId="61" fillId="0" borderId="0" applyNumberFormat="0" applyFill="0" applyBorder="0" applyAlignment="0" applyProtection="0"/>
    <xf numFmtId="0" fontId="4" fillId="0" borderId="0" applyNumberFormat="0" applyFont="0" applyFill="0" applyBorder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53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4" fillId="0" borderId="0" applyNumberFormat="0" applyFon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17" fillId="0" borderId="0" applyNumberFormat="0" applyBorder="0" applyAlignment="0" applyProtection="0"/>
    <xf numFmtId="0" fontId="4" fillId="0" borderId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28" fillId="0" borderId="0"/>
    <xf numFmtId="10" fontId="4" fillId="0" borderId="0" applyFont="0" applyFill="0" applyBorder="0" applyAlignment="0" applyProtection="0"/>
    <xf numFmtId="0" fontId="4" fillId="0" borderId="0">
      <alignment vertical="center"/>
    </xf>
    <xf numFmtId="0" fontId="3" fillId="0" borderId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3" fillId="0" borderId="0"/>
    <xf numFmtId="0" fontId="3" fillId="0" borderId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4" fillId="0" borderId="0" applyFont="0" applyFill="0" applyBorder="0" applyAlignment="0" applyProtection="0"/>
    <xf numFmtId="0" fontId="3" fillId="0" borderId="0"/>
    <xf numFmtId="0" fontId="3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" fontId="59" fillId="0" borderId="22" applyBorder="0"/>
    <xf numFmtId="211" fontId="17" fillId="0" borderId="0"/>
    <xf numFmtId="0" fontId="34" fillId="0" borderId="0"/>
    <xf numFmtId="0" fontId="3" fillId="0" borderId="0"/>
    <xf numFmtId="0" fontId="3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4" fillId="0" borderId="0"/>
    <xf numFmtId="0" fontId="34" fillId="0" borderId="9">
      <alignment horizontal="centerContinuous"/>
    </xf>
    <xf numFmtId="0" fontId="34" fillId="0" borderId="9">
      <alignment horizontal="centerContinuous"/>
    </xf>
    <xf numFmtId="0" fontId="34" fillId="0" borderId="9">
      <alignment horizontal="centerContinuous"/>
    </xf>
    <xf numFmtId="0" fontId="4" fillId="4" borderId="7" applyNumberFormat="0" applyFont="0" applyAlignment="0" applyProtection="0"/>
    <xf numFmtId="0" fontId="62" fillId="4" borderId="39" applyNumberFormat="0" applyFont="0" applyAlignment="0" applyProtection="0"/>
    <xf numFmtId="0" fontId="62" fillId="4" borderId="39" applyNumberFormat="0" applyFont="0" applyAlignment="0" applyProtection="0"/>
    <xf numFmtId="0" fontId="62" fillId="4" borderId="39" applyNumberFormat="0" applyFont="0" applyAlignment="0" applyProtection="0"/>
    <xf numFmtId="3" fontId="59" fillId="0" borderId="22" applyBorder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3" fontId="59" fillId="0" borderId="22" applyBorder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38" fillId="0" borderId="0"/>
    <xf numFmtId="0" fontId="38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185" fontId="42" fillId="0" borderId="38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185" fontId="42" fillId="0" borderId="38"/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0" fontId="4" fillId="0" borderId="0" applyNumberFormat="0" applyFont="0" applyFill="0" applyBorder="0" applyAlignment="0" applyProtection="0"/>
    <xf numFmtId="0" fontId="4" fillId="0" borderId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120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11" fillId="0" borderId="0"/>
    <xf numFmtId="0" fontId="120" fillId="0" borderId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56" fillId="37" borderId="43" applyNumberFormat="0" applyAlignment="0" applyProtection="0"/>
    <xf numFmtId="0" fontId="157" fillId="0" borderId="0" applyNumberFormat="0" applyFill="0" applyBorder="0" applyAlignment="0" applyProtection="0"/>
    <xf numFmtId="0" fontId="158" fillId="0" borderId="0" applyNumberFormat="0" applyFill="0" applyBorder="0" applyAlignment="0" applyProtection="0"/>
    <xf numFmtId="0" fontId="3" fillId="38" borderId="0" applyNumberFormat="0" applyBorder="0" applyAlignment="0" applyProtection="0"/>
    <xf numFmtId="0" fontId="160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4" fillId="0" borderId="0" applyFont="0" applyFill="0" applyBorder="0" applyAlignment="0" applyProtection="0"/>
    <xf numFmtId="3" fontId="59" fillId="0" borderId="0"/>
    <xf numFmtId="0" fontId="4" fillId="0" borderId="0" applyNumberFormat="0" applyFont="0" applyFill="0" applyBorder="0" applyAlignment="0" applyProtection="0"/>
    <xf numFmtId="0" fontId="61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ont="0" applyFill="0" applyBorder="0" applyAlignment="0" applyProtection="0"/>
    <xf numFmtId="0" fontId="4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4" fillId="0" borderId="0" applyNumberFormat="0" applyFont="0" applyFill="0" applyBorder="0" applyAlignment="0" applyProtection="0"/>
    <xf numFmtId="5" fontId="181" fillId="0" borderId="0" applyFont="0" applyFill="0" applyBorder="0" applyAlignment="0" applyProtection="0"/>
    <xf numFmtId="8" fontId="181" fillId="0" borderId="0" applyFont="0" applyFill="0" applyBorder="0" applyAlignment="0" applyProtection="0"/>
    <xf numFmtId="0" fontId="17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27" fontId="182" fillId="0" borderId="0"/>
    <xf numFmtId="230" fontId="180" fillId="0" borderId="0"/>
    <xf numFmtId="10" fontId="181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42" fontId="4" fillId="0" borderId="0" applyFont="0" applyFill="0" applyBorder="0" applyAlignment="0" applyProtection="0"/>
    <xf numFmtId="231" fontId="183" fillId="0" borderId="0" applyFont="0" applyFill="0" applyBorder="0" applyAlignment="0" applyProtection="0"/>
    <xf numFmtId="0" fontId="184" fillId="0" borderId="0" applyFont="0" applyFill="0" applyBorder="0" applyAlignment="0" applyProtection="0"/>
    <xf numFmtId="40" fontId="185" fillId="0" borderId="0" applyFont="0" applyFill="0" applyBorder="0" applyAlignment="0" applyProtection="0"/>
    <xf numFmtId="0" fontId="186" fillId="0" borderId="0" applyNumberFormat="0" applyFill="0" applyBorder="0" applyAlignment="0" applyProtection="0">
      <alignment vertical="top"/>
      <protection locked="0"/>
    </xf>
    <xf numFmtId="38" fontId="185" fillId="0" borderId="0" applyFont="0" applyFill="0" applyBorder="0" applyAlignment="0" applyProtection="0"/>
    <xf numFmtId="0" fontId="184" fillId="0" borderId="0"/>
    <xf numFmtId="0" fontId="5" fillId="0" borderId="16" applyNumberFormat="0" applyBorder="0" applyAlignment="0">
      <alignment horizontal="left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84" fontId="4" fillId="0" borderId="0" applyFont="0" applyFill="0" applyBorder="0" applyAlignment="0" applyProtection="0"/>
    <xf numFmtId="0" fontId="4" fillId="0" borderId="0" applyNumberFormat="0" applyFill="0" applyBorder="0" applyAlignment="0" applyProtection="0"/>
    <xf numFmtId="221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3" fontId="59" fillId="0" borderId="0"/>
    <xf numFmtId="219" fontId="161" fillId="0" borderId="0"/>
    <xf numFmtId="0" fontId="161" fillId="0" borderId="0"/>
    <xf numFmtId="0" fontId="4" fillId="0" borderId="0" applyNumberFormat="0" applyFill="0" applyBorder="0" applyAlignment="0" applyProtection="0"/>
    <xf numFmtId="0" fontId="4" fillId="0" borderId="0" applyFill="0" applyAlignment="0">
      <protection locked="0"/>
    </xf>
    <xf numFmtId="3" fontId="5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Font="0" applyFill="0" applyBorder="0" applyAlignment="0" applyProtection="0"/>
    <xf numFmtId="222" fontId="4" fillId="0" borderId="0" applyFont="0" applyFill="0" applyBorder="0" applyAlignment="0" applyProtection="0"/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22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7" fontId="43" fillId="0" borderId="0" applyFont="0" applyFill="0" applyBorder="0" applyProtection="0">
      <alignment horizontal="right"/>
    </xf>
    <xf numFmtId="0" fontId="4" fillId="0" borderId="0"/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Fill="0" applyAlignment="0">
      <protection locked="0"/>
    </xf>
    <xf numFmtId="0" fontId="4" fillId="0" borderId="0" applyFill="0" applyAlignment="0">
      <protection locked="0"/>
    </xf>
    <xf numFmtId="0" fontId="4" fillId="0" borderId="0"/>
    <xf numFmtId="0" fontId="4" fillId="0" borderId="0"/>
    <xf numFmtId="0" fontId="187" fillId="0" borderId="35" applyBorder="0"/>
    <xf numFmtId="232" fontId="95" fillId="0" borderId="0" applyFont="0" applyFill="0" applyBorder="0" applyAlignment="0" applyProtection="0"/>
    <xf numFmtId="233" fontId="9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9" fontId="4" fillId="0" borderId="0"/>
    <xf numFmtId="0" fontId="30" fillId="0" borderId="0"/>
    <xf numFmtId="2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196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0" fontId="162" fillId="0" borderId="0" applyFont="0" applyFill="0" applyBorder="0" applyAlignment="0" applyProtection="0"/>
    <xf numFmtId="0" fontId="62" fillId="2" borderId="0" applyNumberFormat="0" applyBorder="0" applyAlignment="0" applyProtection="0"/>
    <xf numFmtId="0" fontId="62" fillId="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62" fillId="2" borderId="0" applyNumberFormat="0" applyBorder="0" applyAlignment="0" applyProtection="0"/>
    <xf numFmtId="0" fontId="62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62" fillId="3" borderId="0" applyNumberFormat="0" applyBorder="0" applyAlignment="0" applyProtection="0"/>
    <xf numFmtId="0" fontId="62" fillId="4" borderId="0" applyNumberFormat="0" applyBorder="0" applyAlignment="0" applyProtection="0"/>
    <xf numFmtId="0" fontId="62" fillId="9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62" fillId="4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62" fillId="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62" fillId="2" borderId="0" applyNumberFormat="0" applyBorder="0" applyAlignment="0" applyProtection="0"/>
    <xf numFmtId="0" fontId="62" fillId="5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62" fillId="5" borderId="0" applyNumberFormat="0" applyBorder="0" applyAlignment="0" applyProtection="0"/>
    <xf numFmtId="0" fontId="62" fillId="4" borderId="0" applyNumberFormat="0" applyBorder="0" applyAlignment="0" applyProtection="0"/>
    <xf numFmtId="0" fontId="62" fillId="9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62" fillId="4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62" fillId="6" borderId="0" applyNumberFormat="0" applyBorder="0" applyAlignment="0" applyProtection="0"/>
    <xf numFmtId="0" fontId="62" fillId="5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62" fillId="6" borderId="0" applyNumberFormat="0" applyBorder="0" applyAlignment="0" applyProtection="0"/>
    <xf numFmtId="0" fontId="62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62" fillId="3" borderId="0" applyNumberFormat="0" applyBorder="0" applyAlignment="0" applyProtection="0"/>
    <xf numFmtId="0" fontId="62" fillId="4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62" fillId="4" borderId="0" applyNumberFormat="0" applyBorder="0" applyAlignment="0" applyProtection="0"/>
    <xf numFmtId="0" fontId="62" fillId="6" borderId="0" applyNumberFormat="0" applyBorder="0" applyAlignment="0" applyProtection="0"/>
    <xf numFmtId="0" fontId="62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62" fillId="6" borderId="0" applyNumberFormat="0" applyBorder="0" applyAlignment="0" applyProtection="0"/>
    <xf numFmtId="0" fontId="62" fillId="7" borderId="0" applyNumberFormat="0" applyBorder="0" applyAlignment="0" applyProtection="0"/>
    <xf numFmtId="0" fontId="62" fillId="5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62" fillId="7" borderId="0" applyNumberFormat="0" applyBorder="0" applyAlignment="0" applyProtection="0"/>
    <xf numFmtId="0" fontId="62" fillId="4" borderId="0" applyNumberFormat="0" applyBorder="0" applyAlignment="0" applyProtection="0"/>
    <xf numFmtId="0" fontId="62" fillId="9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62" fillId="4" borderId="0" applyNumberFormat="0" applyBorder="0" applyAlignment="0" applyProtection="0"/>
    <xf numFmtId="0" fontId="63" fillId="8" borderId="0" applyNumberFormat="0" applyBorder="0" applyAlignment="0" applyProtection="0"/>
    <xf numFmtId="0" fontId="63" fillId="5" borderId="0" applyNumberFormat="0" applyBorder="0" applyAlignment="0" applyProtection="0"/>
    <xf numFmtId="0" fontId="63" fillId="8" borderId="0" applyNumberFormat="0" applyBorder="0" applyAlignment="0" applyProtection="0"/>
    <xf numFmtId="0" fontId="160" fillId="7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44" borderId="0" applyNumberFormat="0" applyBorder="0" applyAlignment="0" applyProtection="0"/>
    <xf numFmtId="0" fontId="63" fillId="3" borderId="0" applyNumberFormat="0" applyBorder="0" applyAlignment="0" applyProtection="0"/>
    <xf numFmtId="0" fontId="160" fillId="45" borderId="0" applyNumberFormat="0" applyBorder="0" applyAlignment="0" applyProtection="0"/>
    <xf numFmtId="0" fontId="63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46" borderId="0" applyNumberFormat="0" applyBorder="0" applyAlignment="0" applyProtection="0"/>
    <xf numFmtId="0" fontId="63" fillId="9" borderId="0" applyNumberFormat="0" applyBorder="0" applyAlignment="0" applyProtection="0"/>
    <xf numFmtId="0" fontId="160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6" borderId="0" applyNumberFormat="0" applyBorder="0" applyAlignment="0" applyProtection="0"/>
    <xf numFmtId="0" fontId="63" fillId="11" borderId="0" applyNumberFormat="0" applyBorder="0" applyAlignment="0" applyProtection="0"/>
    <xf numFmtId="0" fontId="63" fillId="6" borderId="0" applyNumberFormat="0" applyBorder="0" applyAlignment="0" applyProtection="0"/>
    <xf numFmtId="0" fontId="160" fillId="6" borderId="0" applyNumberFormat="0" applyBorder="0" applyAlignment="0" applyProtection="0"/>
    <xf numFmtId="0" fontId="63" fillId="6" borderId="0" applyNumberFormat="0" applyBorder="0" applyAlignment="0" applyProtection="0"/>
    <xf numFmtId="0" fontId="63" fillId="8" borderId="0" applyNumberFormat="0" applyBorder="0" applyAlignment="0" applyProtection="0"/>
    <xf numFmtId="0" fontId="63" fillId="5" borderId="0" applyNumberFormat="0" applyBorder="0" applyAlignment="0" applyProtection="0"/>
    <xf numFmtId="0" fontId="63" fillId="8" borderId="0" applyNumberFormat="0" applyBorder="0" applyAlignment="0" applyProtection="0"/>
    <xf numFmtId="0" fontId="160" fillId="47" borderId="0" applyNumberFormat="0" applyBorder="0" applyAlignment="0" applyProtection="0"/>
    <xf numFmtId="0" fontId="63" fillId="8" borderId="0" applyNumberFormat="0" applyBorder="0" applyAlignment="0" applyProtection="0"/>
    <xf numFmtId="0" fontId="63" fillId="4" borderId="0" applyNumberFormat="0" applyBorder="0" applyAlignment="0" applyProtection="0"/>
    <xf numFmtId="0" fontId="63" fillId="3" borderId="0" applyNumberFormat="0" applyBorder="0" applyAlignment="0" applyProtection="0"/>
    <xf numFmtId="0" fontId="63" fillId="4" borderId="0" applyNumberFormat="0" applyBorder="0" applyAlignment="0" applyProtection="0"/>
    <xf numFmtId="0" fontId="160" fillId="2" borderId="0" applyNumberFormat="0" applyBorder="0" applyAlignment="0" applyProtection="0"/>
    <xf numFmtId="0" fontId="63" fillId="4" borderId="0" applyNumberFormat="0" applyBorder="0" applyAlignment="0" applyProtection="0"/>
    <xf numFmtId="37" fontId="188" fillId="0" borderId="0">
      <alignment horizontal="center"/>
    </xf>
    <xf numFmtId="0" fontId="163" fillId="0" borderId="0" applyFont="0" applyFill="0" applyBorder="0" applyAlignment="0" applyProtection="0"/>
    <xf numFmtId="0" fontId="163" fillId="0" borderId="0" applyFont="0" applyFill="0" applyBorder="0" applyAlignment="0" applyProtection="0"/>
    <xf numFmtId="0" fontId="63" fillId="8" borderId="0" applyNumberFormat="0" applyBorder="0" applyAlignment="0" applyProtection="0"/>
    <xf numFmtId="0" fontId="63" fillId="48" borderId="0" applyNumberFormat="0" applyBorder="0" applyAlignment="0" applyProtection="0"/>
    <xf numFmtId="0" fontId="63" fillId="8" borderId="0" applyNumberFormat="0" applyBorder="0" applyAlignment="0" applyProtection="0"/>
    <xf numFmtId="0" fontId="160" fillId="27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44" borderId="0" applyNumberFormat="0" applyBorder="0" applyAlignment="0" applyProtection="0"/>
    <xf numFmtId="0" fontId="63" fillId="3" borderId="0" applyNumberFormat="0" applyBorder="0" applyAlignment="0" applyProtection="0"/>
    <xf numFmtId="0" fontId="160" fillId="49" borderId="0" applyNumberFormat="0" applyBorder="0" applyAlignment="0" applyProtection="0"/>
    <xf numFmtId="0" fontId="63" fillId="3" borderId="0" applyNumberFormat="0" applyBorder="0" applyAlignment="0" applyProtection="0"/>
    <xf numFmtId="0" fontId="63" fillId="9" borderId="0" applyNumberFormat="0" applyBorder="0" applyAlignment="0" applyProtection="0"/>
    <xf numFmtId="0" fontId="63" fillId="46" borderId="0" applyNumberFormat="0" applyBorder="0" applyAlignment="0" applyProtection="0"/>
    <xf numFmtId="0" fontId="63" fillId="9" borderId="0" applyNumberFormat="0" applyBorder="0" applyAlignment="0" applyProtection="0"/>
    <xf numFmtId="0" fontId="160" fillId="50" borderId="0" applyNumberFormat="0" applyBorder="0" applyAlignment="0" applyProtection="0"/>
    <xf numFmtId="0" fontId="63" fillId="9" borderId="0" applyNumberFormat="0" applyBorder="0" applyAlignment="0" applyProtection="0"/>
    <xf numFmtId="0" fontId="63" fillId="10" borderId="0" applyNumberFormat="0" applyBorder="0" applyAlignment="0" applyProtection="0"/>
    <xf numFmtId="0" fontId="160" fillId="51" borderId="0" applyNumberFormat="0" applyBorder="0" applyAlignment="0" applyProtection="0"/>
    <xf numFmtId="0" fontId="63" fillId="10" borderId="0" applyNumberFormat="0" applyBorder="0" applyAlignment="0" applyProtection="0"/>
    <xf numFmtId="0" fontId="63" fillId="8" borderId="0" applyNumberFormat="0" applyBorder="0" applyAlignment="0" applyProtection="0"/>
    <xf numFmtId="0" fontId="160" fillId="27" borderId="0" applyNumberFormat="0" applyBorder="0" applyAlignment="0" applyProtection="0"/>
    <xf numFmtId="0" fontId="63" fillId="8" borderId="0" applyNumberFormat="0" applyBorder="0" applyAlignment="0" applyProtection="0"/>
    <xf numFmtId="0" fontId="63" fillId="3" borderId="0" applyNumberFormat="0" applyBorder="0" applyAlignment="0" applyProtection="0"/>
    <xf numFmtId="0" fontId="63" fillId="52" borderId="0" applyNumberFormat="0" applyBorder="0" applyAlignment="0" applyProtection="0"/>
    <xf numFmtId="0" fontId="63" fillId="3" borderId="0" applyNumberFormat="0" applyBorder="0" applyAlignment="0" applyProtection="0"/>
    <xf numFmtId="0" fontId="160" fillId="39" borderId="0" applyNumberFormat="0" applyBorder="0" applyAlignment="0" applyProtection="0"/>
    <xf numFmtId="0" fontId="63" fillId="3" borderId="0" applyNumberFormat="0" applyBorder="0" applyAlignment="0" applyProtection="0"/>
    <xf numFmtId="0" fontId="16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64" fillId="0" borderId="0" applyFont="0" applyFill="0" applyBorder="0" applyAlignment="0" applyProtection="0"/>
    <xf numFmtId="0" fontId="16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64" fillId="0" borderId="0" applyFont="0" applyFill="0" applyBorder="0" applyAlignment="0" applyProtection="0"/>
    <xf numFmtId="0" fontId="163" fillId="0" borderId="0" applyFont="0" applyFill="0" applyBorder="0" applyAlignment="0" applyProtection="0"/>
    <xf numFmtId="0" fontId="163" fillId="0" borderId="0" applyFont="0" applyFill="0" applyBorder="0" applyAlignment="0" applyProtection="0"/>
    <xf numFmtId="0" fontId="4" fillId="0" borderId="0"/>
    <xf numFmtId="0" fontId="16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6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64" fillId="11" borderId="0" applyNumberFormat="0" applyBorder="0" applyAlignment="0" applyProtection="0"/>
    <xf numFmtId="0" fontId="64" fillId="53" borderId="0" applyNumberFormat="0" applyBorder="0" applyAlignment="0" applyProtection="0"/>
    <xf numFmtId="0" fontId="64" fillId="11" borderId="0" applyNumberFormat="0" applyBorder="0" applyAlignment="0" applyProtection="0"/>
    <xf numFmtId="0" fontId="220" fillId="54" borderId="0" applyNumberFormat="0" applyBorder="0" applyAlignment="0" applyProtection="0"/>
    <xf numFmtId="0" fontId="220" fillId="54" borderId="0" applyNumberFormat="0" applyBorder="0" applyAlignment="0" applyProtection="0"/>
    <xf numFmtId="0" fontId="64" fillId="11" borderId="0" applyNumberFormat="0" applyBorder="0" applyAlignment="0" applyProtection="0"/>
    <xf numFmtId="227" fontId="180" fillId="0" borderId="0"/>
    <xf numFmtId="195" fontId="108" fillId="0" borderId="0" applyFont="0" applyFill="0" applyBorder="0" applyAlignment="0" applyProtection="0"/>
    <xf numFmtId="1" fontId="100" fillId="28" borderId="13" applyNumberFormat="0" applyBorder="0" applyAlignment="0">
      <alignment horizontal="center" vertical="top" wrapText="1"/>
      <protection hidden="1"/>
    </xf>
    <xf numFmtId="37" fontId="93" fillId="0" borderId="0" applyNumberFormat="0" applyFill="0" applyBorder="0" applyAlignment="0" applyProtection="0"/>
    <xf numFmtId="0" fontId="189" fillId="0" borderId="0" applyNumberFormat="0" applyFill="0" applyBorder="0" applyAlignment="0" applyProtection="0"/>
    <xf numFmtId="0" fontId="190" fillId="0" borderId="0" applyNumberFormat="0" applyFill="0" applyBorder="0" applyAlignment="0" applyProtection="0"/>
    <xf numFmtId="0" fontId="181" fillId="0" borderId="20" applyNumberFormat="0" applyFont="0" applyFill="0" applyAlignment="0" applyProtection="0"/>
    <xf numFmtId="0" fontId="181" fillId="0" borderId="13" applyNumberFormat="0" applyFont="0" applyFill="0" applyAlignment="0" applyProtection="0"/>
    <xf numFmtId="0" fontId="181" fillId="0" borderId="13" applyNumberFormat="0" applyFont="0" applyFill="0" applyAlignment="0" applyProtection="0"/>
    <xf numFmtId="0" fontId="181" fillId="0" borderId="11" applyNumberFormat="0" applyFont="0" applyFill="0" applyAlignment="0" applyProtection="0"/>
    <xf numFmtId="0" fontId="181" fillId="0" borderId="22" applyNumberFormat="0" applyFont="0" applyFill="0" applyAlignment="0" applyProtection="0"/>
    <xf numFmtId="37" fontId="191" fillId="0" borderId="0" applyNumberFormat="0" applyFill="0" applyBorder="0" applyAlignment="0" applyProtection="0">
      <alignment horizontal="center"/>
    </xf>
    <xf numFmtId="234" fontId="95" fillId="0" borderId="0" applyFont="0" applyFill="0" applyBorder="0" applyAlignment="0" applyProtection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65" fillId="0" borderId="0"/>
    <xf numFmtId="0" fontId="166" fillId="0" borderId="0"/>
    <xf numFmtId="0" fontId="165" fillId="0" borderId="0"/>
    <xf numFmtId="0" fontId="165" fillId="0" borderId="0"/>
    <xf numFmtId="0" fontId="167" fillId="0" borderId="0"/>
    <xf numFmtId="0" fontId="164" fillId="0" borderId="0"/>
    <xf numFmtId="0" fontId="167" fillId="0" borderId="0"/>
    <xf numFmtId="0" fontId="164" fillId="0" borderId="0"/>
    <xf numFmtId="0" fontId="167" fillId="0" borderId="0"/>
    <xf numFmtId="0" fontId="164" fillId="0" borderId="0"/>
    <xf numFmtId="0" fontId="4" fillId="0" borderId="0"/>
    <xf numFmtId="235" fontId="183" fillId="0" borderId="0" applyFill="0" applyBorder="0" applyAlignment="0"/>
    <xf numFmtId="0" fontId="65" fillId="12" borderId="1" applyNumberFormat="0" applyAlignment="0" applyProtection="0"/>
    <xf numFmtId="0" fontId="168" fillId="12" borderId="1" applyNumberFormat="0" applyAlignment="0" applyProtection="0"/>
    <xf numFmtId="0" fontId="65" fillId="12" borderId="1" applyNumberFormat="0" applyAlignment="0" applyProtection="0"/>
    <xf numFmtId="0" fontId="238" fillId="12" borderId="41" applyNumberFormat="0" applyAlignment="0" applyProtection="0"/>
    <xf numFmtId="0" fontId="65" fillId="12" borderId="1" applyNumberFormat="0" applyAlignment="0" applyProtection="0"/>
    <xf numFmtId="195" fontId="178" fillId="0" borderId="0" applyFont="0" applyFill="0" applyBorder="0" applyAlignment="0" applyProtection="0"/>
    <xf numFmtId="0" fontId="192" fillId="0" borderId="0">
      <alignment horizontal="right"/>
    </xf>
    <xf numFmtId="236" fontId="192" fillId="0" borderId="0"/>
    <xf numFmtId="0" fontId="45" fillId="0" borderId="0" applyAlignment="0"/>
    <xf numFmtId="0" fontId="66" fillId="13" borderId="2" applyNumberFormat="0" applyAlignment="0" applyProtection="0"/>
    <xf numFmtId="0" fontId="156" fillId="37" borderId="43" applyNumberFormat="0" applyAlignment="0" applyProtection="0"/>
    <xf numFmtId="0" fontId="66" fillId="13" borderId="2" applyNumberFormat="0" applyAlignment="0" applyProtection="0"/>
    <xf numFmtId="0" fontId="227" fillId="0" borderId="0" applyAlignment="0"/>
    <xf numFmtId="0" fontId="227" fillId="0" borderId="0" applyAlignment="0"/>
    <xf numFmtId="0" fontId="227" fillId="0" borderId="0" applyAlignment="0"/>
    <xf numFmtId="0" fontId="227" fillId="0" borderId="0" applyAlignment="0"/>
    <xf numFmtId="0" fontId="228" fillId="23" borderId="0" applyAlignment="0"/>
    <xf numFmtId="43" fontId="4" fillId="0" borderId="0" applyFont="0" applyFill="0" applyBorder="0" applyAlignment="0" applyProtection="0"/>
    <xf numFmtId="237" fontId="4" fillId="0" borderId="0"/>
    <xf numFmtId="237" fontId="4" fillId="0" borderId="0"/>
    <xf numFmtId="237" fontId="4" fillId="0" borderId="0"/>
    <xf numFmtId="237" fontId="4" fillId="0" borderId="0"/>
    <xf numFmtId="237" fontId="4" fillId="0" borderId="0"/>
    <xf numFmtId="237" fontId="4" fillId="0" borderId="0"/>
    <xf numFmtId="237" fontId="4" fillId="0" borderId="0"/>
    <xf numFmtId="212" fontId="179" fillId="0" borderId="0" applyFont="0"/>
    <xf numFmtId="178" fontId="102" fillId="0" borderId="0" applyFont="0" applyFill="0" applyBorder="0" applyAlignment="0">
      <alignment horizontal="center" wrapText="1"/>
    </xf>
    <xf numFmtId="38" fontId="32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7" fillId="0" borderId="0" applyFont="0" applyFill="0" applyBorder="0" applyAlignment="0" applyProtection="0"/>
    <xf numFmtId="217" fontId="62" fillId="0" borderId="0" applyFont="0" applyFill="0" applyBorder="0" applyAlignment="0" applyProtection="0"/>
    <xf numFmtId="217" fontId="62" fillId="0" borderId="0" applyFont="0" applyFill="0" applyBorder="0" applyAlignment="0" applyProtection="0"/>
    <xf numFmtId="43" fontId="17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7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3" fontId="193" fillId="0" borderId="0"/>
    <xf numFmtId="189" fontId="193" fillId="0" borderId="0"/>
    <xf numFmtId="2" fontId="193" fillId="0" borderId="0"/>
    <xf numFmtId="204" fontId="107" fillId="0" borderId="0" applyFill="0" applyBorder="0">
      <alignment horizontal="left"/>
    </xf>
    <xf numFmtId="0" fontId="194" fillId="0" borderId="0" applyNumberFormat="0" applyAlignment="0">
      <alignment horizontal="left"/>
    </xf>
    <xf numFmtId="44" fontId="4" fillId="0" borderId="0" applyFont="0" applyFill="0" applyBorder="0" applyAlignment="0" applyProtection="0"/>
    <xf numFmtId="238" fontId="108" fillId="0" borderId="0"/>
    <xf numFmtId="165" fontId="102" fillId="0" borderId="0" applyFont="0" applyFill="0" applyBorder="0" applyAlignment="0">
      <alignment horizontal="center" wrapText="1"/>
    </xf>
    <xf numFmtId="8" fontId="108" fillId="0" borderId="0" applyFont="0" applyFill="0" applyBorder="0" applyAlignment="0" applyProtection="0">
      <alignment horizontal="left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62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93" fontId="195" fillId="0" borderId="0" applyFont="0" applyFill="0" applyBorder="0" applyAlignment="0" applyProtection="0"/>
    <xf numFmtId="223" fontId="4" fillId="18" borderId="11">
      <alignment horizontal="right"/>
    </xf>
    <xf numFmtId="239" fontId="95" fillId="0" borderId="0" applyFont="0" applyFill="0" applyBorder="0" applyAlignment="0" applyProtection="0"/>
    <xf numFmtId="209" fontId="4" fillId="0" borderId="0" applyFont="0" applyFill="0" applyBorder="0" applyAlignment="0" applyProtection="0"/>
    <xf numFmtId="14" fontId="178" fillId="0" borderId="0" applyFont="0" applyFill="0" applyBorder="0" applyAlignment="0" applyProtection="0">
      <alignment horizontal="center"/>
    </xf>
    <xf numFmtId="226" fontId="178" fillId="0" borderId="0" applyFont="0" applyFill="0" applyBorder="0" applyAlignment="0" applyProtection="0">
      <alignment horizontal="center"/>
    </xf>
    <xf numFmtId="0" fontId="108" fillId="0" borderId="0"/>
    <xf numFmtId="238" fontId="192" fillId="0" borderId="0"/>
    <xf numFmtId="6" fontId="108" fillId="0" borderId="0" applyFont="0" applyFill="0" applyBorder="0" applyAlignment="0" applyProtection="0"/>
    <xf numFmtId="0" fontId="196" fillId="0" borderId="0" applyNumberFormat="0" applyAlignment="0">
      <alignment horizontal="left"/>
    </xf>
    <xf numFmtId="0" fontId="67" fillId="0" borderId="0" applyNumberFormat="0" applyFill="0" applyBorder="0" applyAlignment="0" applyProtection="0"/>
    <xf numFmtId="0" fontId="158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143" fillId="0" borderId="0">
      <alignment vertical="center"/>
    </xf>
    <xf numFmtId="0" fontId="197" fillId="0" borderId="0"/>
    <xf numFmtId="0" fontId="130" fillId="0" borderId="0"/>
    <xf numFmtId="0" fontId="132" fillId="0" borderId="0"/>
    <xf numFmtId="0" fontId="198" fillId="27" borderId="0"/>
    <xf numFmtId="0" fontId="129" fillId="27" borderId="0"/>
    <xf numFmtId="0" fontId="133" fillId="27" borderId="0"/>
    <xf numFmtId="240" fontId="192" fillId="0" borderId="0"/>
    <xf numFmtId="193" fontId="4" fillId="18" borderId="11">
      <alignment horizontal="right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0" fontId="68" fillId="14" borderId="0" applyNumberFormat="0" applyBorder="0" applyAlignment="0" applyProtection="0"/>
    <xf numFmtId="0" fontId="68" fillId="5" borderId="0" applyNumberFormat="0" applyBorder="0" applyAlignment="0" applyProtection="0"/>
    <xf numFmtId="0" fontId="68" fillId="14" borderId="0" applyNumberFormat="0" applyBorder="0" applyAlignment="0" applyProtection="0"/>
    <xf numFmtId="0" fontId="221" fillId="3" borderId="0" applyNumberFormat="0" applyBorder="0" applyAlignment="0" applyProtection="0"/>
    <xf numFmtId="0" fontId="221" fillId="3" borderId="0" applyNumberFormat="0" applyBorder="0" applyAlignment="0" applyProtection="0"/>
    <xf numFmtId="0" fontId="68" fillId="14" borderId="0" applyNumberFormat="0" applyBorder="0" applyAlignment="0" applyProtection="0"/>
    <xf numFmtId="230" fontId="182" fillId="0" borderId="0"/>
    <xf numFmtId="227" fontId="182" fillId="0" borderId="0" applyFill="0" applyBorder="0" applyAlignment="0" applyProtection="0"/>
    <xf numFmtId="168" fontId="4" fillId="21" borderId="27" applyNumberFormat="0" applyFont="0" applyBorder="0" applyAlignment="0" applyProtection="0"/>
    <xf numFmtId="168" fontId="4" fillId="21" borderId="27" applyNumberFormat="0" applyFont="0" applyBorder="0" applyAlignment="0" applyProtection="0"/>
    <xf numFmtId="0" fontId="199" fillId="0" borderId="0" applyNumberFormat="0" applyFill="0" applyBorder="0" applyAlignment="0" applyProtection="0"/>
    <xf numFmtId="0" fontId="142" fillId="0" borderId="28" applyNumberFormat="0" applyAlignment="0" applyProtection="0">
      <alignment horizontal="left" vertical="center"/>
    </xf>
    <xf numFmtId="0" fontId="142" fillId="0" borderId="16">
      <alignment horizontal="left" vertical="center"/>
    </xf>
    <xf numFmtId="0" fontId="69" fillId="0" borderId="3" applyNumberFormat="0" applyFill="0" applyAlignment="0" applyProtection="0"/>
    <xf numFmtId="0" fontId="69" fillId="0" borderId="44" applyNumberFormat="0" applyFill="0" applyAlignment="0" applyProtection="0"/>
    <xf numFmtId="0" fontId="69" fillId="0" borderId="3" applyNumberFormat="0" applyFill="0" applyAlignment="0" applyProtection="0"/>
    <xf numFmtId="0" fontId="222" fillId="0" borderId="45" applyNumberFormat="0" applyFill="0" applyAlignment="0" applyProtection="0"/>
    <xf numFmtId="0" fontId="222" fillId="0" borderId="45" applyNumberFormat="0" applyFill="0" applyAlignment="0" applyProtection="0"/>
    <xf numFmtId="0" fontId="69" fillId="0" borderId="3" applyNumberFormat="0" applyFill="0" applyAlignment="0" applyProtection="0"/>
    <xf numFmtId="0" fontId="70" fillId="0" borderId="4" applyNumberFormat="0" applyFill="0" applyAlignment="0" applyProtection="0"/>
    <xf numFmtId="0" fontId="70" fillId="0" borderId="46" applyNumberFormat="0" applyFill="0" applyAlignment="0" applyProtection="0"/>
    <xf numFmtId="0" fontId="70" fillId="0" borderId="4" applyNumberFormat="0" applyFill="0" applyAlignment="0" applyProtection="0"/>
    <xf numFmtId="0" fontId="223" fillId="0" borderId="47" applyNumberFormat="0" applyFill="0" applyAlignment="0" applyProtection="0"/>
    <xf numFmtId="0" fontId="223" fillId="0" borderId="47" applyNumberFormat="0" applyFill="0" applyAlignment="0" applyProtection="0"/>
    <xf numFmtId="0" fontId="70" fillId="0" borderId="4" applyNumberFormat="0" applyFill="0" applyAlignment="0" applyProtection="0"/>
    <xf numFmtId="0" fontId="71" fillId="0" borderId="5" applyNumberFormat="0" applyFill="0" applyAlignment="0" applyProtection="0"/>
    <xf numFmtId="0" fontId="71" fillId="0" borderId="48" applyNumberFormat="0" applyFill="0" applyAlignment="0" applyProtection="0"/>
    <xf numFmtId="0" fontId="71" fillId="0" borderId="5" applyNumberFormat="0" applyFill="0" applyAlignment="0" applyProtection="0"/>
    <xf numFmtId="0" fontId="224" fillId="0" borderId="49" applyNumberFormat="0" applyFill="0" applyAlignment="0" applyProtection="0"/>
    <xf numFmtId="0" fontId="224" fillId="0" borderId="49" applyNumberFormat="0" applyFill="0" applyAlignment="0" applyProtection="0"/>
    <xf numFmtId="0" fontId="71" fillId="0" borderId="5" applyNumberFormat="0" applyFill="0" applyAlignment="0" applyProtection="0"/>
    <xf numFmtId="0" fontId="71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224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200" fillId="0" borderId="0">
      <protection locked="0"/>
    </xf>
    <xf numFmtId="0" fontId="200" fillId="0" borderId="0">
      <protection locked="0"/>
    </xf>
    <xf numFmtId="0" fontId="201" fillId="0" borderId="0">
      <alignment wrapText="1"/>
    </xf>
    <xf numFmtId="0" fontId="127" fillId="0" borderId="0">
      <alignment wrapText="1"/>
    </xf>
    <xf numFmtId="0" fontId="134" fillId="0" borderId="0">
      <alignment wrapText="1"/>
    </xf>
    <xf numFmtId="0" fontId="41" fillId="0" borderId="50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174" fillId="0" borderId="0" applyNumberFormat="0" applyFill="0" applyBorder="0" applyAlignment="0" applyProtection="0">
      <alignment vertical="top"/>
      <protection locked="0"/>
    </xf>
    <xf numFmtId="0" fontId="147" fillId="0" borderId="0" applyNumberFormat="0" applyFill="0" applyBorder="0" applyAlignment="0" applyProtection="0">
      <alignment vertical="top"/>
      <protection locked="0"/>
    </xf>
    <xf numFmtId="0" fontId="138" fillId="0" borderId="0" applyNumberFormat="0" applyFill="0" applyBorder="0" applyAlignment="0" applyProtection="0">
      <alignment vertical="top"/>
      <protection locked="0"/>
    </xf>
    <xf numFmtId="0" fontId="146" fillId="0" borderId="0" applyNumberFormat="0" applyFill="0" applyBorder="0" applyAlignment="0" applyProtection="0">
      <alignment vertical="top"/>
      <protection locked="0"/>
    </xf>
    <xf numFmtId="0" fontId="154" fillId="0" borderId="0" applyNumberFormat="0" applyFill="0" applyBorder="0" applyAlignment="0" applyProtection="0"/>
    <xf numFmtId="0" fontId="138" fillId="0" borderId="0" applyNumberFormat="0" applyFill="0" applyBorder="0" applyAlignment="0" applyProtection="0">
      <alignment vertical="top"/>
      <protection locked="0"/>
    </xf>
    <xf numFmtId="0" fontId="153" fillId="0" borderId="0" applyNumberFormat="0" applyFill="0" applyBorder="0" applyAlignment="0" applyProtection="0"/>
    <xf numFmtId="38" fontId="108" fillId="0" borderId="0"/>
    <xf numFmtId="195" fontId="108" fillId="0" borderId="0" applyFont="0" applyFill="0" applyBorder="0" applyAlignment="0" applyProtection="0"/>
    <xf numFmtId="0" fontId="239" fillId="36" borderId="41" applyNumberFormat="0" applyAlignment="0" applyProtection="0"/>
    <xf numFmtId="0" fontId="72" fillId="4" borderId="1" applyNumberFormat="0" applyAlignment="0" applyProtection="0"/>
    <xf numFmtId="0" fontId="239" fillId="36" borderId="41" applyNumberFormat="0" applyAlignment="0" applyProtection="0"/>
    <xf numFmtId="0" fontId="72" fillId="4" borderId="1" applyNumberFormat="0" applyAlignment="0" applyProtection="0"/>
    <xf numFmtId="43" fontId="3" fillId="0" borderId="0" applyFont="0" applyFill="0" applyBorder="0" applyAlignment="0" applyProtection="0"/>
    <xf numFmtId="241" fontId="192" fillId="0" borderId="0"/>
    <xf numFmtId="0" fontId="229" fillId="0" borderId="0" applyAlignment="0"/>
    <xf numFmtId="38" fontId="35" fillId="0" borderId="0" applyNumberFormat="0" applyBorder="0" applyProtection="0">
      <alignment horizontal="left"/>
    </xf>
    <xf numFmtId="38" fontId="202" fillId="0" borderId="0"/>
    <xf numFmtId="38" fontId="203" fillId="0" borderId="0"/>
    <xf numFmtId="38" fontId="204" fillId="0" borderId="0"/>
    <xf numFmtId="38" fontId="205" fillId="0" borderId="0"/>
    <xf numFmtId="0" fontId="206" fillId="0" borderId="0"/>
    <xf numFmtId="0" fontId="206" fillId="0" borderId="0"/>
    <xf numFmtId="0" fontId="4" fillId="0" borderId="0"/>
    <xf numFmtId="0" fontId="73" fillId="0" borderId="6" applyNumberFormat="0" applyFill="0" applyAlignment="0" applyProtection="0"/>
    <xf numFmtId="0" fontId="78" fillId="0" borderId="51" applyNumberFormat="0" applyFill="0" applyAlignment="0" applyProtection="0"/>
    <xf numFmtId="0" fontId="73" fillId="0" borderId="6" applyNumberFormat="0" applyFill="0" applyAlignment="0" applyProtection="0"/>
    <xf numFmtId="0" fontId="225" fillId="0" borderId="52" applyNumberFormat="0" applyFill="0" applyAlignment="0" applyProtection="0"/>
    <xf numFmtId="0" fontId="225" fillId="0" borderId="52" applyNumberFormat="0" applyFill="0" applyAlignment="0" applyProtection="0"/>
    <xf numFmtId="0" fontId="73" fillId="0" borderId="6" applyNumberFormat="0" applyFill="0" applyAlignment="0" applyProtection="0"/>
    <xf numFmtId="224" fontId="4" fillId="0" borderId="0">
      <alignment horizontal="right"/>
    </xf>
    <xf numFmtId="227" fontId="180" fillId="0" borderId="0" applyFill="0" applyBorder="0" applyAlignment="0" applyProtection="0"/>
    <xf numFmtId="0" fontId="198" fillId="0" borderId="0"/>
    <xf numFmtId="0" fontId="129" fillId="0" borderId="0"/>
    <xf numFmtId="0" fontId="133" fillId="0" borderId="0"/>
    <xf numFmtId="0" fontId="207" fillId="0" borderId="0"/>
    <xf numFmtId="0" fontId="131" fillId="0" borderId="0"/>
    <xf numFmtId="0" fontId="135" fillId="0" borderId="0"/>
    <xf numFmtId="0" fontId="208" fillId="0" borderId="0"/>
    <xf numFmtId="0" fontId="128" fillId="0" borderId="0"/>
    <xf numFmtId="0" fontId="136" fillId="0" borderId="0"/>
    <xf numFmtId="37" fontId="117" fillId="0" borderId="0" applyNumberFormat="0" applyFill="0" applyBorder="0" applyAlignment="0" applyProtection="0">
      <alignment horizontal="center"/>
    </xf>
    <xf numFmtId="37" fontId="117" fillId="0" borderId="0" applyNumberFormat="0" applyFill="0" applyBorder="0" applyAlignment="0" applyProtection="0">
      <alignment horizontal="center"/>
    </xf>
    <xf numFmtId="14" fontId="181" fillId="0" borderId="0" applyFont="0" applyFill="0" applyBorder="0" applyAlignment="0" applyProtection="0"/>
    <xf numFmtId="242" fontId="108" fillId="0" borderId="0" applyFont="0" applyFill="0" applyBorder="0" applyAlignment="0" applyProtection="0"/>
    <xf numFmtId="0" fontId="74" fillId="4" borderId="0" applyNumberFormat="0" applyBorder="0" applyAlignment="0" applyProtection="0"/>
    <xf numFmtId="0" fontId="169" fillId="4" borderId="0" applyNumberFormat="0" applyBorder="0" applyAlignment="0" applyProtection="0"/>
    <xf numFmtId="0" fontId="74" fillId="4" borderId="0" applyNumberFormat="0" applyBorder="0" applyAlignment="0" applyProtection="0"/>
    <xf numFmtId="0" fontId="240" fillId="35" borderId="0" applyNumberFormat="0" applyBorder="0" applyAlignment="0" applyProtection="0"/>
    <xf numFmtId="0" fontId="74" fillId="4" borderId="0" applyNumberFormat="0" applyBorder="0" applyAlignment="0" applyProtection="0"/>
    <xf numFmtId="0" fontId="230" fillId="33" borderId="0" applyAlignment="0"/>
    <xf numFmtId="0" fontId="40" fillId="55" borderId="0" applyAlignment="0"/>
    <xf numFmtId="0" fontId="231" fillId="0" borderId="0" applyAlignment="0"/>
    <xf numFmtId="0" fontId="32" fillId="0" borderId="0"/>
    <xf numFmtId="0" fontId="95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 applyNumberFormat="0" applyFont="0" applyFill="0" applyBorder="0" applyAlignment="0" applyProtection="0"/>
    <xf numFmtId="0" fontId="17" fillId="0" borderId="0"/>
    <xf numFmtId="0" fontId="4" fillId="0" borderId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3" fillId="0" borderId="0"/>
    <xf numFmtId="0" fontId="4" fillId="0" borderId="0" applyNumberFormat="0" applyFont="0" applyFill="0" applyBorder="0" applyAlignment="0" applyProtection="0"/>
    <xf numFmtId="0" fontId="1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127" fillId="0" borderId="0"/>
    <xf numFmtId="0" fontId="12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1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3" fillId="0" borderId="0"/>
    <xf numFmtId="0" fontId="3" fillId="0" borderId="0"/>
    <xf numFmtId="0" fontId="62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62" fillId="0" borderId="0"/>
    <xf numFmtId="3" fontId="59" fillId="0" borderId="0"/>
    <xf numFmtId="3" fontId="59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27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137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62" fillId="0" borderId="0"/>
    <xf numFmtId="0" fontId="4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62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62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62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3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3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62" fillId="0" borderId="0"/>
    <xf numFmtId="0" fontId="4" fillId="0" borderId="0" applyNumberFormat="0" applyFont="0" applyFill="0" applyBorder="0" applyAlignment="0" applyProtection="0"/>
    <xf numFmtId="0" fontId="137" fillId="0" borderId="0"/>
    <xf numFmtId="0" fontId="62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37" fillId="0" borderId="0"/>
    <xf numFmtId="0" fontId="4" fillId="0" borderId="0" applyNumberFormat="0" applyFont="0" applyFill="0" applyBorder="0" applyAlignment="0" applyProtection="0"/>
    <xf numFmtId="0" fontId="137" fillId="0" borderId="0"/>
    <xf numFmtId="0" fontId="4" fillId="0" borderId="0"/>
    <xf numFmtId="0" fontId="12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241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209" fillId="0" borderId="0"/>
    <xf numFmtId="204" fontId="35" fillId="0" borderId="0" applyBorder="0">
      <alignment horizontal="left"/>
    </xf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9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62" fillId="4" borderId="39" applyNumberFormat="0" applyFont="0" applyAlignment="0" applyProtection="0"/>
    <xf numFmtId="0" fontId="62" fillId="4" borderId="39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3" fontId="59" fillId="0" borderId="0" applyBorder="0"/>
    <xf numFmtId="167" fontId="43" fillId="0" borderId="0" applyFont="0" applyFill="0" applyBorder="0" applyProtection="0">
      <alignment horizontal="right"/>
    </xf>
    <xf numFmtId="195" fontId="108" fillId="0" borderId="0" applyFont="0" applyFill="0" applyBorder="0" applyAlignment="0" applyProtection="0"/>
    <xf numFmtId="230" fontId="180" fillId="0" borderId="0"/>
    <xf numFmtId="0" fontId="75" fillId="12" borderId="8" applyNumberFormat="0" applyAlignment="0" applyProtection="0"/>
    <xf numFmtId="0" fontId="155" fillId="12" borderId="42" applyNumberFormat="0" applyAlignment="0" applyProtection="0"/>
    <xf numFmtId="0" fontId="75" fillId="12" borderId="8" applyNumberFormat="0" applyAlignment="0" applyProtection="0"/>
    <xf numFmtId="0" fontId="208" fillId="0" borderId="0"/>
    <xf numFmtId="0" fontId="128" fillId="0" borderId="0"/>
    <xf numFmtId="0" fontId="136" fillId="0" borderId="0"/>
    <xf numFmtId="9" fontId="4" fillId="0" borderId="0" applyFont="0" applyFill="0" applyBorder="0" applyAlignment="0" applyProtection="0"/>
    <xf numFmtId="168" fontId="108" fillId="0" borderId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7" fontId="43" fillId="0" borderId="0" applyFont="0" applyFill="0" applyBorder="0" applyProtection="0">
      <alignment horizontal="right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5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179" fillId="0" borderId="0"/>
    <xf numFmtId="243" fontId="108" fillId="0" borderId="0" applyFont="0" applyBorder="0"/>
    <xf numFmtId="168" fontId="195" fillId="0" borderId="0" applyFont="0" applyFill="0" applyBorder="0" applyAlignment="0" applyProtection="0"/>
    <xf numFmtId="10" fontId="195" fillId="0" borderId="0" applyFont="0" applyFill="0" applyBorder="0" applyAlignment="0" applyProtection="0"/>
    <xf numFmtId="9" fontId="4" fillId="0" borderId="0"/>
    <xf numFmtId="168" fontId="210" fillId="0" borderId="0" applyFill="0" applyBorder="0" applyAlignment="0" applyProtection="0"/>
    <xf numFmtId="228" fontId="108" fillId="0" borderId="0" applyFont="0" applyFill="0" applyBorder="0" applyAlignment="0" applyProtection="0"/>
    <xf numFmtId="229" fontId="108" fillId="0" borderId="0" applyFont="0" applyFill="0" applyBorder="0" applyAlignment="0" applyProtection="0"/>
    <xf numFmtId="38" fontId="108" fillId="0" borderId="0" applyFont="0" applyFill="0" applyBorder="0" applyAlignment="0" applyProtection="0"/>
    <xf numFmtId="3" fontId="108" fillId="0" borderId="0"/>
    <xf numFmtId="225" fontId="176" fillId="18" borderId="0"/>
    <xf numFmtId="192" fontId="211" fillId="0" borderId="0" applyNumberFormat="0" applyFill="0" applyBorder="0" applyAlignment="0" applyProtection="0">
      <alignment horizontal="left"/>
    </xf>
    <xf numFmtId="0" fontId="4" fillId="16" borderId="0" applyNumberFormat="0" applyFont="0" applyBorder="0" applyAlignment="0" applyProtection="0"/>
    <xf numFmtId="0" fontId="4" fillId="16" borderId="0" applyNumberFormat="0" applyFont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9">
      <alignment horizontal="centerContinuous"/>
    </xf>
    <xf numFmtId="0" fontId="34" fillId="0" borderId="9">
      <alignment horizontal="centerContinuous"/>
    </xf>
    <xf numFmtId="0" fontId="34" fillId="0" borderId="9">
      <alignment horizontal="centerContinuous"/>
    </xf>
    <xf numFmtId="0" fontId="34" fillId="0" borderId="9">
      <alignment horizontal="centerContinuous"/>
    </xf>
    <xf numFmtId="0" fontId="232" fillId="56" borderId="0" applyAlignment="0"/>
    <xf numFmtId="0" fontId="212" fillId="57" borderId="0" applyNumberFormat="0" applyFont="0" applyBorder="0" applyAlignment="0" applyProtection="0"/>
    <xf numFmtId="195" fontId="108" fillId="0" borderId="0" applyFont="0" applyFill="0" applyBorder="0" applyAlignment="0" applyProtection="0"/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3" fontId="59" fillId="0" borderId="0" applyBorder="0"/>
    <xf numFmtId="0" fontId="4" fillId="0" borderId="0"/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/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3" fontId="59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3" fontId="59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17" fillId="26" borderId="27" applyNumberFormat="0" applyProtection="0">
      <alignment horizontal="center" wrapText="1"/>
    </xf>
    <xf numFmtId="14" fontId="151" fillId="23" borderId="40" applyProtection="0">
      <alignment horizontal="right"/>
    </xf>
    <xf numFmtId="0" fontId="17" fillId="0" borderId="0" applyNumberFormat="0" applyFill="0" applyBorder="0" applyProtection="0">
      <alignment vertical="center"/>
    </xf>
    <xf numFmtId="0" fontId="152" fillId="33" borderId="40" applyNumberFormat="0" applyProtection="0">
      <alignment horizontal="left"/>
    </xf>
    <xf numFmtId="41" fontId="4" fillId="0" borderId="0" applyFont="0" applyFill="0" applyBorder="0" applyAlignment="0" applyProtection="0"/>
    <xf numFmtId="0" fontId="17" fillId="17" borderId="27" applyNumberFormat="0" applyProtection="0">
      <alignment wrapText="1"/>
    </xf>
    <xf numFmtId="41" fontId="4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41" fontId="4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5" fillId="0" borderId="0" applyNumberFormat="0" applyBorder="0" applyAlignment="0"/>
    <xf numFmtId="0" fontId="48" fillId="0" borderId="0" applyNumberFormat="0" applyBorder="0" applyAlignment="0"/>
    <xf numFmtId="2" fontId="151" fillId="33" borderId="40" applyProtection="0"/>
    <xf numFmtId="2" fontId="233" fillId="34" borderId="40" applyProtection="0"/>
    <xf numFmtId="2" fontId="233" fillId="55" borderId="40" applyProtection="0"/>
    <xf numFmtId="2" fontId="233" fillId="23" borderId="40" applyProtection="0"/>
    <xf numFmtId="218" fontId="213" fillId="0" borderId="0" applyFill="0" applyBorder="0" applyAlignment="0" applyProtection="0"/>
    <xf numFmtId="227" fontId="214" fillId="0" borderId="0" applyFill="0" applyBorder="0" applyAlignment="0" applyProtection="0"/>
    <xf numFmtId="0" fontId="121" fillId="0" borderId="0" applyNumberFormat="0" applyFill="0" applyBorder="0" applyProtection="0">
      <alignment horizontal="left" vertical="center"/>
    </xf>
    <xf numFmtId="195" fontId="108" fillId="0" borderId="0" applyFill="0" applyBorder="0" applyAlignment="0" applyProtection="0">
      <protection locked="0"/>
    </xf>
    <xf numFmtId="0" fontId="234" fillId="0" borderId="0" applyAlignment="0"/>
    <xf numFmtId="40" fontId="215" fillId="0" borderId="0" applyBorder="0">
      <alignment horizontal="right"/>
    </xf>
    <xf numFmtId="195" fontId="213" fillId="0" borderId="0" applyFill="0" applyBorder="0" applyAlignment="0" applyProtection="0"/>
    <xf numFmtId="0" fontId="235" fillId="0" borderId="0" applyAlignment="0"/>
    <xf numFmtId="0" fontId="37" fillId="0" borderId="0" applyFill="0" applyBorder="0" applyProtection="0">
      <alignment horizontal="left"/>
    </xf>
    <xf numFmtId="0" fontId="17" fillId="0" borderId="13" applyFill="0" applyBorder="0" applyProtection="0">
      <alignment horizontal="left" vertical="top"/>
    </xf>
    <xf numFmtId="0" fontId="17" fillId="0" borderId="13" applyFill="0" applyBorder="0" applyProtection="0">
      <alignment horizontal="left" vertical="top"/>
    </xf>
    <xf numFmtId="38" fontId="193" fillId="0" borderId="0" applyNumberFormat="0" applyBorder="0">
      <alignment horizontal="left"/>
    </xf>
    <xf numFmtId="0" fontId="181" fillId="0" borderId="0" applyNumberFormat="0" applyFont="0" applyFill="0" applyBorder="0" applyProtection="0">
      <alignment horizontal="left" vertical="top" wrapText="1"/>
    </xf>
    <xf numFmtId="0" fontId="173" fillId="0" borderId="0" applyAlignment="0"/>
    <xf numFmtId="0" fontId="173" fillId="0" borderId="0" applyAlignment="0"/>
    <xf numFmtId="0" fontId="236" fillId="0" borderId="0" applyAlignment="0"/>
    <xf numFmtId="0" fontId="172" fillId="0" borderId="0" applyAlignment="0"/>
    <xf numFmtId="0" fontId="76" fillId="0" borderId="0" applyNumberFormat="0" applyFill="0" applyBorder="0" applyAlignment="0" applyProtection="0"/>
    <xf numFmtId="0" fontId="226" fillId="0" borderId="0" applyNumberFormat="0" applyFill="0" applyBorder="0" applyAlignment="0" applyProtection="0"/>
    <xf numFmtId="0" fontId="226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195" fontId="216" fillId="0" borderId="0" applyNumberFormat="0" applyFill="0" applyBorder="0" applyAlignment="0" applyProtection="0"/>
    <xf numFmtId="0" fontId="237" fillId="0" borderId="0" applyAlignment="0"/>
    <xf numFmtId="37" fontId="195" fillId="0" borderId="0" applyNumberFormat="0" applyFill="0" applyBorder="0" applyAlignment="0" applyProtection="0">
      <alignment horizontal="center"/>
    </xf>
    <xf numFmtId="37" fontId="195" fillId="0" borderId="0" applyNumberFormat="0" applyFill="0" applyBorder="0" applyAlignment="0" applyProtection="0">
      <alignment horizontal="center"/>
    </xf>
    <xf numFmtId="0" fontId="77" fillId="0" borderId="10" applyNumberFormat="0" applyFill="0" applyAlignment="0" applyProtection="0"/>
    <xf numFmtId="0" fontId="159" fillId="0" borderId="53" applyNumberFormat="0" applyFill="0" applyAlignment="0" applyProtection="0"/>
    <xf numFmtId="0" fontId="77" fillId="0" borderId="54" applyNumberFormat="0" applyFill="0" applyAlignment="0" applyProtection="0"/>
    <xf numFmtId="0" fontId="77" fillId="0" borderId="10" applyNumberFormat="0" applyFill="0" applyAlignment="0" applyProtection="0"/>
    <xf numFmtId="0" fontId="173" fillId="0" borderId="0" applyAlignment="0">
      <alignment wrapText="1"/>
    </xf>
    <xf numFmtId="0" fontId="173" fillId="0" borderId="0" applyAlignment="0">
      <alignment wrapText="1"/>
    </xf>
    <xf numFmtId="0" fontId="77" fillId="0" borderId="10" applyNumberFormat="0" applyFill="0" applyAlignment="0" applyProtection="0"/>
    <xf numFmtId="0" fontId="173" fillId="0" borderId="0" applyAlignment="0">
      <alignment wrapText="1"/>
    </xf>
    <xf numFmtId="0" fontId="173" fillId="0" borderId="0" applyAlignment="0">
      <alignment wrapText="1"/>
    </xf>
    <xf numFmtId="0" fontId="173" fillId="0" borderId="0" applyAlignment="0">
      <alignment wrapText="1"/>
    </xf>
    <xf numFmtId="0" fontId="173" fillId="0" borderId="0" applyAlignment="0">
      <alignment wrapText="1"/>
    </xf>
    <xf numFmtId="0" fontId="173" fillId="0" borderId="0" applyAlignment="0">
      <alignment wrapText="1"/>
    </xf>
    <xf numFmtId="0" fontId="173" fillId="0" borderId="0" applyAlignment="0">
      <alignment wrapText="1"/>
    </xf>
    <xf numFmtId="1" fontId="108" fillId="0" borderId="20" applyNumberFormat="0">
      <alignment horizontal="right"/>
    </xf>
    <xf numFmtId="37" fontId="17" fillId="16" borderId="0" applyNumberFormat="0" applyBorder="0" applyAlignment="0" applyProtection="0"/>
    <xf numFmtId="37" fontId="17" fillId="0" borderId="0"/>
    <xf numFmtId="3" fontId="43" fillId="0" borderId="50" applyProtection="0"/>
    <xf numFmtId="6" fontId="217" fillId="0" borderId="36" applyNumberFormat="0" applyFill="0" applyBorder="0" applyAlignment="0" applyProtection="0">
      <alignment horizontal="right"/>
    </xf>
    <xf numFmtId="213" fontId="119" fillId="18" borderId="13" applyBorder="0">
      <alignment horizontal="right" vertical="center"/>
      <protection locked="0"/>
    </xf>
    <xf numFmtId="0" fontId="218" fillId="0" borderId="0" applyNumberFormat="0"/>
    <xf numFmtId="0" fontId="78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1" fontId="108" fillId="0" borderId="0" applyFont="0" applyFill="0" applyBorder="0" applyAlignment="0" applyProtection="0"/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1" fontId="212" fillId="0" borderId="20">
      <alignment horizontal="center"/>
    </xf>
    <xf numFmtId="0" fontId="170" fillId="0" borderId="0"/>
    <xf numFmtId="40" fontId="175" fillId="0" borderId="0" applyFont="0" applyFill="0" applyBorder="0" applyAlignment="0" applyProtection="0"/>
    <xf numFmtId="0" fontId="171" fillId="0" borderId="0" applyFont="0" applyFill="0" applyBorder="0" applyAlignment="0" applyProtection="0"/>
    <xf numFmtId="0" fontId="171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219" fillId="0" borderId="0"/>
    <xf numFmtId="0" fontId="3" fillId="0" borderId="0"/>
    <xf numFmtId="0" fontId="183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42" fillId="0" borderId="0" applyFont="0" applyFill="0" applyBorder="0" applyAlignment="0" applyProtection="0"/>
    <xf numFmtId="43" fontId="24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41" fillId="0" borderId="0" applyFont="0" applyFill="0" applyBorder="0" applyAlignment="0" applyProtection="0"/>
    <xf numFmtId="1" fontId="100" fillId="28" borderId="13" applyNumberFormat="0" applyBorder="0" applyAlignment="0">
      <alignment horizontal="center" vertical="top" wrapText="1"/>
      <protection hidden="1"/>
    </xf>
    <xf numFmtId="9" fontId="137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4" fillId="0" borderId="0"/>
    <xf numFmtId="245" fontId="4" fillId="0" borderId="0" applyFont="0" applyFill="0" applyBorder="0" applyAlignment="0" applyProtection="0"/>
    <xf numFmtId="217" fontId="4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3" fontId="59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3" fontId="59" fillId="0" borderId="0"/>
    <xf numFmtId="0" fontId="4" fillId="0" borderId="0" applyNumberFormat="0" applyFill="0" applyBorder="0" applyAlignment="0" applyProtection="0"/>
    <xf numFmtId="3" fontId="59" fillId="0" borderId="0"/>
    <xf numFmtId="3" fontId="59" fillId="0" borderId="0"/>
    <xf numFmtId="0" fontId="4" fillId="0" borderId="0" applyNumberFormat="0" applyFill="0" applyBorder="0" applyAlignment="0" applyProtection="0"/>
    <xf numFmtId="3" fontId="59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3" fontId="59" fillId="0" borderId="0"/>
    <xf numFmtId="0" fontId="61" fillId="0" borderId="0"/>
    <xf numFmtId="245" fontId="61" fillId="0" borderId="0" applyFont="0" applyFill="0" applyBorder="0" applyAlignment="0" applyProtection="0"/>
    <xf numFmtId="217" fontId="61" fillId="0" borderId="0" applyFont="0" applyFill="0" applyBorder="0" applyAlignment="0" applyProtection="0"/>
    <xf numFmtId="246" fontId="95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244" fontId="61" fillId="0" borderId="0" applyFont="0" applyFill="0" applyBorder="0" applyAlignment="0" applyProtection="0"/>
    <xf numFmtId="247" fontId="61" fillId="0" borderId="0" applyFont="0" applyFill="0" applyBorder="0" applyAlignment="0" applyProtection="0"/>
    <xf numFmtId="0" fontId="243" fillId="0" borderId="0">
      <alignment horizontal="right"/>
    </xf>
    <xf numFmtId="0" fontId="32" fillId="0" borderId="0"/>
    <xf numFmtId="0" fontId="4" fillId="6" borderId="0" applyNumberFormat="0" applyFont="0" applyAlignment="0"/>
    <xf numFmtId="248" fontId="108" fillId="0" borderId="0">
      <alignment horizontal="right"/>
    </xf>
    <xf numFmtId="0" fontId="244" fillId="0" borderId="0"/>
    <xf numFmtId="249" fontId="192" fillId="0" borderId="0">
      <alignment horizontal="right"/>
    </xf>
    <xf numFmtId="0" fontId="4" fillId="0" borderId="0">
      <alignment horizontal="center" wrapText="1"/>
      <protection hidden="1"/>
    </xf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0" fontId="105" fillId="0" borderId="0"/>
    <xf numFmtId="3" fontId="4" fillId="0" borderId="0" applyFont="0" applyFill="0" applyBorder="0" applyAlignment="0" applyProtection="0"/>
    <xf numFmtId="0" fontId="79" fillId="18" borderId="0" applyNumberFormat="0" applyFill="0" applyBorder="0" applyAlignment="0"/>
    <xf numFmtId="0" fontId="245" fillId="58" borderId="0">
      <alignment horizontal="center" vertical="center" wrapText="1"/>
    </xf>
    <xf numFmtId="250" fontId="4" fillId="0" borderId="0" applyFill="0" applyBorder="0">
      <alignment horizontal="right"/>
      <protection locked="0"/>
    </xf>
    <xf numFmtId="204" fontId="246" fillId="0" borderId="0"/>
    <xf numFmtId="204" fontId="246" fillId="0" borderId="0"/>
    <xf numFmtId="8" fontId="30" fillId="0" borderId="0" applyFont="0" applyFill="0" applyBorder="0" applyAlignment="0" applyProtection="0"/>
    <xf numFmtId="193" fontId="247" fillId="0" borderId="0" applyFont="0" applyFill="0" applyBorder="0" applyAlignment="0" applyProtection="0"/>
    <xf numFmtId="251" fontId="4" fillId="0" borderId="0" applyFont="0" applyFill="0" applyBorder="0" applyAlignment="0" applyProtection="0"/>
    <xf numFmtId="0" fontId="30" fillId="0" borderId="0" applyFont="0" applyFill="0" applyBorder="0" applyAlignment="0">
      <protection locked="0"/>
    </xf>
    <xf numFmtId="44" fontId="4" fillId="0" borderId="0" applyFont="0" applyFill="0" applyBorder="0" applyAlignment="0" applyProtection="0"/>
    <xf numFmtId="38" fontId="172" fillId="21" borderId="33">
      <protection locked="0"/>
    </xf>
    <xf numFmtId="37" fontId="41" fillId="0" borderId="55" applyAlignment="0">
      <protection locked="0"/>
    </xf>
    <xf numFmtId="10" fontId="41" fillId="0" borderId="55" applyAlignment="0">
      <protection locked="0"/>
    </xf>
    <xf numFmtId="37" fontId="41" fillId="0" borderId="55" applyAlignment="0">
      <protection locked="0"/>
    </xf>
    <xf numFmtId="185" fontId="192" fillId="0" borderId="0"/>
    <xf numFmtId="2" fontId="173" fillId="15" borderId="0">
      <alignment horizontal="left"/>
      <protection hidden="1"/>
    </xf>
    <xf numFmtId="212" fontId="108" fillId="0" borderId="0"/>
    <xf numFmtId="2" fontId="192" fillId="0" borderId="0"/>
    <xf numFmtId="243" fontId="108" fillId="0" borderId="0"/>
    <xf numFmtId="240" fontId="192" fillId="0" borderId="0"/>
    <xf numFmtId="241" fontId="91" fillId="0" borderId="0" applyBorder="0" applyAlignment="0"/>
    <xf numFmtId="195" fontId="248" fillId="30" borderId="0" applyNumberFormat="0" applyBorder="0" applyAlignment="0">
      <protection locked="0"/>
    </xf>
    <xf numFmtId="10" fontId="249" fillId="0" borderId="0">
      <protection locked="0"/>
    </xf>
    <xf numFmtId="15" fontId="249" fillId="0" borderId="0">
      <protection locked="0"/>
    </xf>
    <xf numFmtId="2" fontId="249" fillId="0" borderId="12">
      <protection locked="0"/>
    </xf>
    <xf numFmtId="37" fontId="42" fillId="6" borderId="0"/>
    <xf numFmtId="37" fontId="39" fillId="6" borderId="0"/>
    <xf numFmtId="0" fontId="249" fillId="0" borderId="0">
      <protection locked="0"/>
    </xf>
    <xf numFmtId="182" fontId="4" fillId="0" borderId="0" applyFill="0" applyBorder="0">
      <alignment horizontal="right"/>
      <protection locked="0"/>
    </xf>
    <xf numFmtId="0" fontId="5" fillId="19" borderId="30">
      <alignment horizontal="left" vertical="center" wrapText="1"/>
    </xf>
    <xf numFmtId="4" fontId="192" fillId="0" borderId="0"/>
    <xf numFmtId="252" fontId="108" fillId="0" borderId="0"/>
    <xf numFmtId="0" fontId="30" fillId="0" borderId="0"/>
    <xf numFmtId="0" fontId="4" fillId="0" borderId="0" applyNumberFormat="0" applyFill="0" applyBorder="0" applyAlignment="0" applyProtection="0"/>
    <xf numFmtId="0" fontId="30" fillId="0" borderId="0"/>
    <xf numFmtId="0" fontId="3" fillId="0" borderId="0"/>
    <xf numFmtId="0" fontId="3" fillId="0" borderId="0"/>
    <xf numFmtId="195" fontId="42" fillId="0" borderId="0" applyNumberFormat="0" applyFill="0" applyBorder="0" applyAlignment="0" applyProtection="0"/>
    <xf numFmtId="0" fontId="250" fillId="0" borderId="12"/>
    <xf numFmtId="38" fontId="251" fillId="0" borderId="0"/>
    <xf numFmtId="195" fontId="37" fillId="0" borderId="0" applyFont="0" applyBorder="0">
      <alignment horizontal="right"/>
    </xf>
    <xf numFmtId="1" fontId="37" fillId="0" borderId="0">
      <alignment horizontal="right"/>
    </xf>
    <xf numFmtId="37" fontId="41" fillId="0" borderId="55">
      <protection locked="0"/>
    </xf>
    <xf numFmtId="10" fontId="251" fillId="0" borderId="0"/>
    <xf numFmtId="9" fontId="30" fillId="0" borderId="0" applyFont="0" applyFill="0" applyBorder="0" applyAlignment="0" applyProtection="0"/>
    <xf numFmtId="253" fontId="108" fillId="0" borderId="0">
      <alignment horizontal="right"/>
    </xf>
    <xf numFmtId="10" fontId="247" fillId="0" borderId="0" applyFont="0" applyFill="0" applyBorder="0" applyAlignment="0" applyProtection="0"/>
    <xf numFmtId="195" fontId="252" fillId="0" borderId="0">
      <alignment horizontal="right"/>
    </xf>
    <xf numFmtId="254" fontId="4" fillId="0" borderId="0" applyFill="0" applyBorder="0">
      <alignment horizontal="right"/>
      <protection locked="0"/>
    </xf>
    <xf numFmtId="37" fontId="41" fillId="0" borderId="0">
      <protection locked="0"/>
    </xf>
    <xf numFmtId="229" fontId="95" fillId="0" borderId="0" applyFill="0" applyBorder="0">
      <alignment horizontal="right"/>
      <protection locked="0"/>
    </xf>
    <xf numFmtId="2" fontId="251" fillId="0" borderId="0"/>
    <xf numFmtId="255" fontId="4" fillId="0" borderId="0">
      <alignment horizontal="right"/>
      <protection locked="0"/>
    </xf>
    <xf numFmtId="37" fontId="30" fillId="0" borderId="0" applyFont="0" applyFill="0" applyBorder="0" applyAlignment="0" applyProtection="0"/>
    <xf numFmtId="0" fontId="91" fillId="0" borderId="0" applyNumberFormat="0" applyFill="0" applyBorder="0" applyAlignment="0" applyProtection="0"/>
    <xf numFmtId="256" fontId="253" fillId="0" borderId="0" applyFill="0" applyBorder="0">
      <alignment horizontal="right"/>
      <protection hidden="1"/>
    </xf>
    <xf numFmtId="0" fontId="39" fillId="58" borderId="27">
      <alignment horizontal="center" vertical="center" wrapText="1"/>
      <protection hidden="1"/>
    </xf>
    <xf numFmtId="0" fontId="36" fillId="20" borderId="0">
      <alignment horizontal="right"/>
    </xf>
    <xf numFmtId="185" fontId="108" fillId="0" borderId="0"/>
    <xf numFmtId="257" fontId="95" fillId="0" borderId="0">
      <protection locked="0"/>
    </xf>
    <xf numFmtId="0" fontId="45" fillId="0" borderId="13" applyBorder="0">
      <alignment horizontal="center"/>
    </xf>
    <xf numFmtId="38" fontId="4" fillId="0" borderId="0" applyNumberFormat="0" applyBorder="0">
      <alignment horizontal="left"/>
    </xf>
    <xf numFmtId="0" fontId="251" fillId="0" borderId="0"/>
    <xf numFmtId="0" fontId="40" fillId="59" borderId="0" applyNumberFormat="0" applyBorder="0">
      <alignment horizontal="centerContinuous"/>
    </xf>
    <xf numFmtId="0" fontId="4" fillId="0" borderId="0" applyBorder="0"/>
    <xf numFmtId="38" fontId="4" fillId="0" borderId="0">
      <alignment horizontal="right"/>
    </xf>
    <xf numFmtId="195" fontId="17" fillId="30" borderId="33">
      <alignment horizontal="right"/>
    </xf>
    <xf numFmtId="195" fontId="42" fillId="30" borderId="33"/>
    <xf numFmtId="1" fontId="254" fillId="0" borderId="0" applyFont="0">
      <alignment horizontal="right"/>
    </xf>
    <xf numFmtId="0" fontId="145" fillId="0" borderId="0"/>
    <xf numFmtId="245" fontId="145" fillId="0" borderId="0" applyFont="0" applyFill="0" applyBorder="0" applyAlignment="0" applyProtection="0"/>
    <xf numFmtId="217" fontId="145" fillId="0" borderId="0" applyFont="0" applyFill="0" applyBorder="0" applyAlignment="0" applyProtection="0"/>
    <xf numFmtId="9" fontId="59" fillId="0" borderId="0" applyFont="0" applyFill="0" applyBorder="0" applyProtection="0">
      <alignment horizontal="right"/>
    </xf>
    <xf numFmtId="244" fontId="145" fillId="0" borderId="0" applyFont="0" applyFill="0" applyBorder="0" applyAlignment="0" applyProtection="0"/>
    <xf numFmtId="247" fontId="145" fillId="0" borderId="0" applyFont="0" applyFill="0" applyBorder="0" applyAlignment="0" applyProtection="0"/>
    <xf numFmtId="0" fontId="138" fillId="0" borderId="0" applyNumberFormat="0" applyFill="0" applyBorder="0" applyAlignment="0" applyProtection="0">
      <alignment vertical="top"/>
      <protection locked="0"/>
    </xf>
    <xf numFmtId="0" fontId="17" fillId="0" borderId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223" fontId="4" fillId="18" borderId="11">
      <alignment horizontal="right"/>
    </xf>
    <xf numFmtId="43" fontId="3" fillId="0" borderId="0" applyFont="0" applyFill="0" applyBorder="0" applyAlignment="0" applyProtection="0"/>
    <xf numFmtId="193" fontId="4" fillId="18" borderId="11">
      <alignment horizontal="right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17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7" fillId="0" borderId="0"/>
    <xf numFmtId="0" fontId="17" fillId="0" borderId="0"/>
    <xf numFmtId="0" fontId="4" fillId="0" borderId="0" applyFont="0" applyFill="0" applyBorder="0" applyAlignment="0" applyProtection="0"/>
    <xf numFmtId="0" fontId="44" fillId="0" borderId="0" applyNumberFormat="0" applyFont="0" applyFill="0" applyBorder="0" applyAlignment="0" applyProtection="0"/>
    <xf numFmtId="219" fontId="161" fillId="0" borderId="0"/>
    <xf numFmtId="0" fontId="62" fillId="7" borderId="0" applyNumberFormat="0" applyBorder="0" applyAlignment="0" applyProtection="0"/>
    <xf numFmtId="0" fontId="62" fillId="9" borderId="0" applyNumberFormat="0" applyBorder="0" applyAlignment="0" applyProtection="0"/>
    <xf numFmtId="0" fontId="62" fillId="9" borderId="0" applyNumberFormat="0" applyBorder="0" applyAlignment="0" applyProtection="0"/>
    <xf numFmtId="0" fontId="62" fillId="5" borderId="0" applyNumberFormat="0" applyBorder="0" applyAlignment="0" applyProtection="0"/>
    <xf numFmtId="0" fontId="62" fillId="11" borderId="0" applyNumberFormat="0" applyBorder="0" applyAlignment="0" applyProtection="0"/>
    <xf numFmtId="0" fontId="62" fillId="5" borderId="0" applyNumberFormat="0" applyBorder="0" applyAlignment="0" applyProtection="0"/>
    <xf numFmtId="0" fontId="62" fillId="9" borderId="0" applyNumberFormat="0" applyBorder="0" applyAlignment="0" applyProtection="0"/>
    <xf numFmtId="0" fontId="63" fillId="5" borderId="0" applyNumberFormat="0" applyBorder="0" applyAlignment="0" applyProtection="0"/>
    <xf numFmtId="0" fontId="63" fillId="44" borderId="0" applyNumberFormat="0" applyBorder="0" applyAlignment="0" applyProtection="0"/>
    <xf numFmtId="0" fontId="63" fillId="46" borderId="0" applyNumberFormat="0" applyBorder="0" applyAlignment="0" applyProtection="0"/>
    <xf numFmtId="0" fontId="63" fillId="11" borderId="0" applyNumberFormat="0" applyBorder="0" applyAlignment="0" applyProtection="0"/>
    <xf numFmtId="0" fontId="63" fillId="5" borderId="0" applyNumberFormat="0" applyBorder="0" applyAlignment="0" applyProtection="0"/>
    <xf numFmtId="0" fontId="63" fillId="3" borderId="0" applyNumberFormat="0" applyBorder="0" applyAlignment="0" applyProtection="0"/>
    <xf numFmtId="0" fontId="63" fillId="48" borderId="0" applyNumberFormat="0" applyBorder="0" applyAlignment="0" applyProtection="0"/>
    <xf numFmtId="0" fontId="63" fillId="44" borderId="0" applyNumberFormat="0" applyBorder="0" applyAlignment="0" applyProtection="0"/>
    <xf numFmtId="0" fontId="63" fillId="46" borderId="0" applyNumberFormat="0" applyBorder="0" applyAlignment="0" applyProtection="0"/>
    <xf numFmtId="0" fontId="63" fillId="52" borderId="0" applyNumberFormat="0" applyBorder="0" applyAlignment="0" applyProtection="0"/>
    <xf numFmtId="0" fontId="64" fillId="53" borderId="0" applyNumberFormat="0" applyBorder="0" applyAlignment="0" applyProtection="0"/>
    <xf numFmtId="0" fontId="168" fillId="12" borderId="1" applyNumberFormat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5" fillId="0" borderId="13" applyBorder="0">
      <alignment horizontal="center"/>
    </xf>
    <xf numFmtId="0" fontId="68" fillId="5" borderId="0" applyNumberFormat="0" applyBorder="0" applyAlignment="0" applyProtection="0"/>
    <xf numFmtId="0" fontId="69" fillId="0" borderId="44" applyNumberFormat="0" applyFill="0" applyAlignment="0" applyProtection="0"/>
    <xf numFmtId="0" fontId="70" fillId="0" borderId="46" applyNumberFormat="0" applyFill="0" applyAlignment="0" applyProtection="0"/>
    <xf numFmtId="0" fontId="71" fillId="0" borderId="48" applyNumberFormat="0" applyFill="0" applyAlignment="0" applyProtection="0"/>
    <xf numFmtId="0" fontId="138" fillId="0" borderId="0" applyNumberFormat="0" applyFill="0" applyBorder="0" applyAlignment="0" applyProtection="0">
      <alignment vertical="top"/>
      <protection locked="0"/>
    </xf>
    <xf numFmtId="0" fontId="139" fillId="0" borderId="0" applyNumberFormat="0" applyFill="0" applyBorder="0" applyAlignment="0" applyProtection="0"/>
    <xf numFmtId="0" fontId="78" fillId="0" borderId="51" applyNumberFormat="0" applyFill="0" applyAlignment="0" applyProtection="0"/>
    <xf numFmtId="0" fontId="169" fillId="4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13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37" fillId="0" borderId="0"/>
    <xf numFmtId="0" fontId="4" fillId="0" borderId="0"/>
    <xf numFmtId="3" fontId="59" fillId="0" borderId="0" applyBorder="0"/>
    <xf numFmtId="0" fontId="17" fillId="0" borderId="13" applyFill="0" applyBorder="0" applyProtection="0">
      <alignment horizontal="left" vertical="top"/>
    </xf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81" fillId="0" borderId="13" applyNumberFormat="0" applyFont="0" applyFill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213" fontId="119" fillId="18" borderId="13" applyBorder="0">
      <alignment horizontal="right" vertical="center"/>
      <protection locked="0"/>
    </xf>
    <xf numFmtId="9" fontId="4" fillId="0" borderId="0" applyFont="0" applyFill="0" applyBorder="0" applyAlignment="0" applyProtection="0"/>
    <xf numFmtId="0" fontId="38" fillId="0" borderId="0"/>
    <xf numFmtId="0" fontId="38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77" fillId="0" borderId="54" applyNumberFormat="0" applyFill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ill="0" applyBorder="0" applyAlignment="0" applyProtection="0"/>
    <xf numFmtId="43" fontId="4" fillId="0" borderId="0" applyFont="0" applyFill="0" applyBorder="0" applyAlignment="0" applyProtection="0"/>
    <xf numFmtId="44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 applyNumberFormat="0" applyFill="0" applyBorder="0" applyAlignment="0" applyProtection="0"/>
    <xf numFmtId="9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>
      <alignment vertical="top"/>
    </xf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4" borderId="7" applyNumberFormat="0" applyFont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62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4" fontId="62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178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1" fontId="4" fillId="0" borderId="0">
      <alignment horizontal="center"/>
    </xf>
    <xf numFmtId="0" fontId="4" fillId="0" borderId="0"/>
    <xf numFmtId="0" fontId="4" fillId="0" borderId="0" applyNumberForma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9" fontId="4" fillId="0" borderId="0"/>
    <xf numFmtId="9" fontId="4" fillId="0" borderId="0" applyFont="0" applyFill="0" applyBorder="0" applyAlignment="0" applyProtection="0"/>
    <xf numFmtId="0" fontId="4" fillId="0" borderId="0"/>
    <xf numFmtId="0" fontId="4" fillId="4" borderId="7" applyNumberFormat="0" applyFont="0" applyAlignment="0" applyProtection="0"/>
    <xf numFmtId="9" fontId="62" fillId="0" borderId="0" applyFont="0" applyFill="0" applyBorder="0" applyAlignment="0" applyProtection="0"/>
    <xf numFmtId="49" fontId="4" fillId="0" borderId="0" applyFill="0" applyBorder="0">
      <alignment horizontal="right" vertical="center"/>
    </xf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4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4" borderId="7" applyNumberFormat="0" applyFont="0" applyAlignment="0" applyProtection="0"/>
    <xf numFmtId="9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9" fontId="4" fillId="0" borderId="0" applyFill="0" applyBorder="0">
      <alignment horizontal="right" vertical="center"/>
    </xf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43" fontId="3" fillId="0" borderId="0" applyFont="0" applyFill="0" applyBorder="0" applyAlignment="0" applyProtection="0"/>
    <xf numFmtId="167" fontId="43" fillId="0" borderId="0" applyFont="0" applyFill="0" applyBorder="0" applyProtection="0">
      <alignment horizontal="right"/>
    </xf>
    <xf numFmtId="178" fontId="4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 applyNumberForma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8" fontId="4" fillId="0" borderId="0"/>
    <xf numFmtId="0" fontId="4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9" fontId="3" fillId="0" borderId="0" applyFont="0" applyFill="0" applyBorder="0" applyAlignment="0" applyProtection="0"/>
    <xf numFmtId="10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/>
    <xf numFmtId="43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139" fillId="0" borderId="0" applyNumberFormat="0" applyFill="0" applyBorder="0" applyAlignment="0" applyProtection="0"/>
    <xf numFmtId="9" fontId="4" fillId="0" borderId="0"/>
    <xf numFmtId="9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62" fillId="32" borderId="39" applyNumberFormat="0" applyFont="0" applyAlignment="0" applyProtection="0"/>
    <xf numFmtId="9" fontId="3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9" fontId="62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4" borderId="7" applyNumberFormat="0" applyFont="0" applyAlignment="0" applyProtection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0" fillId="0" borderId="0"/>
    <xf numFmtId="0" fontId="4" fillId="0" borderId="0">
      <alignment vertical="top"/>
    </xf>
    <xf numFmtId="1" fontId="4" fillId="0" borderId="0">
      <alignment horizontal="center"/>
    </xf>
    <xf numFmtId="0" fontId="97" fillId="0" borderId="0">
      <alignment horizontal="center"/>
    </xf>
    <xf numFmtId="43" fontId="61" fillId="0" borderId="0" applyFont="0" applyFill="0" applyBorder="0" applyAlignment="0" applyProtection="0"/>
    <xf numFmtId="43" fontId="61" fillId="0" borderId="0" applyFont="0" applyFill="0" applyBorder="0" applyAlignment="0" applyProtection="0"/>
    <xf numFmtId="44" fontId="61" fillId="0" borderId="0" applyFont="0" applyFill="0" applyBorder="0" applyAlignment="0" applyProtection="0"/>
    <xf numFmtId="49" fontId="4" fillId="0" borderId="0" applyFill="0" applyBorder="0">
      <alignment horizontal="right" vertical="center"/>
    </xf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11" fillId="0" borderId="0"/>
    <xf numFmtId="0" fontId="3" fillId="0" borderId="0"/>
    <xf numFmtId="9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6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6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" fontId="59" fillId="0" borderId="22" applyBorder="0"/>
    <xf numFmtId="0" fontId="4" fillId="0" borderId="0">
      <alignment vertical="top"/>
    </xf>
    <xf numFmtId="0" fontId="4" fillId="0" borderId="0">
      <alignment vertical="top"/>
    </xf>
    <xf numFmtId="178" fontId="4" fillId="0" borderId="0"/>
    <xf numFmtId="43" fontId="4" fillId="0" borderId="0" applyFont="0" applyFill="0" applyBorder="0" applyAlignment="0" applyProtection="0"/>
    <xf numFmtId="9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4" fillId="4" borderId="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4" borderId="7" applyNumberFormat="0" applyFont="0" applyAlignment="0" applyProtection="0"/>
    <xf numFmtId="9" fontId="4" fillId="0" borderId="0" applyFont="0" applyFill="0" applyBorder="0" applyAlignment="0" applyProtection="0"/>
    <xf numFmtId="0" fontId="4" fillId="4" borderId="7" applyNumberFormat="0" applyFont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20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43" fontId="6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62" fillId="0" borderId="0" applyFont="0" applyFill="0" applyBorder="0" applyAlignment="0" applyProtection="0"/>
    <xf numFmtId="0" fontId="111" fillId="0" borderId="0"/>
    <xf numFmtId="0" fontId="120" fillId="0" borderId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4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" fontId="4" fillId="0" borderId="0">
      <alignment horizontal="center"/>
    </xf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>
      <alignment vertical="top"/>
    </xf>
    <xf numFmtId="43" fontId="62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7" fontId="43" fillId="0" borderId="0" applyFont="0" applyFill="0" applyBorder="0" applyProtection="0">
      <alignment horizontal="right"/>
    </xf>
    <xf numFmtId="9" fontId="62" fillId="0" borderId="0" applyFont="0" applyFill="0" applyBorder="0" applyAlignment="0" applyProtection="0"/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9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62" fillId="0" borderId="0" applyFont="0" applyFill="0" applyBorder="0" applyAlignment="0" applyProtection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1" fontId="4" fillId="0" borderId="0">
      <alignment horizontal="center"/>
    </xf>
    <xf numFmtId="0" fontId="4" fillId="0" borderId="0"/>
    <xf numFmtId="9" fontId="4" fillId="0" borderId="0" applyFont="0" applyFill="0" applyBorder="0" applyAlignment="0" applyProtection="0"/>
    <xf numFmtId="0" fontId="4" fillId="4" borderId="7" applyNumberFormat="0" applyFont="0" applyAlignment="0" applyProtection="0"/>
    <xf numFmtId="43" fontId="4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9" fontId="4" fillId="0" borderId="0" applyFont="0" applyFill="0" applyBorder="0" applyAlignment="0" applyProtection="0"/>
    <xf numFmtId="0" fontId="4" fillId="0" borderId="0">
      <alignment vertical="top"/>
    </xf>
    <xf numFmtId="0" fontId="4" fillId="4" borderId="7" applyNumberFormat="0" applyFont="0" applyAlignment="0" applyProtection="0"/>
    <xf numFmtId="49" fontId="4" fillId="0" borderId="0" applyFill="0" applyBorder="0">
      <alignment horizontal="right" vertical="center"/>
    </xf>
    <xf numFmtId="44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10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4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44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3" fontId="59" fillId="0" borderId="0" applyBorder="0"/>
    <xf numFmtId="167" fontId="43" fillId="0" borderId="0" applyFont="0" applyFill="0" applyBorder="0" applyProtection="0">
      <alignment horizontal="right"/>
    </xf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7" fontId="43" fillId="0" borderId="0" applyFont="0" applyFill="0" applyBorder="0" applyProtection="0">
      <alignment horizontal="right"/>
    </xf>
    <xf numFmtId="3" fontId="59" fillId="0" borderId="0" applyBorder="0"/>
    <xf numFmtId="3" fontId="59" fillId="0" borderId="0" applyBorder="0"/>
    <xf numFmtId="0" fontId="255" fillId="0" borderId="0" applyNumberFormat="0" applyFill="0" applyBorder="0" applyAlignment="0" applyProtection="0"/>
    <xf numFmtId="0" fontId="256" fillId="0" borderId="56" applyNumberFormat="0" applyFill="0" applyAlignment="0" applyProtection="0"/>
    <xf numFmtId="0" fontId="257" fillId="0" borderId="57" applyNumberFormat="0" applyFill="0" applyAlignment="0" applyProtection="0"/>
    <xf numFmtId="0" fontId="258" fillId="0" borderId="58" applyNumberFormat="0" applyFill="0" applyAlignment="0" applyProtection="0"/>
    <xf numFmtId="0" fontId="258" fillId="0" borderId="0" applyNumberFormat="0" applyFill="0" applyBorder="0" applyAlignment="0" applyProtection="0"/>
    <xf numFmtId="0" fontId="259" fillId="60" borderId="0" applyNumberFormat="0" applyBorder="0" applyAlignment="0" applyProtection="0"/>
    <xf numFmtId="0" fontId="260" fillId="61" borderId="0" applyNumberFormat="0" applyBorder="0" applyAlignment="0" applyProtection="0"/>
    <xf numFmtId="0" fontId="261" fillId="35" borderId="0" applyNumberFormat="0" applyBorder="0" applyAlignment="0" applyProtection="0"/>
    <xf numFmtId="0" fontId="262" fillId="36" borderId="41" applyNumberFormat="0" applyAlignment="0" applyProtection="0"/>
    <xf numFmtId="0" fontId="155" fillId="62" borderId="42" applyNumberFormat="0" applyAlignment="0" applyProtection="0"/>
    <xf numFmtId="0" fontId="263" fillId="62" borderId="41" applyNumberFormat="0" applyAlignment="0" applyProtection="0"/>
    <xf numFmtId="0" fontId="264" fillId="0" borderId="59" applyNumberFormat="0" applyFill="0" applyAlignment="0" applyProtection="0"/>
    <xf numFmtId="0" fontId="159" fillId="0" borderId="60" applyNumberFormat="0" applyFill="0" applyAlignment="0" applyProtection="0"/>
    <xf numFmtId="0" fontId="160" fillId="63" borderId="0" applyNumberFormat="0" applyBorder="0" applyAlignment="0" applyProtection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160" fillId="66" borderId="0" applyNumberFormat="0" applyBorder="0" applyAlignment="0" applyProtection="0"/>
    <xf numFmtId="0" fontId="160" fillId="67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160" fillId="70" borderId="0" applyNumberFormat="0" applyBorder="0" applyAlignment="0" applyProtection="0"/>
    <xf numFmtId="0" fontId="160" fillId="71" borderId="0" applyNumberFormat="0" applyBorder="0" applyAlignment="0" applyProtection="0"/>
    <xf numFmtId="0" fontId="3" fillId="72" borderId="0" applyNumberFormat="0" applyBorder="0" applyAlignment="0" applyProtection="0"/>
    <xf numFmtId="0" fontId="160" fillId="73" borderId="0" applyNumberFormat="0" applyBorder="0" applyAlignment="0" applyProtection="0"/>
    <xf numFmtId="0" fontId="160" fillId="74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160" fillId="77" borderId="0" applyNumberFormat="0" applyBorder="0" applyAlignment="0" applyProtection="0"/>
    <xf numFmtId="0" fontId="160" fillId="78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160" fillId="81" borderId="0" applyNumberFormat="0" applyBorder="0" applyAlignment="0" applyProtection="0"/>
    <xf numFmtId="0" fontId="3" fillId="82" borderId="0" applyNumberFormat="0" applyBorder="0" applyAlignment="0" applyProtection="0"/>
    <xf numFmtId="0" fontId="160" fillId="83" borderId="0" applyNumberFormat="0" applyBorder="0" applyAlignment="0" applyProtection="0"/>
    <xf numFmtId="0" fontId="3" fillId="0" borderId="0"/>
    <xf numFmtId="0" fontId="3" fillId="32" borderId="39" applyNumberFormat="0" applyFont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3" fontId="59" fillId="0" borderId="0" applyBorder="0"/>
    <xf numFmtId="0" fontId="3" fillId="0" borderId="0"/>
    <xf numFmtId="0" fontId="3" fillId="0" borderId="0"/>
    <xf numFmtId="0" fontId="3" fillId="0" borderId="0"/>
    <xf numFmtId="217" fontId="3" fillId="0" borderId="0" applyFont="0" applyFill="0" applyBorder="0" applyAlignment="0" applyProtection="0"/>
    <xf numFmtId="0" fontId="173" fillId="0" borderId="0" applyAlignment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1" fillId="0" borderId="0"/>
    <xf numFmtId="0" fontId="120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1" fillId="0" borderId="0"/>
    <xf numFmtId="0" fontId="120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72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3" fillId="82" borderId="0" applyNumberFormat="0" applyBorder="0" applyAlignment="0" applyProtection="0"/>
    <xf numFmtId="0" fontId="3" fillId="0" borderId="0"/>
    <xf numFmtId="0" fontId="3" fillId="32" borderId="39" applyNumberFormat="0" applyFont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217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72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3" fillId="82" borderId="0" applyNumberFormat="0" applyBorder="0" applyAlignment="0" applyProtection="0"/>
    <xf numFmtId="0" fontId="3" fillId="0" borderId="0"/>
    <xf numFmtId="0" fontId="3" fillId="32" borderId="39" applyNumberFormat="0" applyFont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217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72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3" fillId="82" borderId="0" applyNumberFormat="0" applyBorder="0" applyAlignment="0" applyProtection="0"/>
    <xf numFmtId="0" fontId="3" fillId="0" borderId="0"/>
    <xf numFmtId="0" fontId="3" fillId="32" borderId="39" applyNumberFormat="0" applyFont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217" fontId="3" fillId="0" borderId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265" fillId="0" borderId="0">
      <alignment vertical="center"/>
    </xf>
    <xf numFmtId="38" fontId="142" fillId="0" borderId="0" applyFont="0" applyFill="0" applyBorder="0" applyAlignment="0" applyProtection="0"/>
    <xf numFmtId="38" fontId="142" fillId="0" borderId="0" applyFont="0" applyFill="0" applyBorder="0" applyAlignment="0" applyProtection="0"/>
    <xf numFmtId="0" fontId="265" fillId="0" borderId="0">
      <alignment vertical="center"/>
    </xf>
    <xf numFmtId="0" fontId="142" fillId="0" borderId="0"/>
    <xf numFmtId="0" fontId="266" fillId="0" borderId="0">
      <alignment vertical="center"/>
    </xf>
    <xf numFmtId="38" fontId="266" fillId="0" borderId="0" applyFont="0" applyFill="0" applyBorder="0" applyAlignment="0" applyProtection="0">
      <alignment vertical="center"/>
    </xf>
    <xf numFmtId="0" fontId="266" fillId="0" borderId="0">
      <alignment vertical="center"/>
    </xf>
    <xf numFmtId="38" fontId="266" fillId="0" borderId="0" applyFont="0" applyFill="0" applyBorder="0" applyAlignment="0" applyProtection="0">
      <alignment vertical="center"/>
    </xf>
    <xf numFmtId="0" fontId="266" fillId="0" borderId="0">
      <alignment vertical="center"/>
    </xf>
    <xf numFmtId="0" fontId="266" fillId="0" borderId="0">
      <alignment vertical="center"/>
    </xf>
    <xf numFmtId="38" fontId="266" fillId="0" borderId="0" applyFont="0" applyFill="0" applyBorder="0" applyAlignment="0" applyProtection="0">
      <alignment vertical="center"/>
    </xf>
    <xf numFmtId="0" fontId="265" fillId="0" borderId="0">
      <alignment vertical="center"/>
    </xf>
    <xf numFmtId="0" fontId="142" fillId="0" borderId="0"/>
    <xf numFmtId="0" fontId="266" fillId="0" borderId="0">
      <alignment vertical="center"/>
    </xf>
    <xf numFmtId="38" fontId="266" fillId="0" borderId="0" applyFont="0" applyFill="0" applyBorder="0" applyAlignment="0" applyProtection="0">
      <alignment vertical="center"/>
    </xf>
    <xf numFmtId="0" fontId="266" fillId="0" borderId="0">
      <alignment vertical="center"/>
    </xf>
    <xf numFmtId="38" fontId="266" fillId="0" borderId="0" applyFont="0" applyFill="0" applyBorder="0" applyAlignment="0" applyProtection="0">
      <alignment vertical="center"/>
    </xf>
    <xf numFmtId="38" fontId="265" fillId="0" borderId="0" applyFont="0" applyFill="0" applyBorder="0" applyAlignment="0" applyProtection="0">
      <alignment vertical="center"/>
    </xf>
    <xf numFmtId="0" fontId="266" fillId="0" borderId="0">
      <alignment vertical="center"/>
    </xf>
    <xf numFmtId="38" fontId="266" fillId="0" borderId="0" applyFont="0" applyFill="0" applyBorder="0" applyAlignment="0" applyProtection="0">
      <alignment vertical="center"/>
    </xf>
    <xf numFmtId="0" fontId="266" fillId="0" borderId="0">
      <alignment vertical="center"/>
    </xf>
    <xf numFmtId="0" fontId="17" fillId="0" borderId="0" applyNumberFormat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267" fillId="0" borderId="0" applyNumberFormat="0" applyFill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72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3" fillId="82" borderId="0" applyNumberFormat="0" applyBorder="0" applyAlignment="0" applyProtection="0"/>
    <xf numFmtId="0" fontId="3" fillId="0" borderId="0"/>
    <xf numFmtId="0" fontId="3" fillId="32" borderId="39" applyNumberFormat="0" applyFont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217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72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3" fillId="82" borderId="0" applyNumberFormat="0" applyBorder="0" applyAlignment="0" applyProtection="0"/>
    <xf numFmtId="0" fontId="3" fillId="0" borderId="0"/>
    <xf numFmtId="0" fontId="3" fillId="32" borderId="39" applyNumberFormat="0" applyFont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217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72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3" fillId="82" borderId="0" applyNumberFormat="0" applyBorder="0" applyAlignment="0" applyProtection="0"/>
    <xf numFmtId="0" fontId="3" fillId="0" borderId="0"/>
    <xf numFmtId="0" fontId="3" fillId="32" borderId="39" applyNumberFormat="0" applyFont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217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72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3" fillId="82" borderId="0" applyNumberFormat="0" applyBorder="0" applyAlignment="0" applyProtection="0"/>
    <xf numFmtId="0" fontId="3" fillId="0" borderId="0"/>
    <xf numFmtId="0" fontId="3" fillId="32" borderId="39" applyNumberFormat="0" applyFont="0" applyAlignment="0" applyProtection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217" fontId="3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190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0" fontId="153" fillId="0" borderId="0" applyNumberForma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3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214" fontId="17" fillId="0" borderId="0" applyFont="0" applyFill="0" applyBorder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72" fillId="4" borderId="1" applyNumberFormat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54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0" fontId="154" fillId="0" borderId="0" applyNumberFormat="0" applyFill="0" applyBorder="0" applyAlignment="0" applyProtection="0"/>
    <xf numFmtId="0" fontId="3" fillId="0" borderId="0"/>
    <xf numFmtId="0" fontId="111" fillId="0" borderId="0"/>
    <xf numFmtId="0" fontId="153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0" fontId="72" fillId="4" borderId="1" applyNumberFormat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6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3" fillId="0" borderId="0"/>
    <xf numFmtId="0" fontId="3" fillId="0" borderId="0"/>
    <xf numFmtId="178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10" fontId="4" fillId="0" borderId="0" applyFont="0" applyFill="0" applyBorder="0" applyAlignment="0" applyProtection="0"/>
    <xf numFmtId="0" fontId="72" fillId="4" borderId="1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>
      <alignment vertical="top"/>
    </xf>
    <xf numFmtId="1" fontId="4" fillId="0" borderId="0">
      <alignment horizontal="center"/>
    </xf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6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9" fontId="6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6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62" fillId="0" borderId="0" applyFont="0" applyFill="0" applyBorder="0" applyAlignment="0" applyProtection="0"/>
    <xf numFmtId="9" fontId="4" fillId="0" borderId="0"/>
    <xf numFmtId="9" fontId="4" fillId="0" borderId="0"/>
    <xf numFmtId="178" fontId="4" fillId="0" borderId="0"/>
    <xf numFmtId="178" fontId="4" fillId="0" borderId="0"/>
    <xf numFmtId="9" fontId="62" fillId="0" borderId="0" applyFont="0" applyFill="0" applyBorder="0" applyAlignment="0" applyProtection="0"/>
    <xf numFmtId="178" fontId="4" fillId="0" borderId="0"/>
    <xf numFmtId="178" fontId="4" fillId="0" borderId="0"/>
    <xf numFmtId="9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9" fontId="4" fillId="0" borderId="0" applyFill="0" applyBorder="0">
      <alignment horizontal="right" vertical="center"/>
    </xf>
    <xf numFmtId="190" fontId="4" fillId="0" borderId="0" applyFill="0" applyBorder="0">
      <alignment horizontal="right" vertical="center"/>
    </xf>
    <xf numFmtId="190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3" fillId="0" borderId="0"/>
    <xf numFmtId="9" fontId="62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62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3" fillId="0" borderId="0"/>
    <xf numFmtId="0" fontId="3" fillId="0" borderId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20" fillId="0" borderId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120" fillId="0" borderId="0"/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1" fontId="4" fillId="0" borderId="0">
      <alignment horizontal="center"/>
    </xf>
    <xf numFmtId="1" fontId="4" fillId="0" borderId="0">
      <alignment horizontal="center"/>
    </xf>
    <xf numFmtId="0" fontId="4" fillId="0" borderId="0" applyNumberFormat="0" applyFont="0" applyFill="0" applyBorder="0" applyAlignment="0" applyProtection="0"/>
    <xf numFmtId="0" fontId="1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62" fillId="0" borderId="0" applyFont="0" applyFill="0" applyBorder="0" applyAlignment="0" applyProtection="0"/>
    <xf numFmtId="1" fontId="4" fillId="0" borderId="0">
      <alignment horizontal="center"/>
    </xf>
    <xf numFmtId="0" fontId="4" fillId="0" borderId="0">
      <alignment vertical="top"/>
    </xf>
    <xf numFmtId="0" fontId="4" fillId="0" borderId="0">
      <alignment vertical="top"/>
    </xf>
    <xf numFmtId="1" fontId="4" fillId="0" borderId="0">
      <alignment horizontal="center"/>
    </xf>
    <xf numFmtId="0" fontId="1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20" fillId="0" borderId="0"/>
    <xf numFmtId="0" fontId="4" fillId="0" borderId="0"/>
    <xf numFmtId="0" fontId="4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217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217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72" fillId="4" borderId="1" applyNumberFormat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>
      <alignment vertical="center"/>
    </xf>
    <xf numFmtId="0" fontId="3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0" fontId="4" fillId="4" borderId="7" applyNumberFormat="0" applyFon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190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0" fontId="111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9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111" fillId="0" borderId="0"/>
    <xf numFmtId="0" fontId="4" fillId="0" borderId="0" applyNumberFormat="0" applyFont="0" applyFill="0" applyBorder="0" applyAlignment="0" applyProtection="0"/>
    <xf numFmtId="0" fontId="4" fillId="0" borderId="0">
      <alignment vertical="top"/>
    </xf>
    <xf numFmtId="0" fontId="4" fillId="0" borderId="0" applyNumberForma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 applyNumberForma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3" fillId="0" borderId="0"/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1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>
      <alignment vertical="top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72" fillId="4" borderId="1" applyNumberFormat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72" fillId="4" borderId="1" applyNumberFormat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72" fillId="4" borderId="1" applyNumberFormat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/>
    <xf numFmtId="9" fontId="62" fillId="0" borderId="0" applyFont="0" applyFill="0" applyBorder="0" applyAlignment="0" applyProtection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49" fontId="4" fillId="0" borderId="0" applyFill="0" applyBorder="0">
      <alignment horizontal="right" vertical="center"/>
    </xf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3" fontId="4" fillId="0" borderId="0" applyFont="0" applyFill="0" applyBorder="0" applyAlignment="0" applyProtection="0"/>
    <xf numFmtId="0" fontId="4" fillId="0" borderId="0"/>
    <xf numFmtId="9" fontId="62" fillId="0" borderId="0" applyFont="0" applyFill="0" applyBorder="0" applyAlignment="0" applyProtection="0"/>
    <xf numFmtId="0" fontId="3" fillId="0" borderId="0"/>
    <xf numFmtId="9" fontId="62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9" fontId="4" fillId="0" borderId="0" applyFill="0" applyBorder="0">
      <alignment horizontal="right" vertical="center"/>
    </xf>
    <xf numFmtId="0" fontId="72" fillId="4" borderId="1" applyNumberFormat="0" applyAlignment="0" applyProtection="0"/>
    <xf numFmtId="0" fontId="4" fillId="0" borderId="0"/>
    <xf numFmtId="0" fontId="4" fillId="0" borderId="0"/>
    <xf numFmtId="0" fontId="4" fillId="0" borderId="0"/>
    <xf numFmtId="0" fontId="72" fillId="4" borderId="1" applyNumberFormat="0" applyAlignment="0" applyProtection="0"/>
    <xf numFmtId="0" fontId="4" fillId="0" borderId="0" applyNumberFormat="0" applyFont="0" applyFill="0" applyBorder="0" applyAlignment="0" applyProtection="0"/>
    <xf numFmtId="49" fontId="4" fillId="0" borderId="0" applyFill="0" applyBorder="0">
      <alignment horizontal="right"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49" fontId="4" fillId="0" borderId="0" applyFill="0" applyBorder="0">
      <alignment horizontal="right" vertical="center"/>
    </xf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62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2" fillId="4" borderId="1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72" fillId="4" borderId="1" applyNumberFormat="0" applyAlignment="0" applyProtection="0"/>
    <xf numFmtId="0" fontId="72" fillId="4" borderId="1" applyNumberFormat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80" borderId="0" applyNumberFormat="0" applyBorder="0" applyAlignment="0" applyProtection="0"/>
    <xf numFmtId="0" fontId="3" fillId="2" borderId="0" applyNumberFormat="0" applyBorder="0" applyAlignment="0" applyProtection="0"/>
    <xf numFmtId="0" fontId="3" fillId="41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4" fillId="9" borderId="7" applyNumberFormat="0" applyFont="0" applyAlignment="0" applyProtection="0"/>
    <xf numFmtId="258" fontId="92" fillId="93" borderId="0" applyNumberFormat="0" applyBorder="0">
      <protection locked="0"/>
    </xf>
    <xf numFmtId="258" fontId="48" fillId="96" borderId="0" applyNumberFormat="0" applyBorder="0">
      <protection locked="0"/>
    </xf>
    <xf numFmtId="259" fontId="269" fillId="0" borderId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223" fontId="4" fillId="18" borderId="61">
      <alignment horizontal="right"/>
    </xf>
    <xf numFmtId="193" fontId="4" fillId="18" borderId="61">
      <alignment horizontal="right"/>
    </xf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2" borderId="0" applyNumberFormat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3" fillId="0" borderId="0"/>
    <xf numFmtId="0" fontId="4" fillId="0" borderId="0"/>
    <xf numFmtId="0" fontId="3" fillId="0" borderId="0"/>
    <xf numFmtId="0" fontId="3" fillId="0" borderId="0"/>
    <xf numFmtId="258" fontId="277" fillId="97" borderId="0" applyNumberFormat="0" applyBorder="0">
      <protection locked="0"/>
    </xf>
    <xf numFmtId="0" fontId="3" fillId="82" borderId="0" applyNumberFormat="0" applyBorder="0" applyAlignment="0" applyProtection="0"/>
    <xf numFmtId="0" fontId="181" fillId="0" borderId="61" applyNumberFormat="0" applyFont="0" applyFill="0" applyAlignment="0" applyProtection="0"/>
    <xf numFmtId="0" fontId="4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7" fillId="0" borderId="0" applyNumberFormat="0" applyBorder="0" applyAlignment="0" applyProtection="0"/>
    <xf numFmtId="0" fontId="3" fillId="0" borderId="0"/>
    <xf numFmtId="0" fontId="3" fillId="2" borderId="0" applyNumberFormat="0" applyBorder="0" applyAlignment="0" applyProtection="0"/>
    <xf numFmtId="0" fontId="3" fillId="0" borderId="0"/>
    <xf numFmtId="0" fontId="3" fillId="2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1" borderId="0" applyNumberFormat="0" applyBorder="0" applyAlignment="0" applyProtection="0"/>
    <xf numFmtId="0" fontId="3" fillId="0" borderId="0"/>
    <xf numFmtId="0" fontId="3" fillId="0" borderId="0"/>
    <xf numFmtId="0" fontId="3" fillId="2" borderId="0" applyNumberFormat="0" applyBorder="0" applyAlignment="0" applyProtection="0"/>
    <xf numFmtId="0" fontId="3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75" fillId="6" borderId="8" applyNumberFormat="0" applyAlignment="0" applyProtection="0"/>
    <xf numFmtId="0" fontId="4" fillId="0" borderId="0"/>
    <xf numFmtId="0" fontId="4" fillId="0" borderId="0">
      <alignment vertical="top"/>
    </xf>
    <xf numFmtId="0" fontId="4" fillId="0" borderId="0">
      <alignment vertical="top"/>
    </xf>
    <xf numFmtId="0" fontId="274" fillId="0" borderId="0" applyNumberFormat="0" applyFill="0" applyBorder="0" applyAlignment="0" applyProtection="0"/>
    <xf numFmtId="258" fontId="275" fillId="92" borderId="0" applyNumberFormat="0" applyBorder="0">
      <alignment horizontal="left"/>
      <protection locked="0"/>
    </xf>
    <xf numFmtId="258" fontId="45" fillId="91" borderId="0" applyNumberFormat="0" applyBorder="0">
      <alignment horizontal="center"/>
      <protection locked="0"/>
    </xf>
    <xf numFmtId="258" fontId="60" fillId="90" borderId="0" applyNumberFormat="0" applyBorder="0">
      <alignment horizontal="center"/>
      <protection locked="0"/>
    </xf>
    <xf numFmtId="258" fontId="60" fillId="91" borderId="0" applyNumberFormat="0" applyBorder="0">
      <alignment horizontal="center"/>
      <protection locked="0"/>
    </xf>
    <xf numFmtId="258" fontId="275" fillId="92" borderId="0" applyNumberFormat="0" applyBorder="0">
      <protection locked="0"/>
    </xf>
    <xf numFmtId="258" fontId="48" fillId="93" borderId="0" applyNumberFormat="0" applyBorder="0">
      <alignment horizontal="left"/>
      <protection locked="0"/>
    </xf>
    <xf numFmtId="258" fontId="276" fillId="90" borderId="0" applyNumberFormat="0" applyBorder="0">
      <protection locked="0"/>
    </xf>
    <xf numFmtId="258" fontId="48" fillId="94" borderId="0" applyNumberFormat="0" applyBorder="0">
      <alignment horizontal="right"/>
      <protection locked="0"/>
    </xf>
    <xf numFmtId="258" fontId="48" fillId="95" borderId="0" applyNumberFormat="0" applyBorder="0">
      <alignment vertical="top"/>
      <protection locked="0"/>
    </xf>
    <xf numFmtId="258" fontId="48" fillId="91" borderId="0" applyNumberFormat="0" applyBorder="0">
      <protection locked="0"/>
    </xf>
    <xf numFmtId="0" fontId="4" fillId="0" borderId="0" applyNumberFormat="0" applyFont="0" applyFill="0" applyBorder="0" applyAlignment="0" applyProtection="0"/>
    <xf numFmtId="0" fontId="3" fillId="68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3" fontId="59" fillId="0" borderId="0"/>
    <xf numFmtId="0" fontId="3" fillId="43" borderId="0" applyNumberFormat="0" applyBorder="0" applyAlignment="0" applyProtection="0"/>
    <xf numFmtId="0" fontId="3" fillId="41" borderId="0" applyNumberFormat="0" applyBorder="0" applyAlignment="0" applyProtection="0"/>
    <xf numFmtId="0" fontId="3" fillId="0" borderId="0"/>
    <xf numFmtId="0" fontId="3" fillId="0" borderId="0"/>
    <xf numFmtId="0" fontId="4" fillId="0" borderId="0"/>
    <xf numFmtId="167" fontId="43" fillId="0" borderId="0" applyFont="0" applyFill="0" applyBorder="0" applyProtection="0">
      <alignment horizontal="right"/>
    </xf>
    <xf numFmtId="0" fontId="4" fillId="0" borderId="0" applyNumberFormat="0" applyFont="0" applyFill="0" applyBorder="0" applyAlignment="0" applyProtection="0"/>
    <xf numFmtId="223" fontId="4" fillId="18" borderId="61">
      <alignment horizontal="right"/>
    </xf>
    <xf numFmtId="43" fontId="3" fillId="0" borderId="0" applyFont="0" applyFill="0" applyBorder="0" applyAlignment="0" applyProtection="0"/>
    <xf numFmtId="193" fontId="4" fillId="18" borderId="61">
      <alignment horizontal="right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40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38" fillId="0" borderId="0"/>
    <xf numFmtId="0" fontId="72" fillId="4" borderId="1" applyNumberFormat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17" fillId="0" borderId="0" applyNumberFormat="0" applyBorder="0" applyAlignment="0" applyProtection="0"/>
    <xf numFmtId="0" fontId="3" fillId="79" borderId="0" applyNumberFormat="0" applyBorder="0" applyAlignment="0" applyProtection="0"/>
    <xf numFmtId="43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0" fontId="17" fillId="0" borderId="0" applyNumberFormat="0" applyBorder="0" applyAlignment="0" applyProtection="0"/>
    <xf numFmtId="0" fontId="3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7" fillId="0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23" fontId="4" fillId="18" borderId="61">
      <alignment horizontal="right"/>
    </xf>
    <xf numFmtId="193" fontId="4" fillId="18" borderId="61">
      <alignment horizontal="right"/>
    </xf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81" fillId="0" borderId="61" applyNumberFormat="0" applyFont="0" applyFill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223" fontId="4" fillId="18" borderId="61">
      <alignment horizontal="right"/>
    </xf>
    <xf numFmtId="43" fontId="3" fillId="0" borderId="0" applyFont="0" applyFill="0" applyBorder="0" applyAlignment="0" applyProtection="0"/>
    <xf numFmtId="193" fontId="4" fillId="18" borderId="61">
      <alignment horizontal="right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58" fontId="273" fillId="91" borderId="0" applyNumberFormat="0" applyBorder="0">
      <alignment horizontal="right"/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58" fontId="45" fillId="91" borderId="0" applyNumberFormat="0" applyBorder="0">
      <alignment horizontal="right"/>
      <protection locked="0"/>
    </xf>
    <xf numFmtId="0" fontId="72" fillId="2" borderId="1" applyNumberFormat="0" applyAlignment="0" applyProtection="0"/>
    <xf numFmtId="0" fontId="72" fillId="2" borderId="1" applyNumberFormat="0" applyAlignment="0" applyProtection="0"/>
    <xf numFmtId="0" fontId="72" fillId="2" borderId="1" applyNumberFormat="0" applyAlignment="0" applyProtection="0"/>
    <xf numFmtId="0" fontId="72" fillId="2" borderId="1" applyNumberFormat="0" applyAlignment="0" applyProtection="0"/>
    <xf numFmtId="0" fontId="72" fillId="2" borderId="1" applyNumberFormat="0" applyAlignment="0" applyProtection="0"/>
    <xf numFmtId="0" fontId="72" fillId="2" borderId="1" applyNumberFormat="0" applyAlignment="0" applyProtection="0"/>
    <xf numFmtId="0" fontId="80" fillId="0" borderId="0" applyNumberFormat="0" applyFill="0" applyBorder="0" applyAlignment="0" applyProtection="0">
      <alignment vertical="top"/>
      <protection locked="0"/>
    </xf>
    <xf numFmtId="0" fontId="272" fillId="0" borderId="0" applyNumberFormat="0" applyFill="0" applyBorder="0" applyAlignment="0" applyProtection="0"/>
    <xf numFmtId="0" fontId="272" fillId="0" borderId="63" applyNumberFormat="0" applyFill="0" applyAlignment="0" applyProtection="0"/>
    <xf numFmtId="0" fontId="271" fillId="0" borderId="4" applyNumberFormat="0" applyFill="0" applyAlignment="0" applyProtection="0"/>
    <xf numFmtId="0" fontId="270" fillId="0" borderId="62" applyNumberFormat="0" applyFill="0" applyAlignment="0" applyProtection="0"/>
    <xf numFmtId="0" fontId="5" fillId="0" borderId="27">
      <alignment horizont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" fontId="269" fillId="0" borderId="0" applyFont="0" applyFill="0" applyBorder="0" applyAlignment="0" applyProtection="0"/>
    <xf numFmtId="0" fontId="3" fillId="0" borderId="0"/>
    <xf numFmtId="258" fontId="45" fillId="90" borderId="0" applyNumberFormat="0" applyBorder="0">
      <alignment vertical="top"/>
      <protection locked="0"/>
    </xf>
    <xf numFmtId="0" fontId="268" fillId="0" borderId="27" applyFill="0" applyAlignment="0" applyProtection="0">
      <alignment vertical="center"/>
    </xf>
    <xf numFmtId="1" fontId="4" fillId="0" borderId="27"/>
    <xf numFmtId="10" fontId="4" fillId="0" borderId="27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1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0" fontId="65" fillId="6" borderId="1" applyNumberFormat="0" applyAlignment="0" applyProtection="0"/>
    <xf numFmtId="0" fontId="3" fillId="0" borderId="0"/>
    <xf numFmtId="0" fontId="3" fillId="0" borderId="0"/>
    <xf numFmtId="0" fontId="4" fillId="0" borderId="27"/>
    <xf numFmtId="0" fontId="63" fillId="44" borderId="0" applyNumberFormat="0" applyBorder="0" applyAlignment="0" applyProtection="0"/>
    <xf numFmtId="0" fontId="63" fillId="86" borderId="0" applyNumberFormat="0" applyBorder="0" applyAlignment="0" applyProtection="0"/>
    <xf numFmtId="0" fontId="63" fillId="89" borderId="0" applyNumberFormat="0" applyBorder="0" applyAlignment="0" applyProtection="0"/>
    <xf numFmtId="0" fontId="63" fillId="52" borderId="0" applyNumberFormat="0" applyBorder="0" applyAlignment="0" applyProtection="0"/>
    <xf numFmtId="0" fontId="63" fillId="88" borderId="0" applyNumberFormat="0" applyBorder="0" applyAlignment="0" applyProtection="0"/>
    <xf numFmtId="0" fontId="63" fillId="87" borderId="0" applyNumberFormat="0" applyBorder="0" applyAlignment="0" applyProtection="0"/>
    <xf numFmtId="0" fontId="63" fillId="86" borderId="0" applyNumberFormat="0" applyBorder="0" applyAlignment="0" applyProtection="0"/>
    <xf numFmtId="0" fontId="63" fillId="84" borderId="0" applyNumberFormat="0" applyBorder="0" applyAlignment="0" applyProtection="0"/>
    <xf numFmtId="0" fontId="63" fillId="85" borderId="0" applyNumberFormat="0" applyBorder="0" applyAlignment="0" applyProtection="0"/>
    <xf numFmtId="0" fontId="62" fillId="46" borderId="0" applyNumberFormat="0" applyBorder="0" applyAlignment="0" applyProtection="0"/>
    <xf numFmtId="0" fontId="62" fillId="53" borderId="0" applyNumberFormat="0" applyBorder="0" applyAlignment="0" applyProtection="0"/>
    <xf numFmtId="0" fontId="62" fillId="84" borderId="0" applyNumberFormat="0" applyBorder="0" applyAlignment="0" applyProtection="0"/>
    <xf numFmtId="0" fontId="62" fillId="7" borderId="0" applyNumberFormat="0" applyBorder="0" applyAlignment="0" applyProtection="0"/>
    <xf numFmtId="0" fontId="62" fillId="2" borderId="0" applyNumberFormat="0" applyBorder="0" applyAlignment="0" applyProtection="0"/>
    <xf numFmtId="0" fontId="62" fillId="53" borderId="0" applyNumberFormat="0" applyBorder="0" applyAlignment="0" applyProtection="0"/>
    <xf numFmtId="0" fontId="62" fillId="14" borderId="0" applyNumberFormat="0" applyBorder="0" applyAlignment="0" applyProtection="0"/>
    <xf numFmtId="0" fontId="30" fillId="0" borderId="0"/>
    <xf numFmtId="0" fontId="3" fillId="0" borderId="0"/>
    <xf numFmtId="0" fontId="3" fillId="0" borderId="0"/>
    <xf numFmtId="0" fontId="4" fillId="0" borderId="0"/>
    <xf numFmtId="0" fontId="9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2" fillId="4" borderId="1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3" fontId="59" fillId="0" borderId="0" applyBorder="0"/>
    <xf numFmtId="167" fontId="43" fillId="0" borderId="0" applyFont="0" applyFill="0" applyBorder="0" applyProtection="0">
      <alignment horizontal="right"/>
    </xf>
    <xf numFmtId="0" fontId="62" fillId="11" borderId="0" applyNumberFormat="0" applyBorder="0" applyAlignment="0" applyProtection="0"/>
    <xf numFmtId="0" fontId="3" fillId="0" borderId="0"/>
    <xf numFmtId="0" fontId="62" fillId="54" borderId="0" applyNumberFormat="0" applyBorder="0" applyAlignment="0" applyProtection="0"/>
    <xf numFmtId="3" fontId="59" fillId="0" borderId="0" applyBorder="0"/>
    <xf numFmtId="0" fontId="62" fillId="4" borderId="39" applyNumberFormat="0" applyFont="0" applyAlignment="0" applyProtection="0"/>
    <xf numFmtId="0" fontId="62" fillId="4" borderId="39" applyNumberFormat="0" applyFont="0" applyAlignment="0" applyProtection="0"/>
    <xf numFmtId="0" fontId="4" fillId="4" borderId="7" applyNumberFormat="0" applyFont="0" applyAlignment="0" applyProtection="0"/>
    <xf numFmtId="0" fontId="3" fillId="0" borderId="0"/>
    <xf numFmtId="0" fontId="4" fillId="0" borderId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17" fillId="0" borderId="0" applyNumberFormat="0" applyBorder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0" fontId="72" fillId="4" borderId="1" applyNumberFormat="0" applyAlignment="0" applyProtection="0"/>
    <xf numFmtId="43" fontId="17" fillId="0" borderId="0" applyFont="0" applyFill="0" applyBorder="0" applyAlignment="0" applyProtection="0"/>
    <xf numFmtId="43" fontId="62" fillId="0" borderId="0" applyFont="0" applyFill="0" applyBorder="0" applyAlignment="0" applyProtection="0"/>
    <xf numFmtId="0" fontId="3" fillId="72" borderId="0" applyNumberFormat="0" applyBorder="0" applyAlignment="0" applyProtection="0"/>
    <xf numFmtId="0" fontId="3" fillId="65" borderId="0" applyNumberFormat="0" applyBorder="0" applyAlignment="0" applyProtection="0"/>
    <xf numFmtId="0" fontId="3" fillId="64" borderId="0" applyNumberFormat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69" borderId="0" applyNumberFormat="0" applyBorder="0" applyAlignment="0" applyProtection="0"/>
    <xf numFmtId="43" fontId="3" fillId="0" borderId="0" applyFont="0" applyFill="0" applyBorder="0" applyAlignment="0" applyProtection="0"/>
    <xf numFmtId="0" fontId="3" fillId="6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3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42" fillId="0" borderId="0"/>
    <xf numFmtId="0" fontId="3" fillId="0" borderId="0"/>
    <xf numFmtId="0" fontId="3" fillId="0" borderId="0"/>
    <xf numFmtId="0" fontId="3" fillId="0" borderId="0"/>
    <xf numFmtId="0" fontId="4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2" fillId="0" borderId="0" applyFont="0" applyFill="0" applyBorder="0" applyAlignment="0" applyProtection="0"/>
    <xf numFmtId="9" fontId="62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3" fillId="0" borderId="0"/>
    <xf numFmtId="0" fontId="3" fillId="0" borderId="0"/>
    <xf numFmtId="0" fontId="4" fillId="0" borderId="0" applyNumberFormat="0" applyFont="0" applyFill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2" borderId="0" applyNumberFormat="0" applyBorder="0" applyAlignment="0" applyProtection="0"/>
    <xf numFmtId="0" fontId="3" fillId="43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2" borderId="39" applyNumberFormat="0" applyFont="0" applyAlignment="0" applyProtection="0"/>
    <xf numFmtId="0" fontId="4" fillId="0" borderId="0"/>
    <xf numFmtId="0" fontId="3" fillId="0" borderId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217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64" borderId="0" applyNumberFormat="0" applyBorder="0" applyAlignment="0" applyProtection="0"/>
    <xf numFmtId="0" fontId="3" fillId="65" borderId="0" applyNumberFormat="0" applyBorder="0" applyAlignment="0" applyProtection="0"/>
    <xf numFmtId="0" fontId="3" fillId="68" borderId="0" applyNumberFormat="0" applyBorder="0" applyAlignment="0" applyProtection="0"/>
    <xf numFmtId="0" fontId="3" fillId="69" borderId="0" applyNumberFormat="0" applyBorder="0" applyAlignment="0" applyProtection="0"/>
    <xf numFmtId="0" fontId="3" fillId="38" borderId="0" applyNumberFormat="0" applyBorder="0" applyAlignment="0" applyProtection="0"/>
    <xf numFmtId="0" fontId="3" fillId="72" borderId="0" applyNumberFormat="0" applyBorder="0" applyAlignment="0" applyProtection="0"/>
    <xf numFmtId="0" fontId="3" fillId="75" borderId="0" applyNumberFormat="0" applyBorder="0" applyAlignment="0" applyProtection="0"/>
    <xf numFmtId="0" fontId="3" fillId="76" borderId="0" applyNumberFormat="0" applyBorder="0" applyAlignment="0" applyProtection="0"/>
    <xf numFmtId="0" fontId="3" fillId="79" borderId="0" applyNumberFormat="0" applyBorder="0" applyAlignment="0" applyProtection="0"/>
    <xf numFmtId="0" fontId="3" fillId="80" borderId="0" applyNumberFormat="0" applyBorder="0" applyAlignment="0" applyProtection="0"/>
    <xf numFmtId="0" fontId="3" fillId="40" borderId="0" applyNumberFormat="0" applyBorder="0" applyAlignment="0" applyProtection="0"/>
    <xf numFmtId="0" fontId="3" fillId="8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8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2" borderId="0" applyNumberFormat="0" applyBorder="0" applyAlignment="0" applyProtection="0"/>
    <xf numFmtId="0" fontId="3" fillId="43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32" borderId="39" applyNumberFormat="0" applyFont="0" applyAlignment="0" applyProtection="0"/>
    <xf numFmtId="0" fontId="3" fillId="0" borderId="0"/>
    <xf numFmtId="0" fontId="3" fillId="38" borderId="0" applyNumberFormat="0" applyBorder="0" applyAlignment="0" applyProtection="0"/>
    <xf numFmtId="0" fontId="3" fillId="40" borderId="0" applyNumberFormat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217" fontId="3" fillId="0" borderId="0" applyFont="0" applyFill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8" borderId="0" applyNumberFormat="0" applyBorder="0" applyAlignment="0" applyProtection="0"/>
    <xf numFmtId="0" fontId="3" fillId="42" borderId="0" applyNumberFormat="0" applyBorder="0" applyAlignment="0" applyProtection="0"/>
    <xf numFmtId="0" fontId="3" fillId="41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6" borderId="0" applyNumberFormat="0" applyBorder="0" applyAlignment="0" applyProtection="0"/>
    <xf numFmtId="0" fontId="3" fillId="43" borderId="0" applyNumberFormat="0" applyBorder="0" applyAlignment="0" applyProtection="0"/>
    <xf numFmtId="0" fontId="3" fillId="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2" borderId="0" applyNumberFormat="0" applyBorder="0" applyAlignment="0" applyProtection="0"/>
    <xf numFmtId="0" fontId="2" fillId="75" borderId="0" applyNumberFormat="0" applyBorder="0" applyAlignment="0" applyProtection="0"/>
    <xf numFmtId="0" fontId="2" fillId="76" borderId="0" applyNumberFormat="0" applyBorder="0" applyAlignment="0" applyProtection="0"/>
    <xf numFmtId="0" fontId="2" fillId="79" borderId="0" applyNumberFormat="0" applyBorder="0" applyAlignment="0" applyProtection="0"/>
    <xf numFmtId="0" fontId="2" fillId="80" borderId="0" applyNumberFormat="0" applyBorder="0" applyAlignment="0" applyProtection="0"/>
    <xf numFmtId="0" fontId="2" fillId="82" borderId="0" applyNumberFormat="0" applyBorder="0" applyAlignment="0" applyProtection="0"/>
    <xf numFmtId="0" fontId="2" fillId="0" borderId="0"/>
    <xf numFmtId="0" fontId="2" fillId="32" borderId="39" applyNumberFormat="0" applyFont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217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2" borderId="0" applyNumberFormat="0" applyBorder="0" applyAlignment="0" applyProtection="0"/>
    <xf numFmtId="0" fontId="2" fillId="75" borderId="0" applyNumberFormat="0" applyBorder="0" applyAlignment="0" applyProtection="0"/>
    <xf numFmtId="0" fontId="2" fillId="76" borderId="0" applyNumberFormat="0" applyBorder="0" applyAlignment="0" applyProtection="0"/>
    <xf numFmtId="0" fontId="2" fillId="79" borderId="0" applyNumberFormat="0" applyBorder="0" applyAlignment="0" applyProtection="0"/>
    <xf numFmtId="0" fontId="2" fillId="80" borderId="0" applyNumberFormat="0" applyBorder="0" applyAlignment="0" applyProtection="0"/>
    <xf numFmtId="0" fontId="2" fillId="82" borderId="0" applyNumberFormat="0" applyBorder="0" applyAlignment="0" applyProtection="0"/>
    <xf numFmtId="0" fontId="2" fillId="0" borderId="0"/>
    <xf numFmtId="0" fontId="2" fillId="32" borderId="39" applyNumberFormat="0" applyFont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217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2" borderId="0" applyNumberFormat="0" applyBorder="0" applyAlignment="0" applyProtection="0"/>
    <xf numFmtId="0" fontId="2" fillId="75" borderId="0" applyNumberFormat="0" applyBorder="0" applyAlignment="0" applyProtection="0"/>
    <xf numFmtId="0" fontId="2" fillId="76" borderId="0" applyNumberFormat="0" applyBorder="0" applyAlignment="0" applyProtection="0"/>
    <xf numFmtId="0" fontId="2" fillId="79" borderId="0" applyNumberFormat="0" applyBorder="0" applyAlignment="0" applyProtection="0"/>
    <xf numFmtId="0" fontId="2" fillId="80" borderId="0" applyNumberFormat="0" applyBorder="0" applyAlignment="0" applyProtection="0"/>
    <xf numFmtId="0" fontId="2" fillId="82" borderId="0" applyNumberFormat="0" applyBorder="0" applyAlignment="0" applyProtection="0"/>
    <xf numFmtId="0" fontId="2" fillId="0" borderId="0"/>
    <xf numFmtId="0" fontId="2" fillId="32" borderId="39" applyNumberFormat="0" applyFont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217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2" borderId="0" applyNumberFormat="0" applyBorder="0" applyAlignment="0" applyProtection="0"/>
    <xf numFmtId="0" fontId="2" fillId="75" borderId="0" applyNumberFormat="0" applyBorder="0" applyAlignment="0" applyProtection="0"/>
    <xf numFmtId="0" fontId="2" fillId="76" borderId="0" applyNumberFormat="0" applyBorder="0" applyAlignment="0" applyProtection="0"/>
    <xf numFmtId="0" fontId="2" fillId="79" borderId="0" applyNumberFormat="0" applyBorder="0" applyAlignment="0" applyProtection="0"/>
    <xf numFmtId="0" fontId="2" fillId="80" borderId="0" applyNumberFormat="0" applyBorder="0" applyAlignment="0" applyProtection="0"/>
    <xf numFmtId="0" fontId="2" fillId="82" borderId="0" applyNumberFormat="0" applyBorder="0" applyAlignment="0" applyProtection="0"/>
    <xf numFmtId="0" fontId="2" fillId="0" borderId="0"/>
    <xf numFmtId="0" fontId="2" fillId="32" borderId="39" applyNumberFormat="0" applyFont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217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2" borderId="0" applyNumberFormat="0" applyBorder="0" applyAlignment="0" applyProtection="0"/>
    <xf numFmtId="0" fontId="2" fillId="75" borderId="0" applyNumberFormat="0" applyBorder="0" applyAlignment="0" applyProtection="0"/>
    <xf numFmtId="0" fontId="2" fillId="76" borderId="0" applyNumberFormat="0" applyBorder="0" applyAlignment="0" applyProtection="0"/>
    <xf numFmtId="0" fontId="2" fillId="79" borderId="0" applyNumberFormat="0" applyBorder="0" applyAlignment="0" applyProtection="0"/>
    <xf numFmtId="0" fontId="2" fillId="80" borderId="0" applyNumberFormat="0" applyBorder="0" applyAlignment="0" applyProtection="0"/>
    <xf numFmtId="0" fontId="2" fillId="82" borderId="0" applyNumberFormat="0" applyBorder="0" applyAlignment="0" applyProtection="0"/>
    <xf numFmtId="0" fontId="2" fillId="0" borderId="0"/>
    <xf numFmtId="0" fontId="2" fillId="32" borderId="39" applyNumberFormat="0" applyFont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217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2" borderId="0" applyNumberFormat="0" applyBorder="0" applyAlignment="0" applyProtection="0"/>
    <xf numFmtId="0" fontId="2" fillId="75" borderId="0" applyNumberFormat="0" applyBorder="0" applyAlignment="0" applyProtection="0"/>
    <xf numFmtId="0" fontId="2" fillId="76" borderId="0" applyNumberFormat="0" applyBorder="0" applyAlignment="0" applyProtection="0"/>
    <xf numFmtId="0" fontId="2" fillId="79" borderId="0" applyNumberFormat="0" applyBorder="0" applyAlignment="0" applyProtection="0"/>
    <xf numFmtId="0" fontId="2" fillId="80" borderId="0" applyNumberFormat="0" applyBorder="0" applyAlignment="0" applyProtection="0"/>
    <xf numFmtId="0" fontId="2" fillId="82" borderId="0" applyNumberFormat="0" applyBorder="0" applyAlignment="0" applyProtection="0"/>
    <xf numFmtId="0" fontId="2" fillId="0" borderId="0"/>
    <xf numFmtId="0" fontId="2" fillId="32" borderId="39" applyNumberFormat="0" applyFont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217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2" borderId="0" applyNumberFormat="0" applyBorder="0" applyAlignment="0" applyProtection="0"/>
    <xf numFmtId="0" fontId="2" fillId="75" borderId="0" applyNumberFormat="0" applyBorder="0" applyAlignment="0" applyProtection="0"/>
    <xf numFmtId="0" fontId="2" fillId="76" borderId="0" applyNumberFormat="0" applyBorder="0" applyAlignment="0" applyProtection="0"/>
    <xf numFmtId="0" fontId="2" fillId="79" borderId="0" applyNumberFormat="0" applyBorder="0" applyAlignment="0" applyProtection="0"/>
    <xf numFmtId="0" fontId="2" fillId="80" borderId="0" applyNumberFormat="0" applyBorder="0" applyAlignment="0" applyProtection="0"/>
    <xf numFmtId="0" fontId="2" fillId="82" borderId="0" applyNumberFormat="0" applyBorder="0" applyAlignment="0" applyProtection="0"/>
    <xf numFmtId="0" fontId="2" fillId="0" borderId="0"/>
    <xf numFmtId="0" fontId="2" fillId="32" borderId="39" applyNumberFormat="0" applyFont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217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2" borderId="0" applyNumberFormat="0" applyBorder="0" applyAlignment="0" applyProtection="0"/>
    <xf numFmtId="0" fontId="2" fillId="75" borderId="0" applyNumberFormat="0" applyBorder="0" applyAlignment="0" applyProtection="0"/>
    <xf numFmtId="0" fontId="2" fillId="76" borderId="0" applyNumberFormat="0" applyBorder="0" applyAlignment="0" applyProtection="0"/>
    <xf numFmtId="0" fontId="2" fillId="79" borderId="0" applyNumberFormat="0" applyBorder="0" applyAlignment="0" applyProtection="0"/>
    <xf numFmtId="0" fontId="2" fillId="80" borderId="0" applyNumberFormat="0" applyBorder="0" applyAlignment="0" applyProtection="0"/>
    <xf numFmtId="0" fontId="2" fillId="82" borderId="0" applyNumberFormat="0" applyBorder="0" applyAlignment="0" applyProtection="0"/>
    <xf numFmtId="0" fontId="2" fillId="0" borderId="0"/>
    <xf numFmtId="0" fontId="2" fillId="32" borderId="39" applyNumberFormat="0" applyFont="0" applyAlignment="0" applyProtection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217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80" borderId="0" applyNumberFormat="0" applyBorder="0" applyAlignment="0" applyProtection="0"/>
    <xf numFmtId="0" fontId="2" fillId="2" borderId="0" applyNumberFormat="0" applyBorder="0" applyAlignment="0" applyProtection="0"/>
    <xf numFmtId="0" fontId="2" fillId="4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2" borderId="0" applyNumberFormat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82" borderId="0" applyNumberFormat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2" borderId="0" applyNumberFormat="0" applyBorder="0" applyAlignment="0" applyProtection="0"/>
    <xf numFmtId="0" fontId="2" fillId="0" borderId="0"/>
    <xf numFmtId="0" fontId="2" fillId="2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1" borderId="0" applyNumberFormat="0" applyBorder="0" applyAlignment="0" applyProtection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0" borderId="0"/>
    <xf numFmtId="0" fontId="2" fillId="68" borderId="0" applyNumberFormat="0" applyBorder="0" applyAlignment="0" applyProtection="0"/>
    <xf numFmtId="0" fontId="2" fillId="75" borderId="0" applyNumberFormat="0" applyBorder="0" applyAlignment="0" applyProtection="0"/>
    <xf numFmtId="0" fontId="2" fillId="76" borderId="0" applyNumberFormat="0" applyBorder="0" applyAlignment="0" applyProtection="0"/>
    <xf numFmtId="0" fontId="2" fillId="43" borderId="0" applyNumberFormat="0" applyBorder="0" applyAlignment="0" applyProtection="0"/>
    <xf numFmtId="0" fontId="2" fillId="41" borderId="0" applyNumberFormat="0" applyBorder="0" applyAlignment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40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9" borderId="0" applyNumberFormat="0" applyBorder="0" applyAlignment="0" applyProtection="0"/>
    <xf numFmtId="43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72" borderId="0" applyNumberFormat="0" applyBorder="0" applyAlignment="0" applyProtection="0"/>
    <xf numFmtId="0" fontId="2" fillId="65" borderId="0" applyNumberFormat="0" applyBorder="0" applyAlignment="0" applyProtection="0"/>
    <xf numFmtId="0" fontId="2" fillId="64" borderId="0" applyNumberFormat="0" applyBorder="0" applyAlignment="0" applyProtection="0"/>
    <xf numFmtId="0" fontId="2" fillId="0" borderId="0"/>
    <xf numFmtId="0" fontId="2" fillId="0" borderId="0"/>
    <xf numFmtId="0" fontId="2" fillId="69" borderId="0" applyNumberFormat="0" applyBorder="0" applyAlignment="0" applyProtection="0"/>
    <xf numFmtId="43" fontId="2" fillId="0" borderId="0" applyFont="0" applyFill="0" applyBorder="0" applyAlignment="0" applyProtection="0"/>
    <xf numFmtId="0" fontId="2" fillId="6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3" borderId="0" applyNumberFormat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8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2" borderId="0" applyNumberFormat="0" applyBorder="0" applyAlignment="0" applyProtection="0"/>
    <xf numFmtId="0" fontId="2" fillId="4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2" borderId="39" applyNumberFormat="0" applyFont="0" applyAlignment="0" applyProtection="0"/>
    <xf numFmtId="0" fontId="2" fillId="0" borderId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217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38" borderId="0" applyNumberFormat="0" applyBorder="0" applyAlignment="0" applyProtection="0"/>
    <xf numFmtId="0" fontId="2" fillId="72" borderId="0" applyNumberFormat="0" applyBorder="0" applyAlignment="0" applyProtection="0"/>
    <xf numFmtId="0" fontId="2" fillId="75" borderId="0" applyNumberFormat="0" applyBorder="0" applyAlignment="0" applyProtection="0"/>
    <xf numFmtId="0" fontId="2" fillId="76" borderId="0" applyNumberFormat="0" applyBorder="0" applyAlignment="0" applyProtection="0"/>
    <xf numFmtId="0" fontId="2" fillId="79" borderId="0" applyNumberFormat="0" applyBorder="0" applyAlignment="0" applyProtection="0"/>
    <xf numFmtId="0" fontId="2" fillId="80" borderId="0" applyNumberFormat="0" applyBorder="0" applyAlignment="0" applyProtection="0"/>
    <xf numFmtId="0" fontId="2" fillId="40" borderId="0" applyNumberFormat="0" applyBorder="0" applyAlignment="0" applyProtection="0"/>
    <xf numFmtId="0" fontId="2" fillId="8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8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2" borderId="0" applyNumberFormat="0" applyBorder="0" applyAlignment="0" applyProtection="0"/>
    <xf numFmtId="0" fontId="2" fillId="4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32" borderId="39" applyNumberFormat="0" applyFont="0" applyAlignment="0" applyProtection="0"/>
    <xf numFmtId="0" fontId="2" fillId="0" borderId="0"/>
    <xf numFmtId="0" fontId="2" fillId="38" borderId="0" applyNumberFormat="0" applyBorder="0" applyAlignment="0" applyProtection="0"/>
    <xf numFmtId="0" fontId="2" fillId="40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217" fontId="2" fillId="0" borderId="0" applyFont="0" applyFill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8" borderId="0" applyNumberFormat="0" applyBorder="0" applyAlignment="0" applyProtection="0"/>
    <xf numFmtId="0" fontId="2" fillId="42" borderId="0" applyNumberFormat="0" applyBorder="0" applyAlignment="0" applyProtection="0"/>
    <xf numFmtId="0" fontId="2" fillId="41" borderId="0" applyNumberFormat="0" applyBorder="0" applyAlignment="0" applyProtection="0"/>
    <xf numFmtId="0" fontId="2" fillId="40" borderId="0" applyNumberFormat="0" applyBorder="0" applyAlignment="0" applyProtection="0"/>
    <xf numFmtId="0" fontId="2" fillId="41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2" fillId="43" borderId="0" applyNumberFormat="0" applyBorder="0" applyAlignment="0" applyProtection="0"/>
    <xf numFmtId="0" fontId="2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/>
    <xf numFmtId="9" fontId="4" fillId="0" borderId="0"/>
    <xf numFmtId="9" fontId="4" fillId="0" borderId="0"/>
    <xf numFmtId="178" fontId="4" fillId="0" borderId="0"/>
    <xf numFmtId="178" fontId="4" fillId="0" borderId="0"/>
    <xf numFmtId="178" fontId="4" fillId="0" borderId="0"/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49" fontId="4" fillId="0" borderId="0" applyFill="0" applyBorder="0">
      <alignment horizontal="right" vertical="center"/>
    </xf>
    <xf numFmtId="0" fontId="1" fillId="0" borderId="0"/>
    <xf numFmtId="0" fontId="1" fillId="0" borderId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0" fontId="4" fillId="0" borderId="0">
      <alignment vertical="top"/>
    </xf>
    <xf numFmtId="1" fontId="4" fillId="0" borderId="0">
      <alignment horizontal="center"/>
    </xf>
    <xf numFmtId="1" fontId="4" fillId="0" borderId="0">
      <alignment horizontal="center"/>
    </xf>
    <xf numFmtId="1" fontId="4" fillId="0" borderId="0">
      <alignment horizontal="center"/>
    </xf>
    <xf numFmtId="0" fontId="4" fillId="0" borderId="0"/>
    <xf numFmtId="0" fontId="143" fillId="0" borderId="0"/>
  </cellStyleXfs>
  <cellXfs count="749">
    <xf numFmtId="0" fontId="0" fillId="0" borderId="0" xfId="0"/>
    <xf numFmtId="0" fontId="4" fillId="0" borderId="12" xfId="0" applyFont="1" applyFill="1" applyBorder="1"/>
    <xf numFmtId="167" fontId="12" fillId="0" borderId="0" xfId="0" applyNumberFormat="1" applyFont="1" applyFill="1" applyBorder="1" applyAlignment="1"/>
    <xf numFmtId="0" fontId="4" fillId="0" borderId="14" xfId="0" applyFont="1" applyBorder="1"/>
    <xf numFmtId="0" fontId="6" fillId="0" borderId="15" xfId="51" applyFont="1" applyFill="1" applyBorder="1" applyAlignment="1">
      <alignment horizontal="right"/>
    </xf>
    <xf numFmtId="0" fontId="6" fillId="0" borderId="16" xfId="51" applyFont="1" applyFill="1" applyBorder="1" applyAlignment="1">
      <alignment horizontal="right"/>
    </xf>
    <xf numFmtId="0" fontId="6" fillId="0" borderId="17" xfId="51" applyFont="1" applyFill="1" applyBorder="1" applyAlignment="1">
      <alignment horizontal="right"/>
    </xf>
    <xf numFmtId="0" fontId="4" fillId="0" borderId="11" xfId="0" applyFont="1" applyBorder="1"/>
    <xf numFmtId="164" fontId="8" fillId="18" borderId="16" xfId="51" applyNumberFormat="1" applyFont="1" applyFill="1" applyBorder="1" applyAlignment="1">
      <alignment horizontal="right"/>
    </xf>
    <xf numFmtId="164" fontId="6" fillId="0" borderId="16" xfId="51" applyNumberFormat="1" applyFont="1" applyFill="1" applyBorder="1" applyAlignment="1">
      <alignment horizontal="right"/>
    </xf>
    <xf numFmtId="164" fontId="6" fillId="0" borderId="17" xfId="51" applyNumberFormat="1" applyFont="1" applyFill="1" applyBorder="1" applyAlignment="1">
      <alignment horizontal="right"/>
    </xf>
    <xf numFmtId="0" fontId="4" fillId="0" borderId="18" xfId="0" applyFont="1" applyBorder="1"/>
    <xf numFmtId="0" fontId="4" fillId="0" borderId="19" xfId="0" applyFont="1" applyBorder="1"/>
    <xf numFmtId="1" fontId="6" fillId="18" borderId="15" xfId="50" applyNumberFormat="1" applyFont="1" applyFill="1" applyBorder="1" applyAlignment="1">
      <alignment horizontal="right"/>
    </xf>
    <xf numFmtId="1" fontId="6" fillId="18" borderId="16" xfId="50" applyNumberFormat="1" applyFont="1" applyFill="1" applyBorder="1" applyAlignment="1">
      <alignment horizontal="right"/>
    </xf>
    <xf numFmtId="1" fontId="6" fillId="18" borderId="17" xfId="50" applyNumberFormat="1" applyFont="1" applyFill="1" applyBorder="1" applyAlignment="1">
      <alignment horizontal="right"/>
    </xf>
    <xf numFmtId="0" fontId="10" fillId="0" borderId="13" xfId="0" applyFont="1" applyFill="1" applyBorder="1"/>
    <xf numFmtId="0" fontId="10" fillId="0" borderId="11" xfId="0" applyFont="1" applyFill="1" applyBorder="1"/>
    <xf numFmtId="166" fontId="11" fillId="0" borderId="13" xfId="0" applyNumberFormat="1" applyFont="1" applyFill="1" applyBorder="1" applyAlignment="1"/>
    <xf numFmtId="166" fontId="11" fillId="0" borderId="0" xfId="0" applyNumberFormat="1" applyFont="1" applyFill="1" applyBorder="1" applyAlignment="1"/>
    <xf numFmtId="0" fontId="10" fillId="0" borderId="13" xfId="0" applyFont="1" applyFill="1" applyBorder="1" applyAlignment="1">
      <alignment horizontal="left" indent="1"/>
    </xf>
    <xf numFmtId="0" fontId="10" fillId="0" borderId="11" xfId="0" applyFont="1" applyFill="1" applyBorder="1" applyAlignment="1">
      <alignment horizontal="left" indent="1"/>
    </xf>
    <xf numFmtId="167" fontId="11" fillId="0" borderId="13" xfId="0" applyNumberFormat="1" applyFont="1" applyFill="1" applyBorder="1" applyAlignment="1"/>
    <xf numFmtId="167" fontId="11" fillId="0" borderId="0" xfId="0" applyNumberFormat="1" applyFont="1" applyFill="1" applyBorder="1" applyAlignment="1"/>
    <xf numFmtId="167" fontId="11" fillId="0" borderId="11" xfId="0" applyNumberFormat="1" applyFont="1" applyFill="1" applyBorder="1" applyAlignment="1"/>
    <xf numFmtId="167" fontId="10" fillId="0" borderId="13" xfId="0" applyNumberFormat="1" applyFont="1" applyFill="1" applyBorder="1" applyAlignment="1"/>
    <xf numFmtId="167" fontId="10" fillId="0" borderId="0" xfId="0" applyNumberFormat="1" applyFont="1" applyFill="1" applyBorder="1" applyAlignment="1"/>
    <xf numFmtId="167" fontId="10" fillId="0" borderId="11" xfId="0" applyNumberFormat="1" applyFont="1" applyFill="1" applyBorder="1" applyAlignment="1"/>
    <xf numFmtId="0" fontId="13" fillId="0" borderId="13" xfId="0" applyFont="1" applyFill="1" applyBorder="1" applyAlignment="1">
      <alignment horizontal="left" indent="1"/>
    </xf>
    <xf numFmtId="0" fontId="13" fillId="0" borderId="11" xfId="0" applyFont="1" applyFill="1" applyBorder="1" applyAlignment="1">
      <alignment horizontal="left" indent="1"/>
    </xf>
    <xf numFmtId="168" fontId="14" fillId="0" borderId="13" xfId="57" applyNumberFormat="1" applyFont="1" applyFill="1" applyBorder="1" applyAlignment="1"/>
    <xf numFmtId="168" fontId="13" fillId="0" borderId="0" xfId="57" applyNumberFormat="1" applyFont="1" applyFill="1" applyBorder="1" applyAlignment="1"/>
    <xf numFmtId="168" fontId="13" fillId="0" borderId="11" xfId="57" applyNumberFormat="1" applyFont="1" applyFill="1" applyBorder="1" applyAlignment="1"/>
    <xf numFmtId="168" fontId="14" fillId="0" borderId="0" xfId="57" applyNumberFormat="1" applyFont="1" applyFill="1" applyBorder="1" applyAlignment="1"/>
    <xf numFmtId="168" fontId="14" fillId="0" borderId="11" xfId="57" applyNumberFormat="1" applyFont="1" applyFill="1" applyBorder="1" applyAlignment="1"/>
    <xf numFmtId="169" fontId="11" fillId="0" borderId="13" xfId="0" applyNumberFormat="1" applyFont="1" applyFill="1" applyBorder="1" applyAlignment="1"/>
    <xf numFmtId="169" fontId="11" fillId="0" borderId="0" xfId="0" applyNumberFormat="1" applyFont="1" applyFill="1" applyBorder="1" applyAlignment="1"/>
    <xf numFmtId="169" fontId="11" fillId="0" borderId="11" xfId="0" applyNumberFormat="1" applyFont="1" applyFill="1" applyBorder="1" applyAlignment="1"/>
    <xf numFmtId="168" fontId="13" fillId="0" borderId="13" xfId="57" applyNumberFormat="1" applyFont="1" applyFill="1" applyBorder="1" applyAlignment="1"/>
    <xf numFmtId="0" fontId="15" fillId="0" borderId="13" xfId="0" applyFont="1" applyFill="1" applyBorder="1"/>
    <xf numFmtId="0" fontId="15" fillId="0" borderId="11" xfId="0" applyFont="1" applyFill="1" applyBorder="1"/>
    <xf numFmtId="167" fontId="15" fillId="0" borderId="13" xfId="0" applyNumberFormat="1" applyFont="1" applyFill="1" applyBorder="1" applyAlignment="1"/>
    <xf numFmtId="167" fontId="15" fillId="0" borderId="0" xfId="0" applyNumberFormat="1" applyFont="1" applyFill="1" applyBorder="1" applyAlignment="1"/>
    <xf numFmtId="167" fontId="15" fillId="0" borderId="11" xfId="0" applyNumberFormat="1" applyFont="1" applyFill="1" applyBorder="1" applyAlignment="1"/>
    <xf numFmtId="0" fontId="10" fillId="0" borderId="13" xfId="0" applyFont="1" applyFill="1" applyBorder="1" applyAlignment="1">
      <alignment horizontal="left" indent="2"/>
    </xf>
    <xf numFmtId="0" fontId="10" fillId="0" borderId="11" xfId="0" applyFont="1" applyFill="1" applyBorder="1" applyAlignment="1">
      <alignment horizontal="left" indent="2"/>
    </xf>
    <xf numFmtId="0" fontId="10" fillId="0" borderId="13" xfId="0" applyFont="1" applyFill="1" applyBorder="1" applyAlignment="1">
      <alignment horizontal="left" indent="3"/>
    </xf>
    <xf numFmtId="9" fontId="11" fillId="0" borderId="0" xfId="57" applyFont="1" applyFill="1" applyBorder="1" applyAlignment="1"/>
    <xf numFmtId="9" fontId="11" fillId="0" borderId="11" xfId="57" applyFont="1" applyFill="1" applyBorder="1" applyAlignment="1"/>
    <xf numFmtId="170" fontId="11" fillId="0" borderId="11" xfId="0" applyNumberFormat="1" applyFont="1" applyFill="1" applyBorder="1" applyAlignment="1"/>
    <xf numFmtId="0" fontId="10" fillId="0" borderId="13" xfId="0" applyFont="1" applyFill="1" applyBorder="1" applyAlignment="1">
      <alignment horizontal="left"/>
    </xf>
    <xf numFmtId="169" fontId="11" fillId="0" borderId="13" xfId="0" applyNumberFormat="1" applyFont="1" applyFill="1" applyBorder="1"/>
    <xf numFmtId="169" fontId="11" fillId="0" borderId="0" xfId="0" applyNumberFormat="1" applyFont="1" applyFill="1" applyBorder="1"/>
    <xf numFmtId="171" fontId="11" fillId="0" borderId="11" xfId="0" applyNumberFormat="1" applyFont="1" applyFill="1" applyBorder="1"/>
    <xf numFmtId="172" fontId="11" fillId="0" borderId="0" xfId="0" applyNumberFormat="1" applyFont="1" applyFill="1" applyBorder="1" applyAlignment="1"/>
    <xf numFmtId="169" fontId="11" fillId="0" borderId="11" xfId="57" applyNumberFormat="1" applyFont="1" applyFill="1" applyBorder="1" applyAlignment="1"/>
    <xf numFmtId="173" fontId="10" fillId="0" borderId="13" xfId="0" applyNumberFormat="1" applyFont="1" applyFill="1" applyBorder="1"/>
    <xf numFmtId="173" fontId="10" fillId="0" borderId="0" xfId="0" applyNumberFormat="1" applyFont="1" applyFill="1" applyBorder="1"/>
    <xf numFmtId="173" fontId="10" fillId="0" borderId="11" xfId="0" applyNumberFormat="1" applyFont="1" applyFill="1" applyBorder="1"/>
    <xf numFmtId="173" fontId="15" fillId="0" borderId="13" xfId="0" applyNumberFormat="1" applyFont="1" applyFill="1" applyBorder="1"/>
    <xf numFmtId="173" fontId="15" fillId="0" borderId="0" xfId="0" applyNumberFormat="1" applyFont="1" applyFill="1" applyBorder="1"/>
    <xf numFmtId="173" fontId="15" fillId="0" borderId="11" xfId="0" applyNumberFormat="1" applyFont="1" applyFill="1" applyBorder="1"/>
    <xf numFmtId="0" fontId="10" fillId="0" borderId="18" xfId="0" applyFont="1" applyFill="1" applyBorder="1"/>
    <xf numFmtId="0" fontId="10" fillId="0" borderId="19" xfId="0" applyFont="1" applyFill="1" applyBorder="1"/>
    <xf numFmtId="173" fontId="10" fillId="0" borderId="18" xfId="0" applyNumberFormat="1" applyFont="1" applyFill="1" applyBorder="1"/>
    <xf numFmtId="173" fontId="10" fillId="0" borderId="20" xfId="0" applyNumberFormat="1" applyFont="1" applyFill="1" applyBorder="1"/>
    <xf numFmtId="173" fontId="10" fillId="0" borderId="19" xfId="0" applyNumberFormat="1" applyFont="1" applyFill="1" applyBorder="1"/>
    <xf numFmtId="0" fontId="0" fillId="0" borderId="0" xfId="0" applyFill="1" applyBorder="1"/>
    <xf numFmtId="0" fontId="10" fillId="0" borderId="0" xfId="0" applyFont="1" applyFill="1" applyBorder="1"/>
    <xf numFmtId="0" fontId="10" fillId="0" borderId="21" xfId="0" applyFont="1" applyFill="1" applyBorder="1"/>
    <xf numFmtId="0" fontId="10" fillId="0" borderId="14" xfId="0" applyFont="1" applyFill="1" applyBorder="1"/>
    <xf numFmtId="167" fontId="11" fillId="0" borderId="21" xfId="0" applyNumberFormat="1" applyFont="1" applyFill="1" applyBorder="1"/>
    <xf numFmtId="167" fontId="11" fillId="0" borderId="22" xfId="0" applyNumberFormat="1" applyFont="1" applyFill="1" applyBorder="1"/>
    <xf numFmtId="167" fontId="10" fillId="0" borderId="13" xfId="0" applyNumberFormat="1" applyFont="1" applyFill="1" applyBorder="1"/>
    <xf numFmtId="167" fontId="10" fillId="0" borderId="0" xfId="0" applyNumberFormat="1" applyFont="1" applyFill="1" applyBorder="1"/>
    <xf numFmtId="167" fontId="11" fillId="0" borderId="13" xfId="0" applyNumberFormat="1" applyFont="1" applyFill="1" applyBorder="1"/>
    <xf numFmtId="167" fontId="11" fillId="0" borderId="0" xfId="0" applyNumberFormat="1" applyFont="1" applyFill="1" applyBorder="1"/>
    <xf numFmtId="174" fontId="13" fillId="0" borderId="0" xfId="0" applyNumberFormat="1" applyFont="1" applyFill="1" applyBorder="1"/>
    <xf numFmtId="174" fontId="13" fillId="0" borderId="11" xfId="0" applyNumberFormat="1" applyFont="1" applyFill="1" applyBorder="1"/>
    <xf numFmtId="167" fontId="11" fillId="0" borderId="11" xfId="0" applyNumberFormat="1" applyFont="1" applyFill="1" applyBorder="1"/>
    <xf numFmtId="167" fontId="14" fillId="0" borderId="13" xfId="0" applyNumberFormat="1" applyFont="1" applyFill="1" applyBorder="1"/>
    <xf numFmtId="167" fontId="14" fillId="0" borderId="0" xfId="0" applyNumberFormat="1" applyFont="1" applyFill="1" applyBorder="1"/>
    <xf numFmtId="168" fontId="11" fillId="0" borderId="13" xfId="57" applyNumberFormat="1" applyFont="1" applyFill="1" applyBorder="1"/>
    <xf numFmtId="168" fontId="11" fillId="0" borderId="0" xfId="57" applyNumberFormat="1" applyFont="1" applyFill="1" applyBorder="1"/>
    <xf numFmtId="168" fontId="11" fillId="0" borderId="11" xfId="57" applyNumberFormat="1" applyFont="1" applyFill="1" applyBorder="1"/>
    <xf numFmtId="169" fontId="10" fillId="0" borderId="0" xfId="0" applyNumberFormat="1" applyFont="1" applyFill="1" applyBorder="1"/>
    <xf numFmtId="169" fontId="10" fillId="0" borderId="11" xfId="0" applyNumberFormat="1" applyFont="1" applyFill="1" applyBorder="1"/>
    <xf numFmtId="0" fontId="10" fillId="0" borderId="18" xfId="0" applyFont="1" applyFill="1" applyBorder="1" applyAlignment="1">
      <alignment horizontal="left"/>
    </xf>
    <xf numFmtId="169" fontId="10" fillId="0" borderId="20" xfId="0" applyNumberFormat="1" applyFont="1" applyFill="1" applyBorder="1"/>
    <xf numFmtId="169" fontId="10" fillId="0" borderId="19" xfId="0" applyNumberFormat="1" applyFont="1" applyFill="1" applyBorder="1"/>
    <xf numFmtId="0" fontId="10" fillId="0" borderId="0" xfId="0" applyFont="1" applyFill="1" applyBorder="1" applyAlignment="1">
      <alignment horizontal="left" wrapText="1" indent="2"/>
    </xf>
    <xf numFmtId="37" fontId="10" fillId="0" borderId="0" xfId="0" applyNumberFormat="1" applyFont="1" applyFill="1"/>
    <xf numFmtId="37" fontId="10" fillId="0" borderId="0" xfId="0" applyNumberFormat="1" applyFont="1" applyFill="1" applyAlignment="1">
      <alignment horizontal="centerContinuous"/>
    </xf>
    <xf numFmtId="0" fontId="10" fillId="0" borderId="0" xfId="0" applyFont="1" applyFill="1" applyAlignment="1">
      <alignment horizontal="center"/>
    </xf>
    <xf numFmtId="37" fontId="10" fillId="0" borderId="0" xfId="0" applyNumberFormat="1" applyFont="1" applyFill="1" applyAlignment="1">
      <alignment horizontal="center"/>
    </xf>
    <xf numFmtId="0" fontId="18" fillId="0" borderId="0" xfId="51" applyNumberFormat="1" applyFont="1" applyFill="1" applyBorder="1" applyAlignment="1">
      <alignment horizontal="left"/>
    </xf>
    <xf numFmtId="0" fontId="10" fillId="0" borderId="0" xfId="0" applyFont="1" applyFill="1" applyBorder="1" applyAlignment="1">
      <alignment horizontal="left" indent="1"/>
    </xf>
    <xf numFmtId="0" fontId="15" fillId="0" borderId="0" xfId="0" applyFont="1" applyFill="1" applyBorder="1"/>
    <xf numFmtId="166" fontId="11" fillId="0" borderId="14" xfId="0" applyNumberFormat="1" applyFont="1" applyFill="1" applyBorder="1" applyAlignment="1"/>
    <xf numFmtId="167" fontId="11" fillId="0" borderId="14" xfId="0" applyNumberFormat="1" applyFont="1" applyFill="1" applyBorder="1"/>
    <xf numFmtId="167" fontId="10" fillId="0" borderId="11" xfId="0" applyNumberFormat="1" applyFont="1" applyFill="1" applyBorder="1"/>
    <xf numFmtId="169" fontId="11" fillId="0" borderId="11" xfId="0" applyNumberFormat="1" applyFont="1" applyFill="1" applyBorder="1"/>
    <xf numFmtId="167" fontId="14" fillId="0" borderId="11" xfId="0" applyNumberFormat="1" applyFont="1" applyFill="1" applyBorder="1"/>
    <xf numFmtId="0" fontId="4" fillId="0" borderId="0" xfId="0" applyFont="1"/>
    <xf numFmtId="164" fontId="6" fillId="0" borderId="15" xfId="51" applyNumberFormat="1" applyFont="1" applyFill="1" applyBorder="1" applyAlignment="1">
      <alignment horizontal="right"/>
    </xf>
    <xf numFmtId="165" fontId="15" fillId="0" borderId="13" xfId="50" applyFont="1" applyFill="1" applyBorder="1"/>
    <xf numFmtId="165" fontId="15" fillId="0" borderId="11" xfId="50" applyFont="1" applyFill="1" applyBorder="1"/>
    <xf numFmtId="0" fontId="11" fillId="0" borderId="0" xfId="0" applyFont="1" applyFill="1"/>
    <xf numFmtId="0" fontId="11" fillId="0" borderId="11" xfId="0" applyFont="1" applyFill="1" applyBorder="1"/>
    <xf numFmtId="169" fontId="11" fillId="0" borderId="0" xfId="0" applyNumberFormat="1" applyFont="1" applyFill="1"/>
    <xf numFmtId="175" fontId="11" fillId="0" borderId="0" xfId="0" applyNumberFormat="1" applyFont="1" applyFill="1"/>
    <xf numFmtId="175" fontId="11" fillId="0" borderId="11" xfId="0" applyNumberFormat="1" applyFont="1" applyFill="1" applyBorder="1"/>
    <xf numFmtId="165" fontId="15" fillId="0" borderId="13" xfId="50" applyNumberFormat="1" applyFont="1" applyFill="1" applyBorder="1" applyAlignment="1"/>
    <xf numFmtId="165" fontId="15" fillId="0" borderId="11" xfId="50" applyNumberFormat="1" applyFont="1" applyFill="1" applyBorder="1" applyAlignment="1"/>
    <xf numFmtId="175" fontId="15" fillId="0" borderId="21" xfId="0" applyNumberFormat="1" applyFont="1" applyFill="1" applyBorder="1"/>
    <xf numFmtId="175" fontId="15" fillId="0" borderId="22" xfId="0" applyNumberFormat="1" applyFont="1" applyFill="1" applyBorder="1"/>
    <xf numFmtId="175" fontId="15" fillId="0" borderId="14" xfId="0" applyNumberFormat="1" applyFont="1" applyFill="1" applyBorder="1"/>
    <xf numFmtId="175" fontId="15" fillId="0" borderId="15" xfId="0" applyNumberFormat="1" applyFont="1" applyFill="1" applyBorder="1"/>
    <xf numFmtId="175" fontId="15" fillId="0" borderId="16" xfId="0" applyNumberFormat="1" applyFont="1" applyFill="1" applyBorder="1"/>
    <xf numFmtId="175" fontId="15" fillId="0" borderId="17" xfId="0" applyNumberFormat="1" applyFont="1" applyFill="1" applyBorder="1"/>
    <xf numFmtId="37" fontId="15" fillId="0" borderId="13" xfId="50" applyNumberFormat="1" applyFont="1" applyFill="1" applyBorder="1"/>
    <xf numFmtId="37" fontId="15" fillId="0" borderId="11" xfId="50" applyNumberFormat="1" applyFont="1" applyFill="1" applyBorder="1"/>
    <xf numFmtId="175" fontId="8" fillId="0" borderId="0" xfId="0" applyNumberFormat="1" applyFont="1" applyFill="1" applyBorder="1"/>
    <xf numFmtId="175" fontId="8" fillId="0" borderId="11" xfId="0" applyNumberFormat="1" applyFont="1" applyFill="1" applyBorder="1"/>
    <xf numFmtId="37" fontId="15" fillId="0" borderId="18" xfId="50" applyNumberFormat="1" applyFont="1" applyFill="1" applyBorder="1"/>
    <xf numFmtId="37" fontId="15" fillId="0" borderId="20" xfId="50" applyNumberFormat="1" applyFont="1" applyFill="1" applyBorder="1"/>
    <xf numFmtId="0" fontId="11" fillId="0" borderId="0" xfId="0" applyFont="1" applyFill="1" applyBorder="1"/>
    <xf numFmtId="0" fontId="19" fillId="0" borderId="15" xfId="0" applyFont="1" applyFill="1" applyBorder="1"/>
    <xf numFmtId="0" fontId="19" fillId="0" borderId="17" xfId="0" applyFont="1" applyFill="1" applyBorder="1"/>
    <xf numFmtId="176" fontId="19" fillId="0" borderId="16" xfId="35" applyNumberFormat="1" applyFont="1" applyFill="1" applyBorder="1"/>
    <xf numFmtId="176" fontId="19" fillId="0" borderId="17" xfId="35" applyNumberFormat="1" applyFont="1" applyFill="1" applyBorder="1"/>
    <xf numFmtId="0" fontId="10" fillId="0" borderId="0" xfId="0" applyFont="1" applyFill="1"/>
    <xf numFmtId="0" fontId="20" fillId="18" borderId="15" xfId="0" applyFont="1" applyFill="1" applyBorder="1" applyAlignment="1">
      <alignment horizontal="left"/>
    </xf>
    <xf numFmtId="0" fontId="20" fillId="18" borderId="17" xfId="0" applyFont="1" applyFill="1" applyBorder="1" applyAlignment="1">
      <alignment horizontal="left"/>
    </xf>
    <xf numFmtId="177" fontId="10" fillId="0" borderId="0" xfId="0" applyNumberFormat="1" applyFont="1" applyFill="1" applyBorder="1"/>
    <xf numFmtId="177" fontId="10" fillId="0" borderId="11" xfId="0" applyNumberFormat="1" applyFont="1" applyFill="1" applyBorder="1"/>
    <xf numFmtId="168" fontId="10" fillId="0" borderId="0" xfId="57" applyNumberFormat="1" applyFont="1" applyFill="1" applyBorder="1"/>
    <xf numFmtId="168" fontId="10" fillId="0" borderId="11" xfId="57" applyNumberFormat="1" applyFont="1" applyFill="1" applyBorder="1"/>
    <xf numFmtId="178" fontId="10" fillId="0" borderId="0" xfId="0" applyNumberFormat="1" applyFont="1" applyFill="1" applyBorder="1"/>
    <xf numFmtId="178" fontId="10" fillId="0" borderId="11" xfId="0" applyNumberFormat="1" applyFont="1" applyFill="1" applyBorder="1"/>
    <xf numFmtId="178" fontId="10" fillId="0" borderId="20" xfId="0" applyNumberFormat="1" applyFont="1" applyFill="1" applyBorder="1"/>
    <xf numFmtId="178" fontId="10" fillId="0" borderId="19" xfId="0" applyNumberFormat="1" applyFont="1" applyFill="1" applyBorder="1"/>
    <xf numFmtId="0" fontId="15" fillId="0" borderId="15" xfId="0" applyFont="1" applyFill="1" applyBorder="1" applyAlignment="1">
      <alignment horizontal="left" indent="1"/>
    </xf>
    <xf numFmtId="0" fontId="15" fillId="0" borderId="16" xfId="0" applyFont="1" applyFill="1" applyBorder="1" applyAlignment="1">
      <alignment horizontal="left" indent="1"/>
    </xf>
    <xf numFmtId="167" fontId="15" fillId="0" borderId="15" xfId="0" applyNumberFormat="1" applyFont="1" applyFill="1" applyBorder="1"/>
    <xf numFmtId="167" fontId="15" fillId="0" borderId="16" xfId="0" applyNumberFormat="1" applyFont="1" applyFill="1" applyBorder="1"/>
    <xf numFmtId="167" fontId="15" fillId="0" borderId="17" xfId="0" applyNumberFormat="1" applyFont="1" applyFill="1" applyBorder="1"/>
    <xf numFmtId="37" fontId="15" fillId="0" borderId="15" xfId="50" applyNumberFormat="1" applyFont="1" applyFill="1" applyBorder="1"/>
    <xf numFmtId="37" fontId="15" fillId="0" borderId="16" xfId="50" applyNumberFormat="1" applyFont="1" applyFill="1" applyBorder="1"/>
    <xf numFmtId="37" fontId="15" fillId="0" borderId="0" xfId="50" applyNumberFormat="1" applyFont="1" applyFill="1" applyBorder="1"/>
    <xf numFmtId="0" fontId="21" fillId="0" borderId="21" xfId="0" applyFont="1" applyFill="1" applyBorder="1"/>
    <xf numFmtId="0" fontId="21" fillId="0" borderId="14" xfId="0" applyFont="1" applyFill="1" applyBorder="1"/>
    <xf numFmtId="176" fontId="21" fillId="0" borderId="22" xfId="35" applyNumberFormat="1" applyFont="1" applyFill="1" applyBorder="1"/>
    <xf numFmtId="176" fontId="21" fillId="0" borderId="14" xfId="35" applyNumberFormat="1" applyFont="1" applyFill="1" applyBorder="1"/>
    <xf numFmtId="167" fontId="22" fillId="17" borderId="0" xfId="49" applyNumberFormat="1" applyFont="1" applyFill="1" applyBorder="1"/>
    <xf numFmtId="167" fontId="22" fillId="17" borderId="14" xfId="49" applyNumberFormat="1" applyFont="1" applyFill="1" applyBorder="1"/>
    <xf numFmtId="166" fontId="22" fillId="17" borderId="0" xfId="49" applyNumberFormat="1" applyFont="1" applyFill="1"/>
    <xf numFmtId="166" fontId="22" fillId="17" borderId="11" xfId="49" applyNumberFormat="1" applyFont="1" applyFill="1" applyBorder="1"/>
    <xf numFmtId="167" fontId="22" fillId="17" borderId="0" xfId="49" applyNumberFormat="1" applyFont="1" applyFill="1"/>
    <xf numFmtId="167" fontId="22" fillId="17" borderId="11" xfId="49" applyNumberFormat="1" applyFont="1" applyFill="1" applyBorder="1"/>
    <xf numFmtId="167" fontId="22" fillId="17" borderId="18" xfId="49" applyNumberFormat="1" applyFont="1" applyFill="1" applyBorder="1"/>
    <xf numFmtId="167" fontId="22" fillId="17" borderId="20" xfId="49" applyNumberFormat="1" applyFont="1" applyFill="1" applyBorder="1"/>
    <xf numFmtId="167" fontId="22" fillId="17" borderId="19" xfId="49" applyNumberFormat="1" applyFont="1" applyFill="1" applyBorder="1"/>
    <xf numFmtId="0" fontId="17" fillId="0" borderId="0" xfId="0" applyFont="1" applyFill="1" applyBorder="1"/>
    <xf numFmtId="0" fontId="11" fillId="0" borderId="0" xfId="0" applyFont="1" applyFill="1" applyBorder="1" applyAlignment="1">
      <alignment horizontal="right"/>
    </xf>
    <xf numFmtId="0" fontId="24" fillId="0" borderId="0" xfId="0" applyFont="1" applyFill="1" applyAlignment="1">
      <alignment vertical="center"/>
    </xf>
    <xf numFmtId="165" fontId="15" fillId="0" borderId="15" xfId="50" applyFont="1" applyFill="1" applyBorder="1"/>
    <xf numFmtId="165" fontId="15" fillId="0" borderId="17" xfId="50" applyFont="1" applyFill="1" applyBorder="1"/>
    <xf numFmtId="0" fontId="10" fillId="0" borderId="18" xfId="0" applyFont="1" applyFill="1" applyBorder="1" applyAlignment="1">
      <alignment horizontal="left" indent="1"/>
    </xf>
    <xf numFmtId="0" fontId="10" fillId="0" borderId="19" xfId="0" applyFont="1" applyFill="1" applyBorder="1" applyAlignment="1">
      <alignment horizontal="left" indent="1"/>
    </xf>
    <xf numFmtId="175" fontId="15" fillId="0" borderId="13" xfId="0" applyNumberFormat="1" applyFont="1" applyFill="1" applyBorder="1"/>
    <xf numFmtId="175" fontId="11" fillId="0" borderId="20" xfId="0" applyNumberFormat="1" applyFont="1" applyFill="1" applyBorder="1"/>
    <xf numFmtId="0" fontId="4" fillId="0" borderId="0" xfId="0" applyNumberFormat="1" applyFont="1" applyFill="1" applyBorder="1" applyAlignment="1"/>
    <xf numFmtId="0" fontId="20" fillId="0" borderId="0" xfId="0" applyFont="1" applyFill="1" applyBorder="1"/>
    <xf numFmtId="179" fontId="21" fillId="0" borderId="13" xfId="0" applyNumberFormat="1" applyFont="1" applyFill="1" applyBorder="1"/>
    <xf numFmtId="179" fontId="21" fillId="0" borderId="0" xfId="0" applyNumberFormat="1" applyFont="1" applyFill="1" applyBorder="1"/>
    <xf numFmtId="179" fontId="21" fillId="0" borderId="11" xfId="0" applyNumberFormat="1" applyFont="1" applyFill="1" applyBorder="1"/>
    <xf numFmtId="0" fontId="21" fillId="0" borderId="0" xfId="0" applyFont="1" applyFill="1" applyBorder="1"/>
    <xf numFmtId="175" fontId="21" fillId="0" borderId="13" xfId="0" applyNumberFormat="1" applyFont="1" applyFill="1" applyBorder="1"/>
    <xf numFmtId="175" fontId="21" fillId="0" borderId="0" xfId="0" applyNumberFormat="1" applyFont="1" applyFill="1" applyBorder="1"/>
    <xf numFmtId="175" fontId="21" fillId="0" borderId="11" xfId="0" applyNumberFormat="1" applyFont="1" applyFill="1" applyBorder="1"/>
    <xf numFmtId="0" fontId="21" fillId="0" borderId="0" xfId="0" applyFont="1" applyFill="1" applyBorder="1" applyAlignment="1">
      <alignment horizontal="left" wrapText="1" indent="1"/>
    </xf>
    <xf numFmtId="175" fontId="25" fillId="0" borderId="13" xfId="0" applyNumberFormat="1" applyFont="1" applyFill="1" applyBorder="1"/>
    <xf numFmtId="175" fontId="25" fillId="0" borderId="0" xfId="0" applyNumberFormat="1" applyFont="1" applyFill="1" applyBorder="1"/>
    <xf numFmtId="175" fontId="25" fillId="0" borderId="11" xfId="0" applyNumberFormat="1" applyFont="1" applyFill="1" applyBorder="1"/>
    <xf numFmtId="0" fontId="21" fillId="0" borderId="0" xfId="0" applyFont="1" applyFill="1" applyBorder="1" applyAlignment="1">
      <alignment horizontal="left" indent="2"/>
    </xf>
    <xf numFmtId="175" fontId="26" fillId="0" borderId="0" xfId="0" applyNumberFormat="1" applyFont="1" applyFill="1" applyBorder="1"/>
    <xf numFmtId="175" fontId="26" fillId="0" borderId="11" xfId="0" applyNumberFormat="1" applyFont="1" applyFill="1" applyBorder="1"/>
    <xf numFmtId="0" fontId="21" fillId="0" borderId="0" xfId="0" applyFont="1" applyFill="1" applyBorder="1" applyAlignment="1">
      <alignment horizontal="left" indent="1"/>
    </xf>
    <xf numFmtId="0" fontId="20" fillId="0" borderId="0" xfId="0" applyFont="1" applyFill="1" applyBorder="1" applyAlignment="1">
      <alignment horizontal="left"/>
    </xf>
    <xf numFmtId="175" fontId="20" fillId="0" borderId="23" xfId="0" applyNumberFormat="1" applyFont="1" applyFill="1" applyBorder="1"/>
    <xf numFmtId="175" fontId="20" fillId="0" borderId="24" xfId="0" applyNumberFormat="1" applyFont="1" applyFill="1" applyBorder="1"/>
    <xf numFmtId="175" fontId="27" fillId="0" borderId="13" xfId="0" applyNumberFormat="1" applyFont="1" applyFill="1" applyBorder="1"/>
    <xf numFmtId="175" fontId="27" fillId="0" borderId="0" xfId="0" applyNumberFormat="1" applyFont="1" applyFill="1" applyBorder="1"/>
    <xf numFmtId="175" fontId="27" fillId="0" borderId="11" xfId="0" applyNumberFormat="1" applyFont="1" applyFill="1" applyBorder="1"/>
    <xf numFmtId="175" fontId="20" fillId="0" borderId="0" xfId="0" applyNumberFormat="1" applyFont="1" applyFill="1" applyBorder="1"/>
    <xf numFmtId="175" fontId="20" fillId="0" borderId="11" xfId="0" applyNumberFormat="1" applyFont="1" applyFill="1" applyBorder="1"/>
    <xf numFmtId="175" fontId="20" fillId="0" borderId="13" xfId="0" applyNumberFormat="1" applyFont="1" applyFill="1" applyBorder="1"/>
    <xf numFmtId="0" fontId="20" fillId="0" borderId="20" xfId="0" applyFont="1" applyFill="1" applyBorder="1" applyAlignment="1">
      <alignment horizontal="left"/>
    </xf>
    <xf numFmtId="175" fontId="20" fillId="0" borderId="18" xfId="0" applyNumberFormat="1" applyFont="1" applyFill="1" applyBorder="1"/>
    <xf numFmtId="175" fontId="20" fillId="0" borderId="20" xfId="0" applyNumberFormat="1" applyFont="1" applyFill="1" applyBorder="1"/>
    <xf numFmtId="0" fontId="28" fillId="0" borderId="0" xfId="0" applyFont="1" applyFill="1" applyBorder="1"/>
    <xf numFmtId="37" fontId="27" fillId="0" borderId="0" xfId="0" applyNumberFormat="1" applyFont="1" applyFill="1" applyBorder="1"/>
    <xf numFmtId="0" fontId="21" fillId="0" borderId="0" xfId="0" applyFont="1" applyBorder="1"/>
    <xf numFmtId="0" fontId="25" fillId="0" borderId="0" xfId="0" applyFont="1"/>
    <xf numFmtId="180" fontId="25" fillId="0" borderId="0" xfId="0" applyNumberFormat="1" applyFont="1"/>
    <xf numFmtId="0" fontId="21" fillId="0" borderId="13" xfId="0" applyFont="1" applyBorder="1"/>
    <xf numFmtId="0" fontId="21" fillId="0" borderId="11" xfId="0" applyFont="1" applyBorder="1"/>
    <xf numFmtId="176" fontId="29" fillId="0" borderId="0" xfId="35" applyNumberFormat="1" applyFont="1" applyBorder="1"/>
    <xf numFmtId="176" fontId="29" fillId="0" borderId="11" xfId="35" applyNumberFormat="1" applyFont="1" applyBorder="1"/>
    <xf numFmtId="0" fontId="13" fillId="0" borderId="13" xfId="0" applyFont="1" applyBorder="1" applyAlignment="1">
      <alignment horizontal="left" indent="1"/>
    </xf>
    <xf numFmtId="168" fontId="13" fillId="0" borderId="0" xfId="57" applyNumberFormat="1" applyFont="1" applyFill="1" applyBorder="1"/>
    <xf numFmtId="168" fontId="13" fillId="0" borderId="11" xfId="57" applyNumberFormat="1" applyFont="1" applyFill="1" applyBorder="1"/>
    <xf numFmtId="176" fontId="25" fillId="0" borderId="0" xfId="35" applyNumberFormat="1" applyFont="1" applyBorder="1"/>
    <xf numFmtId="176" fontId="25" fillId="0" borderId="11" xfId="35" applyNumberFormat="1" applyFont="1" applyBorder="1"/>
    <xf numFmtId="0" fontId="21" fillId="0" borderId="18" xfId="0" applyFont="1" applyBorder="1"/>
    <xf numFmtId="0" fontId="21" fillId="0" borderId="19" xfId="0" applyFont="1" applyBorder="1"/>
    <xf numFmtId="176" fontId="25" fillId="0" borderId="19" xfId="35" applyNumberFormat="1" applyFont="1" applyBorder="1"/>
    <xf numFmtId="0" fontId="15" fillId="0" borderId="18" xfId="0" applyFont="1" applyBorder="1"/>
    <xf numFmtId="0" fontId="15" fillId="0" borderId="19" xfId="0" applyFont="1" applyBorder="1"/>
    <xf numFmtId="176" fontId="15" fillId="0" borderId="16" xfId="35" applyNumberFormat="1" applyFont="1" applyBorder="1"/>
    <xf numFmtId="176" fontId="15" fillId="0" borderId="17" xfId="35" applyNumberFormat="1" applyFont="1" applyBorder="1"/>
    <xf numFmtId="176" fontId="21" fillId="0" borderId="0" xfId="35" applyNumberFormat="1" applyFont="1" applyBorder="1"/>
    <xf numFmtId="176" fontId="25" fillId="0" borderId="0" xfId="0" applyNumberFormat="1" applyFont="1"/>
    <xf numFmtId="0" fontId="15" fillId="0" borderId="13" xfId="0" applyFont="1" applyBorder="1"/>
    <xf numFmtId="175" fontId="21" fillId="0" borderId="0" xfId="35" applyNumberFormat="1" applyFont="1" applyFill="1" applyBorder="1"/>
    <xf numFmtId="175" fontId="21" fillId="0" borderId="11" xfId="35" applyNumberFormat="1" applyFont="1" applyFill="1" applyBorder="1"/>
    <xf numFmtId="0" fontId="13" fillId="0" borderId="18" xfId="0" applyFont="1" applyBorder="1" applyAlignment="1">
      <alignment horizontal="left" indent="1"/>
    </xf>
    <xf numFmtId="168" fontId="13" fillId="0" borderId="18" xfId="57" applyNumberFormat="1" applyFont="1" applyBorder="1"/>
    <xf numFmtId="168" fontId="13" fillId="0" borderId="20" xfId="57" applyNumberFormat="1" applyFont="1" applyBorder="1"/>
    <xf numFmtId="168" fontId="13" fillId="0" borderId="19" xfId="57" applyNumberFormat="1" applyFont="1" applyBorder="1"/>
    <xf numFmtId="0" fontId="21" fillId="0" borderId="0" xfId="0" applyFont="1"/>
    <xf numFmtId="175" fontId="21" fillId="0" borderId="0" xfId="0" applyNumberFormat="1" applyFont="1"/>
    <xf numFmtId="175" fontId="21" fillId="0" borderId="14" xfId="0" applyNumberFormat="1" applyFont="1" applyBorder="1"/>
    <xf numFmtId="175" fontId="21" fillId="0" borderId="20" xfId="0" applyNumberFormat="1" applyFont="1" applyBorder="1"/>
    <xf numFmtId="175" fontId="21" fillId="0" borderId="19" xfId="0" applyNumberFormat="1" applyFont="1" applyBorder="1"/>
    <xf numFmtId="37" fontId="21" fillId="0" borderId="0" xfId="0" applyNumberFormat="1" applyFont="1" applyFill="1" applyBorder="1"/>
    <xf numFmtId="175" fontId="27" fillId="0" borderId="25" xfId="0" applyNumberFormat="1" applyFont="1" applyFill="1" applyBorder="1"/>
    <xf numFmtId="175" fontId="20" fillId="0" borderId="26" xfId="0" applyNumberFormat="1" applyFont="1" applyFill="1" applyBorder="1"/>
    <xf numFmtId="176" fontId="29" fillId="0" borderId="14" xfId="35" applyNumberFormat="1" applyFont="1" applyBorder="1"/>
    <xf numFmtId="168" fontId="13" fillId="0" borderId="20" xfId="57" applyNumberFormat="1" applyFont="1" applyFill="1" applyBorder="1"/>
    <xf numFmtId="168" fontId="13" fillId="0" borderId="19" xfId="57" applyNumberFormat="1" applyFont="1" applyFill="1" applyBorder="1"/>
    <xf numFmtId="0" fontId="0" fillId="18" borderId="0" xfId="0" applyFill="1"/>
    <xf numFmtId="0" fontId="10" fillId="18" borderId="0" xfId="0" applyFont="1" applyFill="1" applyBorder="1"/>
    <xf numFmtId="181" fontId="25" fillId="0" borderId="0" xfId="0" applyNumberFormat="1" applyFont="1"/>
    <xf numFmtId="176" fontId="25" fillId="0" borderId="14" xfId="35" applyNumberFormat="1" applyFont="1" applyBorder="1"/>
    <xf numFmtId="1" fontId="6" fillId="18" borderId="27" xfId="50" applyNumberFormat="1" applyFont="1" applyFill="1" applyBorder="1" applyAlignment="1">
      <alignment horizontal="right"/>
    </xf>
    <xf numFmtId="0" fontId="0" fillId="0" borderId="12" xfId="0" applyBorder="1"/>
    <xf numFmtId="167" fontId="12" fillId="0" borderId="21" xfId="0" applyNumberFormat="1" applyFont="1" applyFill="1" applyBorder="1"/>
    <xf numFmtId="167" fontId="12" fillId="0" borderId="13" xfId="0" applyNumberFormat="1" applyFont="1" applyFill="1" applyBorder="1"/>
    <xf numFmtId="167" fontId="12" fillId="0" borderId="22" xfId="0" applyNumberFormat="1" applyFont="1" applyFill="1" applyBorder="1"/>
    <xf numFmtId="167" fontId="12" fillId="0" borderId="0" xfId="0" applyNumberFormat="1" applyFont="1" applyFill="1" applyBorder="1"/>
    <xf numFmtId="180" fontId="21" fillId="0" borderId="22" xfId="35" applyNumberFormat="1" applyFont="1" applyFill="1" applyBorder="1"/>
    <xf numFmtId="172" fontId="11" fillId="0" borderId="0" xfId="0" applyNumberFormat="1" applyFont="1" applyFill="1" applyBorder="1"/>
    <xf numFmtId="0" fontId="0" fillId="0" borderId="20" xfId="0" applyBorder="1"/>
    <xf numFmtId="0" fontId="21" fillId="18" borderId="0" xfId="0" applyFont="1" applyFill="1"/>
    <xf numFmtId="37" fontId="21" fillId="0" borderId="0" xfId="0" applyNumberFormat="1" applyFont="1" applyFill="1" applyAlignment="1">
      <alignment horizontal="centerContinuous"/>
    </xf>
    <xf numFmtId="0" fontId="0" fillId="0" borderId="11" xfId="0" applyBorder="1"/>
    <xf numFmtId="9" fontId="11" fillId="0" borderId="13" xfId="57" applyFont="1" applyFill="1" applyBorder="1" applyAlignment="1"/>
    <xf numFmtId="175" fontId="21" fillId="0" borderId="14" xfId="35" applyNumberFormat="1" applyFont="1" applyFill="1" applyBorder="1"/>
    <xf numFmtId="169" fontId="11" fillId="0" borderId="20" xfId="0" applyNumberFormat="1" applyFont="1" applyFill="1" applyBorder="1"/>
    <xf numFmtId="167" fontId="10" fillId="0" borderId="22" xfId="0" applyNumberFormat="1" applyFont="1" applyFill="1" applyBorder="1"/>
    <xf numFmtId="167" fontId="10" fillId="0" borderId="14" xfId="0" applyNumberFormat="1" applyFont="1" applyFill="1" applyBorder="1"/>
    <xf numFmtId="49" fontId="0" fillId="0" borderId="0" xfId="0" applyNumberFormat="1"/>
    <xf numFmtId="0" fontId="21" fillId="0" borderId="0" xfId="52" applyFont="1"/>
    <xf numFmtId="0" fontId="28" fillId="0" borderId="13" xfId="52" applyFont="1" applyFill="1" applyBorder="1" applyAlignment="1">
      <alignment horizontal="left" indent="1"/>
    </xf>
    <xf numFmtId="0" fontId="21" fillId="0" borderId="13" xfId="52" applyFont="1" applyBorder="1"/>
    <xf numFmtId="0" fontId="20" fillId="0" borderId="13" xfId="52" applyFont="1" applyBorder="1"/>
    <xf numFmtId="0" fontId="15" fillId="0" borderId="21" xfId="0" applyFont="1" applyBorder="1"/>
    <xf numFmtId="0" fontId="13" fillId="0" borderId="13" xfId="0" applyFont="1" applyBorder="1"/>
    <xf numFmtId="0" fontId="45" fillId="0" borderId="0" xfId="52" applyFont="1" applyFill="1"/>
    <xf numFmtId="0" fontId="4" fillId="0" borderId="0" xfId="52" applyFont="1"/>
    <xf numFmtId="0" fontId="4" fillId="0" borderId="0" xfId="52" applyFont="1" applyFill="1" applyBorder="1"/>
    <xf numFmtId="0" fontId="18" fillId="0" borderId="0" xfId="51" applyFont="1" applyFill="1" applyBorder="1" applyAlignment="1">
      <alignment horizontal="left"/>
    </xf>
    <xf numFmtId="0" fontId="15" fillId="0" borderId="0" xfId="51" applyNumberFormat="1" applyFont="1" applyFill="1" applyBorder="1" applyAlignment="1">
      <alignment horizontal="left"/>
    </xf>
    <xf numFmtId="0" fontId="15" fillId="0" borderId="0" xfId="51" applyFont="1" applyFill="1" applyBorder="1" applyAlignment="1">
      <alignment horizontal="left"/>
    </xf>
    <xf numFmtId="165" fontId="13" fillId="0" borderId="20" xfId="50" applyNumberFormat="1" applyFont="1" applyFill="1" applyBorder="1" applyAlignment="1"/>
    <xf numFmtId="165" fontId="13" fillId="0" borderId="0" xfId="50" applyFont="1" applyFill="1" applyBorder="1"/>
    <xf numFmtId="167" fontId="4" fillId="0" borderId="0" xfId="52" applyNumberFormat="1" applyFont="1"/>
    <xf numFmtId="0" fontId="15" fillId="0" borderId="18" xfId="52" applyFont="1" applyBorder="1"/>
    <xf numFmtId="185" fontId="11" fillId="0" borderId="0" xfId="52" applyNumberFormat="1" applyFont="1" applyBorder="1"/>
    <xf numFmtId="0" fontId="4" fillId="0" borderId="12" xfId="52" applyFont="1" applyBorder="1"/>
    <xf numFmtId="0" fontId="28" fillId="0" borderId="13" xfId="52" applyFont="1" applyBorder="1" applyAlignment="1">
      <alignment horizontal="left" indent="1"/>
    </xf>
    <xf numFmtId="168" fontId="13" fillId="0" borderId="0" xfId="57" applyNumberFormat="1" applyFont="1"/>
    <xf numFmtId="168" fontId="14" fillId="18" borderId="11" xfId="57" applyNumberFormat="1" applyFont="1" applyFill="1" applyBorder="1"/>
    <xf numFmtId="168" fontId="14" fillId="0" borderId="0" xfId="57" applyNumberFormat="1" applyFont="1" applyBorder="1"/>
    <xf numFmtId="0" fontId="4" fillId="0" borderId="0" xfId="52" applyFont="1" applyBorder="1"/>
    <xf numFmtId="0" fontId="4" fillId="0" borderId="0" xfId="52" applyFont="1" applyAlignment="1">
      <alignment horizontal="right"/>
    </xf>
    <xf numFmtId="185" fontId="11" fillId="0" borderId="13" xfId="52" applyNumberFormat="1" applyFont="1" applyBorder="1"/>
    <xf numFmtId="167" fontId="10" fillId="0" borderId="0" xfId="52" applyNumberFormat="1" applyFont="1" applyBorder="1"/>
    <xf numFmtId="0" fontId="4" fillId="0" borderId="13" xfId="52" applyFont="1" applyBorder="1"/>
    <xf numFmtId="168" fontId="14" fillId="0" borderId="0" xfId="57" applyNumberFormat="1" applyFont="1"/>
    <xf numFmtId="167" fontId="15" fillId="0" borderId="13" xfId="52" applyNumberFormat="1" applyFont="1" applyBorder="1"/>
    <xf numFmtId="167" fontId="15" fillId="0" borderId="0" xfId="52" applyNumberFormat="1" applyFont="1" applyBorder="1"/>
    <xf numFmtId="0" fontId="20" fillId="0" borderId="18" xfId="52" applyFont="1" applyBorder="1"/>
    <xf numFmtId="0" fontId="4" fillId="0" borderId="20" xfId="52" applyFont="1" applyBorder="1"/>
    <xf numFmtId="167" fontId="15" fillId="0" borderId="20" xfId="52" applyNumberFormat="1" applyFont="1" applyBorder="1"/>
    <xf numFmtId="0" fontId="15" fillId="0" borderId="15" xfId="52" applyFont="1" applyBorder="1"/>
    <xf numFmtId="0" fontId="4" fillId="0" borderId="17" xfId="52" applyFont="1" applyBorder="1"/>
    <xf numFmtId="184" fontId="15" fillId="0" borderId="15" xfId="52" applyNumberFormat="1" applyFont="1" applyBorder="1" applyAlignment="1">
      <alignment horizontal="centerContinuous"/>
    </xf>
    <xf numFmtId="184" fontId="15" fillId="0" borderId="16" xfId="52" applyNumberFormat="1" applyFont="1" applyBorder="1" applyAlignment="1">
      <alignment horizontal="centerContinuous"/>
    </xf>
    <xf numFmtId="184" fontId="15" fillId="0" borderId="17" xfId="52" applyNumberFormat="1" applyFont="1" applyBorder="1" applyAlignment="1">
      <alignment horizontal="centerContinuous"/>
    </xf>
    <xf numFmtId="0" fontId="15" fillId="0" borderId="0" xfId="52" applyFont="1" applyBorder="1"/>
    <xf numFmtId="184" fontId="15" fillId="0" borderId="0" xfId="52" applyNumberFormat="1" applyFont="1" applyBorder="1" applyAlignment="1">
      <alignment horizontal="centerContinuous"/>
    </xf>
    <xf numFmtId="187" fontId="15" fillId="0" borderId="0" xfId="52" applyNumberFormat="1" applyFont="1" applyBorder="1" applyAlignment="1">
      <alignment horizontal="center"/>
    </xf>
    <xf numFmtId="0" fontId="4" fillId="0" borderId="0" xfId="52" applyFont="1" applyFill="1"/>
    <xf numFmtId="10" fontId="15" fillId="0" borderId="0" xfId="57" applyNumberFormat="1" applyFont="1" applyBorder="1" applyAlignment="1">
      <alignment horizontal="center"/>
    </xf>
    <xf numFmtId="188" fontId="15" fillId="0" borderId="0" xfId="52" applyNumberFormat="1" applyFont="1" applyBorder="1" applyAlignment="1">
      <alignment horizontal="center"/>
    </xf>
    <xf numFmtId="0" fontId="5" fillId="0" borderId="0" xfId="52" applyFont="1" applyBorder="1"/>
    <xf numFmtId="0" fontId="10" fillId="0" borderId="0" xfId="52" applyFont="1" applyFill="1" applyBorder="1" applyAlignment="1">
      <alignment horizontal="left" wrapText="1" indent="2"/>
    </xf>
    <xf numFmtId="37" fontId="10" fillId="0" borderId="0" xfId="52" applyNumberFormat="1" applyFont="1" applyFill="1" applyAlignment="1">
      <alignment horizontal="center"/>
    </xf>
    <xf numFmtId="0" fontId="10" fillId="0" borderId="0" xfId="52" quotePrefix="1" applyFont="1" applyFill="1" applyBorder="1"/>
    <xf numFmtId="0" fontId="17" fillId="0" borderId="0" xfId="52" applyFont="1" applyFill="1"/>
    <xf numFmtId="1" fontId="6" fillId="0" borderId="16" xfId="51" applyNumberFormat="1" applyFont="1" applyFill="1" applyBorder="1" applyAlignment="1">
      <alignment horizontal="right"/>
    </xf>
    <xf numFmtId="175" fontId="10" fillId="0" borderId="11" xfId="0" applyNumberFormat="1" applyFont="1" applyFill="1" applyBorder="1"/>
    <xf numFmtId="168" fontId="14" fillId="18" borderId="19" xfId="57" applyNumberFormat="1" applyFont="1" applyFill="1" applyBorder="1"/>
    <xf numFmtId="168" fontId="14" fillId="18" borderId="20" xfId="57" applyNumberFormat="1" applyFont="1" applyFill="1" applyBorder="1"/>
    <xf numFmtId="177" fontId="11" fillId="18" borderId="11" xfId="0" applyNumberFormat="1" applyFont="1" applyFill="1" applyBorder="1"/>
    <xf numFmtId="175" fontId="15" fillId="0" borderId="11" xfId="0" applyNumberFormat="1" applyFont="1" applyFill="1" applyBorder="1"/>
    <xf numFmtId="175" fontId="10" fillId="0" borderId="13" xfId="0" applyNumberFormat="1" applyFont="1" applyFill="1" applyBorder="1"/>
    <xf numFmtId="175" fontId="10" fillId="0" borderId="0" xfId="0" applyNumberFormat="1" applyFont="1" applyFill="1" applyBorder="1"/>
    <xf numFmtId="175" fontId="11" fillId="0" borderId="0" xfId="0" applyNumberFormat="1" applyFont="1" applyFill="1" applyBorder="1"/>
    <xf numFmtId="175" fontId="15" fillId="0" borderId="0" xfId="0" applyNumberFormat="1" applyFont="1" applyFill="1" applyBorder="1"/>
    <xf numFmtId="177" fontId="11" fillId="18" borderId="22" xfId="0" applyNumberFormat="1" applyFont="1" applyFill="1" applyBorder="1"/>
    <xf numFmtId="177" fontId="11" fillId="18" borderId="0" xfId="0" applyNumberFormat="1" applyFont="1" applyFill="1" applyBorder="1"/>
    <xf numFmtId="167" fontId="11" fillId="18" borderId="0" xfId="0" applyNumberFormat="1" applyFont="1" applyFill="1" applyBorder="1" applyAlignment="1"/>
    <xf numFmtId="167" fontId="12" fillId="18" borderId="0" xfId="0" applyNumberFormat="1" applyFont="1" applyFill="1" applyBorder="1" applyAlignment="1"/>
    <xf numFmtId="167" fontId="10" fillId="18" borderId="0" xfId="0" applyNumberFormat="1" applyFont="1" applyFill="1" applyBorder="1" applyAlignment="1"/>
    <xf numFmtId="168" fontId="14" fillId="18" borderId="0" xfId="57" applyNumberFormat="1" applyFont="1" applyFill="1" applyBorder="1"/>
    <xf numFmtId="176" fontId="21" fillId="0" borderId="11" xfId="35" applyNumberFormat="1" applyFont="1" applyBorder="1"/>
    <xf numFmtId="176" fontId="21" fillId="0" borderId="19" xfId="35" applyNumberFormat="1" applyFont="1" applyBorder="1"/>
    <xf numFmtId="0" fontId="20" fillId="0" borderId="26" xfId="0" applyFont="1" applyFill="1" applyBorder="1"/>
    <xf numFmtId="167" fontId="10" fillId="18" borderId="11" xfId="0" applyNumberFormat="1" applyFont="1" applyFill="1" applyBorder="1"/>
    <xf numFmtId="167" fontId="10" fillId="18" borderId="0" xfId="0" applyNumberFormat="1" applyFont="1" applyFill="1" applyBorder="1"/>
    <xf numFmtId="168" fontId="14" fillId="0" borderId="0" xfId="57" applyNumberFormat="1" applyFont="1" applyFill="1" applyBorder="1"/>
    <xf numFmtId="0" fontId="46" fillId="0" borderId="12" xfId="0" applyFont="1" applyBorder="1"/>
    <xf numFmtId="0" fontId="0" fillId="0" borderId="13" xfId="0" applyBorder="1"/>
    <xf numFmtId="0" fontId="15" fillId="0" borderId="13" xfId="52" applyFont="1" applyBorder="1"/>
    <xf numFmtId="0" fontId="0" fillId="0" borderId="0" xfId="0" applyBorder="1"/>
    <xf numFmtId="185" fontId="11" fillId="0" borderId="0" xfId="52" applyNumberFormat="1" applyFont="1"/>
    <xf numFmtId="0" fontId="41" fillId="0" borderId="0" xfId="52" applyFont="1" applyBorder="1"/>
    <xf numFmtId="167" fontId="11" fillId="0" borderId="0" xfId="52" applyNumberFormat="1" applyFont="1" applyBorder="1"/>
    <xf numFmtId="167" fontId="11" fillId="0" borderId="13" xfId="52" applyNumberFormat="1" applyFont="1" applyBorder="1"/>
    <xf numFmtId="0" fontId="41" fillId="0" borderId="0" xfId="52" applyFont="1"/>
    <xf numFmtId="167" fontId="8" fillId="0" borderId="13" xfId="52" applyNumberFormat="1" applyFont="1" applyBorder="1"/>
    <xf numFmtId="167" fontId="8" fillId="0" borderId="0" xfId="52" applyNumberFormat="1" applyFont="1" applyBorder="1"/>
    <xf numFmtId="0" fontId="45" fillId="0" borderId="0" xfId="0" applyFont="1"/>
    <xf numFmtId="0" fontId="4" fillId="0" borderId="12" xfId="0" applyFont="1" applyBorder="1"/>
    <xf numFmtId="167" fontId="0" fillId="0" borderId="0" xfId="0" applyNumberFormat="1"/>
    <xf numFmtId="10" fontId="0" fillId="0" borderId="0" xfId="0" applyNumberFormat="1"/>
    <xf numFmtId="2" fontId="0" fillId="0" borderId="0" xfId="0" applyNumberFormat="1"/>
    <xf numFmtId="0" fontId="5" fillId="0" borderId="0" xfId="0" applyFont="1" applyAlignment="1">
      <alignment horizontal="center"/>
    </xf>
    <xf numFmtId="175" fontId="20" fillId="0" borderId="19" xfId="0" applyNumberFormat="1" applyFont="1" applyFill="1" applyBorder="1"/>
    <xf numFmtId="185" fontId="4" fillId="0" borderId="0" xfId="52" applyNumberFormat="1" applyFont="1"/>
    <xf numFmtId="43" fontId="4" fillId="0" borderId="0" xfId="52" applyNumberFormat="1" applyFont="1"/>
    <xf numFmtId="168" fontId="4" fillId="0" borderId="0" xfId="52" applyNumberFormat="1" applyFont="1"/>
    <xf numFmtId="166" fontId="11" fillId="0" borderId="21" xfId="0" applyNumberFormat="1" applyFont="1" applyFill="1" applyBorder="1" applyAlignment="1"/>
    <xf numFmtId="177" fontId="10" fillId="0" borderId="22" xfId="0" applyNumberFormat="1" applyFont="1" applyFill="1" applyBorder="1"/>
    <xf numFmtId="166" fontId="22" fillId="17" borderId="0" xfId="49" applyNumberFormat="1" applyFont="1" applyFill="1" applyBorder="1"/>
    <xf numFmtId="37" fontId="10" fillId="0" borderId="0" xfId="0" applyNumberFormat="1" applyFont="1" applyFill="1" applyBorder="1" applyAlignment="1">
      <alignment horizontal="centerContinuous"/>
    </xf>
    <xf numFmtId="169" fontId="0" fillId="0" borderId="0" xfId="0" applyNumberFormat="1"/>
    <xf numFmtId="0" fontId="20" fillId="0" borderId="11" xfId="0" applyFont="1" applyFill="1" applyBorder="1"/>
    <xf numFmtId="0" fontId="20" fillId="0" borderId="11" xfId="0" applyFont="1" applyFill="1" applyBorder="1" applyAlignment="1">
      <alignment horizontal="left"/>
    </xf>
    <xf numFmtId="194" fontId="25" fillId="0" borderId="0" xfId="0" applyNumberFormat="1" applyFont="1" applyFill="1" applyBorder="1"/>
    <xf numFmtId="0" fontId="10" fillId="0" borderId="0" xfId="52" applyFont="1" applyBorder="1"/>
    <xf numFmtId="9" fontId="0" fillId="0" borderId="0" xfId="0" applyNumberFormat="1"/>
    <xf numFmtId="0" fontId="0" fillId="0" borderId="22" xfId="0" applyBorder="1"/>
    <xf numFmtId="0" fontId="33" fillId="0" borderId="0" xfId="0" applyFont="1"/>
    <xf numFmtId="1" fontId="33" fillId="0" borderId="0" xfId="0" applyNumberFormat="1" applyFont="1"/>
    <xf numFmtId="183" fontId="4" fillId="0" borderId="0" xfId="35" applyNumberFormat="1" applyFont="1"/>
    <xf numFmtId="43" fontId="0" fillId="0" borderId="0" xfId="0" applyNumberFormat="1"/>
    <xf numFmtId="44" fontId="0" fillId="0" borderId="0" xfId="0" applyNumberFormat="1"/>
    <xf numFmtId="0" fontId="33" fillId="0" borderId="0" xfId="52" applyFont="1" applyBorder="1"/>
    <xf numFmtId="2" fontId="4" fillId="0" borderId="0" xfId="52" applyNumberFormat="1" applyFont="1"/>
    <xf numFmtId="174" fontId="4" fillId="0" borderId="0" xfId="52" applyNumberFormat="1" applyFont="1"/>
    <xf numFmtId="191" fontId="0" fillId="0" borderId="0" xfId="0" applyNumberFormat="1"/>
    <xf numFmtId="168" fontId="13" fillId="0" borderId="18" xfId="57" applyNumberFormat="1" applyFont="1" applyFill="1" applyBorder="1"/>
    <xf numFmtId="174" fontId="11" fillId="0" borderId="0" xfId="0" applyNumberFormat="1" applyFont="1" applyFill="1" applyBorder="1"/>
    <xf numFmtId="9" fontId="13" fillId="0" borderId="0" xfId="57" applyFont="1" applyBorder="1" applyAlignment="1">
      <alignment horizontal="right"/>
    </xf>
    <xf numFmtId="168" fontId="14" fillId="0" borderId="0" xfId="57" applyNumberFormat="1" applyFont="1" applyBorder="1" applyAlignment="1">
      <alignment horizontal="right"/>
    </xf>
    <xf numFmtId="168" fontId="13" fillId="0" borderId="0" xfId="57" applyNumberFormat="1" applyFont="1" applyFill="1"/>
    <xf numFmtId="0" fontId="41" fillId="0" borderId="0" xfId="52" applyFont="1" applyFill="1" applyBorder="1"/>
    <xf numFmtId="167" fontId="10" fillId="0" borderId="0" xfId="52" applyNumberFormat="1" applyFont="1" applyFill="1" applyBorder="1"/>
    <xf numFmtId="167" fontId="15" fillId="0" borderId="0" xfId="52" applyNumberFormat="1" applyFont="1" applyFill="1" applyBorder="1"/>
    <xf numFmtId="168" fontId="14" fillId="0" borderId="11" xfId="57" applyNumberFormat="1" applyFont="1" applyFill="1" applyBorder="1"/>
    <xf numFmtId="197" fontId="19" fillId="0" borderId="16" xfId="35" applyNumberFormat="1" applyFont="1" applyFill="1" applyBorder="1"/>
    <xf numFmtId="41" fontId="20" fillId="0" borderId="13" xfId="0" applyNumberFormat="1" applyFont="1" applyFill="1" applyBorder="1"/>
    <xf numFmtId="167" fontId="11" fillId="0" borderId="0" xfId="52" applyNumberFormat="1" applyFont="1" applyFill="1" applyBorder="1"/>
    <xf numFmtId="9" fontId="11" fillId="0" borderId="13" xfId="57" applyFont="1" applyFill="1" applyBorder="1"/>
    <xf numFmtId="1" fontId="6" fillId="0" borderId="14" xfId="51" applyNumberFormat="1" applyFont="1" applyFill="1" applyBorder="1" applyAlignment="1">
      <alignment horizontal="right"/>
    </xf>
    <xf numFmtId="168" fontId="13" fillId="0" borderId="0" xfId="57" applyNumberFormat="1" applyFont="1" applyBorder="1"/>
    <xf numFmtId="166" fontId="11" fillId="0" borderId="22" xfId="0" applyNumberFormat="1" applyFont="1" applyFill="1" applyBorder="1" applyAlignment="1"/>
    <xf numFmtId="0" fontId="10" fillId="18" borderId="0" xfId="0" applyFont="1" applyFill="1"/>
    <xf numFmtId="44" fontId="14" fillId="0" borderId="0" xfId="36" applyFont="1" applyFill="1" applyBorder="1" applyAlignment="1"/>
    <xf numFmtId="167" fontId="22" fillId="17" borderId="22" xfId="49" applyNumberFormat="1" applyFont="1" applyFill="1" applyBorder="1"/>
    <xf numFmtId="176" fontId="29" fillId="0" borderId="22" xfId="35" applyNumberFormat="1" applyFont="1" applyBorder="1"/>
    <xf numFmtId="175" fontId="21" fillId="0" borderId="22" xfId="0" applyNumberFormat="1" applyFont="1" applyBorder="1"/>
    <xf numFmtId="0" fontId="6" fillId="22" borderId="15" xfId="51" applyFont="1" applyFill="1" applyBorder="1" applyAlignment="1">
      <alignment horizontal="right"/>
    </xf>
    <xf numFmtId="0" fontId="6" fillId="22" borderId="16" xfId="51" applyFont="1" applyFill="1" applyBorder="1" applyAlignment="1">
      <alignment horizontal="right"/>
    </xf>
    <xf numFmtId="0" fontId="6" fillId="22" borderId="17" xfId="51" applyFont="1" applyFill="1" applyBorder="1" applyAlignment="1">
      <alignment horizontal="right"/>
    </xf>
    <xf numFmtId="164" fontId="6" fillId="22" borderId="15" xfId="51" applyNumberFormat="1" applyFont="1" applyFill="1" applyBorder="1" applyAlignment="1">
      <alignment horizontal="right"/>
    </xf>
    <xf numFmtId="164" fontId="6" fillId="22" borderId="16" xfId="51" applyNumberFormat="1" applyFont="1" applyFill="1" applyBorder="1" applyAlignment="1">
      <alignment horizontal="right"/>
    </xf>
    <xf numFmtId="164" fontId="6" fillId="22" borderId="17" xfId="51" applyNumberFormat="1" applyFont="1" applyFill="1" applyBorder="1" applyAlignment="1">
      <alignment horizontal="right"/>
    </xf>
    <xf numFmtId="1" fontId="6" fillId="22" borderId="15" xfId="50" applyNumberFormat="1" applyFont="1" applyFill="1" applyBorder="1" applyAlignment="1">
      <alignment horizontal="right"/>
    </xf>
    <xf numFmtId="1" fontId="6" fillId="22" borderId="16" xfId="50" applyNumberFormat="1" applyFont="1" applyFill="1" applyBorder="1" applyAlignment="1">
      <alignment horizontal="right"/>
    </xf>
    <xf numFmtId="1" fontId="6" fillId="22" borderId="17" xfId="50" applyNumberFormat="1" applyFont="1" applyFill="1" applyBorder="1" applyAlignment="1">
      <alignment horizontal="right"/>
    </xf>
    <xf numFmtId="176" fontId="0" fillId="0" borderId="12" xfId="0" applyNumberFormat="1" applyBorder="1"/>
    <xf numFmtId="168" fontId="0" fillId="0" borderId="0" xfId="0" applyNumberFormat="1"/>
    <xf numFmtId="43" fontId="22" fillId="17" borderId="0" xfId="49" applyNumberFormat="1" applyFont="1" applyFill="1" applyBorder="1"/>
    <xf numFmtId="167" fontId="33" fillId="0" borderId="0" xfId="0" applyNumberFormat="1" applyFont="1"/>
    <xf numFmtId="185" fontId="10" fillId="0" borderId="0" xfId="52" applyNumberFormat="1" applyFont="1" applyBorder="1"/>
    <xf numFmtId="43" fontId="22" fillId="17" borderId="11" xfId="49" applyNumberFormat="1" applyFont="1" applyFill="1" applyBorder="1"/>
    <xf numFmtId="179" fontId="25" fillId="0" borderId="13" xfId="0" applyNumberFormat="1" applyFont="1" applyFill="1" applyBorder="1"/>
    <xf numFmtId="179" fontId="25" fillId="0" borderId="0" xfId="0" applyNumberFormat="1" applyFont="1" applyFill="1" applyBorder="1"/>
    <xf numFmtId="179" fontId="25" fillId="0" borderId="11" xfId="0" applyNumberFormat="1" applyFont="1" applyFill="1" applyBorder="1"/>
    <xf numFmtId="194" fontId="25" fillId="0" borderId="13" xfId="0" applyNumberFormat="1" applyFont="1" applyFill="1" applyBorder="1"/>
    <xf numFmtId="175" fontId="12" fillId="0" borderId="11" xfId="0" applyNumberFormat="1" applyFont="1" applyFill="1" applyBorder="1"/>
    <xf numFmtId="167" fontId="12" fillId="0" borderId="11" xfId="0" applyNumberFormat="1" applyFont="1" applyFill="1" applyBorder="1" applyAlignment="1"/>
    <xf numFmtId="179" fontId="12" fillId="0" borderId="11" xfId="0" applyNumberFormat="1" applyFont="1" applyFill="1" applyBorder="1"/>
    <xf numFmtId="194" fontId="12" fillId="0" borderId="11" xfId="0" applyNumberFormat="1" applyFont="1" applyFill="1" applyBorder="1"/>
    <xf numFmtId="174" fontId="11" fillId="0" borderId="13" xfId="0" applyNumberFormat="1" applyFont="1" applyFill="1" applyBorder="1"/>
    <xf numFmtId="174" fontId="10" fillId="0" borderId="0" xfId="0" applyNumberFormat="1" applyFont="1" applyFill="1" applyBorder="1" applyAlignment="1"/>
    <xf numFmtId="10" fontId="0" fillId="0" borderId="0" xfId="57" applyNumberFormat="1" applyFont="1"/>
    <xf numFmtId="166" fontId="21" fillId="0" borderId="13" xfId="0" applyNumberFormat="1" applyFont="1" applyBorder="1"/>
    <xf numFmtId="166" fontId="21" fillId="0" borderId="0" xfId="0" applyNumberFormat="1" applyFont="1" applyBorder="1"/>
    <xf numFmtId="169" fontId="21" fillId="0" borderId="13" xfId="0" applyNumberFormat="1" applyFont="1" applyBorder="1"/>
    <xf numFmtId="169" fontId="21" fillId="0" borderId="0" xfId="0" applyNumberFormat="1" applyFont="1" applyFill="1" applyBorder="1"/>
    <xf numFmtId="167" fontId="21" fillId="0" borderId="0" xfId="0" applyNumberFormat="1" applyFont="1" applyFill="1" applyBorder="1" applyAlignment="1"/>
    <xf numFmtId="167" fontId="25" fillId="0" borderId="0" xfId="0" applyNumberFormat="1" applyFont="1" applyFill="1" applyBorder="1" applyAlignment="1"/>
    <xf numFmtId="0" fontId="46" fillId="0" borderId="0" xfId="0" applyFont="1" applyFill="1" applyBorder="1"/>
    <xf numFmtId="175" fontId="21" fillId="0" borderId="0" xfId="0" applyNumberFormat="1" applyFont="1" applyBorder="1"/>
    <xf numFmtId="176" fontId="29" fillId="0" borderId="0" xfId="35" applyNumberFormat="1" applyFont="1" applyFill="1" applyBorder="1"/>
    <xf numFmtId="0" fontId="0" fillId="0" borderId="20" xfId="0" applyFill="1" applyBorder="1"/>
    <xf numFmtId="176" fontId="15" fillId="0" borderId="16" xfId="35" applyNumberFormat="1" applyFont="1" applyFill="1" applyBorder="1"/>
    <xf numFmtId="176" fontId="29" fillId="0" borderId="22" xfId="35" applyNumberFormat="1" applyFont="1" applyFill="1" applyBorder="1"/>
    <xf numFmtId="175" fontId="21" fillId="0" borderId="22" xfId="0" applyNumberFormat="1" applyFont="1" applyFill="1" applyBorder="1"/>
    <xf numFmtId="175" fontId="21" fillId="0" borderId="20" xfId="0" applyNumberFormat="1" applyFont="1" applyFill="1" applyBorder="1"/>
    <xf numFmtId="167" fontId="21" fillId="0" borderId="0" xfId="52" applyNumberFormat="1" applyFont="1" applyFill="1" applyBorder="1"/>
    <xf numFmtId="167" fontId="15" fillId="0" borderId="20" xfId="52" applyNumberFormat="1" applyFont="1" applyFill="1" applyBorder="1"/>
    <xf numFmtId="184" fontId="15" fillId="0" borderId="16" xfId="52" applyNumberFormat="1" applyFont="1" applyFill="1" applyBorder="1" applyAlignment="1">
      <alignment horizontal="center"/>
    </xf>
    <xf numFmtId="180" fontId="19" fillId="0" borderId="17" xfId="35" applyNumberFormat="1" applyFont="1" applyFill="1" applyBorder="1"/>
    <xf numFmtId="174" fontId="10" fillId="0" borderId="11" xfId="0" applyNumberFormat="1" applyFont="1" applyFill="1" applyBorder="1" applyAlignment="1"/>
    <xf numFmtId="175" fontId="0" fillId="0" borderId="0" xfId="0" applyNumberFormat="1"/>
    <xf numFmtId="176" fontId="29" fillId="0" borderId="11" xfId="35" applyNumberFormat="1" applyFont="1" applyFill="1" applyBorder="1"/>
    <xf numFmtId="170" fontId="0" fillId="0" borderId="0" xfId="57" applyNumberFormat="1" applyFont="1"/>
    <xf numFmtId="43" fontId="15" fillId="0" borderId="0" xfId="35" applyFont="1" applyBorder="1" applyAlignment="1">
      <alignment horizontal="left"/>
    </xf>
    <xf numFmtId="43" fontId="0" fillId="0" borderId="0" xfId="35" applyFont="1"/>
    <xf numFmtId="168" fontId="13" fillId="0" borderId="13" xfId="57" applyNumberFormat="1" applyFont="1" applyFill="1" applyBorder="1"/>
    <xf numFmtId="1" fontId="6" fillId="0" borderId="21" xfId="51" applyNumberFormat="1" applyFont="1" applyFill="1" applyBorder="1" applyAlignment="1">
      <alignment horizontal="right"/>
    </xf>
    <xf numFmtId="1" fontId="6" fillId="0" borderId="22" xfId="51" applyNumberFormat="1" applyFont="1" applyFill="1" applyBorder="1" applyAlignment="1">
      <alignment horizontal="right"/>
    </xf>
    <xf numFmtId="174" fontId="22" fillId="17" borderId="0" xfId="49" applyNumberFormat="1" applyFont="1" applyFill="1"/>
    <xf numFmtId="44" fontId="4" fillId="0" borderId="0" xfId="0" applyNumberFormat="1" applyFont="1"/>
    <xf numFmtId="43" fontId="22" fillId="17" borderId="0" xfId="49" applyNumberFormat="1" applyFont="1" applyFill="1"/>
    <xf numFmtId="198" fontId="47" fillId="0" borderId="0" xfId="0" applyNumberFormat="1" applyFont="1"/>
    <xf numFmtId="184" fontId="15" fillId="0" borderId="0" xfId="52" applyNumberFormat="1" applyFont="1" applyBorder="1" applyAlignment="1">
      <alignment horizontal="left"/>
    </xf>
    <xf numFmtId="43" fontId="10" fillId="0" borderId="0" xfId="0" applyNumberFormat="1" applyFont="1" applyFill="1" applyBorder="1"/>
    <xf numFmtId="174" fontId="15" fillId="0" borderId="11" xfId="0" applyNumberFormat="1" applyFont="1" applyFill="1" applyBorder="1" applyAlignment="1"/>
    <xf numFmtId="181" fontId="19" fillId="0" borderId="16" xfId="35" applyNumberFormat="1" applyFont="1" applyFill="1" applyBorder="1"/>
    <xf numFmtId="176" fontId="11" fillId="0" borderId="11" xfId="35" applyNumberFormat="1" applyFont="1" applyBorder="1"/>
    <xf numFmtId="173" fontId="0" fillId="0" borderId="0" xfId="0" applyNumberFormat="1"/>
    <xf numFmtId="174" fontId="11" fillId="0" borderId="11" xfId="0" applyNumberFormat="1" applyFont="1" applyFill="1" applyBorder="1"/>
    <xf numFmtId="167" fontId="12" fillId="0" borderId="11" xfId="0" applyNumberFormat="1" applyFont="1" applyFill="1" applyBorder="1"/>
    <xf numFmtId="168" fontId="14" fillId="0" borderId="13" xfId="57" applyNumberFormat="1" applyFont="1" applyFill="1" applyBorder="1" applyAlignment="1"/>
    <xf numFmtId="168" fontId="14" fillId="0" borderId="0" xfId="57" applyNumberFormat="1" applyFont="1" applyFill="1" applyBorder="1" applyAlignment="1"/>
    <xf numFmtId="168" fontId="11" fillId="0" borderId="13" xfId="57" applyNumberFormat="1" applyFont="1" applyFill="1" applyBorder="1"/>
    <xf numFmtId="168" fontId="11" fillId="0" borderId="0" xfId="57" applyNumberFormat="1" applyFont="1" applyFill="1" applyBorder="1"/>
    <xf numFmtId="168" fontId="13" fillId="0" borderId="0" xfId="57" applyNumberFormat="1" applyFont="1" applyFill="1" applyBorder="1"/>
    <xf numFmtId="199" fontId="0" fillId="0" borderId="0" xfId="0" applyNumberFormat="1"/>
    <xf numFmtId="168" fontId="0" fillId="0" borderId="0" xfId="57" applyNumberFormat="1" applyFont="1"/>
    <xf numFmtId="0" fontId="6" fillId="24" borderId="16" xfId="51" applyFont="1" applyFill="1" applyBorder="1" applyAlignment="1">
      <alignment horizontal="right"/>
    </xf>
    <xf numFmtId="0" fontId="6" fillId="24" borderId="17" xfId="51" applyFont="1" applyFill="1" applyBorder="1" applyAlignment="1">
      <alignment horizontal="right"/>
    </xf>
    <xf numFmtId="164" fontId="6" fillId="24" borderId="15" xfId="51" applyNumberFormat="1" applyFont="1" applyFill="1" applyBorder="1" applyAlignment="1">
      <alignment horizontal="right"/>
    </xf>
    <xf numFmtId="164" fontId="6" fillId="24" borderId="16" xfId="51" applyNumberFormat="1" applyFont="1" applyFill="1" applyBorder="1" applyAlignment="1">
      <alignment horizontal="right"/>
    </xf>
    <xf numFmtId="164" fontId="6" fillId="24" borderId="17" xfId="51" applyNumberFormat="1" applyFont="1" applyFill="1" applyBorder="1" applyAlignment="1">
      <alignment horizontal="right"/>
    </xf>
    <xf numFmtId="1" fontId="6" fillId="24" borderId="15" xfId="50" applyNumberFormat="1" applyFont="1" applyFill="1" applyBorder="1" applyAlignment="1">
      <alignment horizontal="right"/>
    </xf>
    <xf numFmtId="1" fontId="6" fillId="24" borderId="16" xfId="50" applyNumberFormat="1" applyFont="1" applyFill="1" applyBorder="1" applyAlignment="1">
      <alignment horizontal="right"/>
    </xf>
    <xf numFmtId="1" fontId="6" fillId="24" borderId="17" xfId="50" applyNumberFormat="1" applyFont="1" applyFill="1" applyBorder="1" applyAlignment="1">
      <alignment horizontal="right"/>
    </xf>
    <xf numFmtId="171" fontId="11" fillId="0" borderId="0" xfId="0" applyNumberFormat="1" applyFont="1" applyFill="1" applyBorder="1"/>
    <xf numFmtId="169" fontId="11" fillId="0" borderId="0" xfId="57" applyNumberFormat="1" applyFont="1" applyFill="1" applyBorder="1" applyAlignment="1"/>
    <xf numFmtId="167" fontId="12" fillId="0" borderId="14" xfId="0" applyNumberFormat="1" applyFont="1" applyFill="1" applyBorder="1"/>
    <xf numFmtId="1" fontId="6" fillId="22" borderId="11" xfId="50" applyNumberFormat="1" applyFont="1" applyFill="1" applyBorder="1" applyAlignment="1">
      <alignment horizontal="right"/>
    </xf>
    <xf numFmtId="1" fontId="6" fillId="22" borderId="13" xfId="50" applyNumberFormat="1" applyFont="1" applyFill="1" applyBorder="1" applyAlignment="1">
      <alignment horizontal="right"/>
    </xf>
    <xf numFmtId="1" fontId="6" fillId="22" borderId="0" xfId="50" applyNumberFormat="1" applyFont="1" applyFill="1" applyBorder="1" applyAlignment="1">
      <alignment horizontal="right"/>
    </xf>
    <xf numFmtId="0" fontId="11" fillId="0" borderId="13" xfId="0" applyFont="1" applyFill="1" applyBorder="1"/>
    <xf numFmtId="175" fontId="27" fillId="0" borderId="37" xfId="0" applyNumberFormat="1" applyFont="1" applyFill="1" applyBorder="1"/>
    <xf numFmtId="180" fontId="25" fillId="0" borderId="0" xfId="0" applyNumberFormat="1" applyFont="1" applyBorder="1"/>
    <xf numFmtId="0" fontId="25" fillId="0" borderId="0" xfId="0" applyFont="1" applyBorder="1"/>
    <xf numFmtId="176" fontId="21" fillId="0" borderId="20" xfId="35" applyNumberFormat="1" applyFont="1" applyBorder="1"/>
    <xf numFmtId="175" fontId="21" fillId="0" borderId="22" xfId="35" applyNumberFormat="1" applyFont="1" applyFill="1" applyBorder="1"/>
    <xf numFmtId="192" fontId="0" fillId="0" borderId="0" xfId="36" applyNumberFormat="1" applyFont="1"/>
    <xf numFmtId="167" fontId="10" fillId="0" borderId="13" xfId="52" applyNumberFormat="1" applyFont="1" applyFill="1" applyBorder="1"/>
    <xf numFmtId="43" fontId="0" fillId="0" borderId="0" xfId="35" applyNumberFormat="1" applyFont="1"/>
    <xf numFmtId="168" fontId="13" fillId="0" borderId="0" xfId="57" applyNumberFormat="1" applyFont="1" applyFill="1" applyBorder="1" applyAlignment="1"/>
    <xf numFmtId="168" fontId="14" fillId="0" borderId="0" xfId="57" applyNumberFormat="1" applyFont="1" applyFill="1" applyBorder="1" applyAlignment="1"/>
    <xf numFmtId="168" fontId="13" fillId="0" borderId="0" xfId="57" applyNumberFormat="1" applyFont="1" applyFill="1" applyBorder="1"/>
    <xf numFmtId="167" fontId="10" fillId="0" borderId="0" xfId="52" applyNumberFormat="1" applyFont="1" applyBorder="1"/>
    <xf numFmtId="168" fontId="13" fillId="0" borderId="13" xfId="57" applyNumberFormat="1" applyFont="1" applyBorder="1"/>
    <xf numFmtId="168" fontId="14" fillId="0" borderId="13" xfId="57" applyNumberFormat="1" applyFont="1" applyBorder="1"/>
    <xf numFmtId="168" fontId="14" fillId="0" borderId="0" xfId="57" applyNumberFormat="1" applyFont="1" applyBorder="1"/>
    <xf numFmtId="167" fontId="10" fillId="0" borderId="13" xfId="52" applyNumberFormat="1" applyFont="1" applyBorder="1"/>
    <xf numFmtId="167" fontId="15" fillId="0" borderId="13" xfId="52" applyNumberFormat="1" applyFont="1" applyBorder="1"/>
    <xf numFmtId="167" fontId="15" fillId="0" borderId="0" xfId="52" applyNumberFormat="1" applyFont="1" applyBorder="1"/>
    <xf numFmtId="167" fontId="15" fillId="0" borderId="11" xfId="52" applyNumberFormat="1" applyFont="1" applyBorder="1"/>
    <xf numFmtId="167" fontId="15" fillId="0" borderId="18" xfId="52" applyNumberFormat="1" applyFont="1" applyBorder="1"/>
    <xf numFmtId="167" fontId="15" fillId="0" borderId="20" xfId="52" applyNumberFormat="1" applyFont="1" applyBorder="1"/>
    <xf numFmtId="167" fontId="15" fillId="0" borderId="19" xfId="52" applyNumberFormat="1" applyFont="1" applyBorder="1"/>
    <xf numFmtId="168" fontId="14" fillId="0" borderId="0" xfId="57" applyNumberFormat="1" applyFont="1" applyFill="1" applyBorder="1"/>
    <xf numFmtId="0" fontId="41" fillId="0" borderId="0" xfId="52" applyFont="1" applyBorder="1"/>
    <xf numFmtId="0" fontId="41" fillId="0" borderId="13" xfId="52" applyFont="1" applyBorder="1"/>
    <xf numFmtId="168" fontId="13" fillId="0" borderId="0" xfId="57" applyNumberFormat="1" applyFont="1" applyBorder="1"/>
    <xf numFmtId="185" fontId="10" fillId="0" borderId="13" xfId="52" applyNumberFormat="1" applyFont="1" applyBorder="1"/>
    <xf numFmtId="0" fontId="6" fillId="22" borderId="15" xfId="51" applyFont="1" applyFill="1" applyBorder="1" applyAlignment="1">
      <alignment horizontal="right"/>
    </xf>
    <xf numFmtId="0" fontId="6" fillId="22" borderId="16" xfId="51" applyFont="1" applyFill="1" applyBorder="1" applyAlignment="1">
      <alignment horizontal="right"/>
    </xf>
    <xf numFmtId="0" fontId="6" fillId="22" borderId="17" xfId="51" applyFont="1" applyFill="1" applyBorder="1" applyAlignment="1">
      <alignment horizontal="right"/>
    </xf>
    <xf numFmtId="164" fontId="6" fillId="22" borderId="15" xfId="51" applyNumberFormat="1" applyFont="1" applyFill="1" applyBorder="1" applyAlignment="1">
      <alignment horizontal="right"/>
    </xf>
    <xf numFmtId="164" fontId="6" fillId="22" borderId="16" xfId="51" applyNumberFormat="1" applyFont="1" applyFill="1" applyBorder="1" applyAlignment="1">
      <alignment horizontal="right"/>
    </xf>
    <xf numFmtId="164" fontId="6" fillId="22" borderId="17" xfId="51" applyNumberFormat="1" applyFont="1" applyFill="1" applyBorder="1" applyAlignment="1">
      <alignment horizontal="right"/>
    </xf>
    <xf numFmtId="168" fontId="14" fillId="0" borderId="13" xfId="57" applyNumberFormat="1" applyFont="1" applyFill="1" applyBorder="1"/>
    <xf numFmtId="185" fontId="10" fillId="0" borderId="0" xfId="52" applyNumberFormat="1" applyFont="1" applyBorder="1"/>
    <xf numFmtId="44" fontId="0" fillId="0" borderId="0" xfId="36" applyFont="1"/>
    <xf numFmtId="167" fontId="10" fillId="0" borderId="22" xfId="0" applyNumberFormat="1" applyFont="1" applyFill="1" applyBorder="1" applyAlignment="1"/>
    <xf numFmtId="174" fontId="13" fillId="0" borderId="13" xfId="0" applyNumberFormat="1" applyFont="1" applyFill="1" applyBorder="1"/>
    <xf numFmtId="169" fontId="10" fillId="0" borderId="13" xfId="0" applyNumberFormat="1" applyFont="1" applyFill="1" applyBorder="1"/>
    <xf numFmtId="169" fontId="10" fillId="0" borderId="18" xfId="0" applyNumberFormat="1" applyFont="1" applyFill="1" applyBorder="1"/>
    <xf numFmtId="178" fontId="10" fillId="0" borderId="18" xfId="0" applyNumberFormat="1" applyFont="1" applyFill="1" applyBorder="1"/>
    <xf numFmtId="168" fontId="11" fillId="18" borderId="13" xfId="57" applyNumberFormat="1" applyFont="1" applyFill="1" applyBorder="1"/>
    <xf numFmtId="177" fontId="11" fillId="18" borderId="13" xfId="0" applyNumberFormat="1" applyFont="1" applyFill="1" applyBorder="1"/>
    <xf numFmtId="177" fontId="10" fillId="0" borderId="13" xfId="0" applyNumberFormat="1" applyFont="1" applyFill="1" applyBorder="1"/>
    <xf numFmtId="177" fontId="11" fillId="18" borderId="21" xfId="0" applyNumberFormat="1" applyFont="1" applyFill="1" applyBorder="1"/>
    <xf numFmtId="178" fontId="10" fillId="0" borderId="13" xfId="0" applyNumberFormat="1" applyFont="1" applyFill="1" applyBorder="1"/>
    <xf numFmtId="173" fontId="15" fillId="0" borderId="0" xfId="67" applyNumberFormat="1" applyFont="1" applyFill="1" applyBorder="1"/>
    <xf numFmtId="168" fontId="11" fillId="0" borderId="13" xfId="57" applyNumberFormat="1" applyFont="1" applyFill="1" applyBorder="1"/>
    <xf numFmtId="168" fontId="11" fillId="0" borderId="0" xfId="57" applyNumberFormat="1" applyFont="1" applyFill="1" applyBorder="1"/>
    <xf numFmtId="168" fontId="11" fillId="0" borderId="11" xfId="57" applyNumberFormat="1" applyFont="1" applyFill="1" applyBorder="1"/>
    <xf numFmtId="168" fontId="11" fillId="18" borderId="11" xfId="57" applyNumberFormat="1" applyFont="1" applyFill="1" applyBorder="1"/>
    <xf numFmtId="168" fontId="11" fillId="18" borderId="0" xfId="57" applyNumberFormat="1" applyFont="1" applyFill="1" applyBorder="1"/>
    <xf numFmtId="1" fontId="6" fillId="22" borderId="15" xfId="50" applyNumberFormat="1" applyFont="1" applyFill="1" applyBorder="1" applyAlignment="1">
      <alignment horizontal="right"/>
    </xf>
    <xf numFmtId="1" fontId="6" fillId="22" borderId="16" xfId="50" applyNumberFormat="1" applyFont="1" applyFill="1" applyBorder="1" applyAlignment="1">
      <alignment horizontal="right"/>
    </xf>
    <xf numFmtId="1" fontId="6" fillId="22" borderId="17" xfId="50" applyNumberFormat="1" applyFont="1" applyFill="1" applyBorder="1" applyAlignment="1">
      <alignment horizontal="right"/>
    </xf>
    <xf numFmtId="173" fontId="10" fillId="0" borderId="0" xfId="67" applyNumberFormat="1" applyFont="1" applyFill="1" applyBorder="1"/>
    <xf numFmtId="44" fontId="0" fillId="0" borderId="0" xfId="0" applyNumberFormat="1" applyBorder="1"/>
    <xf numFmtId="0" fontId="6" fillId="25" borderId="15" xfId="51" applyFont="1" applyFill="1" applyBorder="1" applyAlignment="1">
      <alignment horizontal="right"/>
    </xf>
    <xf numFmtId="0" fontId="6" fillId="25" borderId="16" xfId="51" applyFont="1" applyFill="1" applyBorder="1" applyAlignment="1">
      <alignment horizontal="right"/>
    </xf>
    <xf numFmtId="164" fontId="6" fillId="25" borderId="15" xfId="51" applyNumberFormat="1" applyFont="1" applyFill="1" applyBorder="1" applyAlignment="1">
      <alignment horizontal="right"/>
    </xf>
    <xf numFmtId="164" fontId="6" fillId="25" borderId="16" xfId="51" applyNumberFormat="1" applyFont="1" applyFill="1" applyBorder="1" applyAlignment="1">
      <alignment horizontal="right"/>
    </xf>
    <xf numFmtId="169" fontId="21" fillId="0" borderId="0" xfId="0" applyNumberFormat="1" applyFont="1" applyBorder="1"/>
    <xf numFmtId="0" fontId="46" fillId="0" borderId="0" xfId="0" applyFont="1" applyBorder="1"/>
    <xf numFmtId="0" fontId="10" fillId="0" borderId="0" xfId="0" applyFont="1"/>
    <xf numFmtId="41" fontId="20" fillId="0" borderId="26" xfId="0" applyNumberFormat="1" applyFont="1" applyFill="1" applyBorder="1"/>
    <xf numFmtId="1" fontId="6" fillId="22" borderId="22" xfId="51" applyNumberFormat="1" applyFont="1" applyFill="1" applyBorder="1" applyAlignment="1">
      <alignment horizontal="right"/>
    </xf>
    <xf numFmtId="1" fontId="6" fillId="25" borderId="22" xfId="51" applyNumberFormat="1" applyFont="1" applyFill="1" applyBorder="1" applyAlignment="1">
      <alignment horizontal="right"/>
    </xf>
    <xf numFmtId="1" fontId="6" fillId="25" borderId="21" xfId="51" applyNumberFormat="1" applyFont="1" applyFill="1" applyBorder="1" applyAlignment="1">
      <alignment horizontal="right"/>
    </xf>
    <xf numFmtId="1" fontId="6" fillId="22" borderId="14" xfId="51" applyNumberFormat="1" applyFont="1" applyFill="1" applyBorder="1" applyAlignment="1">
      <alignment horizontal="right"/>
    </xf>
    <xf numFmtId="194" fontId="25" fillId="0" borderId="11" xfId="0" applyNumberFormat="1" applyFont="1" applyFill="1" applyBorder="1"/>
    <xf numFmtId="43" fontId="25" fillId="0" borderId="0" xfId="0" applyNumberFormat="1" applyFont="1"/>
    <xf numFmtId="176" fontId="29" fillId="0" borderId="13" xfId="35" applyNumberFormat="1" applyFont="1" applyBorder="1"/>
    <xf numFmtId="176" fontId="89" fillId="0" borderId="0" xfId="35" applyNumberFormat="1" applyFont="1" applyBorder="1"/>
    <xf numFmtId="185" fontId="90" fillId="0" borderId="13" xfId="52" applyNumberFormat="1" applyFont="1" applyBorder="1"/>
    <xf numFmtId="185" fontId="90" fillId="0" borderId="0" xfId="52" applyNumberFormat="1" applyFont="1" applyBorder="1"/>
    <xf numFmtId="164" fontId="6" fillId="0" borderId="16" xfId="51" applyNumberFormat="1" applyFont="1" applyFill="1" applyBorder="1" applyAlignment="1">
      <alignment horizontal="right"/>
    </xf>
    <xf numFmtId="1" fontId="6" fillId="18" borderId="16" xfId="50" applyNumberFormat="1" applyFont="1" applyFill="1" applyBorder="1" applyAlignment="1">
      <alignment horizontal="right"/>
    </xf>
    <xf numFmtId="168" fontId="14" fillId="0" borderId="13" xfId="57" applyNumberFormat="1" applyFont="1" applyFill="1" applyBorder="1" applyAlignment="1"/>
    <xf numFmtId="168" fontId="13" fillId="0" borderId="0" xfId="57" applyNumberFormat="1" applyFont="1" applyFill="1" applyBorder="1" applyAlignment="1"/>
    <xf numFmtId="168" fontId="13" fillId="0" borderId="11" xfId="57" applyNumberFormat="1" applyFont="1" applyFill="1" applyBorder="1" applyAlignment="1"/>
    <xf numFmtId="168" fontId="14" fillId="0" borderId="0" xfId="57" applyNumberFormat="1" applyFont="1" applyFill="1" applyBorder="1" applyAlignment="1"/>
    <xf numFmtId="168" fontId="14" fillId="0" borderId="11" xfId="57" applyNumberFormat="1" applyFont="1" applyFill="1" applyBorder="1" applyAlignment="1"/>
    <xf numFmtId="168" fontId="13" fillId="0" borderId="13" xfId="57" applyNumberFormat="1" applyFont="1" applyFill="1" applyBorder="1" applyAlignment="1"/>
    <xf numFmtId="164" fontId="6" fillId="0" borderId="15" xfId="51" applyNumberFormat="1" applyFont="1" applyFill="1" applyBorder="1" applyAlignment="1">
      <alignment horizontal="right"/>
    </xf>
    <xf numFmtId="1" fontId="6" fillId="18" borderId="0" xfId="50" applyNumberFormat="1" applyFont="1" applyFill="1" applyBorder="1" applyAlignment="1">
      <alignment horizontal="right"/>
    </xf>
    <xf numFmtId="164" fontId="6" fillId="0" borderId="22" xfId="51" applyNumberFormat="1" applyFont="1" applyFill="1" applyBorder="1" applyAlignment="1">
      <alignment horizontal="right"/>
    </xf>
    <xf numFmtId="184" fontId="15" fillId="0" borderId="0" xfId="52" applyNumberFormat="1" applyFont="1" applyBorder="1" applyAlignment="1">
      <alignment horizontal="left"/>
    </xf>
    <xf numFmtId="164" fontId="6" fillId="24" borderId="17" xfId="51" applyNumberFormat="1" applyFont="1" applyFill="1" applyBorder="1" applyAlignment="1">
      <alignment horizontal="right"/>
    </xf>
    <xf numFmtId="1" fontId="6" fillId="24" borderId="17" xfId="50" applyNumberFormat="1" applyFont="1" applyFill="1" applyBorder="1" applyAlignment="1">
      <alignment horizontal="right"/>
    </xf>
    <xf numFmtId="173" fontId="10" fillId="0" borderId="0" xfId="67" applyNumberFormat="1" applyFont="1" applyFill="1" applyBorder="1"/>
    <xf numFmtId="0" fontId="15" fillId="0" borderId="32" xfId="0" applyFont="1" applyBorder="1"/>
    <xf numFmtId="0" fontId="13" fillId="0" borderId="12" xfId="0" applyFont="1" applyBorder="1"/>
    <xf numFmtId="0" fontId="10" fillId="0" borderId="31" xfId="0" applyFont="1" applyBorder="1"/>
    <xf numFmtId="0" fontId="20" fillId="0" borderId="12" xfId="0" applyFont="1" applyFill="1" applyBorder="1"/>
    <xf numFmtId="0" fontId="21" fillId="0" borderId="12" xfId="0" applyFont="1" applyFill="1" applyBorder="1"/>
    <xf numFmtId="0" fontId="21" fillId="0" borderId="12" xfId="0" applyFont="1" applyFill="1" applyBorder="1" applyAlignment="1">
      <alignment horizontal="left" indent="1"/>
    </xf>
    <xf numFmtId="0" fontId="21" fillId="0" borderId="12" xfId="0" applyFont="1" applyFill="1" applyBorder="1" applyAlignment="1">
      <alignment horizontal="left" indent="2"/>
    </xf>
    <xf numFmtId="0" fontId="21" fillId="0" borderId="12" xfId="0" applyFont="1" applyFill="1" applyBorder="1" applyAlignment="1">
      <alignment horizontal="left" indent="3"/>
    </xf>
    <xf numFmtId="0" fontId="20" fillId="0" borderId="34" xfId="0" applyFont="1" applyFill="1" applyBorder="1"/>
    <xf numFmtId="0" fontId="20" fillId="0" borderId="12" xfId="0" applyFont="1" applyFill="1" applyBorder="1" applyAlignment="1">
      <alignment horizontal="left"/>
    </xf>
    <xf numFmtId="0" fontId="10" fillId="0" borderId="12" xfId="0" applyFont="1" applyFill="1" applyBorder="1" applyAlignment="1">
      <alignment horizontal="left" indent="1"/>
    </xf>
    <xf numFmtId="0" fontId="20" fillId="0" borderId="31" xfId="0" applyFont="1" applyFill="1" applyBorder="1" applyAlignment="1">
      <alignment horizontal="left"/>
    </xf>
    <xf numFmtId="0" fontId="21" fillId="0" borderId="12" xfId="0" applyFont="1" applyFill="1" applyBorder="1" applyAlignment="1">
      <alignment horizontal="left" wrapText="1" indent="1"/>
    </xf>
    <xf numFmtId="0" fontId="21" fillId="0" borderId="12" xfId="0" applyFont="1" applyFill="1" applyBorder="1" applyAlignment="1">
      <alignment horizontal="left" wrapText="1" indent="2"/>
    </xf>
    <xf numFmtId="0" fontId="4" fillId="0" borderId="0" xfId="5104"/>
    <xf numFmtId="1" fontId="6" fillId="24" borderId="17" xfId="51" applyNumberFormat="1" applyFont="1" applyFill="1" applyBorder="1" applyAlignment="1">
      <alignment horizontal="right"/>
    </xf>
    <xf numFmtId="168" fontId="13" fillId="0" borderId="61" xfId="57" applyNumberFormat="1" applyFont="1" applyFill="1" applyBorder="1"/>
    <xf numFmtId="0" fontId="4" fillId="0" borderId="61" xfId="52" applyFont="1" applyFill="1" applyBorder="1"/>
    <xf numFmtId="167" fontId="21" fillId="0" borderId="61" xfId="52" applyNumberFormat="1" applyFont="1" applyFill="1" applyBorder="1"/>
    <xf numFmtId="167" fontId="15" fillId="0" borderId="61" xfId="52" applyNumberFormat="1" applyFont="1" applyFill="1" applyBorder="1"/>
    <xf numFmtId="167" fontId="15" fillId="0" borderId="19" xfId="52" applyNumberFormat="1" applyFont="1" applyFill="1" applyBorder="1"/>
    <xf numFmtId="184" fontId="15" fillId="0" borderId="17" xfId="52" applyNumberFormat="1" applyFont="1" applyFill="1" applyBorder="1" applyAlignment="1">
      <alignment horizontal="center"/>
    </xf>
    <xf numFmtId="167" fontId="11" fillId="18" borderId="61" xfId="0" applyNumberFormat="1" applyFont="1" applyFill="1" applyBorder="1" applyAlignment="1"/>
    <xf numFmtId="167" fontId="10" fillId="0" borderId="61" xfId="0" applyNumberFormat="1" applyFont="1" applyFill="1" applyBorder="1" applyAlignment="1"/>
    <xf numFmtId="168" fontId="13" fillId="0" borderId="61" xfId="57" applyNumberFormat="1" applyFont="1" applyFill="1" applyBorder="1" applyAlignment="1"/>
    <xf numFmtId="169" fontId="11" fillId="0" borderId="61" xfId="0" applyNumberFormat="1" applyFont="1" applyFill="1" applyBorder="1" applyAlignment="1"/>
    <xf numFmtId="167" fontId="12" fillId="18" borderId="61" xfId="0" applyNumberFormat="1" applyFont="1" applyFill="1" applyBorder="1" applyAlignment="1"/>
    <xf numFmtId="167" fontId="15" fillId="0" borderId="61" xfId="0" applyNumberFormat="1" applyFont="1" applyFill="1" applyBorder="1" applyAlignment="1"/>
    <xf numFmtId="9" fontId="11" fillId="0" borderId="61" xfId="57" applyFont="1" applyFill="1" applyBorder="1" applyAlignment="1"/>
    <xf numFmtId="167" fontId="10" fillId="18" borderId="61" xfId="0" applyNumberFormat="1" applyFont="1" applyFill="1" applyBorder="1" applyAlignment="1"/>
    <xf numFmtId="168" fontId="14" fillId="0" borderId="61" xfId="57" applyNumberFormat="1" applyFont="1" applyFill="1" applyBorder="1" applyAlignment="1"/>
    <xf numFmtId="167" fontId="11" fillId="0" borderId="61" xfId="0" applyNumberFormat="1" applyFont="1" applyFill="1" applyBorder="1" applyAlignment="1"/>
    <xf numFmtId="171" fontId="11" fillId="0" borderId="61" xfId="0" applyNumberFormat="1" applyFont="1" applyFill="1" applyBorder="1"/>
    <xf numFmtId="169" fontId="11" fillId="0" borderId="61" xfId="57" applyNumberFormat="1" applyFont="1" applyFill="1" applyBorder="1" applyAlignment="1"/>
    <xf numFmtId="44" fontId="14" fillId="0" borderId="61" xfId="36" applyFont="1" applyFill="1" applyBorder="1" applyAlignment="1"/>
    <xf numFmtId="173" fontId="10" fillId="0" borderId="61" xfId="0" applyNumberFormat="1" applyFont="1" applyFill="1" applyBorder="1"/>
    <xf numFmtId="175" fontId="25" fillId="0" borderId="61" xfId="0" applyNumberFormat="1" applyFont="1" applyFill="1" applyBorder="1"/>
    <xf numFmtId="167" fontId="12" fillId="0" borderId="61" xfId="0" applyNumberFormat="1" applyFont="1" applyFill="1" applyBorder="1" applyAlignment="1"/>
    <xf numFmtId="173" fontId="15" fillId="0" borderId="61" xfId="0" applyNumberFormat="1" applyFont="1" applyFill="1" applyBorder="1"/>
    <xf numFmtId="175" fontId="25" fillId="0" borderId="25" xfId="0" applyNumberFormat="1" applyFont="1" applyFill="1" applyBorder="1"/>
    <xf numFmtId="1" fontId="6" fillId="22" borderId="21" xfId="51" applyNumberFormat="1" applyFont="1" applyFill="1" applyBorder="1" applyAlignment="1">
      <alignment horizontal="right"/>
    </xf>
    <xf numFmtId="168" fontId="14" fillId="0" borderId="61" xfId="57" applyNumberFormat="1" applyFont="1" applyBorder="1"/>
    <xf numFmtId="168" fontId="13" fillId="0" borderId="61" xfId="57" applyNumberFormat="1" applyFont="1" applyBorder="1"/>
    <xf numFmtId="185" fontId="10" fillId="0" borderId="61" xfId="52" applyNumberFormat="1" applyFont="1" applyBorder="1"/>
    <xf numFmtId="0" fontId="4" fillId="0" borderId="61" xfId="52" applyFont="1" applyBorder="1"/>
    <xf numFmtId="167" fontId="15" fillId="0" borderId="61" xfId="52" applyNumberFormat="1" applyFont="1" applyBorder="1"/>
    <xf numFmtId="185" fontId="11" fillId="0" borderId="61" xfId="52" applyNumberFormat="1" applyFont="1" applyBorder="1"/>
    <xf numFmtId="185" fontId="90" fillId="0" borderId="61" xfId="52" applyNumberFormat="1" applyFont="1" applyBorder="1"/>
    <xf numFmtId="167" fontId="8" fillId="0" borderId="61" xfId="52" applyNumberFormat="1" applyFont="1" applyBorder="1"/>
    <xf numFmtId="0" fontId="41" fillId="0" borderId="61" xfId="52" applyFont="1" applyBorder="1"/>
    <xf numFmtId="167" fontId="11" fillId="0" borderId="61" xfId="52" applyNumberFormat="1" applyFont="1" applyBorder="1"/>
    <xf numFmtId="168" fontId="14" fillId="0" borderId="61" xfId="57" applyNumberFormat="1" applyFont="1" applyFill="1" applyBorder="1"/>
    <xf numFmtId="0" fontId="41" fillId="0" borderId="61" xfId="52" applyFont="1" applyFill="1" applyBorder="1"/>
    <xf numFmtId="167" fontId="10" fillId="0" borderId="61" xfId="52" applyNumberFormat="1" applyFont="1" applyFill="1" applyBorder="1"/>
    <xf numFmtId="167" fontId="11" fillId="0" borderId="61" xfId="52" applyNumberFormat="1" applyFont="1" applyFill="1" applyBorder="1"/>
    <xf numFmtId="167" fontId="10" fillId="0" borderId="61" xfId="52" applyNumberFormat="1" applyFont="1" applyBorder="1"/>
    <xf numFmtId="168" fontId="86" fillId="0" borderId="61" xfId="57" applyNumberFormat="1" applyFont="1" applyFill="1" applyBorder="1"/>
    <xf numFmtId="186" fontId="21" fillId="0" borderId="61" xfId="52" applyNumberFormat="1" applyFont="1" applyBorder="1"/>
    <xf numFmtId="0" fontId="5" fillId="0" borderId="61" xfId="52" applyFont="1" applyBorder="1"/>
    <xf numFmtId="167" fontId="5" fillId="0" borderId="61" xfId="52" applyNumberFormat="1" applyFont="1" applyBorder="1"/>
    <xf numFmtId="0" fontId="4" fillId="0" borderId="22" xfId="52" applyFont="1" applyBorder="1"/>
    <xf numFmtId="0" fontId="6" fillId="24" borderId="15" xfId="51" applyFont="1" applyFill="1" applyBorder="1" applyAlignment="1">
      <alignment horizontal="right"/>
    </xf>
    <xf numFmtId="166" fontId="11" fillId="0" borderId="61" xfId="0" applyNumberFormat="1" applyFont="1" applyFill="1" applyBorder="1" applyAlignment="1"/>
    <xf numFmtId="167" fontId="11" fillId="18" borderId="13" xfId="0" applyNumberFormat="1" applyFont="1" applyFill="1" applyBorder="1" applyAlignment="1"/>
    <xf numFmtId="167" fontId="12" fillId="18" borderId="13" xfId="0" applyNumberFormat="1" applyFont="1" applyFill="1" applyBorder="1" applyAlignment="1"/>
    <xf numFmtId="167" fontId="12" fillId="0" borderId="13" xfId="0" applyNumberFormat="1" applyFont="1" applyFill="1" applyBorder="1" applyAlignment="1"/>
    <xf numFmtId="167" fontId="10" fillId="18" borderId="13" xfId="0" applyNumberFormat="1" applyFont="1" applyFill="1" applyBorder="1" applyAlignment="1"/>
    <xf numFmtId="172" fontId="11" fillId="0" borderId="13" xfId="0" applyNumberFormat="1" applyFont="1" applyFill="1" applyBorder="1" applyAlignment="1"/>
    <xf numFmtId="44" fontId="14" fillId="0" borderId="13" xfId="36" applyFont="1" applyFill="1" applyBorder="1" applyAlignment="1"/>
    <xf numFmtId="168" fontId="13" fillId="0" borderId="0" xfId="57" applyNumberFormat="1" applyFont="1" applyFill="1" applyBorder="1"/>
    <xf numFmtId="168" fontId="13" fillId="0" borderId="61" xfId="57" applyNumberFormat="1" applyFont="1" applyFill="1" applyBorder="1"/>
    <xf numFmtId="167" fontId="10" fillId="0" borderId="0" xfId="52" applyNumberFormat="1" applyFont="1" applyBorder="1"/>
    <xf numFmtId="168" fontId="13" fillId="0" borderId="13" xfId="57" applyNumberFormat="1" applyFont="1" applyBorder="1"/>
    <xf numFmtId="168" fontId="13" fillId="0" borderId="61" xfId="57" applyNumberFormat="1" applyFont="1" applyBorder="1"/>
    <xf numFmtId="168" fontId="14" fillId="0" borderId="13" xfId="57" applyNumberFormat="1" applyFont="1" applyBorder="1"/>
    <xf numFmtId="168" fontId="14" fillId="0" borderId="0" xfId="57" applyNumberFormat="1" applyFont="1" applyBorder="1"/>
    <xf numFmtId="168" fontId="14" fillId="0" borderId="61" xfId="57" applyNumberFormat="1" applyFont="1" applyBorder="1"/>
    <xf numFmtId="167" fontId="10" fillId="0" borderId="61" xfId="52" applyNumberFormat="1" applyFont="1" applyBorder="1"/>
    <xf numFmtId="167" fontId="10" fillId="0" borderId="13" xfId="52" applyNumberFormat="1" applyFont="1" applyBorder="1"/>
    <xf numFmtId="167" fontId="15" fillId="0" borderId="13" xfId="52" applyNumberFormat="1" applyFont="1" applyBorder="1"/>
    <xf numFmtId="167" fontId="15" fillId="0" borderId="0" xfId="52" applyNumberFormat="1" applyFont="1" applyBorder="1"/>
    <xf numFmtId="167" fontId="15" fillId="0" borderId="61" xfId="52" applyNumberFormat="1" applyFont="1" applyBorder="1"/>
    <xf numFmtId="167" fontId="15" fillId="0" borderId="18" xfId="52" applyNumberFormat="1" applyFont="1" applyBorder="1"/>
    <xf numFmtId="167" fontId="15" fillId="0" borderId="20" xfId="52" applyNumberFormat="1" applyFont="1" applyBorder="1"/>
    <xf numFmtId="167" fontId="15" fillId="0" borderId="19" xfId="52" applyNumberFormat="1" applyFont="1" applyBorder="1"/>
    <xf numFmtId="184" fontId="15" fillId="0" borderId="15" xfId="52" applyNumberFormat="1" applyFont="1" applyBorder="1" applyAlignment="1">
      <alignment horizontal="centerContinuous"/>
    </xf>
    <xf numFmtId="184" fontId="15" fillId="0" borderId="16" xfId="52" applyNumberFormat="1" applyFont="1" applyBorder="1" applyAlignment="1">
      <alignment horizontal="centerContinuous"/>
    </xf>
    <xf numFmtId="184" fontId="15" fillId="0" borderId="17" xfId="52" applyNumberFormat="1" applyFont="1" applyBorder="1" applyAlignment="1">
      <alignment horizontal="centerContinuous"/>
    </xf>
    <xf numFmtId="168" fontId="14" fillId="0" borderId="0" xfId="57" applyNumberFormat="1" applyFont="1" applyFill="1" applyBorder="1"/>
    <xf numFmtId="0" fontId="41" fillId="0" borderId="0" xfId="52" applyFont="1" applyBorder="1"/>
    <xf numFmtId="0" fontId="41" fillId="0" borderId="61" xfId="52" applyFont="1" applyBorder="1"/>
    <xf numFmtId="0" fontId="41" fillId="0" borderId="13" xfId="52" applyFont="1" applyBorder="1"/>
    <xf numFmtId="168" fontId="14" fillId="0" borderId="61" xfId="57" applyNumberFormat="1" applyFont="1" applyFill="1" applyBorder="1"/>
    <xf numFmtId="168" fontId="13" fillId="0" borderId="0" xfId="57" applyNumberFormat="1" applyFont="1" applyBorder="1"/>
    <xf numFmtId="185" fontId="10" fillId="0" borderId="13" xfId="52" applyNumberFormat="1" applyFont="1" applyBorder="1"/>
    <xf numFmtId="0" fontId="6" fillId="22" borderId="15" xfId="51" applyFont="1" applyFill="1" applyBorder="1" applyAlignment="1">
      <alignment horizontal="right"/>
    </xf>
    <xf numFmtId="0" fontId="6" fillId="22" borderId="16" xfId="51" applyFont="1" applyFill="1" applyBorder="1" applyAlignment="1">
      <alignment horizontal="right"/>
    </xf>
    <xf numFmtId="0" fontId="6" fillId="22" borderId="17" xfId="51" applyFont="1" applyFill="1" applyBorder="1" applyAlignment="1">
      <alignment horizontal="right"/>
    </xf>
    <xf numFmtId="164" fontId="6" fillId="22" borderId="15" xfId="51" applyNumberFormat="1" applyFont="1" applyFill="1" applyBorder="1" applyAlignment="1">
      <alignment horizontal="right"/>
    </xf>
    <xf numFmtId="164" fontId="6" fillId="22" borderId="16" xfId="51" applyNumberFormat="1" applyFont="1" applyFill="1" applyBorder="1" applyAlignment="1">
      <alignment horizontal="right"/>
    </xf>
    <xf numFmtId="164" fontId="6" fillId="22" borderId="17" xfId="51" applyNumberFormat="1" applyFont="1" applyFill="1" applyBorder="1" applyAlignment="1">
      <alignment horizontal="right"/>
    </xf>
    <xf numFmtId="185" fontId="10" fillId="0" borderId="0" xfId="52" applyNumberFormat="1" applyFont="1" applyBorder="1"/>
    <xf numFmtId="185" fontId="10" fillId="0" borderId="61" xfId="52" applyNumberFormat="1" applyFont="1" applyBorder="1"/>
    <xf numFmtId="168" fontId="13" fillId="0" borderId="13" xfId="57" applyNumberFormat="1" applyFont="1" applyFill="1" applyBorder="1"/>
    <xf numFmtId="168" fontId="14" fillId="0" borderId="13" xfId="57" applyNumberFormat="1" applyFont="1" applyFill="1" applyBorder="1"/>
    <xf numFmtId="167" fontId="10" fillId="0" borderId="13" xfId="52" applyNumberFormat="1" applyFont="1" applyFill="1" applyBorder="1"/>
    <xf numFmtId="173" fontId="10" fillId="0" borderId="0" xfId="67" applyNumberFormat="1" applyFont="1" applyFill="1" applyBorder="1"/>
    <xf numFmtId="1" fontId="6" fillId="22" borderId="22" xfId="51" applyNumberFormat="1" applyFont="1" applyFill="1" applyBorder="1" applyAlignment="1">
      <alignment horizontal="right"/>
    </xf>
    <xf numFmtId="1" fontId="6" fillId="22" borderId="14" xfId="51" applyNumberFormat="1" applyFont="1" applyFill="1" applyBorder="1" applyAlignment="1">
      <alignment horizontal="right"/>
    </xf>
    <xf numFmtId="0" fontId="0" fillId="0" borderId="13" xfId="0" applyFill="1" applyBorder="1"/>
    <xf numFmtId="170" fontId="10" fillId="0" borderId="13" xfId="0" applyNumberFormat="1" applyFont="1" applyFill="1" applyBorder="1" applyAlignment="1"/>
    <xf numFmtId="164" fontId="15" fillId="18" borderId="15" xfId="51" applyNumberFormat="1" applyFont="1" applyFill="1" applyBorder="1" applyAlignment="1">
      <alignment horizontal="right"/>
    </xf>
    <xf numFmtId="0" fontId="4" fillId="0" borderId="64" xfId="0" applyFont="1" applyBorder="1"/>
    <xf numFmtId="183" fontId="4" fillId="0" borderId="13" xfId="35" applyNumberFormat="1" applyFont="1" applyBorder="1"/>
    <xf numFmtId="167" fontId="10" fillId="0" borderId="61" xfId="0" applyNumberFormat="1" applyFont="1" applyFill="1" applyBorder="1"/>
    <xf numFmtId="169" fontId="10" fillId="0" borderId="61" xfId="0" applyNumberFormat="1" applyFont="1" applyFill="1" applyBorder="1"/>
    <xf numFmtId="174" fontId="13" fillId="0" borderId="61" xfId="0" applyNumberFormat="1" applyFont="1" applyFill="1" applyBorder="1"/>
    <xf numFmtId="169" fontId="11" fillId="0" borderId="61" xfId="0" applyNumberFormat="1" applyFont="1" applyFill="1" applyBorder="1"/>
    <xf numFmtId="167" fontId="11" fillId="0" borderId="61" xfId="0" applyNumberFormat="1" applyFont="1" applyFill="1" applyBorder="1"/>
    <xf numFmtId="174" fontId="11" fillId="0" borderId="61" xfId="0" applyNumberFormat="1" applyFont="1" applyFill="1" applyBorder="1"/>
    <xf numFmtId="167" fontId="14" fillId="0" borderId="61" xfId="0" applyNumberFormat="1" applyFont="1" applyFill="1" applyBorder="1"/>
    <xf numFmtId="168" fontId="11" fillId="0" borderId="61" xfId="57" applyNumberFormat="1" applyFont="1" applyFill="1" applyBorder="1"/>
    <xf numFmtId="166" fontId="10" fillId="0" borderId="61" xfId="0" applyNumberFormat="1" applyFont="1" applyFill="1" applyBorder="1" applyAlignment="1"/>
    <xf numFmtId="168" fontId="14" fillId="18" borderId="61" xfId="57" applyNumberFormat="1" applyFont="1" applyFill="1" applyBorder="1" applyAlignment="1"/>
    <xf numFmtId="175" fontId="10" fillId="0" borderId="61" xfId="0" applyNumberFormat="1" applyFont="1" applyFill="1" applyBorder="1"/>
    <xf numFmtId="175" fontId="11" fillId="0" borderId="61" xfId="0" applyNumberFormat="1" applyFont="1" applyFill="1" applyBorder="1"/>
    <xf numFmtId="175" fontId="15" fillId="0" borderId="61" xfId="0" applyNumberFormat="1" applyFont="1" applyFill="1" applyBorder="1"/>
    <xf numFmtId="0" fontId="0" fillId="0" borderId="65" xfId="0" applyBorder="1"/>
    <xf numFmtId="176" fontId="10" fillId="0" borderId="14" xfId="35" applyNumberFormat="1" applyFont="1" applyFill="1" applyBorder="1"/>
    <xf numFmtId="176" fontId="22" fillId="0" borderId="14" xfId="35" applyNumberFormat="1" applyFont="1" applyBorder="1"/>
    <xf numFmtId="168" fontId="14" fillId="18" borderId="61" xfId="57" applyNumberFormat="1" applyFont="1" applyFill="1" applyBorder="1"/>
    <xf numFmtId="176" fontId="22" fillId="0" borderId="61" xfId="35" applyNumberFormat="1" applyFont="1" applyBorder="1"/>
    <xf numFmtId="176" fontId="10" fillId="0" borderId="61" xfId="35" applyNumberFormat="1" applyFont="1" applyBorder="1"/>
    <xf numFmtId="176" fontId="10" fillId="0" borderId="19" xfId="35" applyNumberFormat="1" applyFont="1" applyBorder="1"/>
    <xf numFmtId="176" fontId="10" fillId="0" borderId="0" xfId="35" applyNumberFormat="1" applyFont="1" applyBorder="1"/>
    <xf numFmtId="0" fontId="11" fillId="0" borderId="0" xfId="0" applyFont="1"/>
    <xf numFmtId="175" fontId="10" fillId="0" borderId="14" xfId="35" applyNumberFormat="1" applyFont="1" applyFill="1" applyBorder="1"/>
    <xf numFmtId="175" fontId="10" fillId="0" borderId="14" xfId="0" applyNumberFormat="1" applyFont="1" applyBorder="1"/>
    <xf numFmtId="175" fontId="10" fillId="0" borderId="19" xfId="0" applyNumberFormat="1" applyFont="1" applyBorder="1"/>
    <xf numFmtId="0" fontId="0" fillId="0" borderId="61" xfId="0" applyBorder="1"/>
    <xf numFmtId="175" fontId="15" fillId="0" borderId="26" xfId="0" applyNumberFormat="1" applyFont="1" applyFill="1" applyBorder="1"/>
    <xf numFmtId="175" fontId="8" fillId="0" borderId="25" xfId="0" applyNumberFormat="1" applyFont="1" applyFill="1" applyBorder="1"/>
    <xf numFmtId="175" fontId="8" fillId="0" borderId="61" xfId="0" applyNumberFormat="1" applyFont="1" applyFill="1" applyBorder="1"/>
    <xf numFmtId="175" fontId="15" fillId="0" borderId="19" xfId="0" applyNumberFormat="1" applyFont="1" applyFill="1" applyBorder="1"/>
    <xf numFmtId="1" fontId="6" fillId="18" borderId="22" xfId="50" applyNumberFormat="1" applyFont="1" applyFill="1" applyBorder="1" applyAlignment="1">
      <alignment horizontal="right"/>
    </xf>
    <xf numFmtId="175" fontId="26" fillId="0" borderId="61" xfId="0" applyNumberFormat="1" applyFont="1" applyFill="1" applyBorder="1"/>
    <xf numFmtId="176" fontId="89" fillId="0" borderId="11" xfId="35" applyNumberFormat="1" applyFont="1" applyBorder="1"/>
    <xf numFmtId="167" fontId="0" fillId="0" borderId="13" xfId="0" applyNumberFormat="1" applyBorder="1"/>
    <xf numFmtId="199" fontId="0" fillId="0" borderId="13" xfId="0" applyNumberFormat="1" applyBorder="1"/>
    <xf numFmtId="0" fontId="4" fillId="98" borderId="0" xfId="50293" applyFont="1" applyFill="1" applyAlignment="1">
      <alignment vertical="top"/>
    </xf>
    <xf numFmtId="0" fontId="4" fillId="98" borderId="0" xfId="5104" applyFill="1" applyAlignment="1">
      <alignment vertical="top"/>
    </xf>
    <xf numFmtId="0" fontId="4" fillId="98" borderId="0" xfId="5104" applyFill="1"/>
    <xf numFmtId="0" fontId="10" fillId="98" borderId="0" xfId="50293" applyFont="1" applyFill="1" applyAlignment="1">
      <alignment horizontal="left" vertical="top"/>
    </xf>
    <xf numFmtId="0" fontId="4" fillId="98" borderId="0" xfId="5104" applyFont="1" applyFill="1" applyAlignment="1">
      <alignment vertical="top"/>
    </xf>
    <xf numFmtId="0" fontId="47" fillId="98" borderId="0" xfId="50293" applyFont="1" applyFill="1" applyAlignment="1">
      <alignment vertical="top"/>
    </xf>
    <xf numFmtId="0" fontId="0" fillId="98" borderId="0" xfId="0" applyFill="1" applyAlignment="1">
      <alignment vertical="top"/>
    </xf>
    <xf numFmtId="0" fontId="87" fillId="98" borderId="0" xfId="0" applyFont="1" applyFill="1" applyAlignment="1">
      <alignment vertical="top"/>
    </xf>
    <xf numFmtId="0" fontId="278" fillId="98" borderId="0" xfId="0" applyFont="1" applyFill="1" applyAlignment="1">
      <alignment vertical="top"/>
    </xf>
    <xf numFmtId="0" fontId="87" fillId="98" borderId="66" xfId="0" applyFont="1" applyFill="1" applyBorder="1" applyAlignment="1">
      <alignment vertical="top"/>
    </xf>
    <xf numFmtId="9" fontId="87" fillId="98" borderId="66" xfId="0" applyNumberFormat="1" applyFont="1" applyFill="1" applyBorder="1" applyAlignment="1">
      <alignment vertical="top"/>
    </xf>
    <xf numFmtId="3" fontId="87" fillId="98" borderId="66" xfId="0" applyNumberFormat="1" applyFont="1" applyFill="1" applyBorder="1" applyAlignment="1">
      <alignment vertical="top"/>
    </xf>
    <xf numFmtId="2" fontId="4" fillId="0" borderId="0" xfId="5104" applyNumberFormat="1" applyAlignment="1">
      <alignment horizontal="left"/>
    </xf>
    <xf numFmtId="0" fontId="4" fillId="0" borderId="0" xfId="5104" applyNumberFormat="1" applyAlignment="1">
      <alignment horizontal="left"/>
    </xf>
    <xf numFmtId="1" fontId="4" fillId="0" borderId="0" xfId="5104" applyNumberFormat="1" applyAlignment="1">
      <alignment horizontal="left"/>
    </xf>
    <xf numFmtId="0" fontId="4" fillId="0" borderId="0" xfId="5104" applyFont="1"/>
    <xf numFmtId="260" fontId="4" fillId="0" borderId="0" xfId="5104" applyNumberFormat="1" applyAlignment="1">
      <alignment horizontal="left"/>
    </xf>
    <xf numFmtId="49" fontId="4" fillId="0" borderId="0" xfId="5104" applyNumberFormat="1"/>
    <xf numFmtId="0" fontId="0" fillId="98" borderId="71" xfId="0" applyFill="1" applyBorder="1" applyAlignment="1">
      <alignment vertical="top"/>
    </xf>
    <xf numFmtId="0" fontId="87" fillId="98" borderId="0" xfId="0" applyFont="1" applyFill="1" applyAlignment="1">
      <alignment vertical="top"/>
    </xf>
    <xf numFmtId="0" fontId="87" fillId="98" borderId="67" xfId="0" applyFont="1" applyFill="1" applyBorder="1" applyAlignment="1">
      <alignment vertical="top"/>
    </xf>
    <xf numFmtId="0" fontId="87" fillId="98" borderId="68" xfId="0" applyFont="1" applyFill="1" applyBorder="1" applyAlignment="1">
      <alignment vertical="top"/>
    </xf>
    <xf numFmtId="0" fontId="87" fillId="98" borderId="69" xfId="0" applyFont="1" applyFill="1" applyBorder="1" applyAlignment="1">
      <alignment vertical="top"/>
    </xf>
    <xf numFmtId="0" fontId="278" fillId="98" borderId="0" xfId="0" applyFont="1" applyFill="1" applyAlignment="1">
      <alignment vertical="top"/>
    </xf>
    <xf numFmtId="0" fontId="0" fillId="98" borderId="0" xfId="0" applyFill="1" applyAlignment="1">
      <alignment vertical="top"/>
    </xf>
    <xf numFmtId="0" fontId="0" fillId="98" borderId="70" xfId="0" applyFill="1" applyBorder="1" applyAlignment="1">
      <alignment vertical="top"/>
    </xf>
  </cellXfs>
  <cellStyles count="50294">
    <cellStyle name="-" xfId="77"/>
    <cellStyle name=" 1" xfId="2890"/>
    <cellStyle name=" 1 2" xfId="2891"/>
    <cellStyle name=" 1 2 2" xfId="5112"/>
    <cellStyle name=" 1 2 3" xfId="23336"/>
    <cellStyle name="_x000a_386grabber=M" xfId="1"/>
    <cellStyle name="_x000a_386grabber=M 2" xfId="79"/>
    <cellStyle name="_x000a_386grabber=M 2 2" xfId="80"/>
    <cellStyle name="_x000a_386grabber=M 2 2 2" xfId="2892"/>
    <cellStyle name="_x000a_386grabber=M 2 3" xfId="2893"/>
    <cellStyle name="_x000a_386grabber=M 2 3 2" xfId="2894"/>
    <cellStyle name="_x000a_386grabber=M 3" xfId="81"/>
    <cellStyle name="_x000a_386grabber=M 3 2" xfId="1514"/>
    <cellStyle name="_x000a_386grabber=M 3 2 2" xfId="2896"/>
    <cellStyle name="_x000a_386grabber=M 3 2 3" xfId="2897"/>
    <cellStyle name="_x000a_386grabber=M 3 2 4" xfId="2895"/>
    <cellStyle name="_x000a_386grabber=M 3 3" xfId="18353"/>
    <cellStyle name="_x000a_386grabber=M 4" xfId="1280"/>
    <cellStyle name="_x000a_386grabber=M 4 2" xfId="2899"/>
    <cellStyle name="_x000a_386grabber=M 4 3" xfId="2898"/>
    <cellStyle name="_x000a_386grabber=M 5" xfId="1447"/>
    <cellStyle name="_x000a_386grabber=M 5 2" xfId="18354"/>
    <cellStyle name="_x000a_386grabber=M 6" xfId="20432"/>
    <cellStyle name="_x000a_386grabber=M 7" xfId="78"/>
    <cellStyle name="$" xfId="2900"/>
    <cellStyle name="$ &amp; ¢" xfId="2901"/>
    <cellStyle name="$ 1 decimal" xfId="82"/>
    <cellStyle name="$_AA - BenefitsBonus " xfId="2902"/>
    <cellStyle name="%" xfId="83"/>
    <cellStyle name="% 10" xfId="50218"/>
    <cellStyle name="% 10 2" xfId="50219"/>
    <cellStyle name="% 2" xfId="84"/>
    <cellStyle name="% 2 2" xfId="85"/>
    <cellStyle name="% 2 2 2" xfId="86"/>
    <cellStyle name="% 2 2 2 2" xfId="2903"/>
    <cellStyle name="% 2 2 3" xfId="2904"/>
    <cellStyle name="% 2 3" xfId="87"/>
    <cellStyle name="% 2 3 2" xfId="2905"/>
    <cellStyle name="% 2 4" xfId="2906"/>
    <cellStyle name="% 3" xfId="88"/>
    <cellStyle name="% 3 2" xfId="89"/>
    <cellStyle name="% 3 2 2" xfId="2907"/>
    <cellStyle name="% 3 3" xfId="2908"/>
    <cellStyle name="% 4" xfId="90"/>
    <cellStyle name="% 4 2" xfId="2590"/>
    <cellStyle name="% 4 2 2" xfId="5225"/>
    <cellStyle name="% 4 3" xfId="5335"/>
    <cellStyle name="% 5" xfId="91"/>
    <cellStyle name="% 5 2" xfId="788"/>
    <cellStyle name="% 5 2 2" xfId="5262"/>
    <cellStyle name="% 5 3" xfId="5266"/>
    <cellStyle name="% 6" xfId="2589"/>
    <cellStyle name="% 6 2" xfId="2588"/>
    <cellStyle name="% 6 2 2" xfId="18195"/>
    <cellStyle name="% 6 3" xfId="18357"/>
    <cellStyle name="% 7" xfId="2587"/>
    <cellStyle name="% 7 2" xfId="2586"/>
    <cellStyle name="% 7 2 2" xfId="18964"/>
    <cellStyle name="% 7 3" xfId="18196"/>
    <cellStyle name="% 8" xfId="2585"/>
    <cellStyle name="% 8 2" xfId="2909"/>
    <cellStyle name="% 9" xfId="20433"/>
    <cellStyle name="% 9 2" xfId="50220"/>
    <cellStyle name="% Growth" xfId="2910"/>
    <cellStyle name="% of Revenues" xfId="2911"/>
    <cellStyle name="%.00" xfId="1229"/>
    <cellStyle name="%.00 2" xfId="2913"/>
    <cellStyle name="%.00 3" xfId="2912"/>
    <cellStyle name="******************************************" xfId="1450"/>
    <cellStyle name="****************************************** 2" xfId="2914"/>
    <cellStyle name="****************************************** 3" xfId="2915"/>
    <cellStyle name="****************************************** 4" xfId="2916"/>
    <cellStyle name="****************************************** 4 2" xfId="5113"/>
    <cellStyle name="??" xfId="2917"/>
    <cellStyle name="?? [0.00]_HELPDESK" xfId="2918"/>
    <cellStyle name="?? [0]_??" xfId="2919"/>
    <cellStyle name="?? 2" xfId="4827"/>
    <cellStyle name="??&amp;O?&amp;H?_x0008_??_x0007__x0001__x0001_" xfId="1068"/>
    <cellStyle name="???? [0.00]_HELPDESK" xfId="2920"/>
    <cellStyle name="?????_VERA" xfId="2921"/>
    <cellStyle name="????_HELPDESK" xfId="2922"/>
    <cellStyle name="???[0]_For vlookup" xfId="4828"/>
    <cellStyle name="???_For vlookup" xfId="4829"/>
    <cellStyle name="??_?.????" xfId="2923"/>
    <cellStyle name="?@疾_2332JT3_2313COP2 " xfId="2924"/>
    <cellStyle name="?Q\?1@" xfId="92"/>
    <cellStyle name="?Q\?1@ 2" xfId="93"/>
    <cellStyle name="?Q\?1@ 2 2" xfId="2925"/>
    <cellStyle name="?Q\?1@ 3" xfId="2926"/>
    <cellStyle name="_2003AIMInformation for Reports" xfId="1013"/>
    <cellStyle name="_2345" xfId="4830"/>
    <cellStyle name="_2345_Exhibit NB QoQ" xfId="4831"/>
    <cellStyle name="_2345_Exhibt NB MOM" xfId="4832"/>
    <cellStyle name="_2345_MBNB shipments_20080909" xfId="4833"/>
    <cellStyle name="_2345_MBNB shipments_20090309.wip" xfId="4834"/>
    <cellStyle name="_2345_MBNB shipments_Dec06_wip" xfId="4835"/>
    <cellStyle name="_2345_MBNB shipments_July07.wip" xfId="4836"/>
    <cellStyle name="_2345_NB-Mthly(0)" xfId="4837"/>
    <cellStyle name="_2345_TWN Top 4 MB 5 NB" xfId="4838"/>
    <cellStyle name="_2379-13" xfId="4839"/>
    <cellStyle name="_2379-13_Exhibit NB QoQ" xfId="4840"/>
    <cellStyle name="_2379-13_Exhibt NB MOM" xfId="4841"/>
    <cellStyle name="_2379-13_MBNB shipments_20080909" xfId="4842"/>
    <cellStyle name="_2379-13_MBNB shipments_20090309.wip" xfId="4843"/>
    <cellStyle name="_2379-13_MBNB shipments_Dec06_wip" xfId="4844"/>
    <cellStyle name="_2379-13_MBNB shipments_July07.wip" xfId="4845"/>
    <cellStyle name="_2379-13_NB-Mthly(0)" xfId="4846"/>
    <cellStyle name="_2379-13_TWN Top 4 MB 5 NB" xfId="4847"/>
    <cellStyle name="_2391_050503" xfId="4848"/>
    <cellStyle name="_2391_050503_Exhibit NB QoQ" xfId="4849"/>
    <cellStyle name="_2391_050503_Exhibt NB MOM" xfId="4850"/>
    <cellStyle name="_2391_050503_MBNB shipments_20080909" xfId="4851"/>
    <cellStyle name="_2391_050503_MBNB shipments_20090309.wip" xfId="4852"/>
    <cellStyle name="_2391_050503_MBNB shipments_Dec06_wip" xfId="4853"/>
    <cellStyle name="_2391_050503_MBNB shipments_July07.wip" xfId="4854"/>
    <cellStyle name="_2391_050503_NB-Mthly(0)" xfId="4855"/>
    <cellStyle name="_2391_050503_TWN Top 4 MB 5 NB" xfId="4856"/>
    <cellStyle name="_AA - BenefitsBonus " xfId="2927"/>
    <cellStyle name="_AC_InterContinental" xfId="2928"/>
    <cellStyle name="_AIMP Europe Stats May 2004" xfId="1014"/>
    <cellStyle name="_AIMP Europe Stats May 2004 2" xfId="1525"/>
    <cellStyle name="_AIMP Europe Stats May 2004 2 2" xfId="18367"/>
    <cellStyle name="_AIMP Europe Stats May 2004 3" xfId="18366"/>
    <cellStyle name="_AIMP Europe Stats May 2004_Pivot Table Tips" xfId="1526"/>
    <cellStyle name="_AIMP Europe Stats May 2004_Pivot Table Tips 2" xfId="18368"/>
    <cellStyle name="_All Public cubes and views" xfId="1527"/>
    <cellStyle name="_All Public cubes and views 2" xfId="18369"/>
    <cellStyle name="_AMCCmodelware" xfId="94"/>
    <cellStyle name="_AMCCmodelware 10" xfId="50221"/>
    <cellStyle name="_AMCCmodelware 10 2" xfId="50222"/>
    <cellStyle name="_AMCCmodelware 2" xfId="95"/>
    <cellStyle name="_AMCCmodelware 2 2" xfId="96"/>
    <cellStyle name="_AMCCmodelware 2 2 2" xfId="97"/>
    <cellStyle name="_AMCCmodelware 2 2 2 2" xfId="2929"/>
    <cellStyle name="_AMCCmodelware 2 2 3" xfId="2930"/>
    <cellStyle name="_AMCCmodelware 2 3" xfId="98"/>
    <cellStyle name="_AMCCmodelware 2 3 2" xfId="2931"/>
    <cellStyle name="_AMCCmodelware 2 4" xfId="2932"/>
    <cellStyle name="_AMCCmodelware 3" xfId="99"/>
    <cellStyle name="_AMCCmodelware 3 2" xfId="100"/>
    <cellStyle name="_AMCCmodelware 3 2 2" xfId="2933"/>
    <cellStyle name="_AMCCmodelware 3 3" xfId="2934"/>
    <cellStyle name="_AMCCmodelware 4" xfId="101"/>
    <cellStyle name="_AMCCmodelware 4 2" xfId="2584"/>
    <cellStyle name="_AMCCmodelware 4 2 2" xfId="18358"/>
    <cellStyle name="_AMCCmodelware 4 3" xfId="20491"/>
    <cellStyle name="_AMCCmodelware 5" xfId="2583"/>
    <cellStyle name="_AMCCmodelware 5 2" xfId="2582"/>
    <cellStyle name="_AMCCmodelware 5 2 2" xfId="17825"/>
    <cellStyle name="_AMCCmodelware 5 3" xfId="18197"/>
    <cellStyle name="_AMCCmodelware 6" xfId="2581"/>
    <cellStyle name="_AMCCmodelware 6 2" xfId="2580"/>
    <cellStyle name="_AMCCmodelware 6 2 2" xfId="18198"/>
    <cellStyle name="_AMCCmodelware 6 3" xfId="18356"/>
    <cellStyle name="_AMCCmodelware 7" xfId="2579"/>
    <cellStyle name="_AMCCmodelware 7 2" xfId="2578"/>
    <cellStyle name="_AMCCmodelware 7 2 2" xfId="18359"/>
    <cellStyle name="_AMCCmodelware 7 3" xfId="18199"/>
    <cellStyle name="_AMCCmodelware 8" xfId="2577"/>
    <cellStyle name="_AMCCmodelware 8 2" xfId="17826"/>
    <cellStyle name="_AMCCmodelware 9" xfId="20502"/>
    <cellStyle name="_AMCCmodelware 9 2" xfId="50223"/>
    <cellStyle name="_AMD WIP" xfId="2576"/>
    <cellStyle name="_AMD WIP 10" xfId="50224"/>
    <cellStyle name="_AMD WIP 10 2" xfId="50225"/>
    <cellStyle name="_AMD WIP 2" xfId="2575"/>
    <cellStyle name="_AMD WIP 2 2" xfId="18968"/>
    <cellStyle name="_AMD WIP 3" xfId="2574"/>
    <cellStyle name="_AMD WIP 3 2" xfId="18967"/>
    <cellStyle name="_AMD WIP 4" xfId="2573"/>
    <cellStyle name="_AMD WIP 4 2" xfId="2572"/>
    <cellStyle name="_AMD WIP 4 2 2" xfId="17827"/>
    <cellStyle name="_AMD WIP 4 3" xfId="18361"/>
    <cellStyle name="_AMD WIP 5" xfId="2571"/>
    <cellStyle name="_AMD WIP 5 2" xfId="2570"/>
    <cellStyle name="_AMD WIP 5 2 2" xfId="17828"/>
    <cellStyle name="_AMD WIP 5 3" xfId="18201"/>
    <cellStyle name="_AMD WIP 6" xfId="2569"/>
    <cellStyle name="_AMD WIP 6 2" xfId="2568"/>
    <cellStyle name="_AMD WIP 6 2 2" xfId="18969"/>
    <cellStyle name="_AMD WIP 6 3" xfId="18360"/>
    <cellStyle name="_AMD WIP 7" xfId="2567"/>
    <cellStyle name="_AMD WIP 7 2" xfId="2566"/>
    <cellStyle name="_AMD WIP 7 2 2" xfId="18362"/>
    <cellStyle name="_AMD WIP 7 3" xfId="18966"/>
    <cellStyle name="_AMD WIP 8" xfId="2565"/>
    <cellStyle name="_AMD WIP 8 2" xfId="17829"/>
    <cellStyle name="_AMD WIP 9" xfId="18200"/>
    <cellStyle name="_AMD WIP 9 2" xfId="50226"/>
    <cellStyle name="_Analyst_Coverage_Map" xfId="1528"/>
    <cellStyle name="_Analyst_Coverage_Map 2" xfId="18376"/>
    <cellStyle name="_Annaul model" xfId="4857"/>
    <cellStyle name="_ARX Modelware (12)" xfId="102"/>
    <cellStyle name="_ARX QoQ Chart" xfId="103"/>
    <cellStyle name="_asustek0613" xfId="4858"/>
    <cellStyle name="_asustek0613_Exhibit NB QoQ" xfId="4859"/>
    <cellStyle name="_asustek0613_Exhibt NB MOM" xfId="4860"/>
    <cellStyle name="_asustek0613_MBNB shipments_20080909" xfId="4861"/>
    <cellStyle name="_asustek0613_MBNB shipments_20090309.wip" xfId="4862"/>
    <cellStyle name="_asustek0613_MBNB shipments_Dec06_wip" xfId="4863"/>
    <cellStyle name="_asustek0613_MBNB shipments_July07.wip" xfId="4864"/>
    <cellStyle name="_asustek0613_NB-Mthly(0)" xfId="4865"/>
    <cellStyle name="_asustek0613_TWN Top 4 MB 5 NB" xfId="4866"/>
    <cellStyle name="_Book1" xfId="1015"/>
    <cellStyle name="_Book2" xfId="4867"/>
    <cellStyle name="_Book2_Exhibit NB QoQ" xfId="4868"/>
    <cellStyle name="_Book2_Exhibt NB MOM" xfId="4869"/>
    <cellStyle name="_Book2_MBNB shipments_20080909" xfId="4870"/>
    <cellStyle name="_Book2_MBNB shipments_20090309.wip" xfId="4871"/>
    <cellStyle name="_Book2_MBNB shipments_Dec06_wip" xfId="4872"/>
    <cellStyle name="_Book2_MBNB shipments_July07.wip" xfId="4873"/>
    <cellStyle name="_Book2_NB-Mthly(0)" xfId="4874"/>
    <cellStyle name="_Book2_TWN Top 4 MB 5 NB" xfId="4875"/>
    <cellStyle name="_Book7" xfId="4876"/>
    <cellStyle name="_Book7_Exhibit NB QoQ" xfId="4877"/>
    <cellStyle name="_Book7_Exhibt NB MOM" xfId="4878"/>
    <cellStyle name="_Book7_MBNB shipments_20080909" xfId="4879"/>
    <cellStyle name="_Book7_MBNB shipments_20090309.wip" xfId="4880"/>
    <cellStyle name="_Book7_MBNB shipments_Dec06_wip" xfId="4881"/>
    <cellStyle name="_Book7_MBNB shipments_July07.wip" xfId="4882"/>
    <cellStyle name="_Book7_NB-Mthly(0)" xfId="4883"/>
    <cellStyle name="_Book7_TWN Top 4 MB 5 NB" xfId="4884"/>
    <cellStyle name="_Broadcasting&amp;Cable" xfId="1529"/>
    <cellStyle name="_By Technology, Market Share_Copy of Model2018_AAC_(WIP) " xfId="2935"/>
    <cellStyle name="_By Technology, Market Share_Copy of Model2018_AAC_(WIP)  2" xfId="5986"/>
    <cellStyle name="_CAVM Modelware" xfId="104"/>
    <cellStyle name="_CAVM WIP" xfId="1281"/>
    <cellStyle name="_CAVM_122910 v.2" xfId="105"/>
    <cellStyle name="_CFA10" xfId="2936"/>
    <cellStyle name="_CFA4" xfId="2937"/>
    <cellStyle name="_Change since preliminary  - page for decision support workbook" xfId="1530"/>
    <cellStyle name="_Chartered_Copy of Model2018_AAC_(WIP) " xfId="2938"/>
    <cellStyle name="_Chartered_Copy of Model2018_AAC_(WIP)  2" xfId="5375"/>
    <cellStyle name="_Chartered_Ichia Model2402_Modelware_Copy of Model2018_AAC_(WIP) " xfId="2939"/>
    <cellStyle name="_Chartered_Ichia Model2402_Modelware_Copy of Model2018_AAC_(WIP)  2" xfId="5370"/>
    <cellStyle name="_Chartered_Model_2402(New)_Modelware_Copy of Model2018_AAC_(WIP) " xfId="2940"/>
    <cellStyle name="_Chartered_Model_2402(New)_Modelware_Copy of Model2018_AAC_(WIP)  2" xfId="5219"/>
    <cellStyle name="_Chartered_Model_3311(New)_Copy of Model2018_AAC_(WIP) " xfId="2941"/>
    <cellStyle name="_Chartered_Model_3311(New)_Copy of Model2018_AAC_(WIP)  2" xfId="5436"/>
    <cellStyle name="_Comma_AA - BenefitsBonus " xfId="2942"/>
    <cellStyle name="_Copy of ITGIWWDBDA02_ITGI02" xfId="1531"/>
    <cellStyle name="_Copy of Model2018_AAC_(WIP) " xfId="2943"/>
    <cellStyle name="_Copy of Model2018_AAC_(WIP)  2" xfId="5279"/>
    <cellStyle name="_Country" xfId="1532"/>
    <cellStyle name="_Country 2" xfId="18377"/>
    <cellStyle name="_Country distribution--Reference" xfId="1533"/>
    <cellStyle name="_Country distribution--Reference 2" xfId="18378"/>
    <cellStyle name="_Currency_AA - BenefitsBonus " xfId="2944"/>
    <cellStyle name="_CurrencySpace_AA - BenefitsBonus " xfId="2945"/>
    <cellStyle name="_DA" xfId="2946"/>
    <cellStyle name="_Data (2)" xfId="23650"/>
    <cellStyle name="_DPA" xfId="2947"/>
    <cellStyle name="_DQDMS-check" xfId="1534"/>
    <cellStyle name="_DQDMS-check 2" xfId="1535"/>
    <cellStyle name="_DQDMS-check 2 2" xfId="18380"/>
    <cellStyle name="_DQDMS-check 3" xfId="18379"/>
    <cellStyle name="_EBS Template" xfId="4885"/>
    <cellStyle name="_EBS Template_Exhibit NB QoQ" xfId="4886"/>
    <cellStyle name="_EBS Template_Exhibt NB MOM" xfId="4887"/>
    <cellStyle name="_EBS Template_MBNB shipments_20080909" xfId="4888"/>
    <cellStyle name="_EBS Template_MBNB shipments_20090309.wip" xfId="4889"/>
    <cellStyle name="_EBS Template_MBNB shipments_Dec06_wip" xfId="4890"/>
    <cellStyle name="_EBS Template_MBNB shipments_July07.wip" xfId="4891"/>
    <cellStyle name="_EBS Template_NB-Mthly(0)" xfId="4892"/>
    <cellStyle name="_EBS Template_TWN Top 4 MB 5 NB" xfId="4893"/>
    <cellStyle name="_EBS Template1" xfId="4894"/>
    <cellStyle name="_EBS Template1_Exhibit NB QoQ" xfId="4895"/>
    <cellStyle name="_EBS Template1_Exhibt NB MOM" xfId="4896"/>
    <cellStyle name="_EBS Template1_MBNB shipments_20080909" xfId="4897"/>
    <cellStyle name="_EBS Template1_MBNB shipments_20090309.wip" xfId="4898"/>
    <cellStyle name="_EBS Template1_MBNB shipments_Dec06_wip" xfId="4899"/>
    <cellStyle name="_EBS Template1_MBNB shipments_July07.wip" xfId="4900"/>
    <cellStyle name="_EBS Template1_NB-Mthly(0)" xfId="4901"/>
    <cellStyle name="_EBS Template1_TWN Top 4 MB 5 NB" xfId="4902"/>
    <cellStyle name="_EPS" xfId="2948"/>
    <cellStyle name="_EPS1" xfId="2949"/>
    <cellStyle name="_exchange rates" xfId="1016"/>
    <cellStyle name="_exchange rates 2" xfId="2950"/>
    <cellStyle name="_Exhibit NB QoQ" xfId="4903"/>
    <cellStyle name="_Exhibt NB MOM" xfId="4904"/>
    <cellStyle name="_Fall 2002 IT Services Forecast Supplement" xfId="1017"/>
    <cellStyle name="_Fall 2002 IT Services Forecast Supplement 2" xfId="2951"/>
    <cellStyle name="_Fall 2002 IT Services Forecast Supplement_Japan Worstcase" xfId="1536"/>
    <cellStyle name="_Fall 2002 IT Services Forecast Supplement_Japan Worstcase 2" xfId="1537"/>
    <cellStyle name="_Fall 2002 IT Services Forecast Supplement_Japan Worstcase 2 2" xfId="18384"/>
    <cellStyle name="_Fall 2002 IT Services Forecast Supplement_Japan Worstcase 3" xfId="18383"/>
    <cellStyle name="_Forecast Enterprise Software Markets, Worldwide, 2008-2013, 3Q09 Update 10-sept-09" xfId="1538"/>
    <cellStyle name="_Forecast Review -Fall 2002 IT Services Nov 13" xfId="1018"/>
    <cellStyle name="_Forecast Review -Fall 2002 IT Services Nov 13 2" xfId="2952"/>
    <cellStyle name="_Forecast Review -Fall 2002 IT Services Nov 13_Japan Worstcase" xfId="1539"/>
    <cellStyle name="_Forecast Review -Fall 2002 IT Services Nov 13_Japan Worstcase 2" xfId="1540"/>
    <cellStyle name="_Forecast Review -Fall 2002 IT Services Nov 13_Japan Worstcase 2 2" xfId="18386"/>
    <cellStyle name="_Forecast Review -Fall 2002 IT Services Nov 13_Japan Worstcase 3" xfId="18385"/>
    <cellStyle name="_forecast_enterprise_software_166478" xfId="1541"/>
    <cellStyle name="_Forward Looking" xfId="23649"/>
    <cellStyle name="_GMT_070822" xfId="2953"/>
    <cellStyle name="_GMT_070822 2" xfId="5267"/>
    <cellStyle name="_Google Inc_Draft_112907_OPT for MSFT" xfId="2954"/>
    <cellStyle name="_Growth charts" xfId="23648"/>
    <cellStyle name="_Growth data" xfId="23858"/>
    <cellStyle name="—_GS_Cash " xfId="2955"/>
    <cellStyle name="—_GS_Cash  2" xfId="2956"/>
    <cellStyle name="—_GS_Cash  2 2" xfId="5114"/>
    <cellStyle name="_IBMNorth America2005 YR" xfId="1542"/>
    <cellStyle name="_Ichia Model2402_Modelware_Copy of Model2018_AAC_(WIP) " xfId="2957"/>
    <cellStyle name="_Ichia Model2402_Modelware_Copy of Model2018_AAC_(WIP)  2" xfId="5260"/>
    <cellStyle name="_Info" xfId="1019"/>
    <cellStyle name="_Internal--Forecast Accuracy" xfId="1020"/>
    <cellStyle name="_Internal--Market Share and Service Line Forecast" xfId="1021"/>
    <cellStyle name="_Internal--Market Share and Vertical Forecast" xfId="1022"/>
    <cellStyle name="_IT Databook - Pivot_Sep09" xfId="1543"/>
    <cellStyle name="_IT Services Forecast Decision Support--Sept 2007" xfId="1544"/>
    <cellStyle name="_IT Services Forecast Decision Support--Sept 2007 2" xfId="18387"/>
    <cellStyle name="_IT Services Forecast Decision Support--Sept 2007_Japan Worstcase" xfId="1545"/>
    <cellStyle name="_IT Services Forecast Decision Support--Sept 2007_Japan Worstcase 2" xfId="1546"/>
    <cellStyle name="_IT Services Forecast Decision Support--Sept 2007_Japan Worstcase 2 2" xfId="18389"/>
    <cellStyle name="_IT Services Forecast Decision Support--Sept 2007_Japan Worstcase 3" xfId="18388"/>
    <cellStyle name="_ITBOWWDBDA01_ITBOWWFC" xfId="1547"/>
    <cellStyle name="_ITDatabook_hardware_Jun09_v1" xfId="1548"/>
    <cellStyle name="_ITGIWW 2008-07" xfId="1549"/>
    <cellStyle name="_ITSTWWDBDA01_ITSTWWFC" xfId="1550"/>
    <cellStyle name="_IV6" xfId="2958"/>
    <cellStyle name="_Japan Worstcase" xfId="1551"/>
    <cellStyle name="_Japan Worstcase 2" xfId="1552"/>
    <cellStyle name="_Japan Worstcase 2 2" xfId="18391"/>
    <cellStyle name="_Japan Worstcase 3" xfId="18390"/>
    <cellStyle name="_JapaneseCatalog" xfId="2959"/>
    <cellStyle name="_LLTC WIP_ASR" xfId="23647"/>
    <cellStyle name="_LSI Modelware_021111" xfId="106"/>
    <cellStyle name="_LSI Modelware_021111 10" xfId="50227"/>
    <cellStyle name="_LSI Modelware_021111 10 2" xfId="50228"/>
    <cellStyle name="_LSI Modelware_021111 2" xfId="107"/>
    <cellStyle name="_LSI Modelware_021111 2 2" xfId="108"/>
    <cellStyle name="_LSI Modelware_021111 2 2 2" xfId="109"/>
    <cellStyle name="_LSI Modelware_021111 2 2 2 2" xfId="2960"/>
    <cellStyle name="_LSI Modelware_021111 2 2 3" xfId="2961"/>
    <cellStyle name="_LSI Modelware_021111 2 3" xfId="110"/>
    <cellStyle name="_LSI Modelware_021111 2 3 2" xfId="2962"/>
    <cellStyle name="_LSI Modelware_021111 2 4" xfId="2963"/>
    <cellStyle name="_LSI Modelware_021111 3" xfId="111"/>
    <cellStyle name="_LSI Modelware_021111 3 2" xfId="112"/>
    <cellStyle name="_LSI Modelware_021111 3 2 2" xfId="2964"/>
    <cellStyle name="_LSI Modelware_021111 3 3" xfId="2965"/>
    <cellStyle name="_LSI Modelware_021111 4" xfId="113"/>
    <cellStyle name="_LSI Modelware_021111 4 2" xfId="1892"/>
    <cellStyle name="_LSI Modelware_021111 4 2 2" xfId="18202"/>
    <cellStyle name="_LSI Modelware_021111 4 3" xfId="20474"/>
    <cellStyle name="_LSI Modelware_021111 5" xfId="1893"/>
    <cellStyle name="_LSI Modelware_021111 5 2" xfId="1894"/>
    <cellStyle name="_LSI Modelware_021111 5 2 2" xfId="18204"/>
    <cellStyle name="_LSI Modelware_021111 5 3" xfId="18203"/>
    <cellStyle name="_LSI Modelware_021111 6" xfId="1895"/>
    <cellStyle name="_LSI Modelware_021111 6 2" xfId="1896"/>
    <cellStyle name="_LSI Modelware_021111 6 2 2" xfId="18355"/>
    <cellStyle name="_LSI Modelware_021111 6 3" xfId="17833"/>
    <cellStyle name="_LSI Modelware_021111 7" xfId="1897"/>
    <cellStyle name="_LSI Modelware_021111 7 2" xfId="1898"/>
    <cellStyle name="_LSI Modelware_021111 7 2 2" xfId="18363"/>
    <cellStyle name="_LSI Modelware_021111 7 3" xfId="18972"/>
    <cellStyle name="_LSI Modelware_021111 8" xfId="1899"/>
    <cellStyle name="_LSI Modelware_021111 8 2" xfId="17830"/>
    <cellStyle name="_LSI Modelware_021111 9" xfId="20472"/>
    <cellStyle name="_LSI Modelware_021111 9 2" xfId="50229"/>
    <cellStyle name="_LSI Modelware_021611" xfId="114"/>
    <cellStyle name="_LSI Modelware_021611 10" xfId="50230"/>
    <cellStyle name="_LSI Modelware_021611 10 2" xfId="50231"/>
    <cellStyle name="_LSI Modelware_021611 2" xfId="115"/>
    <cellStyle name="_LSI Modelware_021611 2 2" xfId="116"/>
    <cellStyle name="_LSI Modelware_021611 2 2 2" xfId="117"/>
    <cellStyle name="_LSI Modelware_021611 2 2 2 2" xfId="2966"/>
    <cellStyle name="_LSI Modelware_021611 2 2 3" xfId="2967"/>
    <cellStyle name="_LSI Modelware_021611 2 3" xfId="118"/>
    <cellStyle name="_LSI Modelware_021611 2 3 2" xfId="2968"/>
    <cellStyle name="_LSI Modelware_021611 2 4" xfId="2969"/>
    <cellStyle name="_LSI Modelware_021611 3" xfId="119"/>
    <cellStyle name="_LSI Modelware_021611 3 2" xfId="120"/>
    <cellStyle name="_LSI Modelware_021611 3 2 2" xfId="2970"/>
    <cellStyle name="_LSI Modelware_021611 3 3" xfId="2971"/>
    <cellStyle name="_LSI Modelware_021611 4" xfId="121"/>
    <cellStyle name="_LSI Modelware_021611 4 2" xfId="1900"/>
    <cellStyle name="_LSI Modelware_021611 4 2 2" xfId="18971"/>
    <cellStyle name="_LSI Modelware_021611 4 3" xfId="20473"/>
    <cellStyle name="_LSI Modelware_021611 5" xfId="1901"/>
    <cellStyle name="_LSI Modelware_021611 5 2" xfId="1902"/>
    <cellStyle name="_LSI Modelware_021611 5 2 2" xfId="17832"/>
    <cellStyle name="_LSI Modelware_021611 5 3" xfId="18205"/>
    <cellStyle name="_LSI Modelware_021611 6" xfId="1903"/>
    <cellStyle name="_LSI Modelware_021611 6 2" xfId="1904"/>
    <cellStyle name="_LSI Modelware_021611 6 2 2" xfId="18973"/>
    <cellStyle name="_LSI Modelware_021611 6 3" xfId="17831"/>
    <cellStyle name="_LSI Modelware_021611 7" xfId="1905"/>
    <cellStyle name="_LSI Modelware_021611 7 2" xfId="1906"/>
    <cellStyle name="_LSI Modelware_021611 7 2 2" xfId="18206"/>
    <cellStyle name="_LSI Modelware_021611 7 3" xfId="18970"/>
    <cellStyle name="_LSI Modelware_021611 8" xfId="1907"/>
    <cellStyle name="_LSI Modelware_021611 8 2" xfId="17834"/>
    <cellStyle name="_LSI Modelware_021611 9" xfId="20431"/>
    <cellStyle name="_LSI Modelware_021611 9 2" xfId="50232"/>
    <cellStyle name="_LSI_012511 (5)" xfId="122"/>
    <cellStyle name="_LSI_012511 (5) 10" xfId="50233"/>
    <cellStyle name="_LSI_012511 (5) 10 2" xfId="50234"/>
    <cellStyle name="_LSI_012511 (5) 2" xfId="123"/>
    <cellStyle name="_LSI_012511 (5) 2 2" xfId="124"/>
    <cellStyle name="_LSI_012511 (5) 2 2 2" xfId="125"/>
    <cellStyle name="_LSI_012511 (5) 2 2 2 2" xfId="2972"/>
    <cellStyle name="_LSI_012511 (5) 2 2 3" xfId="2973"/>
    <cellStyle name="_LSI_012511 (5) 2 3" xfId="126"/>
    <cellStyle name="_LSI_012511 (5) 2 3 2" xfId="2974"/>
    <cellStyle name="_LSI_012511 (5) 2 4" xfId="2975"/>
    <cellStyle name="_LSI_012511 (5) 3" xfId="127"/>
    <cellStyle name="_LSI_012511 (5) 3 2" xfId="128"/>
    <cellStyle name="_LSI_012511 (5) 3 2 2" xfId="2976"/>
    <cellStyle name="_LSI_012511 (5) 3 3" xfId="2977"/>
    <cellStyle name="_LSI_012511 (5) 4" xfId="129"/>
    <cellStyle name="_LSI_012511 (5) 4 2" xfId="1908"/>
    <cellStyle name="_LSI_012511 (5) 4 2 2" xfId="18207"/>
    <cellStyle name="_LSI_012511 (5) 4 3" xfId="20430"/>
    <cellStyle name="_LSI_012511 (5) 5" xfId="1909"/>
    <cellStyle name="_LSI_012511 (5) 5 2" xfId="1910"/>
    <cellStyle name="_LSI_012511 (5) 5 2 2" xfId="18365"/>
    <cellStyle name="_LSI_012511 (5) 5 3" xfId="18364"/>
    <cellStyle name="_LSI_012511 (5) 6" xfId="1911"/>
    <cellStyle name="_LSI_012511 (5) 6 2" xfId="1912"/>
    <cellStyle name="_LSI_012511 (5) 6 2 2" xfId="18976"/>
    <cellStyle name="_LSI_012511 (5) 6 3" xfId="18208"/>
    <cellStyle name="_LSI_012511 (5) 7" xfId="1913"/>
    <cellStyle name="_LSI_012511 (5) 7 2" xfId="1914"/>
    <cellStyle name="_LSI_012511 (5) 7 2 2" xfId="18975"/>
    <cellStyle name="_LSI_012511 (5) 7 3" xfId="17835"/>
    <cellStyle name="_LSI_012511 (5) 8" xfId="1915"/>
    <cellStyle name="_LSI_012511 (5) 8 2" xfId="17836"/>
    <cellStyle name="_LSI_012511 (5) 9" xfId="20429"/>
    <cellStyle name="_LSI_012511 (5) 9 2" xfId="50235"/>
    <cellStyle name="_LXK_MS_Model_wip" xfId="1230"/>
    <cellStyle name="_Market sizing Generic" xfId="1023"/>
    <cellStyle name="_MBNB shipments_20080909" xfId="4905"/>
    <cellStyle name="_MBNB shipments_20090309.wip" xfId="4906"/>
    <cellStyle name="_MBNB shipments_Dec06_wip" xfId="4907"/>
    <cellStyle name="_MBNB shipments_July07.wip" xfId="4908"/>
    <cellStyle name="_Metrics1" xfId="2978"/>
    <cellStyle name="_Metrics11" xfId="2979"/>
    <cellStyle name="_Metrics13" xfId="2980"/>
    <cellStyle name="_Metrics3" xfId="2981"/>
    <cellStyle name="_Metrics5" xfId="2982"/>
    <cellStyle name="_Metrics7" xfId="2983"/>
    <cellStyle name="_Metrics9" xfId="2984"/>
    <cellStyle name="_Mkt Seg SRS Shell" xfId="2985"/>
    <cellStyle name="_Mkt Seg SRS Shell 2" xfId="2986"/>
    <cellStyle name="_Model_2402(New)_Modelware_Copy of Model2018_AAC_(WIP) " xfId="2987"/>
    <cellStyle name="_Model_2402(New)_Modelware_Copy of Model2018_AAC_(WIP)  2" xfId="5344"/>
    <cellStyle name="_Model_3311(New)_Copy of Model2018_AAC_(WIP) " xfId="2988"/>
    <cellStyle name="_Model_3311(New)_Copy of Model2018_AAC_(WIP)  2" xfId="5261"/>
    <cellStyle name="_Model2394" xfId="4909"/>
    <cellStyle name="_Model2394_Exhibit NB QoQ" xfId="4910"/>
    <cellStyle name="_Model2394_Exhibt NB MOM" xfId="4911"/>
    <cellStyle name="_Model2394_MBNB shipments_20080909" xfId="4912"/>
    <cellStyle name="_Model2394_MBNB shipments_20090309.wip" xfId="4913"/>
    <cellStyle name="_Model2394_MBNB shipments_Dec06_wip" xfId="4914"/>
    <cellStyle name="_Model2394_MBNB shipments_July07.wip" xfId="4915"/>
    <cellStyle name="_Model2394_NB-Mthly(0)" xfId="4916"/>
    <cellStyle name="_Model2394_TWN Top 4 MB 5 NB" xfId="4917"/>
    <cellStyle name="_Model2401_2Q03result" xfId="4918"/>
    <cellStyle name="_Model2401_2Q03result_Exhibit NB QoQ" xfId="4919"/>
    <cellStyle name="_Model2401_2Q03result_Exhibt NB MOM" xfId="4920"/>
    <cellStyle name="_Model2401_2Q03result_MBNB shipments_20080909" xfId="4921"/>
    <cellStyle name="_Model2401_2Q03result_MBNB shipments_20090309.wip" xfId="4922"/>
    <cellStyle name="_Model2401_2Q03result_MBNB shipments_Dec06_wip" xfId="4923"/>
    <cellStyle name="_Model2401_2Q03result_MBNB shipments_July07.wip" xfId="4924"/>
    <cellStyle name="_Model2401_2Q03result_NB-Mthly(0)" xfId="4925"/>
    <cellStyle name="_Model2401_2Q03result_TWN Top 4 MB 5 NB" xfId="4926"/>
    <cellStyle name="_Model3008_08'03" xfId="4927"/>
    <cellStyle name="_Model3008_08'03_Exhibit NB QoQ" xfId="4928"/>
    <cellStyle name="_Model3008_08'03_Exhibt NB MOM" xfId="4929"/>
    <cellStyle name="_Model3008_08'03_MBNB shipments_20080909" xfId="4930"/>
    <cellStyle name="_Model3008_08'03_MBNB shipments_20090309.wip" xfId="4931"/>
    <cellStyle name="_Model3008_08'03_MBNB shipments_Dec06_wip" xfId="4932"/>
    <cellStyle name="_Model3008_08'03_MBNB shipments_July07.wip" xfId="4933"/>
    <cellStyle name="_Model3008_08'03_NB-Mthly(0)" xfId="4934"/>
    <cellStyle name="_Model3008_08'03_TWN Top 4 MB 5 NB" xfId="4935"/>
    <cellStyle name="_Model3019_08'03" xfId="4936"/>
    <cellStyle name="_Model3019_08'03_Exhibit NB QoQ" xfId="4937"/>
    <cellStyle name="_Model3019_08'03_Exhibt NB MOM" xfId="4938"/>
    <cellStyle name="_Model3019_08'03_MBNB shipments_20080909" xfId="4939"/>
    <cellStyle name="_Model3019_08'03_MBNB shipments_20090309.wip" xfId="4940"/>
    <cellStyle name="_Model3019_08'03_MBNB shipments_Dec06_wip" xfId="4941"/>
    <cellStyle name="_Model3019_08'03_MBNB shipments_July07.wip" xfId="4942"/>
    <cellStyle name="_Model3019_08'03_NB-Mthly(0)" xfId="4943"/>
    <cellStyle name="_Model3019_08'03_TWN Top 4 MB 5 NB" xfId="4944"/>
    <cellStyle name="_Model3059" xfId="4945"/>
    <cellStyle name="_Model3059_Exhibit NB QoQ" xfId="4946"/>
    <cellStyle name="_Model3059_Exhibt NB MOM" xfId="4947"/>
    <cellStyle name="_Model3059_MBNB shipments_20080909" xfId="4948"/>
    <cellStyle name="_Model3059_MBNB shipments_20090309.wip" xfId="4949"/>
    <cellStyle name="_Model3059_MBNB shipments_Dec06_wip" xfId="4950"/>
    <cellStyle name="_Model3059_MBNB shipments_July07.wip" xfId="4951"/>
    <cellStyle name="_Model3059_NB-Mthly(0)" xfId="4952"/>
    <cellStyle name="_Model3059_TWN Top 4 MB 5 NB" xfId="4953"/>
    <cellStyle name="_Monthly sales" xfId="4954"/>
    <cellStyle name="_Multiple_AA - BenefitsBonus " xfId="2989"/>
    <cellStyle name="_MultipleSpace_AA - BenefitsBonus " xfId="2990"/>
    <cellStyle name="_MW_CFA" xfId="2991"/>
    <cellStyle name="_MWAnalytics" xfId="2992"/>
    <cellStyle name="_NB-Mthly(0)" xfId="4955"/>
    <cellStyle name="_Percent_AA - BenefitsBonus " xfId="2993"/>
    <cellStyle name="_PercentSpace_AA - BenefitsBonus " xfId="2994"/>
    <cellStyle name="_Pivot AIMP 2003 2 June 2004 for publication" xfId="1024"/>
    <cellStyle name="_Pivot AIMP 2003 2 June 2004 for publication 2" xfId="1553"/>
    <cellStyle name="_Pivot AIMP 2003 2 June 2004 for publication 2 2" xfId="18393"/>
    <cellStyle name="_Pivot AIMP 2003 2 June 2004 for publication 3" xfId="18392"/>
    <cellStyle name="_Pivot AIMP 2003 2 June 2004 for publication_Pivot Table Tips" xfId="1554"/>
    <cellStyle name="_Pivot AIMP 2003 2 June 2004 for publication_Pivot Table Tips 2" xfId="18394"/>
    <cellStyle name="_Pivot_Table_templateApril05" xfId="1555"/>
    <cellStyle name="_prelim vs final" xfId="1025"/>
    <cellStyle name="_Print Generic Charts Library" xfId="1026"/>
    <cellStyle name="_Print Generic Charts Library 2" xfId="1556"/>
    <cellStyle name="_Print Generic Charts Library 2 2" xfId="18396"/>
    <cellStyle name="_Print Generic Charts Library 3" xfId="18395"/>
    <cellStyle name="_Print Generic Charts Library_Pivot Table Tips" xfId="1557"/>
    <cellStyle name="_Print Generic Charts Library_Pivot Table Tips 2" xfId="18397"/>
    <cellStyle name="_Printers WW" xfId="1558"/>
    <cellStyle name="_quaterly model" xfId="4956"/>
    <cellStyle name="_Rama Other Companies" xfId="1027"/>
    <cellStyle name="_Rama Other Companies 2" xfId="2996"/>
    <cellStyle name="_Rama Other Companies_Japan Worstcase" xfId="1559"/>
    <cellStyle name="_Rama Other Companies_Japan Worstcase 2" xfId="1560"/>
    <cellStyle name="_Rama Other Companies_Japan Worstcase 2 2" xfId="18399"/>
    <cellStyle name="_Rama Other Companies_Japan Worstcase 3" xfId="18398"/>
    <cellStyle name="_RI valuation" xfId="4957"/>
    <cellStyle name="_ROE2" xfId="2997"/>
    <cellStyle name="_ROE4" xfId="2998"/>
    <cellStyle name="_ROE8" xfId="2999"/>
    <cellStyle name="_RRS1" xfId="130"/>
    <cellStyle name="_RRS1 10" xfId="50236"/>
    <cellStyle name="_RRS1 10 2" xfId="50237"/>
    <cellStyle name="_RRS1 2" xfId="131"/>
    <cellStyle name="_RRS1 2 2" xfId="132"/>
    <cellStyle name="_RRS1 2 2 2" xfId="133"/>
    <cellStyle name="_RRS1 2 2 2 2" xfId="3000"/>
    <cellStyle name="_RRS1 2 2 3" xfId="3001"/>
    <cellStyle name="_RRS1 2 3" xfId="134"/>
    <cellStyle name="_RRS1 2 3 2" xfId="3002"/>
    <cellStyle name="_RRS1 2 4" xfId="3003"/>
    <cellStyle name="_RRS1 3" xfId="135"/>
    <cellStyle name="_RRS1 3 2" xfId="136"/>
    <cellStyle name="_RRS1 3 2 2" xfId="3004"/>
    <cellStyle name="_RRS1 3 3" xfId="3005"/>
    <cellStyle name="_RRS1 4" xfId="137"/>
    <cellStyle name="_RRS1 4 2" xfId="1916"/>
    <cellStyle name="_RRS1 4 2 2" xfId="5218"/>
    <cellStyle name="_RRS1 4 3" xfId="5300"/>
    <cellStyle name="_RRS1 5" xfId="138"/>
    <cellStyle name="_RRS1 5 2" xfId="789"/>
    <cellStyle name="_RRS1 5 2 2" xfId="5237"/>
    <cellStyle name="_RRS1 5 3" xfId="5259"/>
    <cellStyle name="_RRS1 6" xfId="1917"/>
    <cellStyle name="_RRS1 6 2" xfId="1918"/>
    <cellStyle name="_RRS1 6 2 2" xfId="18977"/>
    <cellStyle name="_RRS1 6 3" xfId="17837"/>
    <cellStyle name="_RRS1 7" xfId="1919"/>
    <cellStyle name="_RRS1 7 2" xfId="1920"/>
    <cellStyle name="_RRS1 7 2 2" xfId="18974"/>
    <cellStyle name="_RRS1 7 3" xfId="17838"/>
    <cellStyle name="_RRS1 8" xfId="1921"/>
    <cellStyle name="_RRS1 8 2" xfId="3006"/>
    <cellStyle name="_RRS1 9" xfId="18054"/>
    <cellStyle name="_RRS1 9 2" xfId="50238"/>
    <cellStyle name="_RRS10" xfId="139"/>
    <cellStyle name="_RRS10 10" xfId="50239"/>
    <cellStyle name="_RRS10 10 2" xfId="50240"/>
    <cellStyle name="_RRS10 2" xfId="140"/>
    <cellStyle name="_RRS10 2 2" xfId="141"/>
    <cellStyle name="_RRS10 2 2 2" xfId="142"/>
    <cellStyle name="_RRS10 2 2 2 2" xfId="3007"/>
    <cellStyle name="_RRS10 2 2 3" xfId="3008"/>
    <cellStyle name="_RRS10 2 3" xfId="143"/>
    <cellStyle name="_RRS10 2 3 2" xfId="3009"/>
    <cellStyle name="_RRS10 2 4" xfId="3010"/>
    <cellStyle name="_RRS10 3" xfId="144"/>
    <cellStyle name="_RRS10 3 2" xfId="145"/>
    <cellStyle name="_RRS10 3 2 2" xfId="3011"/>
    <cellStyle name="_RRS10 3 3" xfId="3012"/>
    <cellStyle name="_RRS10 4" xfId="146"/>
    <cellStyle name="_RRS10 4 2" xfId="1922"/>
    <cellStyle name="_RRS10 4 2 2" xfId="18209"/>
    <cellStyle name="_RRS10 4 3" xfId="18057"/>
    <cellStyle name="_RRS10 5" xfId="1923"/>
    <cellStyle name="_RRS10 5 2" xfId="1924"/>
    <cellStyle name="_RRS10 5 2 2" xfId="18211"/>
    <cellStyle name="_RRS10 5 3" xfId="18210"/>
    <cellStyle name="_RRS10 6" xfId="1925"/>
    <cellStyle name="_RRS10 6 2" xfId="1926"/>
    <cellStyle name="_RRS10 6 2 2" xfId="18212"/>
    <cellStyle name="_RRS10 6 3" xfId="18979"/>
    <cellStyle name="_RRS10 7" xfId="1927"/>
    <cellStyle name="_RRS10 7 2" xfId="1928"/>
    <cellStyle name="_RRS10 7 2 2" xfId="18214"/>
    <cellStyle name="_RRS10 7 3" xfId="18213"/>
    <cellStyle name="_RRS10 8" xfId="1929"/>
    <cellStyle name="_RRS10 8 2" xfId="18981"/>
    <cellStyle name="_RRS10 9" xfId="18055"/>
    <cellStyle name="_RRS10 9 2" xfId="50241"/>
    <cellStyle name="_RRS13" xfId="1282"/>
    <cellStyle name="_RRS13 10" xfId="50242"/>
    <cellStyle name="_RRS13 10 2" xfId="50243"/>
    <cellStyle name="_RRS13 2" xfId="1930"/>
    <cellStyle name="_RRS13 2 2" xfId="18215"/>
    <cellStyle name="_RRS13 3" xfId="1931"/>
    <cellStyle name="_RRS13 3 2" xfId="18978"/>
    <cellStyle name="_RRS13 4" xfId="1932"/>
    <cellStyle name="_RRS13 4 2" xfId="1933"/>
    <cellStyle name="_RRS13 4 2 2" xfId="18217"/>
    <cellStyle name="_RRS13 4 3" xfId="18216"/>
    <cellStyle name="_RRS13 5" xfId="1934"/>
    <cellStyle name="_RRS13 5 2" xfId="1935"/>
    <cellStyle name="_RRS13 5 2 2" xfId="18219"/>
    <cellStyle name="_RRS13 5 3" xfId="18218"/>
    <cellStyle name="_RRS13 6" xfId="1936"/>
    <cellStyle name="_RRS13 6 2" xfId="1937"/>
    <cellStyle name="_RRS13 6 2 2" xfId="18984"/>
    <cellStyle name="_RRS13 6 3" xfId="17839"/>
    <cellStyle name="_RRS13 7" xfId="1938"/>
    <cellStyle name="_RRS13 7 2" xfId="1939"/>
    <cellStyle name="_RRS13 7 2 2" xfId="18983"/>
    <cellStyle name="_RRS13 7 3" xfId="17840"/>
    <cellStyle name="_RRS13 8" xfId="1940"/>
    <cellStyle name="_RRS13 8 2" xfId="17841"/>
    <cellStyle name="_RRS13 9" xfId="20428"/>
    <cellStyle name="_RRS13 9 2" xfId="50244"/>
    <cellStyle name="_RRS15" xfId="3013"/>
    <cellStyle name="_RRS16" xfId="1283"/>
    <cellStyle name="_RRS16 10" xfId="50245"/>
    <cellStyle name="_RRS16 10 2" xfId="50246"/>
    <cellStyle name="_RRS16 2" xfId="1941"/>
    <cellStyle name="_RRS16 2 2" xfId="18220"/>
    <cellStyle name="_RRS16 3" xfId="1942"/>
    <cellStyle name="_RRS16 3 2" xfId="17842"/>
    <cellStyle name="_RRS16 4" xfId="1943"/>
    <cellStyle name="_RRS16 4 2" xfId="1944"/>
    <cellStyle name="_RRS16 4 2 2" xfId="18372"/>
    <cellStyle name="_RRS16 4 3" xfId="18985"/>
    <cellStyle name="_RRS16 5" xfId="1945"/>
    <cellStyle name="_RRS16 5 2" xfId="1946"/>
    <cellStyle name="_RRS16 5 2 2" xfId="18370"/>
    <cellStyle name="_RRS16 5 3" xfId="18982"/>
    <cellStyle name="_RRS16 6" xfId="1947"/>
    <cellStyle name="_RRS16 6 2" xfId="1948"/>
    <cellStyle name="_RRS16 6 2 2" xfId="18221"/>
    <cellStyle name="_RRS16 6 3" xfId="18371"/>
    <cellStyle name="_RRS16 7" xfId="1950"/>
    <cellStyle name="_RRS16 7 2" xfId="1951"/>
    <cellStyle name="_RRS16 7 2 2" xfId="17843"/>
    <cellStyle name="_RRS16 7 3" xfId="18373"/>
    <cellStyle name="_RRS16 8" xfId="1952"/>
    <cellStyle name="_RRS16 8 2" xfId="18222"/>
    <cellStyle name="_RRS16 9" xfId="18714"/>
    <cellStyle name="_RRS16 9 2" xfId="50247"/>
    <cellStyle name="_RRS2" xfId="1451"/>
    <cellStyle name="_RRS2 2" xfId="5332"/>
    <cellStyle name="_RRS20" xfId="3014"/>
    <cellStyle name="_RRS3" xfId="147"/>
    <cellStyle name="_RRS3 10" xfId="50248"/>
    <cellStyle name="_RRS3 10 2" xfId="50249"/>
    <cellStyle name="_RRS3 2" xfId="148"/>
    <cellStyle name="_RRS3 2 2" xfId="149"/>
    <cellStyle name="_RRS3 2 2 2" xfId="150"/>
    <cellStyle name="_RRS3 2 2 2 2" xfId="3015"/>
    <cellStyle name="_RRS3 2 2 3" xfId="3016"/>
    <cellStyle name="_RRS3 2 3" xfId="151"/>
    <cellStyle name="_RRS3 2 3 2" xfId="3017"/>
    <cellStyle name="_RRS3 2 4" xfId="3018"/>
    <cellStyle name="_RRS3 3" xfId="152"/>
    <cellStyle name="_RRS3 3 2" xfId="153"/>
    <cellStyle name="_RRS3 3 2 2" xfId="3019"/>
    <cellStyle name="_RRS3 3 3" xfId="3020"/>
    <cellStyle name="_RRS3 4" xfId="154"/>
    <cellStyle name="_RRS3 4 2" xfId="1953"/>
    <cellStyle name="_RRS3 4 2 2" xfId="6017"/>
    <cellStyle name="_RRS3 4 3" xfId="5278"/>
    <cellStyle name="_RRS3 5" xfId="155"/>
    <cellStyle name="_RRS3 5 2" xfId="790"/>
    <cellStyle name="_RRS3 5 2 2" xfId="5321"/>
    <cellStyle name="_RRS3 5 3" xfId="5258"/>
    <cellStyle name="_RRS3 6" xfId="1954"/>
    <cellStyle name="_RRS3 6 2" xfId="1955"/>
    <cellStyle name="_RRS3 6 2 2" xfId="17844"/>
    <cellStyle name="_RRS3 6 3" xfId="18988"/>
    <cellStyle name="_RRS3 7" xfId="1956"/>
    <cellStyle name="_RRS3 7 2" xfId="1957"/>
    <cellStyle name="_RRS3 7 2 2" xfId="18375"/>
    <cellStyle name="_RRS3 7 3" xfId="18987"/>
    <cellStyle name="_RRS3 8" xfId="1958"/>
    <cellStyle name="_RRS3 8 2" xfId="3021"/>
    <cellStyle name="_RRS3 9" xfId="20427"/>
    <cellStyle name="_RRS3 9 2" xfId="50250"/>
    <cellStyle name="_RRS4" xfId="156"/>
    <cellStyle name="_RRS4 10" xfId="50251"/>
    <cellStyle name="_RRS4 10 2" xfId="50252"/>
    <cellStyle name="_RRS4 2" xfId="157"/>
    <cellStyle name="_RRS4 2 2" xfId="158"/>
    <cellStyle name="_RRS4 2 2 2" xfId="159"/>
    <cellStyle name="_RRS4 2 2 2 2" xfId="3022"/>
    <cellStyle name="_RRS4 2 2 3" xfId="3023"/>
    <cellStyle name="_RRS4 2 3" xfId="160"/>
    <cellStyle name="_RRS4 2 3 2" xfId="3024"/>
    <cellStyle name="_RRS4 2 4" xfId="3025"/>
    <cellStyle name="_RRS4 3" xfId="161"/>
    <cellStyle name="_RRS4 3 2" xfId="162"/>
    <cellStyle name="_RRS4 3 2 2" xfId="3026"/>
    <cellStyle name="_RRS4 3 3" xfId="3027"/>
    <cellStyle name="_RRS4 4" xfId="163"/>
    <cellStyle name="_RRS4 4 2" xfId="1963"/>
    <cellStyle name="_RRS4 4 2 2" xfId="5991"/>
    <cellStyle name="_RRS4 4 3" xfId="5305"/>
    <cellStyle name="_RRS4 5" xfId="164"/>
    <cellStyle name="_RRS4 5 2" xfId="791"/>
    <cellStyle name="_RRS4 5 2 2" xfId="6033"/>
    <cellStyle name="_RRS4 5 3" xfId="5227"/>
    <cellStyle name="_RRS4 6" xfId="1964"/>
    <cellStyle name="_RRS4 6 2" xfId="1965"/>
    <cellStyle name="_RRS4 6 2 2" xfId="17845"/>
    <cellStyle name="_RRS4 6 3" xfId="18989"/>
    <cellStyle name="_RRS4 7" xfId="1966"/>
    <cellStyle name="_RRS4 7 2" xfId="1967"/>
    <cellStyle name="_RRS4 7 2 2" xfId="18223"/>
    <cellStyle name="_RRS4 7 3" xfId="18374"/>
    <cellStyle name="_RRS4 8" xfId="1968"/>
    <cellStyle name="_RRS4 8 2" xfId="3028"/>
    <cellStyle name="_RRS4 9" xfId="18721"/>
    <cellStyle name="_RRS4 9 2" xfId="50253"/>
    <cellStyle name="_RRS6" xfId="3029"/>
    <cellStyle name="_RRS8" xfId="1231"/>
    <cellStyle name="_RRS8 2" xfId="18411"/>
    <cellStyle name="_sftwre_Dec08" xfId="1561"/>
    <cellStyle name="_Sheet1" xfId="1562"/>
    <cellStyle name="_SUMMARY " xfId="2"/>
    <cellStyle name="_SUMMARY  10" xfId="1969"/>
    <cellStyle name="_SUMMARY  10 2" xfId="1970"/>
    <cellStyle name="_SUMMARY  10 2 2" xfId="17886"/>
    <cellStyle name="_SUMMARY  10 2 2 2" xfId="18414"/>
    <cellStyle name="_SUMMARY  10 2 3" xfId="18413"/>
    <cellStyle name="_SUMMARY  10 3" xfId="1971"/>
    <cellStyle name="_SUMMARY  10 3 2" xfId="17887"/>
    <cellStyle name="_SUMMARY  10 3 2 2" xfId="18416"/>
    <cellStyle name="_SUMMARY  10 3 3" xfId="18415"/>
    <cellStyle name="_SUMMARY  10 4" xfId="17888"/>
    <cellStyle name="_SUMMARY  10 4 2" xfId="18417"/>
    <cellStyle name="_SUMMARY  10 5" xfId="18412"/>
    <cellStyle name="_SUMMARY  11" xfId="1972"/>
    <cellStyle name="_SUMMARY  11 2" xfId="3030"/>
    <cellStyle name="_SUMMARY  11 2 2" xfId="18419"/>
    <cellStyle name="_SUMMARY  11 3" xfId="18418"/>
    <cellStyle name="_SUMMARY  12" xfId="1973"/>
    <cellStyle name="_SUMMARY  12 2" xfId="3031"/>
    <cellStyle name="_SUMMARY  12 2 2" xfId="18421"/>
    <cellStyle name="_SUMMARY  12 3" xfId="3032"/>
    <cellStyle name="_SUMMARY  13" xfId="3033"/>
    <cellStyle name="_SUMMARY  13 2" xfId="3034"/>
    <cellStyle name="_SUMMARY  13 3" xfId="3035"/>
    <cellStyle name="_SUMMARY  14" xfId="3036"/>
    <cellStyle name="_SUMMARY  14 2" xfId="3037"/>
    <cellStyle name="_SUMMARY  2" xfId="165"/>
    <cellStyle name="_SUMMARY  2 2" xfId="166"/>
    <cellStyle name="_SUMMARY  2 2 2" xfId="167"/>
    <cellStyle name="_SUMMARY  2 2 2 2" xfId="3038"/>
    <cellStyle name="_SUMMARY  2 2 3" xfId="3039"/>
    <cellStyle name="_SUMMARY  2 3" xfId="168"/>
    <cellStyle name="_SUMMARY  2 3 2" xfId="3040"/>
    <cellStyle name="_SUMMARY  2 4" xfId="3041"/>
    <cellStyle name="_SUMMARY  3" xfId="169"/>
    <cellStyle name="_SUMMARY  3 2" xfId="170"/>
    <cellStyle name="_SUMMARY  3 2 2" xfId="859"/>
    <cellStyle name="_SUMMARY  3 2 2 2" xfId="860"/>
    <cellStyle name="_SUMMARY  3 2 2 2 2" xfId="18425"/>
    <cellStyle name="_SUMMARY  3 2 2 3" xfId="18424"/>
    <cellStyle name="_SUMMARY  3 2 3" xfId="861"/>
    <cellStyle name="_SUMMARY  3 2 3 2" xfId="18426"/>
    <cellStyle name="_SUMMARY  3 2 4" xfId="18423"/>
    <cellStyle name="_SUMMARY  3 3" xfId="862"/>
    <cellStyle name="_SUMMARY  3 3 2" xfId="863"/>
    <cellStyle name="_SUMMARY  3 3 2 2" xfId="18428"/>
    <cellStyle name="_SUMMARY  3 3 3" xfId="18427"/>
    <cellStyle name="_SUMMARY  3 4" xfId="864"/>
    <cellStyle name="_SUMMARY  3 4 2" xfId="18429"/>
    <cellStyle name="_SUMMARY  3 5" xfId="18422"/>
    <cellStyle name="_SUMMARY  4" xfId="171"/>
    <cellStyle name="_SUMMARY  4 2" xfId="172"/>
    <cellStyle name="_SUMMARY  4 2 2" xfId="173"/>
    <cellStyle name="_SUMMARY  4 2 2 2" xfId="3042"/>
    <cellStyle name="_SUMMARY  4 2 3" xfId="3043"/>
    <cellStyle name="_SUMMARY  4 3" xfId="174"/>
    <cellStyle name="_SUMMARY  4 3 2" xfId="175"/>
    <cellStyle name="_SUMMARY  4 3 2 2" xfId="3044"/>
    <cellStyle name="_SUMMARY  4 3 3" xfId="3045"/>
    <cellStyle name="_SUMMARY  4 4" xfId="176"/>
    <cellStyle name="_SUMMARY  4 4 2" xfId="3046"/>
    <cellStyle name="_SUMMARY  4 5" xfId="3047"/>
    <cellStyle name="_SUMMARY  4 5 2" xfId="3048"/>
    <cellStyle name="_SUMMARY  4 6" xfId="3049"/>
    <cellStyle name="_SUMMARY  5" xfId="177"/>
    <cellStyle name="_SUMMARY  5 2" xfId="178"/>
    <cellStyle name="_SUMMARY  5 2 2" xfId="179"/>
    <cellStyle name="_SUMMARY  5 2 2 2" xfId="3050"/>
    <cellStyle name="_SUMMARY  5 2 3" xfId="3051"/>
    <cellStyle name="_SUMMARY  5 3" xfId="180"/>
    <cellStyle name="_SUMMARY  5 3 2" xfId="3052"/>
    <cellStyle name="_SUMMARY  5 4" xfId="3053"/>
    <cellStyle name="_SUMMARY  6" xfId="181"/>
    <cellStyle name="_SUMMARY  6 2" xfId="182"/>
    <cellStyle name="_SUMMARY  6 2 2" xfId="1311"/>
    <cellStyle name="_SUMMARY  6 2 2 2" xfId="6046"/>
    <cellStyle name="_SUMMARY  6 2 3" xfId="5985"/>
    <cellStyle name="_SUMMARY  6 3" xfId="1312"/>
    <cellStyle name="_SUMMARY  6 3 2" xfId="6001"/>
    <cellStyle name="_SUMMARY  6 4" xfId="3054"/>
    <cellStyle name="_SUMMARY  7" xfId="183"/>
    <cellStyle name="_SUMMARY  7 2" xfId="792"/>
    <cellStyle name="_SUMMARY  7 2 2" xfId="6052"/>
    <cellStyle name="_SUMMARY  7 3" xfId="1174"/>
    <cellStyle name="_SUMMARY  7 3 2" xfId="6013"/>
    <cellStyle name="_SUMMARY  7 4" xfId="5356"/>
    <cellStyle name="_SUMMARY  8" xfId="994"/>
    <cellStyle name="_SUMMARY  8 2" xfId="1210"/>
    <cellStyle name="_SUMMARY  8 2 2" xfId="6049"/>
    <cellStyle name="_SUMMARY  8 2 2 2" xfId="5317"/>
    <cellStyle name="_SUMMARY  8 2 3" xfId="5295"/>
    <cellStyle name="_SUMMARY  8 3" xfId="3055"/>
    <cellStyle name="_SUMMARY  8 3 2" xfId="3056"/>
    <cellStyle name="_SUMMARY  8 4" xfId="5208"/>
    <cellStyle name="_SUMMARY  9" xfId="1313"/>
    <cellStyle name="_SUMMARY  9 2" xfId="3057"/>
    <cellStyle name="_SUMMARY  9 2 2" xfId="3058"/>
    <cellStyle name="_SUMMARY  9 3" xfId="3059"/>
    <cellStyle name="_SUMMARY _RRST1" xfId="1232"/>
    <cellStyle name="_SUMMARY _RRST1 2" xfId="18431"/>
    <cellStyle name="_SUMMARY _RRST6" xfId="1259"/>
    <cellStyle name="_SUMMARY _RRST6 2" xfId="18432"/>
    <cellStyle name="_Survey form sample" xfId="1563"/>
    <cellStyle name="_SWKS WIPsls" xfId="1284"/>
    <cellStyle name="_SWKS WIPsls 10" xfId="50254"/>
    <cellStyle name="_SWKS WIPsls 10 2" xfId="50255"/>
    <cellStyle name="_SWKS WIPsls 2" xfId="1979"/>
    <cellStyle name="_SWKS WIPsls 2 2" xfId="17847"/>
    <cellStyle name="_SWKS WIPsls 3" xfId="1980"/>
    <cellStyle name="_SWKS WIPsls 3 2" xfId="17846"/>
    <cellStyle name="_SWKS WIPsls 4" xfId="1981"/>
    <cellStyle name="_SWKS WIPsls 4 2" xfId="1982"/>
    <cellStyle name="_SWKS WIPsls 4 2 2" xfId="18225"/>
    <cellStyle name="_SWKS WIPsls 4 3" xfId="18224"/>
    <cellStyle name="_SWKS WIPsls 5" xfId="1983"/>
    <cellStyle name="_SWKS WIPsls 5 2" xfId="1984"/>
    <cellStyle name="_SWKS WIPsls 5 2 2" xfId="17848"/>
    <cellStyle name="_SWKS WIPsls 5 3" xfId="17849"/>
    <cellStyle name="_SWKS WIPsls 6" xfId="1985"/>
    <cellStyle name="_SWKS WIPsls 6 2" xfId="1986"/>
    <cellStyle name="_SWKS WIPsls 6 2 2" xfId="18228"/>
    <cellStyle name="_SWKS WIPsls 6 3" xfId="18226"/>
    <cellStyle name="_SWKS WIPsls 7" xfId="1987"/>
    <cellStyle name="_SWKS WIPsls 7 2" xfId="1988"/>
    <cellStyle name="_SWKS WIPsls 7 2 2" xfId="17850"/>
    <cellStyle name="_SWKS WIPsls 7 3" xfId="17851"/>
    <cellStyle name="_SWKS WIPsls 8" xfId="1989"/>
    <cellStyle name="_SWKS WIPsls 8 2" xfId="18229"/>
    <cellStyle name="_SWKS WIPsls 9" xfId="20490"/>
    <cellStyle name="_SWKS WIPsls 9 2" xfId="50256"/>
    <cellStyle name="_SWKS_113010" xfId="184"/>
    <cellStyle name="_SWKS_113010 10" xfId="50257"/>
    <cellStyle name="_SWKS_113010 10 2" xfId="50258"/>
    <cellStyle name="_SWKS_113010 2" xfId="185"/>
    <cellStyle name="_SWKS_113010 2 2" xfId="186"/>
    <cellStyle name="_SWKS_113010 2 2 2" xfId="187"/>
    <cellStyle name="_SWKS_113010 2 2 2 2" xfId="3060"/>
    <cellStyle name="_SWKS_113010 2 2 3" xfId="3061"/>
    <cellStyle name="_SWKS_113010 2 3" xfId="188"/>
    <cellStyle name="_SWKS_113010 2 3 2" xfId="3062"/>
    <cellStyle name="_SWKS_113010 2 4" xfId="3063"/>
    <cellStyle name="_SWKS_113010 3" xfId="189"/>
    <cellStyle name="_SWKS_113010 3 2" xfId="190"/>
    <cellStyle name="_SWKS_113010 3 2 2" xfId="3064"/>
    <cellStyle name="_SWKS_113010 3 3" xfId="3065"/>
    <cellStyle name="_SWKS_113010 4" xfId="191"/>
    <cellStyle name="_SWKS_113010 4 2" xfId="1990"/>
    <cellStyle name="_SWKS_113010 4 2 2" xfId="18230"/>
    <cellStyle name="_SWKS_113010 4 3" xfId="20501"/>
    <cellStyle name="_SWKS_113010 5" xfId="1991"/>
    <cellStyle name="_SWKS_113010 5 2" xfId="1992"/>
    <cellStyle name="_SWKS_113010 5 2 2" xfId="17852"/>
    <cellStyle name="_SWKS_113010 5 3" xfId="17853"/>
    <cellStyle name="_SWKS_113010 6" xfId="1993"/>
    <cellStyle name="_SWKS_113010 6 2" xfId="1994"/>
    <cellStyle name="_SWKS_113010 6 2 2" xfId="18233"/>
    <cellStyle name="_SWKS_113010 6 3" xfId="18231"/>
    <cellStyle name="_SWKS_113010 7" xfId="1995"/>
    <cellStyle name="_SWKS_113010 7 2" xfId="1996"/>
    <cellStyle name="_SWKS_113010 7 2 2" xfId="18234"/>
    <cellStyle name="_SWKS_113010 7 3" xfId="17854"/>
    <cellStyle name="_SWKS_113010 8" xfId="1997"/>
    <cellStyle name="_SWKS_113010 8 2" xfId="17855"/>
    <cellStyle name="_SWKS_113010 9" xfId="20500"/>
    <cellStyle name="_SWKS_113010 9 2" xfId="50259"/>
    <cellStyle name="_SWKS_122210" xfId="192"/>
    <cellStyle name="_SWKS_122210 10" xfId="50260"/>
    <cellStyle name="_SWKS_122210 10 2" xfId="50261"/>
    <cellStyle name="_SWKS_122210 2" xfId="193"/>
    <cellStyle name="_SWKS_122210 2 2" xfId="194"/>
    <cellStyle name="_SWKS_122210 2 2 2" xfId="195"/>
    <cellStyle name="_SWKS_122210 2 2 2 2" xfId="3066"/>
    <cellStyle name="_SWKS_122210 2 2 3" xfId="3067"/>
    <cellStyle name="_SWKS_122210 2 3" xfId="196"/>
    <cellStyle name="_SWKS_122210 2 3 2" xfId="3068"/>
    <cellStyle name="_SWKS_122210 2 4" xfId="3069"/>
    <cellStyle name="_SWKS_122210 3" xfId="197"/>
    <cellStyle name="_SWKS_122210 3 2" xfId="198"/>
    <cellStyle name="_SWKS_122210 3 2 2" xfId="3070"/>
    <cellStyle name="_SWKS_122210 3 3" xfId="3071"/>
    <cellStyle name="_SWKS_122210 4" xfId="199"/>
    <cellStyle name="_SWKS_122210 4 2" xfId="1998"/>
    <cellStyle name="_SWKS_122210 4 2 2" xfId="18235"/>
    <cellStyle name="_SWKS_122210 4 3" xfId="20489"/>
    <cellStyle name="_SWKS_122210 5" xfId="1999"/>
    <cellStyle name="_SWKS_122210 5 2" xfId="2000"/>
    <cellStyle name="_SWKS_122210 5 2 2" xfId="17856"/>
    <cellStyle name="_SWKS_122210 5 3" xfId="17859"/>
    <cellStyle name="_SWKS_122210 6" xfId="2001"/>
    <cellStyle name="_SWKS_122210 6 2" xfId="2002"/>
    <cellStyle name="_SWKS_122210 6 2 2" xfId="17858"/>
    <cellStyle name="_SWKS_122210 6 3" xfId="18236"/>
    <cellStyle name="_SWKS_122210 7" xfId="2003"/>
    <cellStyle name="_SWKS_122210 7 2" xfId="2004"/>
    <cellStyle name="_SWKS_122210 7 2 2" xfId="18237"/>
    <cellStyle name="_SWKS_122210 7 3" xfId="17857"/>
    <cellStyle name="_SWKS_122210 8" xfId="2005"/>
    <cellStyle name="_SWKS_122210 8 2" xfId="18239"/>
    <cellStyle name="_SWKS_122210 9" xfId="20471"/>
    <cellStyle name="_SWKS_122210 9 2" xfId="50262"/>
    <cellStyle name="_SY Earnings(Labor cost)" xfId="3072"/>
    <cellStyle name="_Taiwan" xfId="4958"/>
    <cellStyle name="_Telecom Constraint" xfId="1564"/>
    <cellStyle name="_Template Stats" xfId="1028"/>
    <cellStyle name="_TWN Top 4 MB 5 NB" xfId="4959"/>
    <cellStyle name="_TXN modelware NEW" xfId="200"/>
    <cellStyle name="_US GAAP" xfId="4960"/>
    <cellStyle name="_US GAAP_Copy of Model2018_AAC_(WIP) " xfId="3073"/>
    <cellStyle name="_US GAAP_Copy of Model2018_AAC_(WIP)  2" xfId="5207"/>
    <cellStyle name="_US GAAP_Exhibit NB QoQ" xfId="4961"/>
    <cellStyle name="_US GAAP_Exhibt NB MOM" xfId="4962"/>
    <cellStyle name="_US GAAP_MBNB shipments_20080909" xfId="4963"/>
    <cellStyle name="_US GAAP_MBNB shipments_20090309.wip" xfId="4964"/>
    <cellStyle name="_US GAAP_MBNB shipments_Dec06_wip" xfId="4965"/>
    <cellStyle name="_US GAAP_MBNB shipments_July07.wip" xfId="4966"/>
    <cellStyle name="_US GAAP_NB-Mthly(0)" xfId="4967"/>
    <cellStyle name="_US GAAP_TWN Top 4 MB 5 NB" xfId="4968"/>
    <cellStyle name="_Valuation_ROC RI" xfId="4969"/>
    <cellStyle name="_WIP_to_published" xfId="1565"/>
    <cellStyle name="_WIP_to_published 2" xfId="18434"/>
    <cellStyle name="_Wireline Tel Forecast " xfId="3"/>
    <cellStyle name="_Wireline Tel Forecast  2" xfId="68"/>
    <cellStyle name="_Wireline Tel Forecast  2 2" xfId="3074"/>
    <cellStyle name="_Wireline Tel Forecast  3" xfId="3075"/>
    <cellStyle name="_Word Charts" xfId="3076"/>
    <cellStyle name="_Word Charts 2" xfId="3077"/>
    <cellStyle name="_Zip Stats_2004" xfId="1029"/>
    <cellStyle name="’Ê‰Ý [0.00]_GE 3 MINIMUM" xfId="201"/>
    <cellStyle name="’Ê‰Ý_GE 3 MINIMUM" xfId="202"/>
    <cellStyle name="“ú–{Œê" xfId="3078"/>
    <cellStyle name="£ BP" xfId="203"/>
    <cellStyle name="£ BP 2" xfId="3079"/>
    <cellStyle name="¤@¯ë_2311" xfId="4970"/>
    <cellStyle name="¤d¤À¦ì[0]_2311" xfId="4971"/>
    <cellStyle name="¤d¤À¦ì_2311" xfId="4972"/>
    <cellStyle name="¥ JY" xfId="204"/>
    <cellStyle name="¥ JY 2" xfId="3080"/>
    <cellStyle name="¥ JY 3" xfId="4973"/>
    <cellStyle name="=C:\WINNT35\SYSTEM32\COMMAND.COM" xfId="205"/>
    <cellStyle name="=C:\WINNT35\SYSTEM32\COMMAND.COM 10" xfId="50263"/>
    <cellStyle name="=C:\WINNT35\SYSTEM32\COMMAND.COM 10 2" xfId="50264"/>
    <cellStyle name="=C:\WINNT35\SYSTEM32\COMMAND.COM 2" xfId="206"/>
    <cellStyle name="=C:\WINNT35\SYSTEM32\COMMAND.COM 2 2" xfId="207"/>
    <cellStyle name="=C:\WINNT35\SYSTEM32\COMMAND.COM 2 2 2" xfId="208"/>
    <cellStyle name="=C:\WINNT35\SYSTEM32\COMMAND.COM 2 2 2 2" xfId="3081"/>
    <cellStyle name="=C:\WINNT35\SYSTEM32\COMMAND.COM 2 2 3" xfId="3082"/>
    <cellStyle name="=C:\WINNT35\SYSTEM32\COMMAND.COM 2 3" xfId="209"/>
    <cellStyle name="=C:\WINNT35\SYSTEM32\COMMAND.COM 2 3 2" xfId="3083"/>
    <cellStyle name="=C:\WINNT35\SYSTEM32\COMMAND.COM 2 4" xfId="3084"/>
    <cellStyle name="=C:\WINNT35\SYSTEM32\COMMAND.COM 3" xfId="210"/>
    <cellStyle name="=C:\WINNT35\SYSTEM32\COMMAND.COM 3 2" xfId="211"/>
    <cellStyle name="=C:\WINNT35\SYSTEM32\COMMAND.COM 3 2 2" xfId="3085"/>
    <cellStyle name="=C:\WINNT35\SYSTEM32\COMMAND.COM 3 3" xfId="3086"/>
    <cellStyle name="=C:\WINNT35\SYSTEM32\COMMAND.COM 4" xfId="212"/>
    <cellStyle name="=C:\WINNT35\SYSTEM32\COMMAND.COM 4 2" xfId="2006"/>
    <cellStyle name="=C:\WINNT35\SYSTEM32\COMMAND.COM 4 2 2" xfId="6019"/>
    <cellStyle name="=C:\WINNT35\SYSTEM32\COMMAND.COM 4 3" xfId="5441"/>
    <cellStyle name="=C:\WINNT35\SYSTEM32\COMMAND.COM 5" xfId="213"/>
    <cellStyle name="=C:\WINNT35\SYSTEM32\COMMAND.COM 5 2" xfId="793"/>
    <cellStyle name="=C:\WINNT35\SYSTEM32\COMMAND.COM 5 2 2" xfId="5398"/>
    <cellStyle name="=C:\WINNT35\SYSTEM32\COMMAND.COM 5 3" xfId="5272"/>
    <cellStyle name="=C:\WINNT35\SYSTEM32\COMMAND.COM 6" xfId="2007"/>
    <cellStyle name="=C:\WINNT35\SYSTEM32\COMMAND.COM 6 2" xfId="2008"/>
    <cellStyle name="=C:\WINNT35\SYSTEM32\COMMAND.COM 6 2 2" xfId="18240"/>
    <cellStyle name="=C:\WINNT35\SYSTEM32\COMMAND.COM 6 3" xfId="17860"/>
    <cellStyle name="=C:\WINNT35\SYSTEM32\COMMAND.COM 7" xfId="2009"/>
    <cellStyle name="=C:\WINNT35\SYSTEM32\COMMAND.COM 7 2" xfId="2010"/>
    <cellStyle name="=C:\WINNT35\SYSTEM32\COMMAND.COM 7 2 2" xfId="18241"/>
    <cellStyle name="=C:\WINNT35\SYSTEM32\COMMAND.COM 7 3" xfId="18381"/>
    <cellStyle name="=C:\WINNT35\SYSTEM32\COMMAND.COM 8" xfId="2011"/>
    <cellStyle name="=C:\WINNT35\SYSTEM32\COMMAND.COM 8 2" xfId="3087"/>
    <cellStyle name="=C:\WINNT35\SYSTEM32\COMMAND.COM 9" xfId="20482"/>
    <cellStyle name="=C:\WINNT35\SYSTEM32\COMMAND.COM 9 2" xfId="50265"/>
    <cellStyle name="§Q\?1@" xfId="3088"/>
    <cellStyle name="§Q\?1@ 2" xfId="5374"/>
    <cellStyle name="•W€_Comparables" xfId="214"/>
    <cellStyle name="•W_9501sales" xfId="23644"/>
    <cellStyle name="0" xfId="215"/>
    <cellStyle name="0 2" xfId="216"/>
    <cellStyle name="0%" xfId="217"/>
    <cellStyle name="0% 10" xfId="50266"/>
    <cellStyle name="0% 10 2" xfId="50267"/>
    <cellStyle name="0% 2" xfId="218"/>
    <cellStyle name="0% 2 2" xfId="219"/>
    <cellStyle name="0% 2 2 2" xfId="220"/>
    <cellStyle name="0% 2 2 2 2" xfId="3089"/>
    <cellStyle name="0% 2 2 3" xfId="3090"/>
    <cellStyle name="0% 2 3" xfId="221"/>
    <cellStyle name="0% 2 3 2" xfId="3091"/>
    <cellStyle name="0% 2 4" xfId="3092"/>
    <cellStyle name="0% 3" xfId="222"/>
    <cellStyle name="0% 3 2" xfId="223"/>
    <cellStyle name="0% 3 2 2" xfId="3093"/>
    <cellStyle name="0% 3 3" xfId="3094"/>
    <cellStyle name="0% 4" xfId="224"/>
    <cellStyle name="0% 4 2" xfId="2012"/>
    <cellStyle name="0% 4 2 2" xfId="5270"/>
    <cellStyle name="0% 4 3" xfId="5378"/>
    <cellStyle name="0% 5" xfId="225"/>
    <cellStyle name="0% 5 2" xfId="794"/>
    <cellStyle name="0% 5 2 2" xfId="5386"/>
    <cellStyle name="0% 5 3" xfId="5674"/>
    <cellStyle name="0% 6" xfId="2013"/>
    <cellStyle name="0% 6 2" xfId="2014"/>
    <cellStyle name="0% 6 2 2" xfId="18243"/>
    <cellStyle name="0% 6 3" xfId="18382"/>
    <cellStyle name="0% 7" xfId="2015"/>
    <cellStyle name="0% 7 2" xfId="2016"/>
    <cellStyle name="0% 7 2 2" xfId="18244"/>
    <cellStyle name="0% 7 3" xfId="17861"/>
    <cellStyle name="0% 8" xfId="2017"/>
    <cellStyle name="0% 8 2" xfId="3095"/>
    <cellStyle name="0% 9" xfId="20462"/>
    <cellStyle name="0% 9 2" xfId="50268"/>
    <cellStyle name="0,0_x000d__x000a_NA_x000d__x000a_" xfId="1030"/>
    <cellStyle name="0,0_x000d__x000a_NA_x000d__x000a_ 2" xfId="1566"/>
    <cellStyle name="0,0_x000d__x000a_NA_x000d__x000a_ 2 2" xfId="18439"/>
    <cellStyle name="0,0_x000d__x000a_NA_x000d__x000a_ 3" xfId="18438"/>
    <cellStyle name="0,0_x000d__x000a_NA_x000d__x000a__Pivot Table Tips" xfId="1567"/>
    <cellStyle name="0.0" xfId="226"/>
    <cellStyle name="0.0 2" xfId="227"/>
    <cellStyle name="0.0%" xfId="228"/>
    <cellStyle name="0.0% 2" xfId="229"/>
    <cellStyle name="0.0_40050504 (pension)" xfId="3096"/>
    <cellStyle name="0.00" xfId="230"/>
    <cellStyle name="0.00 2" xfId="231"/>
    <cellStyle name="0.00%" xfId="232"/>
    <cellStyle name="0.00% 2" xfId="233"/>
    <cellStyle name="0.00_40050504 (pension)" xfId="3097"/>
    <cellStyle name="0_40050504 (pension)" xfId="3098"/>
    <cellStyle name="0_Capex &amp; Depreciation " xfId="4"/>
    <cellStyle name="0_Capex &amp; Depreciation  2" xfId="234"/>
    <cellStyle name="0_Capex &amp; Depreciation  2 2" xfId="235"/>
    <cellStyle name="0_Capex &amp; Depreciation _RRST1" xfId="236"/>
    <cellStyle name="0_Capex &amp; Depreciation _RRST1 2" xfId="237"/>
    <cellStyle name="0_Capex &amp; Depreciation _RRST12" xfId="1314"/>
    <cellStyle name="0_Capex &amp; Depreciation _RRST12 2" xfId="2018"/>
    <cellStyle name="0_Capex &amp; Depreciation _RRST15" xfId="2019"/>
    <cellStyle name="0_Capex &amp; Depreciation _RRST15 2" xfId="2020"/>
    <cellStyle name="0_Capex &amp; Depreciation _RRST19" xfId="1069"/>
    <cellStyle name="0_Capex &amp; Depreciation _RRST19 2" xfId="1070"/>
    <cellStyle name="0_Capex &amp; Depreciation _RRST20" xfId="238"/>
    <cellStyle name="0_Capex &amp; Depreciation _RRST20 2" xfId="239"/>
    <cellStyle name="0_Capex &amp; Depreciation _RRST25" xfId="3099"/>
    <cellStyle name="0_Capex &amp; Depreciation _RRST25 2" xfId="3100"/>
    <cellStyle name="0_Capex &amp; Depreciation _RRST3" xfId="1315"/>
    <cellStyle name="0_Capex &amp; Depreciation _RRST6" xfId="865"/>
    <cellStyle name="0_Capex &amp; Depreciation _RRST6 2" xfId="866"/>
    <cellStyle name="0_Capex &amp; Depreciation _RRST9" xfId="867"/>
    <cellStyle name="0_Capex &amp; Depreciation _RRST9 2" xfId="868"/>
    <cellStyle name="0_ConsensusPanel_v20080325 (2)" xfId="3101"/>
    <cellStyle name="0_Copy of Model2018_AAC_(WIP) " xfId="3102"/>
    <cellStyle name="0_geconsensusv1" xfId="3103"/>
    <cellStyle name="0_Handset component data_Copy of Model2018_AAC_(WIP) " xfId="3104"/>
    <cellStyle name="0_IV2" xfId="3105"/>
    <cellStyle name="0_IV6" xfId="3106"/>
    <cellStyle name="0_Japan Pension Module Sumitomo Chemical" xfId="3107"/>
    <cellStyle name="0_JapaneseCatalog" xfId="3108"/>
    <cellStyle name="0_MB-Mthly(1)" xfId="4974"/>
    <cellStyle name="0_MB-Mthly(1)_Exhibit NB QoQ" xfId="4975"/>
    <cellStyle name="0_MB-Mthly(1)_Exhibt NB MOM" xfId="4976"/>
    <cellStyle name="0_MB-Mthly(1)_MBNB shipments_20080909" xfId="4977"/>
    <cellStyle name="0_MB-Mthly(1)_MBNB shipments_20090309.wip" xfId="4978"/>
    <cellStyle name="0_MB-Mthly(1)_MBNB shipments_Dec06_wip" xfId="4979"/>
    <cellStyle name="0_MB-Mthly(1)_MBNB shipments_July07.wip" xfId="4980"/>
    <cellStyle name="0_MB-Mthly(1)_NB-Mthly(0)" xfId="4981"/>
    <cellStyle name="0_ROE2" xfId="3109"/>
    <cellStyle name="0_ROE4" xfId="3110"/>
    <cellStyle name="0_SmartChart_B1035" xfId="3111"/>
    <cellStyle name="0_SmartChart_B1200" xfId="3112"/>
    <cellStyle name="0_SmartChart_C1035" xfId="3113"/>
    <cellStyle name="0_SmartChart_O1200" xfId="3114"/>
    <cellStyle name="0_TWN Top 4 MB 5 NB" xfId="4982"/>
    <cellStyle name="0_TWN Top 4 MB 5 NB_Exhibit NB QoQ" xfId="4983"/>
    <cellStyle name="0_TWN Top 4 MB 5 NB_Exhibt NB MOM" xfId="4984"/>
    <cellStyle name="0_TWN Top 4 MB 5 NB_MBNB shipments_20080909" xfId="4985"/>
    <cellStyle name="0_TWN Top 4 MB 5 NB_MBNB shipments_20090309.wip" xfId="4986"/>
    <cellStyle name="0_TWN Top 4 MB 5 NB_MBNB shipments_Dec06_wip" xfId="4987"/>
    <cellStyle name="0_TWN Top 4 MB 5 NB_MBNB shipments_July07.wip" xfId="4988"/>
    <cellStyle name="0_Valuing BP " xfId="5"/>
    <cellStyle name="0_Valuing BP  2" xfId="240"/>
    <cellStyle name="0_Valuing BP  2 2" xfId="241"/>
    <cellStyle name="0_Valuing BP _RRST1" xfId="242"/>
    <cellStyle name="0_Valuing BP _RRST1 2" xfId="243"/>
    <cellStyle name="0_Valuing BP _RRST12" xfId="1316"/>
    <cellStyle name="0_Valuing BP _RRST12 2" xfId="2021"/>
    <cellStyle name="0_Valuing BP _RRST15" xfId="2022"/>
    <cellStyle name="0_Valuing BP _RRST15 2" xfId="2023"/>
    <cellStyle name="0_Valuing BP _RRST19" xfId="1071"/>
    <cellStyle name="0_Valuing BP _RRST19 2" xfId="1072"/>
    <cellStyle name="0_Valuing BP _RRST20" xfId="244"/>
    <cellStyle name="0_Valuing BP _RRST20 2" xfId="245"/>
    <cellStyle name="0_Valuing BP _RRST25" xfId="3115"/>
    <cellStyle name="0_Valuing BP _RRST25 2" xfId="3116"/>
    <cellStyle name="0_Valuing BP _RRST3" xfId="1317"/>
    <cellStyle name="0_Valuing BP _RRST6" xfId="869"/>
    <cellStyle name="0_Valuing BP _RRST6 2" xfId="870"/>
    <cellStyle name="0_Valuing BP _RRST9" xfId="871"/>
    <cellStyle name="0_Valuing BP _RRST9 2" xfId="872"/>
    <cellStyle name="0_Vendor revenues_Copy of Model2018_AAC_(WIP) " xfId="3117"/>
    <cellStyle name="0_Wireline Tel Forecast " xfId="6"/>
    <cellStyle name="0_Wireline Tel Forecast  2" xfId="246"/>
    <cellStyle name="0_Wireline Tel Forecast  2 2" xfId="247"/>
    <cellStyle name="0_WW NB DT PC &amp;TWN NB MB Qly" xfId="4989"/>
    <cellStyle name="0_WW NB DT PC &amp;TWN NB MB Qly_Exhibit NB QoQ" xfId="4990"/>
    <cellStyle name="0_WW NB DT PC &amp;TWN NB MB Qly_Exhibt NB MOM" xfId="4991"/>
    <cellStyle name="0_WW NB DT PC &amp;TWN NB MB Qly_MBNB shipments_20080909" xfId="4992"/>
    <cellStyle name="0_WW NB DT PC &amp;TWN NB MB Qly_MBNB shipments_20090309.wip" xfId="4993"/>
    <cellStyle name="0_WW NB DT PC &amp;TWN NB MB Qly_MBNB shipments_Dec06_wip" xfId="4994"/>
    <cellStyle name="0_WW NB DT PC &amp;TWN NB MB Qly_MBNB shipments_July07.wip" xfId="4995"/>
    <cellStyle name="0_Yardstick2012" xfId="3118"/>
    <cellStyle name="1,comma" xfId="248"/>
    <cellStyle name="1,comma 10" xfId="50269"/>
    <cellStyle name="1,comma 10 2" xfId="50270"/>
    <cellStyle name="1,comma 2" xfId="249"/>
    <cellStyle name="1,comma 2 2" xfId="250"/>
    <cellStyle name="1,comma 2 2 2" xfId="251"/>
    <cellStyle name="1,comma 2 2 2 2" xfId="3119"/>
    <cellStyle name="1,comma 2 2 3" xfId="3120"/>
    <cellStyle name="1,comma 2 3" xfId="252"/>
    <cellStyle name="1,comma 2 3 2" xfId="3121"/>
    <cellStyle name="1,comma 2 4" xfId="3122"/>
    <cellStyle name="1,comma 3" xfId="253"/>
    <cellStyle name="1,comma 3 2" xfId="254"/>
    <cellStyle name="1,comma 3 2 2" xfId="3123"/>
    <cellStyle name="1,comma 3 3" xfId="3124"/>
    <cellStyle name="1,comma 4" xfId="255"/>
    <cellStyle name="1,comma 4 2" xfId="2026"/>
    <cellStyle name="1,comma 4 2 2" xfId="5251"/>
    <cellStyle name="1,comma 4 3" xfId="5355"/>
    <cellStyle name="1,comma 5" xfId="256"/>
    <cellStyle name="1,comma 5 2" xfId="795"/>
    <cellStyle name="1,comma 5 2 2" xfId="5325"/>
    <cellStyle name="1,comma 5 3" xfId="5672"/>
    <cellStyle name="1,comma 6" xfId="2027"/>
    <cellStyle name="1,comma 6 2" xfId="2028"/>
    <cellStyle name="1,comma 6 2 2" xfId="18246"/>
    <cellStyle name="1,comma 6 3" xfId="18245"/>
    <cellStyle name="1,comma 7" xfId="2029"/>
    <cellStyle name="1,comma 7 2" xfId="2030"/>
    <cellStyle name="1,comma 7 2 2" xfId="18249"/>
    <cellStyle name="1,comma 7 3" xfId="18248"/>
    <cellStyle name="1,comma 8" xfId="2031"/>
    <cellStyle name="1,comma 8 2" xfId="3125"/>
    <cellStyle name="1,comma 9" xfId="18060"/>
    <cellStyle name="1,comma 9 2" xfId="50271"/>
    <cellStyle name="¹eºÐA²_AIAIC°AuCoE² " xfId="3126"/>
    <cellStyle name="20% - Accent1" xfId="7" builtinId="30" customBuiltin="1"/>
    <cellStyle name="20% - Accent1 2" xfId="257"/>
    <cellStyle name="20% - Accent1 2 2" xfId="258"/>
    <cellStyle name="20% - Accent1 2 3" xfId="5115"/>
    <cellStyle name="20% - Accent1 2 4" xfId="3128"/>
    <cellStyle name="20% - Accent1 3" xfId="1073"/>
    <cellStyle name="20% - Accent1 3 10" xfId="23814"/>
    <cellStyle name="20% - Accent1 3 2" xfId="3130"/>
    <cellStyle name="20% - Accent1 3 2 10" xfId="28713"/>
    <cellStyle name="20% - Accent1 3 2 2" xfId="3131"/>
    <cellStyle name="20% - Accent1 3 2 2 2" xfId="6863"/>
    <cellStyle name="20% - Accent1 3 2 2 2 2" xfId="10195"/>
    <cellStyle name="20% - Accent1 3 2 2 2 2 2" xfId="16899"/>
    <cellStyle name="20% - Accent1 3 2 2 2 2 2 2" xfId="27200"/>
    <cellStyle name="20% - Accent1 3 2 2 2 2 2 2 2" xfId="49445"/>
    <cellStyle name="20% - Accent1 3 2 2 2 2 2 3" xfId="24987"/>
    <cellStyle name="20% - Accent1 3 2 2 2 2 2 3 2" xfId="47232"/>
    <cellStyle name="20% - Accent1 3 2 2 2 2 2 4" xfId="40320"/>
    <cellStyle name="20% - Accent1 3 2 2 2 2 3" xfId="25566"/>
    <cellStyle name="20% - Accent1 3 2 2 2 2 3 2" xfId="27871"/>
    <cellStyle name="20% - Accent1 3 2 2 2 2 3 2 2" xfId="50116"/>
    <cellStyle name="20% - Accent1 3 2 2 2 2 3 3" xfId="47811"/>
    <cellStyle name="20% - Accent1 3 2 2 2 2 4" xfId="26526"/>
    <cellStyle name="20% - Accent1 3 2 2 2 2 4 2" xfId="48771"/>
    <cellStyle name="20% - Accent1 3 2 2 2 2 5" xfId="24322"/>
    <cellStyle name="20% - Accent1 3 2 2 2 2 5 2" xfId="46568"/>
    <cellStyle name="20% - Accent1 3 2 2 2 2 6" xfId="33688"/>
    <cellStyle name="20% - Accent1 3 2 2 2 3" xfId="13583"/>
    <cellStyle name="20% - Accent1 3 2 2 2 3 2" xfId="26868"/>
    <cellStyle name="20% - Accent1 3 2 2 2 3 2 2" xfId="49113"/>
    <cellStyle name="20% - Accent1 3 2 2 2 3 3" xfId="24655"/>
    <cellStyle name="20% - Accent1 3 2 2 2 3 3 2" xfId="46900"/>
    <cellStyle name="20% - Accent1 3 2 2 2 3 4" xfId="37004"/>
    <cellStyle name="20% - Accent1 3 2 2 2 4" xfId="25230"/>
    <cellStyle name="20% - Accent1 3 2 2 2 4 2" xfId="27535"/>
    <cellStyle name="20% - Accent1 3 2 2 2 4 2 2" xfId="49780"/>
    <cellStyle name="20% - Accent1 3 2 2 2 4 3" xfId="47475"/>
    <cellStyle name="20% - Accent1 3 2 2 2 5" xfId="26197"/>
    <cellStyle name="20% - Accent1 3 2 2 2 5 2" xfId="48442"/>
    <cellStyle name="20% - Accent1 3 2 2 2 6" xfId="24006"/>
    <cellStyle name="20% - Accent1 3 2 2 2 6 2" xfId="46252"/>
    <cellStyle name="20% - Accent1 3 2 2 2 7" xfId="30372"/>
    <cellStyle name="20% - Accent1 3 2 2 3" xfId="8529"/>
    <cellStyle name="20% - Accent1 3 2 2 3 2" xfId="15241"/>
    <cellStyle name="20% - Accent1 3 2 2 3 2 2" xfId="27034"/>
    <cellStyle name="20% - Accent1 3 2 2 3 2 2 2" xfId="49279"/>
    <cellStyle name="20% - Accent1 3 2 2 3 2 3" xfId="24821"/>
    <cellStyle name="20% - Accent1 3 2 2 3 2 3 2" xfId="47066"/>
    <cellStyle name="20% - Accent1 3 2 2 3 2 4" xfId="38662"/>
    <cellStyle name="20% - Accent1 3 2 2 3 3" xfId="25398"/>
    <cellStyle name="20% - Accent1 3 2 2 3 3 2" xfId="27703"/>
    <cellStyle name="20% - Accent1 3 2 2 3 3 2 2" xfId="49948"/>
    <cellStyle name="20% - Accent1 3 2 2 3 3 3" xfId="47643"/>
    <cellStyle name="20% - Accent1 3 2 2 3 4" xfId="26361"/>
    <cellStyle name="20% - Accent1 3 2 2 3 4 2" xfId="48606"/>
    <cellStyle name="20% - Accent1 3 2 2 3 5" xfId="24157"/>
    <cellStyle name="20% - Accent1 3 2 2 3 5 2" xfId="46403"/>
    <cellStyle name="20% - Accent1 3 2 2 3 6" xfId="32030"/>
    <cellStyle name="20% - Accent1 3 2 2 4" xfId="11923"/>
    <cellStyle name="20% - Accent1 3 2 2 4 2" xfId="26702"/>
    <cellStyle name="20% - Accent1 3 2 2 4 2 2" xfId="48947"/>
    <cellStyle name="20% - Accent1 3 2 2 4 3" xfId="24489"/>
    <cellStyle name="20% - Accent1 3 2 2 4 3 2" xfId="46734"/>
    <cellStyle name="20% - Accent1 3 2 2 4 4" xfId="35346"/>
    <cellStyle name="20% - Accent1 3 2 2 5" xfId="23466"/>
    <cellStyle name="20% - Accent1 3 2 2 5 2" xfId="27367"/>
    <cellStyle name="20% - Accent1 3 2 2 5 2 2" xfId="49612"/>
    <cellStyle name="20% - Accent1 3 2 2 5 3" xfId="45811"/>
    <cellStyle name="20% - Accent1 3 2 2 6" xfId="25718"/>
    <cellStyle name="20% - Accent1 3 2 2 6 2" xfId="47963"/>
    <cellStyle name="20% - Accent1 3 2 2 7" xfId="28714"/>
    <cellStyle name="20% - Accent1 3 2 3" xfId="3132"/>
    <cellStyle name="20% - Accent1 3 2 3 2" xfId="6864"/>
    <cellStyle name="20% - Accent1 3 2 3 2 2" xfId="10196"/>
    <cellStyle name="20% - Accent1 3 2 3 2 2 2" xfId="16900"/>
    <cellStyle name="20% - Accent1 3 2 3 2 2 2 2" xfId="27159"/>
    <cellStyle name="20% - Accent1 3 2 3 2 2 2 2 2" xfId="49404"/>
    <cellStyle name="20% - Accent1 3 2 3 2 2 2 3" xfId="24946"/>
    <cellStyle name="20% - Accent1 3 2 3 2 2 2 3 2" xfId="47191"/>
    <cellStyle name="20% - Accent1 3 2 3 2 2 2 4" xfId="40321"/>
    <cellStyle name="20% - Accent1 3 2 3 2 2 3" xfId="25524"/>
    <cellStyle name="20% - Accent1 3 2 3 2 2 3 2" xfId="27829"/>
    <cellStyle name="20% - Accent1 3 2 3 2 2 3 2 2" xfId="50074"/>
    <cellStyle name="20% - Accent1 3 2 3 2 2 3 3" xfId="47769"/>
    <cellStyle name="20% - Accent1 3 2 3 2 2 4" xfId="26486"/>
    <cellStyle name="20% - Accent1 3 2 3 2 2 4 2" xfId="48731"/>
    <cellStyle name="20% - Accent1 3 2 3 2 2 5" xfId="24282"/>
    <cellStyle name="20% - Accent1 3 2 3 2 2 5 2" xfId="46528"/>
    <cellStyle name="20% - Accent1 3 2 3 2 2 6" xfId="33689"/>
    <cellStyle name="20% - Accent1 3 2 3 2 3" xfId="13584"/>
    <cellStyle name="20% - Accent1 3 2 3 2 3 2" xfId="26827"/>
    <cellStyle name="20% - Accent1 3 2 3 2 3 2 2" xfId="49072"/>
    <cellStyle name="20% - Accent1 3 2 3 2 3 3" xfId="24614"/>
    <cellStyle name="20% - Accent1 3 2 3 2 3 3 2" xfId="46859"/>
    <cellStyle name="20% - Accent1 3 2 3 2 3 4" xfId="37005"/>
    <cellStyle name="20% - Accent1 3 2 3 2 4" xfId="25188"/>
    <cellStyle name="20% - Accent1 3 2 3 2 4 2" xfId="27493"/>
    <cellStyle name="20% - Accent1 3 2 3 2 4 2 2" xfId="49738"/>
    <cellStyle name="20% - Accent1 3 2 3 2 4 3" xfId="47433"/>
    <cellStyle name="20% - Accent1 3 2 3 2 5" xfId="26157"/>
    <cellStyle name="20% - Accent1 3 2 3 2 5 2" xfId="48402"/>
    <cellStyle name="20% - Accent1 3 2 3 2 6" xfId="23966"/>
    <cellStyle name="20% - Accent1 3 2 3 2 6 2" xfId="46212"/>
    <cellStyle name="20% - Accent1 3 2 3 2 7" xfId="30373"/>
    <cellStyle name="20% - Accent1 3 2 3 3" xfId="8530"/>
    <cellStyle name="20% - Accent1 3 2 3 3 2" xfId="15242"/>
    <cellStyle name="20% - Accent1 3 2 3 3 2 2" xfId="26993"/>
    <cellStyle name="20% - Accent1 3 2 3 3 2 2 2" xfId="49238"/>
    <cellStyle name="20% - Accent1 3 2 3 3 2 3" xfId="24780"/>
    <cellStyle name="20% - Accent1 3 2 3 3 2 3 2" xfId="47025"/>
    <cellStyle name="20% - Accent1 3 2 3 3 2 4" xfId="38663"/>
    <cellStyle name="20% - Accent1 3 2 3 3 3" xfId="25356"/>
    <cellStyle name="20% - Accent1 3 2 3 3 3 2" xfId="27661"/>
    <cellStyle name="20% - Accent1 3 2 3 3 3 2 2" xfId="49906"/>
    <cellStyle name="20% - Accent1 3 2 3 3 3 3" xfId="47601"/>
    <cellStyle name="20% - Accent1 3 2 3 3 4" xfId="26321"/>
    <cellStyle name="20% - Accent1 3 2 3 3 4 2" xfId="48566"/>
    <cellStyle name="20% - Accent1 3 2 3 3 5" xfId="24117"/>
    <cellStyle name="20% - Accent1 3 2 3 3 5 2" xfId="46363"/>
    <cellStyle name="20% - Accent1 3 2 3 3 6" xfId="32031"/>
    <cellStyle name="20% - Accent1 3 2 3 4" xfId="11924"/>
    <cellStyle name="20% - Accent1 3 2 3 4 2" xfId="26661"/>
    <cellStyle name="20% - Accent1 3 2 3 4 2 2" xfId="48906"/>
    <cellStyle name="20% - Accent1 3 2 3 4 3" xfId="24448"/>
    <cellStyle name="20% - Accent1 3 2 3 4 3 2" xfId="46693"/>
    <cellStyle name="20% - Accent1 3 2 3 4 4" xfId="35347"/>
    <cellStyle name="20% - Accent1 3 2 3 5" xfId="23461"/>
    <cellStyle name="20% - Accent1 3 2 3 5 2" xfId="27325"/>
    <cellStyle name="20% - Accent1 3 2 3 5 2 2" xfId="49570"/>
    <cellStyle name="20% - Accent1 3 2 3 5 3" xfId="45806"/>
    <cellStyle name="20% - Accent1 3 2 3 6" xfId="25719"/>
    <cellStyle name="20% - Accent1 3 2 3 6 2" xfId="47964"/>
    <cellStyle name="20% - Accent1 3 2 3 7" xfId="28715"/>
    <cellStyle name="20% - Accent1 3 2 4" xfId="6862"/>
    <cellStyle name="20% - Accent1 3 2 4 2" xfId="10194"/>
    <cellStyle name="20% - Accent1 3 2 4 2 2" xfId="16898"/>
    <cellStyle name="20% - Accent1 3 2 4 2 2 2" xfId="25028"/>
    <cellStyle name="20% - Accent1 3 2 4 2 2 2 2" xfId="27241"/>
    <cellStyle name="20% - Accent1 3 2 4 2 2 2 2 2" xfId="49486"/>
    <cellStyle name="20% - Accent1 3 2 4 2 2 2 3" xfId="47273"/>
    <cellStyle name="20% - Accent1 3 2 4 2 2 3" xfId="25608"/>
    <cellStyle name="20% - Accent1 3 2 4 2 2 3 2" xfId="27913"/>
    <cellStyle name="20% - Accent1 3 2 4 2 2 3 2 2" xfId="50158"/>
    <cellStyle name="20% - Accent1 3 2 4 2 2 3 3" xfId="47853"/>
    <cellStyle name="20% - Accent1 3 2 4 2 2 4" xfId="26567"/>
    <cellStyle name="20% - Accent1 3 2 4 2 2 4 2" xfId="48812"/>
    <cellStyle name="20% - Accent1 3 2 4 2 2 5" xfId="24363"/>
    <cellStyle name="20% - Accent1 3 2 4 2 2 5 2" xfId="46609"/>
    <cellStyle name="20% - Accent1 3 2 4 2 2 6" xfId="40319"/>
    <cellStyle name="20% - Accent1 3 2 4 2 3" xfId="24696"/>
    <cellStyle name="20% - Accent1 3 2 4 2 3 2" xfId="26909"/>
    <cellStyle name="20% - Accent1 3 2 4 2 3 2 2" xfId="49154"/>
    <cellStyle name="20% - Accent1 3 2 4 2 3 3" xfId="46941"/>
    <cellStyle name="20% - Accent1 3 2 4 2 4" xfId="25272"/>
    <cellStyle name="20% - Accent1 3 2 4 2 4 2" xfId="27577"/>
    <cellStyle name="20% - Accent1 3 2 4 2 4 2 2" xfId="49822"/>
    <cellStyle name="20% - Accent1 3 2 4 2 4 3" xfId="47517"/>
    <cellStyle name="20% - Accent1 3 2 4 2 5" xfId="26238"/>
    <cellStyle name="20% - Accent1 3 2 4 2 5 2" xfId="48483"/>
    <cellStyle name="20% - Accent1 3 2 4 2 6" xfId="24047"/>
    <cellStyle name="20% - Accent1 3 2 4 2 6 2" xfId="46293"/>
    <cellStyle name="20% - Accent1 3 2 4 2 7" xfId="33687"/>
    <cellStyle name="20% - Accent1 3 2 4 3" xfId="13582"/>
    <cellStyle name="20% - Accent1 3 2 4 3 2" xfId="24862"/>
    <cellStyle name="20% - Accent1 3 2 4 3 2 2" xfId="27075"/>
    <cellStyle name="20% - Accent1 3 2 4 3 2 2 2" xfId="49320"/>
    <cellStyle name="20% - Accent1 3 2 4 3 2 3" xfId="47107"/>
    <cellStyle name="20% - Accent1 3 2 4 3 3" xfId="25440"/>
    <cellStyle name="20% - Accent1 3 2 4 3 3 2" xfId="27745"/>
    <cellStyle name="20% - Accent1 3 2 4 3 3 2 2" xfId="49990"/>
    <cellStyle name="20% - Accent1 3 2 4 3 3 3" xfId="47685"/>
    <cellStyle name="20% - Accent1 3 2 4 3 4" xfId="26402"/>
    <cellStyle name="20% - Accent1 3 2 4 3 4 2" xfId="48647"/>
    <cellStyle name="20% - Accent1 3 2 4 3 5" xfId="24198"/>
    <cellStyle name="20% - Accent1 3 2 4 3 5 2" xfId="46444"/>
    <cellStyle name="20% - Accent1 3 2 4 3 6" xfId="37003"/>
    <cellStyle name="20% - Accent1 3 2 4 4" xfId="24530"/>
    <cellStyle name="20% - Accent1 3 2 4 4 2" xfId="26743"/>
    <cellStyle name="20% - Accent1 3 2 4 4 2 2" xfId="48988"/>
    <cellStyle name="20% - Accent1 3 2 4 4 3" xfId="46775"/>
    <cellStyle name="20% - Accent1 3 2 4 5" xfId="25104"/>
    <cellStyle name="20% - Accent1 3 2 4 5 2" xfId="27409"/>
    <cellStyle name="20% - Accent1 3 2 4 5 2 2" xfId="49654"/>
    <cellStyle name="20% - Accent1 3 2 4 5 3" xfId="47349"/>
    <cellStyle name="20% - Accent1 3 2 4 6" xfId="26085"/>
    <cellStyle name="20% - Accent1 3 2 4 6 2" xfId="48330"/>
    <cellStyle name="20% - Accent1 3 2 4 7" xfId="23894"/>
    <cellStyle name="20% - Accent1 3 2 4 7 2" xfId="46140"/>
    <cellStyle name="20% - Accent1 3 2 4 8" xfId="30371"/>
    <cellStyle name="20% - Accent1 3 2 5" xfId="8528"/>
    <cellStyle name="20% - Accent1 3 2 5 2" xfId="15240"/>
    <cellStyle name="20% - Accent1 3 2 5 2 2" xfId="24904"/>
    <cellStyle name="20% - Accent1 3 2 5 2 2 2" xfId="27117"/>
    <cellStyle name="20% - Accent1 3 2 5 2 2 2 2" xfId="49362"/>
    <cellStyle name="20% - Accent1 3 2 5 2 2 3" xfId="47149"/>
    <cellStyle name="20% - Accent1 3 2 5 2 3" xfId="25482"/>
    <cellStyle name="20% - Accent1 3 2 5 2 3 2" xfId="27787"/>
    <cellStyle name="20% - Accent1 3 2 5 2 3 2 2" xfId="50032"/>
    <cellStyle name="20% - Accent1 3 2 5 2 3 3" xfId="47727"/>
    <cellStyle name="20% - Accent1 3 2 5 2 4" xfId="26444"/>
    <cellStyle name="20% - Accent1 3 2 5 2 4 2" xfId="48689"/>
    <cellStyle name="20% - Accent1 3 2 5 2 5" xfId="24240"/>
    <cellStyle name="20% - Accent1 3 2 5 2 5 2" xfId="46486"/>
    <cellStyle name="20% - Accent1 3 2 5 2 6" xfId="38661"/>
    <cellStyle name="20% - Accent1 3 2 5 3" xfId="24572"/>
    <cellStyle name="20% - Accent1 3 2 5 3 2" xfId="26785"/>
    <cellStyle name="20% - Accent1 3 2 5 3 2 2" xfId="49030"/>
    <cellStyle name="20% - Accent1 3 2 5 3 3" xfId="46817"/>
    <cellStyle name="20% - Accent1 3 2 5 4" xfId="25146"/>
    <cellStyle name="20% - Accent1 3 2 5 4 2" xfId="27451"/>
    <cellStyle name="20% - Accent1 3 2 5 4 2 2" xfId="49696"/>
    <cellStyle name="20% - Accent1 3 2 5 4 3" xfId="47391"/>
    <cellStyle name="20% - Accent1 3 2 5 5" xfId="26119"/>
    <cellStyle name="20% - Accent1 3 2 5 5 2" xfId="48364"/>
    <cellStyle name="20% - Accent1 3 2 5 6" xfId="23928"/>
    <cellStyle name="20% - Accent1 3 2 5 6 2" xfId="46174"/>
    <cellStyle name="20% - Accent1 3 2 5 7" xfId="32029"/>
    <cellStyle name="20% - Accent1 3 2 6" xfId="11922"/>
    <cellStyle name="20% - Accent1 3 2 6 2" xfId="24738"/>
    <cellStyle name="20% - Accent1 3 2 6 2 2" xfId="26951"/>
    <cellStyle name="20% - Accent1 3 2 6 2 2 2" xfId="49196"/>
    <cellStyle name="20% - Accent1 3 2 6 2 3" xfId="46983"/>
    <cellStyle name="20% - Accent1 3 2 6 3" xfId="25314"/>
    <cellStyle name="20% - Accent1 3 2 6 3 2" xfId="27619"/>
    <cellStyle name="20% - Accent1 3 2 6 3 2 2" xfId="49864"/>
    <cellStyle name="20% - Accent1 3 2 6 3 3" xfId="47559"/>
    <cellStyle name="20% - Accent1 3 2 6 4" xfId="26279"/>
    <cellStyle name="20% - Accent1 3 2 6 4 2" xfId="48524"/>
    <cellStyle name="20% - Accent1 3 2 6 5" xfId="24077"/>
    <cellStyle name="20% - Accent1 3 2 6 5 2" xfId="46323"/>
    <cellStyle name="20% - Accent1 3 2 6 6" xfId="35345"/>
    <cellStyle name="20% - Accent1 3 2 7" xfId="23467"/>
    <cellStyle name="20% - Accent1 3 2 7 2" xfId="26619"/>
    <cellStyle name="20% - Accent1 3 2 7 2 2" xfId="48864"/>
    <cellStyle name="20% - Accent1 3 2 7 3" xfId="45812"/>
    <cellStyle name="20% - Accent1 3 2 8" xfId="25070"/>
    <cellStyle name="20% - Accent1 3 2 8 2" xfId="27283"/>
    <cellStyle name="20% - Accent1 3 2 8 2 2" xfId="49528"/>
    <cellStyle name="20% - Accent1 3 2 8 3" xfId="47315"/>
    <cellStyle name="20% - Accent1 3 2 9" xfId="25717"/>
    <cellStyle name="20% - Accent1 3 2 9 2" xfId="47962"/>
    <cellStyle name="20% - Accent1 3 3" xfId="3133"/>
    <cellStyle name="20% - Accent1 3 3 2" xfId="6865"/>
    <cellStyle name="20% - Accent1 3 3 2 2" xfId="10197"/>
    <cellStyle name="20% - Accent1 3 3 2 2 2" xfId="16901"/>
    <cellStyle name="20% - Accent1 3 3 2 2 2 2" xfId="27180"/>
    <cellStyle name="20% - Accent1 3 3 2 2 2 2 2" xfId="49425"/>
    <cellStyle name="20% - Accent1 3 3 2 2 2 3" xfId="24967"/>
    <cellStyle name="20% - Accent1 3 3 2 2 2 3 2" xfId="47212"/>
    <cellStyle name="20% - Accent1 3 3 2 2 2 4" xfId="40322"/>
    <cellStyle name="20% - Accent1 3 3 2 2 3" xfId="25545"/>
    <cellStyle name="20% - Accent1 3 3 2 2 3 2" xfId="27850"/>
    <cellStyle name="20% - Accent1 3 3 2 2 3 2 2" xfId="50095"/>
    <cellStyle name="20% - Accent1 3 3 2 2 3 3" xfId="47790"/>
    <cellStyle name="20% - Accent1 3 3 2 2 4" xfId="26506"/>
    <cellStyle name="20% - Accent1 3 3 2 2 4 2" xfId="48751"/>
    <cellStyle name="20% - Accent1 3 3 2 2 5" xfId="24302"/>
    <cellStyle name="20% - Accent1 3 3 2 2 5 2" xfId="46548"/>
    <cellStyle name="20% - Accent1 3 3 2 2 6" xfId="33690"/>
    <cellStyle name="20% - Accent1 3 3 2 3" xfId="13585"/>
    <cellStyle name="20% - Accent1 3 3 2 3 2" xfId="26848"/>
    <cellStyle name="20% - Accent1 3 3 2 3 2 2" xfId="49093"/>
    <cellStyle name="20% - Accent1 3 3 2 3 3" xfId="24635"/>
    <cellStyle name="20% - Accent1 3 3 2 3 3 2" xfId="46880"/>
    <cellStyle name="20% - Accent1 3 3 2 3 4" xfId="37006"/>
    <cellStyle name="20% - Accent1 3 3 2 4" xfId="25209"/>
    <cellStyle name="20% - Accent1 3 3 2 4 2" xfId="27514"/>
    <cellStyle name="20% - Accent1 3 3 2 4 2 2" xfId="49759"/>
    <cellStyle name="20% - Accent1 3 3 2 4 3" xfId="47454"/>
    <cellStyle name="20% - Accent1 3 3 2 5" xfId="26177"/>
    <cellStyle name="20% - Accent1 3 3 2 5 2" xfId="48422"/>
    <cellStyle name="20% - Accent1 3 3 2 6" xfId="23986"/>
    <cellStyle name="20% - Accent1 3 3 2 6 2" xfId="46232"/>
    <cellStyle name="20% - Accent1 3 3 2 7" xfId="30374"/>
    <cellStyle name="20% - Accent1 3 3 3" xfId="8531"/>
    <cellStyle name="20% - Accent1 3 3 3 2" xfId="15243"/>
    <cellStyle name="20% - Accent1 3 3 3 2 2" xfId="27014"/>
    <cellStyle name="20% - Accent1 3 3 3 2 2 2" xfId="49259"/>
    <cellStyle name="20% - Accent1 3 3 3 2 3" xfId="24801"/>
    <cellStyle name="20% - Accent1 3 3 3 2 3 2" xfId="47046"/>
    <cellStyle name="20% - Accent1 3 3 3 2 4" xfId="38664"/>
    <cellStyle name="20% - Accent1 3 3 3 3" xfId="25377"/>
    <cellStyle name="20% - Accent1 3 3 3 3 2" xfId="27682"/>
    <cellStyle name="20% - Accent1 3 3 3 3 2 2" xfId="49927"/>
    <cellStyle name="20% - Accent1 3 3 3 3 3" xfId="47622"/>
    <cellStyle name="20% - Accent1 3 3 3 4" xfId="26341"/>
    <cellStyle name="20% - Accent1 3 3 3 4 2" xfId="48586"/>
    <cellStyle name="20% - Accent1 3 3 3 5" xfId="24137"/>
    <cellStyle name="20% - Accent1 3 3 3 5 2" xfId="46383"/>
    <cellStyle name="20% - Accent1 3 3 3 6" xfId="32032"/>
    <cellStyle name="20% - Accent1 3 3 4" xfId="11925"/>
    <cellStyle name="20% - Accent1 3 3 4 2" xfId="26682"/>
    <cellStyle name="20% - Accent1 3 3 4 2 2" xfId="48927"/>
    <cellStyle name="20% - Accent1 3 3 4 3" xfId="24469"/>
    <cellStyle name="20% - Accent1 3 3 4 3 2" xfId="46714"/>
    <cellStyle name="20% - Accent1 3 3 4 4" xfId="35348"/>
    <cellStyle name="20% - Accent1 3 3 5" xfId="23465"/>
    <cellStyle name="20% - Accent1 3 3 5 2" xfId="27346"/>
    <cellStyle name="20% - Accent1 3 3 5 2 2" xfId="49591"/>
    <cellStyle name="20% - Accent1 3 3 5 3" xfId="45810"/>
    <cellStyle name="20% - Accent1 3 3 6" xfId="25720"/>
    <cellStyle name="20% - Accent1 3 3 6 2" xfId="47965"/>
    <cellStyle name="20% - Accent1 3 3 7" xfId="28716"/>
    <cellStyle name="20% - Accent1 3 4" xfId="3134"/>
    <cellStyle name="20% - Accent1 3 4 2" xfId="6866"/>
    <cellStyle name="20% - Accent1 3 4 2 2" xfId="10198"/>
    <cellStyle name="20% - Accent1 3 4 2 2 2" xfId="16902"/>
    <cellStyle name="20% - Accent1 3 4 2 2 2 2" xfId="27138"/>
    <cellStyle name="20% - Accent1 3 4 2 2 2 2 2" xfId="49383"/>
    <cellStyle name="20% - Accent1 3 4 2 2 2 3" xfId="24925"/>
    <cellStyle name="20% - Accent1 3 4 2 2 2 3 2" xfId="47170"/>
    <cellStyle name="20% - Accent1 3 4 2 2 2 4" xfId="40323"/>
    <cellStyle name="20% - Accent1 3 4 2 2 3" xfId="25503"/>
    <cellStyle name="20% - Accent1 3 4 2 2 3 2" xfId="27808"/>
    <cellStyle name="20% - Accent1 3 4 2 2 3 2 2" xfId="50053"/>
    <cellStyle name="20% - Accent1 3 4 2 2 3 3" xfId="47748"/>
    <cellStyle name="20% - Accent1 3 4 2 2 4" xfId="26465"/>
    <cellStyle name="20% - Accent1 3 4 2 2 4 2" xfId="48710"/>
    <cellStyle name="20% - Accent1 3 4 2 2 5" xfId="24261"/>
    <cellStyle name="20% - Accent1 3 4 2 2 5 2" xfId="46507"/>
    <cellStyle name="20% - Accent1 3 4 2 2 6" xfId="33691"/>
    <cellStyle name="20% - Accent1 3 4 2 3" xfId="13586"/>
    <cellStyle name="20% - Accent1 3 4 2 3 2" xfId="26806"/>
    <cellStyle name="20% - Accent1 3 4 2 3 2 2" xfId="49051"/>
    <cellStyle name="20% - Accent1 3 4 2 3 3" xfId="24593"/>
    <cellStyle name="20% - Accent1 3 4 2 3 3 2" xfId="46838"/>
    <cellStyle name="20% - Accent1 3 4 2 3 4" xfId="37007"/>
    <cellStyle name="20% - Accent1 3 4 2 4" xfId="25167"/>
    <cellStyle name="20% - Accent1 3 4 2 4 2" xfId="27472"/>
    <cellStyle name="20% - Accent1 3 4 2 4 2 2" xfId="49717"/>
    <cellStyle name="20% - Accent1 3 4 2 4 3" xfId="47412"/>
    <cellStyle name="20% - Accent1 3 4 2 5" xfId="26137"/>
    <cellStyle name="20% - Accent1 3 4 2 5 2" xfId="48382"/>
    <cellStyle name="20% - Accent1 3 4 2 6" xfId="23946"/>
    <cellStyle name="20% - Accent1 3 4 2 6 2" xfId="46192"/>
    <cellStyle name="20% - Accent1 3 4 2 7" xfId="30375"/>
    <cellStyle name="20% - Accent1 3 4 3" xfId="8532"/>
    <cellStyle name="20% - Accent1 3 4 3 2" xfId="15244"/>
    <cellStyle name="20% - Accent1 3 4 3 2 2" xfId="26972"/>
    <cellStyle name="20% - Accent1 3 4 3 2 2 2" xfId="49217"/>
    <cellStyle name="20% - Accent1 3 4 3 2 3" xfId="24759"/>
    <cellStyle name="20% - Accent1 3 4 3 2 3 2" xfId="47004"/>
    <cellStyle name="20% - Accent1 3 4 3 2 4" xfId="38665"/>
    <cellStyle name="20% - Accent1 3 4 3 3" xfId="25335"/>
    <cellStyle name="20% - Accent1 3 4 3 3 2" xfId="27640"/>
    <cellStyle name="20% - Accent1 3 4 3 3 2 2" xfId="49885"/>
    <cellStyle name="20% - Accent1 3 4 3 3 3" xfId="47580"/>
    <cellStyle name="20% - Accent1 3 4 3 4" xfId="26300"/>
    <cellStyle name="20% - Accent1 3 4 3 4 2" xfId="48545"/>
    <cellStyle name="20% - Accent1 3 4 3 5" xfId="24096"/>
    <cellStyle name="20% - Accent1 3 4 3 5 2" xfId="46342"/>
    <cellStyle name="20% - Accent1 3 4 3 6" xfId="32033"/>
    <cellStyle name="20% - Accent1 3 4 4" xfId="11926"/>
    <cellStyle name="20% - Accent1 3 4 4 2" xfId="26640"/>
    <cellStyle name="20% - Accent1 3 4 4 2 2" xfId="48885"/>
    <cellStyle name="20% - Accent1 3 4 4 3" xfId="24427"/>
    <cellStyle name="20% - Accent1 3 4 4 3 2" xfId="46672"/>
    <cellStyle name="20% - Accent1 3 4 4 4" xfId="35349"/>
    <cellStyle name="20% - Accent1 3 4 5" xfId="23464"/>
    <cellStyle name="20% - Accent1 3 4 5 2" xfId="27304"/>
    <cellStyle name="20% - Accent1 3 4 5 2 2" xfId="49549"/>
    <cellStyle name="20% - Accent1 3 4 5 3" xfId="45809"/>
    <cellStyle name="20% - Accent1 3 4 6" xfId="25721"/>
    <cellStyle name="20% - Accent1 3 4 6 2" xfId="47966"/>
    <cellStyle name="20% - Accent1 3 4 7" xfId="28717"/>
    <cellStyle name="20% - Accent1 3 5" xfId="3135"/>
    <cellStyle name="20% - Accent1 3 5 2" xfId="24026"/>
    <cellStyle name="20% - Accent1 3 5 2 2" xfId="24342"/>
    <cellStyle name="20% - Accent1 3 5 2 2 2" xfId="25007"/>
    <cellStyle name="20% - Accent1 3 5 2 2 2 2" xfId="27220"/>
    <cellStyle name="20% - Accent1 3 5 2 2 2 2 2" xfId="49465"/>
    <cellStyle name="20% - Accent1 3 5 2 2 2 3" xfId="47252"/>
    <cellStyle name="20% - Accent1 3 5 2 2 3" xfId="25587"/>
    <cellStyle name="20% - Accent1 3 5 2 2 3 2" xfId="27892"/>
    <cellStyle name="20% - Accent1 3 5 2 2 3 2 2" xfId="50137"/>
    <cellStyle name="20% - Accent1 3 5 2 2 3 3" xfId="47832"/>
    <cellStyle name="20% - Accent1 3 5 2 2 4" xfId="26546"/>
    <cellStyle name="20% - Accent1 3 5 2 2 4 2" xfId="48791"/>
    <cellStyle name="20% - Accent1 3 5 2 2 5" xfId="46588"/>
    <cellStyle name="20% - Accent1 3 5 2 3" xfId="24675"/>
    <cellStyle name="20% - Accent1 3 5 2 3 2" xfId="26888"/>
    <cellStyle name="20% - Accent1 3 5 2 3 2 2" xfId="49133"/>
    <cellStyle name="20% - Accent1 3 5 2 3 3" xfId="46920"/>
    <cellStyle name="20% - Accent1 3 5 2 4" xfId="25251"/>
    <cellStyle name="20% - Accent1 3 5 2 4 2" xfId="27556"/>
    <cellStyle name="20% - Accent1 3 5 2 4 2 2" xfId="49801"/>
    <cellStyle name="20% - Accent1 3 5 2 4 3" xfId="47496"/>
    <cellStyle name="20% - Accent1 3 5 2 5" xfId="26217"/>
    <cellStyle name="20% - Accent1 3 5 2 5 2" xfId="48462"/>
    <cellStyle name="20% - Accent1 3 5 2 6" xfId="46272"/>
    <cellStyle name="20% - Accent1 3 5 3" xfId="24177"/>
    <cellStyle name="20% - Accent1 3 5 3 2" xfId="24841"/>
    <cellStyle name="20% - Accent1 3 5 3 2 2" xfId="27054"/>
    <cellStyle name="20% - Accent1 3 5 3 2 2 2" xfId="49299"/>
    <cellStyle name="20% - Accent1 3 5 3 2 3" xfId="47086"/>
    <cellStyle name="20% - Accent1 3 5 3 3" xfId="25419"/>
    <cellStyle name="20% - Accent1 3 5 3 3 2" xfId="27724"/>
    <cellStyle name="20% - Accent1 3 5 3 3 2 2" xfId="49969"/>
    <cellStyle name="20% - Accent1 3 5 3 3 3" xfId="47664"/>
    <cellStyle name="20% - Accent1 3 5 3 4" xfId="26381"/>
    <cellStyle name="20% - Accent1 3 5 3 4 2" xfId="48626"/>
    <cellStyle name="20% - Accent1 3 5 3 5" xfId="46423"/>
    <cellStyle name="20% - Accent1 3 5 4" xfId="24509"/>
    <cellStyle name="20% - Accent1 3 5 4 2" xfId="26722"/>
    <cellStyle name="20% - Accent1 3 5 4 2 2" xfId="48967"/>
    <cellStyle name="20% - Accent1 3 5 4 3" xfId="46754"/>
    <cellStyle name="20% - Accent1 3 5 5" xfId="25091"/>
    <cellStyle name="20% - Accent1 3 5 5 2" xfId="27388"/>
    <cellStyle name="20% - Accent1 3 5 5 2 2" xfId="49633"/>
    <cellStyle name="20% - Accent1 3 5 5 3" xfId="47336"/>
    <cellStyle name="20% - Accent1 3 5 6" xfId="23881"/>
    <cellStyle name="20% - Accent1 3 5 6 2" xfId="26072"/>
    <cellStyle name="20% - Accent1 3 5 6 2 2" xfId="48317"/>
    <cellStyle name="20% - Accent1 3 5 6 3" xfId="46127"/>
    <cellStyle name="20% - Accent1 3 6" xfId="3129"/>
    <cellStyle name="20% - Accent1 3 6 2" xfId="6861"/>
    <cellStyle name="20% - Accent1 3 6 2 2" xfId="10193"/>
    <cellStyle name="20% - Accent1 3 6 2 2 2" xfId="16897"/>
    <cellStyle name="20% - Accent1 3 6 2 2 2 2" xfId="27096"/>
    <cellStyle name="20% - Accent1 3 6 2 2 2 2 2" xfId="49341"/>
    <cellStyle name="20% - Accent1 3 6 2 2 2 3" xfId="40318"/>
    <cellStyle name="20% - Accent1 3 6 2 2 3" xfId="24883"/>
    <cellStyle name="20% - Accent1 3 6 2 2 3 2" xfId="47128"/>
    <cellStyle name="20% - Accent1 3 6 2 2 4" xfId="33686"/>
    <cellStyle name="20% - Accent1 3 6 2 3" xfId="13581"/>
    <cellStyle name="20% - Accent1 3 6 2 3 2" xfId="27766"/>
    <cellStyle name="20% - Accent1 3 6 2 3 2 2" xfId="50011"/>
    <cellStyle name="20% - Accent1 3 6 2 3 3" xfId="25461"/>
    <cellStyle name="20% - Accent1 3 6 2 3 3 2" xfId="47706"/>
    <cellStyle name="20% - Accent1 3 6 2 3 4" xfId="37002"/>
    <cellStyle name="20% - Accent1 3 6 2 4" xfId="26423"/>
    <cellStyle name="20% - Accent1 3 6 2 4 2" xfId="48668"/>
    <cellStyle name="20% - Accent1 3 6 2 5" xfId="24219"/>
    <cellStyle name="20% - Accent1 3 6 2 5 2" xfId="46465"/>
    <cellStyle name="20% - Accent1 3 6 2 6" xfId="30370"/>
    <cellStyle name="20% - Accent1 3 6 3" xfId="8527"/>
    <cellStyle name="20% - Accent1 3 6 3 2" xfId="15239"/>
    <cellStyle name="20% - Accent1 3 6 3 2 2" xfId="26764"/>
    <cellStyle name="20% - Accent1 3 6 3 2 2 2" xfId="49009"/>
    <cellStyle name="20% - Accent1 3 6 3 2 3" xfId="38660"/>
    <cellStyle name="20% - Accent1 3 6 3 3" xfId="24551"/>
    <cellStyle name="20% - Accent1 3 6 3 3 2" xfId="46796"/>
    <cellStyle name="20% - Accent1 3 6 3 4" xfId="32028"/>
    <cellStyle name="20% - Accent1 3 6 4" xfId="11921"/>
    <cellStyle name="20% - Accent1 3 6 4 2" xfId="27430"/>
    <cellStyle name="20% - Accent1 3 6 4 2 2" xfId="49675"/>
    <cellStyle name="20% - Accent1 3 6 4 3" xfId="25125"/>
    <cellStyle name="20% - Accent1 3 6 4 3 2" xfId="47370"/>
    <cellStyle name="20% - Accent1 3 6 4 4" xfId="35344"/>
    <cellStyle name="20% - Accent1 3 6 5" xfId="25716"/>
    <cellStyle name="20% - Accent1 3 6 5 2" xfId="47961"/>
    <cellStyle name="20% - Accent1 3 6 6" xfId="23400"/>
    <cellStyle name="20% - Accent1 3 6 6 2" xfId="45745"/>
    <cellStyle name="20% - Accent1 3 6 7" xfId="28712"/>
    <cellStyle name="20% - Accent1 3 7" xfId="23468"/>
    <cellStyle name="20% - Accent1 3 7 2" xfId="24717"/>
    <cellStyle name="20% - Accent1 3 7 2 2" xfId="26930"/>
    <cellStyle name="20% - Accent1 3 7 2 2 2" xfId="49175"/>
    <cellStyle name="20% - Accent1 3 7 2 3" xfId="46962"/>
    <cellStyle name="20% - Accent1 3 7 3" xfId="25293"/>
    <cellStyle name="20% - Accent1 3 7 3 2" xfId="27598"/>
    <cellStyle name="20% - Accent1 3 7 3 2 2" xfId="49843"/>
    <cellStyle name="20% - Accent1 3 7 3 3" xfId="47538"/>
    <cellStyle name="20% - Accent1 3 7 4" xfId="26258"/>
    <cellStyle name="20% - Accent1 3 7 4 2" xfId="48503"/>
    <cellStyle name="20% - Accent1 3 7 5" xfId="45813"/>
    <cellStyle name="20% - Accent1 3 8" xfId="24395"/>
    <cellStyle name="20% - Accent1 3 8 2" xfId="26598"/>
    <cellStyle name="20% - Accent1 3 8 2 2" xfId="48843"/>
    <cellStyle name="20% - Accent1 3 8 3" xfId="46640"/>
    <cellStyle name="20% - Accent1 3 9" xfId="25049"/>
    <cellStyle name="20% - Accent1 3 9 2" xfId="27262"/>
    <cellStyle name="20% - Accent1 3 9 2 2" xfId="49507"/>
    <cellStyle name="20% - Accent1 3 9 3" xfId="47294"/>
    <cellStyle name="20% - Accent1 4" xfId="3127"/>
    <cellStyle name="20% - Accent1 4 2" xfId="25704"/>
    <cellStyle name="20% - Accent1 4 2 2" xfId="47949"/>
    <cellStyle name="20% - Accent1 5" xfId="7762"/>
    <cellStyle name="20% - Accent1 5 2" xfId="11091"/>
    <cellStyle name="20% - Accent1 5 2 2" xfId="17795"/>
    <cellStyle name="20% - Accent1 5 2 2 2" xfId="41216"/>
    <cellStyle name="20% - Accent1 5 2 3" xfId="34584"/>
    <cellStyle name="20% - Accent1 5 3" xfId="14479"/>
    <cellStyle name="20% - Accent1 5 3 2" xfId="37900"/>
    <cellStyle name="20% - Accent1 5 4" xfId="31268"/>
    <cellStyle name="20% - Accent1 6" xfId="9433"/>
    <cellStyle name="20% - Accent1 6 2" xfId="16137"/>
    <cellStyle name="20% - Accent1 6 2 2" xfId="39558"/>
    <cellStyle name="20% - Accent1 6 3" xfId="32926"/>
    <cellStyle name="20% - Accent1 7" xfId="12821"/>
    <cellStyle name="20% - Accent1 7 2" xfId="36242"/>
    <cellStyle name="20% - Accent1 8" xfId="23837"/>
    <cellStyle name="20% - Accent1 8 2" xfId="46103"/>
    <cellStyle name="20% - Accent1 9" xfId="6086"/>
    <cellStyle name="20% - Accent1 9 2" xfId="29610"/>
    <cellStyle name="20% - Accent2" xfId="8" builtinId="34" customBuiltin="1"/>
    <cellStyle name="20% - Accent2 2" xfId="259"/>
    <cellStyle name="20% - Accent2 2 2" xfId="260"/>
    <cellStyle name="20% - Accent2 3" xfId="1074"/>
    <cellStyle name="20% - Accent2 3 10" xfId="23812"/>
    <cellStyle name="20% - Accent2 3 2" xfId="3138"/>
    <cellStyle name="20% - Accent2 3 2 10" xfId="28719"/>
    <cellStyle name="20% - Accent2 3 2 2" xfId="3139"/>
    <cellStyle name="20% - Accent2 3 2 2 2" xfId="6869"/>
    <cellStyle name="20% - Accent2 3 2 2 2 2" xfId="10201"/>
    <cellStyle name="20% - Accent2 3 2 2 2 2 2" xfId="16905"/>
    <cellStyle name="20% - Accent2 3 2 2 2 2 2 2" xfId="27201"/>
    <cellStyle name="20% - Accent2 3 2 2 2 2 2 2 2" xfId="49446"/>
    <cellStyle name="20% - Accent2 3 2 2 2 2 2 3" xfId="24988"/>
    <cellStyle name="20% - Accent2 3 2 2 2 2 2 3 2" xfId="47233"/>
    <cellStyle name="20% - Accent2 3 2 2 2 2 2 4" xfId="40326"/>
    <cellStyle name="20% - Accent2 3 2 2 2 2 3" xfId="25567"/>
    <cellStyle name="20% - Accent2 3 2 2 2 2 3 2" xfId="27872"/>
    <cellStyle name="20% - Accent2 3 2 2 2 2 3 2 2" xfId="50117"/>
    <cellStyle name="20% - Accent2 3 2 2 2 2 3 3" xfId="47812"/>
    <cellStyle name="20% - Accent2 3 2 2 2 2 4" xfId="26527"/>
    <cellStyle name="20% - Accent2 3 2 2 2 2 4 2" xfId="48772"/>
    <cellStyle name="20% - Accent2 3 2 2 2 2 5" xfId="24323"/>
    <cellStyle name="20% - Accent2 3 2 2 2 2 5 2" xfId="46569"/>
    <cellStyle name="20% - Accent2 3 2 2 2 2 6" xfId="33694"/>
    <cellStyle name="20% - Accent2 3 2 2 2 3" xfId="13589"/>
    <cellStyle name="20% - Accent2 3 2 2 2 3 2" xfId="26869"/>
    <cellStyle name="20% - Accent2 3 2 2 2 3 2 2" xfId="49114"/>
    <cellStyle name="20% - Accent2 3 2 2 2 3 3" xfId="24656"/>
    <cellStyle name="20% - Accent2 3 2 2 2 3 3 2" xfId="46901"/>
    <cellStyle name="20% - Accent2 3 2 2 2 3 4" xfId="37010"/>
    <cellStyle name="20% - Accent2 3 2 2 2 4" xfId="25231"/>
    <cellStyle name="20% - Accent2 3 2 2 2 4 2" xfId="27536"/>
    <cellStyle name="20% - Accent2 3 2 2 2 4 2 2" xfId="49781"/>
    <cellStyle name="20% - Accent2 3 2 2 2 4 3" xfId="47476"/>
    <cellStyle name="20% - Accent2 3 2 2 2 5" xfId="26198"/>
    <cellStyle name="20% - Accent2 3 2 2 2 5 2" xfId="48443"/>
    <cellStyle name="20% - Accent2 3 2 2 2 6" xfId="24007"/>
    <cellStyle name="20% - Accent2 3 2 2 2 6 2" xfId="46253"/>
    <cellStyle name="20% - Accent2 3 2 2 2 7" xfId="30378"/>
    <cellStyle name="20% - Accent2 3 2 2 3" xfId="8535"/>
    <cellStyle name="20% - Accent2 3 2 2 3 2" xfId="15247"/>
    <cellStyle name="20% - Accent2 3 2 2 3 2 2" xfId="27035"/>
    <cellStyle name="20% - Accent2 3 2 2 3 2 2 2" xfId="49280"/>
    <cellStyle name="20% - Accent2 3 2 2 3 2 3" xfId="24822"/>
    <cellStyle name="20% - Accent2 3 2 2 3 2 3 2" xfId="47067"/>
    <cellStyle name="20% - Accent2 3 2 2 3 2 4" xfId="38668"/>
    <cellStyle name="20% - Accent2 3 2 2 3 3" xfId="25399"/>
    <cellStyle name="20% - Accent2 3 2 2 3 3 2" xfId="27704"/>
    <cellStyle name="20% - Accent2 3 2 2 3 3 2 2" xfId="49949"/>
    <cellStyle name="20% - Accent2 3 2 2 3 3 3" xfId="47644"/>
    <cellStyle name="20% - Accent2 3 2 2 3 4" xfId="26362"/>
    <cellStyle name="20% - Accent2 3 2 2 3 4 2" xfId="48607"/>
    <cellStyle name="20% - Accent2 3 2 2 3 5" xfId="24158"/>
    <cellStyle name="20% - Accent2 3 2 2 3 5 2" xfId="46404"/>
    <cellStyle name="20% - Accent2 3 2 2 3 6" xfId="32036"/>
    <cellStyle name="20% - Accent2 3 2 2 4" xfId="11929"/>
    <cellStyle name="20% - Accent2 3 2 2 4 2" xfId="26703"/>
    <cellStyle name="20% - Accent2 3 2 2 4 2 2" xfId="48948"/>
    <cellStyle name="20% - Accent2 3 2 2 4 3" xfId="24490"/>
    <cellStyle name="20% - Accent2 3 2 2 4 3 2" xfId="46735"/>
    <cellStyle name="20% - Accent2 3 2 2 4 4" xfId="35352"/>
    <cellStyle name="20% - Accent2 3 2 2 5" xfId="23282"/>
    <cellStyle name="20% - Accent2 3 2 2 5 2" xfId="27368"/>
    <cellStyle name="20% - Accent2 3 2 2 5 2 2" xfId="49613"/>
    <cellStyle name="20% - Accent2 3 2 2 5 3" xfId="45682"/>
    <cellStyle name="20% - Accent2 3 2 2 6" xfId="25724"/>
    <cellStyle name="20% - Accent2 3 2 2 6 2" xfId="47969"/>
    <cellStyle name="20% - Accent2 3 2 2 7" xfId="28720"/>
    <cellStyle name="20% - Accent2 3 2 3" xfId="3140"/>
    <cellStyle name="20% - Accent2 3 2 3 2" xfId="6870"/>
    <cellStyle name="20% - Accent2 3 2 3 2 2" xfId="10202"/>
    <cellStyle name="20% - Accent2 3 2 3 2 2 2" xfId="16906"/>
    <cellStyle name="20% - Accent2 3 2 3 2 2 2 2" xfId="27160"/>
    <cellStyle name="20% - Accent2 3 2 3 2 2 2 2 2" xfId="49405"/>
    <cellStyle name="20% - Accent2 3 2 3 2 2 2 3" xfId="24947"/>
    <cellStyle name="20% - Accent2 3 2 3 2 2 2 3 2" xfId="47192"/>
    <cellStyle name="20% - Accent2 3 2 3 2 2 2 4" xfId="40327"/>
    <cellStyle name="20% - Accent2 3 2 3 2 2 3" xfId="25525"/>
    <cellStyle name="20% - Accent2 3 2 3 2 2 3 2" xfId="27830"/>
    <cellStyle name="20% - Accent2 3 2 3 2 2 3 2 2" xfId="50075"/>
    <cellStyle name="20% - Accent2 3 2 3 2 2 3 3" xfId="47770"/>
    <cellStyle name="20% - Accent2 3 2 3 2 2 4" xfId="26487"/>
    <cellStyle name="20% - Accent2 3 2 3 2 2 4 2" xfId="48732"/>
    <cellStyle name="20% - Accent2 3 2 3 2 2 5" xfId="24283"/>
    <cellStyle name="20% - Accent2 3 2 3 2 2 5 2" xfId="46529"/>
    <cellStyle name="20% - Accent2 3 2 3 2 2 6" xfId="33695"/>
    <cellStyle name="20% - Accent2 3 2 3 2 3" xfId="13590"/>
    <cellStyle name="20% - Accent2 3 2 3 2 3 2" xfId="26828"/>
    <cellStyle name="20% - Accent2 3 2 3 2 3 2 2" xfId="49073"/>
    <cellStyle name="20% - Accent2 3 2 3 2 3 3" xfId="24615"/>
    <cellStyle name="20% - Accent2 3 2 3 2 3 3 2" xfId="46860"/>
    <cellStyle name="20% - Accent2 3 2 3 2 3 4" xfId="37011"/>
    <cellStyle name="20% - Accent2 3 2 3 2 4" xfId="25189"/>
    <cellStyle name="20% - Accent2 3 2 3 2 4 2" xfId="27494"/>
    <cellStyle name="20% - Accent2 3 2 3 2 4 2 2" xfId="49739"/>
    <cellStyle name="20% - Accent2 3 2 3 2 4 3" xfId="47434"/>
    <cellStyle name="20% - Accent2 3 2 3 2 5" xfId="26158"/>
    <cellStyle name="20% - Accent2 3 2 3 2 5 2" xfId="48403"/>
    <cellStyle name="20% - Accent2 3 2 3 2 6" xfId="23967"/>
    <cellStyle name="20% - Accent2 3 2 3 2 6 2" xfId="46213"/>
    <cellStyle name="20% - Accent2 3 2 3 2 7" xfId="30379"/>
    <cellStyle name="20% - Accent2 3 2 3 3" xfId="8536"/>
    <cellStyle name="20% - Accent2 3 2 3 3 2" xfId="15248"/>
    <cellStyle name="20% - Accent2 3 2 3 3 2 2" xfId="26994"/>
    <cellStyle name="20% - Accent2 3 2 3 3 2 2 2" xfId="49239"/>
    <cellStyle name="20% - Accent2 3 2 3 3 2 3" xfId="24781"/>
    <cellStyle name="20% - Accent2 3 2 3 3 2 3 2" xfId="47026"/>
    <cellStyle name="20% - Accent2 3 2 3 3 2 4" xfId="38669"/>
    <cellStyle name="20% - Accent2 3 2 3 3 3" xfId="25357"/>
    <cellStyle name="20% - Accent2 3 2 3 3 3 2" xfId="27662"/>
    <cellStyle name="20% - Accent2 3 2 3 3 3 2 2" xfId="49907"/>
    <cellStyle name="20% - Accent2 3 2 3 3 3 3" xfId="47602"/>
    <cellStyle name="20% - Accent2 3 2 3 3 4" xfId="26322"/>
    <cellStyle name="20% - Accent2 3 2 3 3 4 2" xfId="48567"/>
    <cellStyle name="20% - Accent2 3 2 3 3 5" xfId="24118"/>
    <cellStyle name="20% - Accent2 3 2 3 3 5 2" xfId="46364"/>
    <cellStyle name="20% - Accent2 3 2 3 3 6" xfId="32037"/>
    <cellStyle name="20% - Accent2 3 2 3 4" xfId="11930"/>
    <cellStyle name="20% - Accent2 3 2 3 4 2" xfId="26662"/>
    <cellStyle name="20% - Accent2 3 2 3 4 2 2" xfId="48907"/>
    <cellStyle name="20% - Accent2 3 2 3 4 3" xfId="24449"/>
    <cellStyle name="20% - Accent2 3 2 3 4 3 2" xfId="46694"/>
    <cellStyle name="20% - Accent2 3 2 3 4 4" xfId="35353"/>
    <cellStyle name="20% - Accent2 3 2 3 5" xfId="23460"/>
    <cellStyle name="20% - Accent2 3 2 3 5 2" xfId="27326"/>
    <cellStyle name="20% - Accent2 3 2 3 5 2 2" xfId="49571"/>
    <cellStyle name="20% - Accent2 3 2 3 5 3" xfId="45805"/>
    <cellStyle name="20% - Accent2 3 2 3 6" xfId="25725"/>
    <cellStyle name="20% - Accent2 3 2 3 6 2" xfId="47970"/>
    <cellStyle name="20% - Accent2 3 2 3 7" xfId="28721"/>
    <cellStyle name="20% - Accent2 3 2 4" xfId="6868"/>
    <cellStyle name="20% - Accent2 3 2 4 2" xfId="10200"/>
    <cellStyle name="20% - Accent2 3 2 4 2 2" xfId="16904"/>
    <cellStyle name="20% - Accent2 3 2 4 2 2 2" xfId="25029"/>
    <cellStyle name="20% - Accent2 3 2 4 2 2 2 2" xfId="27242"/>
    <cellStyle name="20% - Accent2 3 2 4 2 2 2 2 2" xfId="49487"/>
    <cellStyle name="20% - Accent2 3 2 4 2 2 2 3" xfId="47274"/>
    <cellStyle name="20% - Accent2 3 2 4 2 2 3" xfId="25609"/>
    <cellStyle name="20% - Accent2 3 2 4 2 2 3 2" xfId="27914"/>
    <cellStyle name="20% - Accent2 3 2 4 2 2 3 2 2" xfId="50159"/>
    <cellStyle name="20% - Accent2 3 2 4 2 2 3 3" xfId="47854"/>
    <cellStyle name="20% - Accent2 3 2 4 2 2 4" xfId="26568"/>
    <cellStyle name="20% - Accent2 3 2 4 2 2 4 2" xfId="48813"/>
    <cellStyle name="20% - Accent2 3 2 4 2 2 5" xfId="24364"/>
    <cellStyle name="20% - Accent2 3 2 4 2 2 5 2" xfId="46610"/>
    <cellStyle name="20% - Accent2 3 2 4 2 2 6" xfId="40325"/>
    <cellStyle name="20% - Accent2 3 2 4 2 3" xfId="24697"/>
    <cellStyle name="20% - Accent2 3 2 4 2 3 2" xfId="26910"/>
    <cellStyle name="20% - Accent2 3 2 4 2 3 2 2" xfId="49155"/>
    <cellStyle name="20% - Accent2 3 2 4 2 3 3" xfId="46942"/>
    <cellStyle name="20% - Accent2 3 2 4 2 4" xfId="25273"/>
    <cellStyle name="20% - Accent2 3 2 4 2 4 2" xfId="27578"/>
    <cellStyle name="20% - Accent2 3 2 4 2 4 2 2" xfId="49823"/>
    <cellStyle name="20% - Accent2 3 2 4 2 4 3" xfId="47518"/>
    <cellStyle name="20% - Accent2 3 2 4 2 5" xfId="26239"/>
    <cellStyle name="20% - Accent2 3 2 4 2 5 2" xfId="48484"/>
    <cellStyle name="20% - Accent2 3 2 4 2 6" xfId="24048"/>
    <cellStyle name="20% - Accent2 3 2 4 2 6 2" xfId="46294"/>
    <cellStyle name="20% - Accent2 3 2 4 2 7" xfId="33693"/>
    <cellStyle name="20% - Accent2 3 2 4 3" xfId="13588"/>
    <cellStyle name="20% - Accent2 3 2 4 3 2" xfId="24863"/>
    <cellStyle name="20% - Accent2 3 2 4 3 2 2" xfId="27076"/>
    <cellStyle name="20% - Accent2 3 2 4 3 2 2 2" xfId="49321"/>
    <cellStyle name="20% - Accent2 3 2 4 3 2 3" xfId="47108"/>
    <cellStyle name="20% - Accent2 3 2 4 3 3" xfId="25441"/>
    <cellStyle name="20% - Accent2 3 2 4 3 3 2" xfId="27746"/>
    <cellStyle name="20% - Accent2 3 2 4 3 3 2 2" xfId="49991"/>
    <cellStyle name="20% - Accent2 3 2 4 3 3 3" xfId="47686"/>
    <cellStyle name="20% - Accent2 3 2 4 3 4" xfId="26403"/>
    <cellStyle name="20% - Accent2 3 2 4 3 4 2" xfId="48648"/>
    <cellStyle name="20% - Accent2 3 2 4 3 5" xfId="24199"/>
    <cellStyle name="20% - Accent2 3 2 4 3 5 2" xfId="46445"/>
    <cellStyle name="20% - Accent2 3 2 4 3 6" xfId="37009"/>
    <cellStyle name="20% - Accent2 3 2 4 4" xfId="24531"/>
    <cellStyle name="20% - Accent2 3 2 4 4 2" xfId="26744"/>
    <cellStyle name="20% - Accent2 3 2 4 4 2 2" xfId="48989"/>
    <cellStyle name="20% - Accent2 3 2 4 4 3" xfId="46776"/>
    <cellStyle name="20% - Accent2 3 2 4 5" xfId="25105"/>
    <cellStyle name="20% - Accent2 3 2 4 5 2" xfId="27410"/>
    <cellStyle name="20% - Accent2 3 2 4 5 2 2" xfId="49655"/>
    <cellStyle name="20% - Accent2 3 2 4 5 3" xfId="47350"/>
    <cellStyle name="20% - Accent2 3 2 4 6" xfId="26086"/>
    <cellStyle name="20% - Accent2 3 2 4 6 2" xfId="48331"/>
    <cellStyle name="20% - Accent2 3 2 4 7" xfId="23895"/>
    <cellStyle name="20% - Accent2 3 2 4 7 2" xfId="46141"/>
    <cellStyle name="20% - Accent2 3 2 4 8" xfId="30377"/>
    <cellStyle name="20% - Accent2 3 2 5" xfId="8534"/>
    <cellStyle name="20% - Accent2 3 2 5 2" xfId="15246"/>
    <cellStyle name="20% - Accent2 3 2 5 2 2" xfId="24905"/>
    <cellStyle name="20% - Accent2 3 2 5 2 2 2" xfId="27118"/>
    <cellStyle name="20% - Accent2 3 2 5 2 2 2 2" xfId="49363"/>
    <cellStyle name="20% - Accent2 3 2 5 2 2 3" xfId="47150"/>
    <cellStyle name="20% - Accent2 3 2 5 2 3" xfId="25483"/>
    <cellStyle name="20% - Accent2 3 2 5 2 3 2" xfId="27788"/>
    <cellStyle name="20% - Accent2 3 2 5 2 3 2 2" xfId="50033"/>
    <cellStyle name="20% - Accent2 3 2 5 2 3 3" xfId="47728"/>
    <cellStyle name="20% - Accent2 3 2 5 2 4" xfId="26445"/>
    <cellStyle name="20% - Accent2 3 2 5 2 4 2" xfId="48690"/>
    <cellStyle name="20% - Accent2 3 2 5 2 5" xfId="24241"/>
    <cellStyle name="20% - Accent2 3 2 5 2 5 2" xfId="46487"/>
    <cellStyle name="20% - Accent2 3 2 5 2 6" xfId="38667"/>
    <cellStyle name="20% - Accent2 3 2 5 3" xfId="24573"/>
    <cellStyle name="20% - Accent2 3 2 5 3 2" xfId="26786"/>
    <cellStyle name="20% - Accent2 3 2 5 3 2 2" xfId="49031"/>
    <cellStyle name="20% - Accent2 3 2 5 3 3" xfId="46818"/>
    <cellStyle name="20% - Accent2 3 2 5 4" xfId="25147"/>
    <cellStyle name="20% - Accent2 3 2 5 4 2" xfId="27452"/>
    <cellStyle name="20% - Accent2 3 2 5 4 2 2" xfId="49697"/>
    <cellStyle name="20% - Accent2 3 2 5 4 3" xfId="47392"/>
    <cellStyle name="20% - Accent2 3 2 5 5" xfId="26120"/>
    <cellStyle name="20% - Accent2 3 2 5 5 2" xfId="48365"/>
    <cellStyle name="20% - Accent2 3 2 5 6" xfId="23929"/>
    <cellStyle name="20% - Accent2 3 2 5 6 2" xfId="46175"/>
    <cellStyle name="20% - Accent2 3 2 5 7" xfId="32035"/>
    <cellStyle name="20% - Accent2 3 2 6" xfId="11928"/>
    <cellStyle name="20% - Accent2 3 2 6 2" xfId="24739"/>
    <cellStyle name="20% - Accent2 3 2 6 2 2" xfId="26952"/>
    <cellStyle name="20% - Accent2 3 2 6 2 2 2" xfId="49197"/>
    <cellStyle name="20% - Accent2 3 2 6 2 3" xfId="46984"/>
    <cellStyle name="20% - Accent2 3 2 6 3" xfId="25315"/>
    <cellStyle name="20% - Accent2 3 2 6 3 2" xfId="27620"/>
    <cellStyle name="20% - Accent2 3 2 6 3 2 2" xfId="49865"/>
    <cellStyle name="20% - Accent2 3 2 6 3 3" xfId="47560"/>
    <cellStyle name="20% - Accent2 3 2 6 4" xfId="26280"/>
    <cellStyle name="20% - Accent2 3 2 6 4 2" xfId="48525"/>
    <cellStyle name="20% - Accent2 3 2 6 5" xfId="24078"/>
    <cellStyle name="20% - Accent2 3 2 6 5 2" xfId="46324"/>
    <cellStyle name="20% - Accent2 3 2 6 6" xfId="35351"/>
    <cellStyle name="20% - Accent2 3 2 7" xfId="23462"/>
    <cellStyle name="20% - Accent2 3 2 7 2" xfId="26620"/>
    <cellStyle name="20% - Accent2 3 2 7 2 2" xfId="48865"/>
    <cellStyle name="20% - Accent2 3 2 7 3" xfId="45807"/>
    <cellStyle name="20% - Accent2 3 2 8" xfId="25071"/>
    <cellStyle name="20% - Accent2 3 2 8 2" xfId="27284"/>
    <cellStyle name="20% - Accent2 3 2 8 2 2" xfId="49529"/>
    <cellStyle name="20% - Accent2 3 2 8 3" xfId="47316"/>
    <cellStyle name="20% - Accent2 3 2 9" xfId="25723"/>
    <cellStyle name="20% - Accent2 3 2 9 2" xfId="47968"/>
    <cellStyle name="20% - Accent2 3 3" xfId="3141"/>
    <cellStyle name="20% - Accent2 3 3 2" xfId="6871"/>
    <cellStyle name="20% - Accent2 3 3 2 2" xfId="10203"/>
    <cellStyle name="20% - Accent2 3 3 2 2 2" xfId="16907"/>
    <cellStyle name="20% - Accent2 3 3 2 2 2 2" xfId="27181"/>
    <cellStyle name="20% - Accent2 3 3 2 2 2 2 2" xfId="49426"/>
    <cellStyle name="20% - Accent2 3 3 2 2 2 3" xfId="24968"/>
    <cellStyle name="20% - Accent2 3 3 2 2 2 3 2" xfId="47213"/>
    <cellStyle name="20% - Accent2 3 3 2 2 2 4" xfId="40328"/>
    <cellStyle name="20% - Accent2 3 3 2 2 3" xfId="25546"/>
    <cellStyle name="20% - Accent2 3 3 2 2 3 2" xfId="27851"/>
    <cellStyle name="20% - Accent2 3 3 2 2 3 2 2" xfId="50096"/>
    <cellStyle name="20% - Accent2 3 3 2 2 3 3" xfId="47791"/>
    <cellStyle name="20% - Accent2 3 3 2 2 4" xfId="26507"/>
    <cellStyle name="20% - Accent2 3 3 2 2 4 2" xfId="48752"/>
    <cellStyle name="20% - Accent2 3 3 2 2 5" xfId="24303"/>
    <cellStyle name="20% - Accent2 3 3 2 2 5 2" xfId="46549"/>
    <cellStyle name="20% - Accent2 3 3 2 2 6" xfId="33696"/>
    <cellStyle name="20% - Accent2 3 3 2 3" xfId="13591"/>
    <cellStyle name="20% - Accent2 3 3 2 3 2" xfId="26849"/>
    <cellStyle name="20% - Accent2 3 3 2 3 2 2" xfId="49094"/>
    <cellStyle name="20% - Accent2 3 3 2 3 3" xfId="24636"/>
    <cellStyle name="20% - Accent2 3 3 2 3 3 2" xfId="46881"/>
    <cellStyle name="20% - Accent2 3 3 2 3 4" xfId="37012"/>
    <cellStyle name="20% - Accent2 3 3 2 4" xfId="25210"/>
    <cellStyle name="20% - Accent2 3 3 2 4 2" xfId="27515"/>
    <cellStyle name="20% - Accent2 3 3 2 4 2 2" xfId="49760"/>
    <cellStyle name="20% - Accent2 3 3 2 4 3" xfId="47455"/>
    <cellStyle name="20% - Accent2 3 3 2 5" xfId="26178"/>
    <cellStyle name="20% - Accent2 3 3 2 5 2" xfId="48423"/>
    <cellStyle name="20% - Accent2 3 3 2 6" xfId="23987"/>
    <cellStyle name="20% - Accent2 3 3 2 6 2" xfId="46233"/>
    <cellStyle name="20% - Accent2 3 3 2 7" xfId="30380"/>
    <cellStyle name="20% - Accent2 3 3 3" xfId="8537"/>
    <cellStyle name="20% - Accent2 3 3 3 2" xfId="15249"/>
    <cellStyle name="20% - Accent2 3 3 3 2 2" xfId="27015"/>
    <cellStyle name="20% - Accent2 3 3 3 2 2 2" xfId="49260"/>
    <cellStyle name="20% - Accent2 3 3 3 2 3" xfId="24802"/>
    <cellStyle name="20% - Accent2 3 3 3 2 3 2" xfId="47047"/>
    <cellStyle name="20% - Accent2 3 3 3 2 4" xfId="38670"/>
    <cellStyle name="20% - Accent2 3 3 3 3" xfId="25378"/>
    <cellStyle name="20% - Accent2 3 3 3 3 2" xfId="27683"/>
    <cellStyle name="20% - Accent2 3 3 3 3 2 2" xfId="49928"/>
    <cellStyle name="20% - Accent2 3 3 3 3 3" xfId="47623"/>
    <cellStyle name="20% - Accent2 3 3 3 4" xfId="26342"/>
    <cellStyle name="20% - Accent2 3 3 3 4 2" xfId="48587"/>
    <cellStyle name="20% - Accent2 3 3 3 5" xfId="24138"/>
    <cellStyle name="20% - Accent2 3 3 3 5 2" xfId="46384"/>
    <cellStyle name="20% - Accent2 3 3 3 6" xfId="32038"/>
    <cellStyle name="20% - Accent2 3 3 4" xfId="11931"/>
    <cellStyle name="20% - Accent2 3 3 4 2" xfId="26683"/>
    <cellStyle name="20% - Accent2 3 3 4 2 2" xfId="48928"/>
    <cellStyle name="20% - Accent2 3 3 4 3" xfId="24470"/>
    <cellStyle name="20% - Accent2 3 3 4 3 2" xfId="46715"/>
    <cellStyle name="20% - Accent2 3 3 4 4" xfId="35354"/>
    <cellStyle name="20% - Accent2 3 3 5" xfId="23459"/>
    <cellStyle name="20% - Accent2 3 3 5 2" xfId="27347"/>
    <cellStyle name="20% - Accent2 3 3 5 2 2" xfId="49592"/>
    <cellStyle name="20% - Accent2 3 3 5 3" xfId="45804"/>
    <cellStyle name="20% - Accent2 3 3 6" xfId="25726"/>
    <cellStyle name="20% - Accent2 3 3 6 2" xfId="47971"/>
    <cellStyle name="20% - Accent2 3 3 7" xfId="28722"/>
    <cellStyle name="20% - Accent2 3 4" xfId="3142"/>
    <cellStyle name="20% - Accent2 3 4 2" xfId="6872"/>
    <cellStyle name="20% - Accent2 3 4 2 2" xfId="10204"/>
    <cellStyle name="20% - Accent2 3 4 2 2 2" xfId="16908"/>
    <cellStyle name="20% - Accent2 3 4 2 2 2 2" xfId="27139"/>
    <cellStyle name="20% - Accent2 3 4 2 2 2 2 2" xfId="49384"/>
    <cellStyle name="20% - Accent2 3 4 2 2 2 3" xfId="24926"/>
    <cellStyle name="20% - Accent2 3 4 2 2 2 3 2" xfId="47171"/>
    <cellStyle name="20% - Accent2 3 4 2 2 2 4" xfId="40329"/>
    <cellStyle name="20% - Accent2 3 4 2 2 3" xfId="25504"/>
    <cellStyle name="20% - Accent2 3 4 2 2 3 2" xfId="27809"/>
    <cellStyle name="20% - Accent2 3 4 2 2 3 2 2" xfId="50054"/>
    <cellStyle name="20% - Accent2 3 4 2 2 3 3" xfId="47749"/>
    <cellStyle name="20% - Accent2 3 4 2 2 4" xfId="26466"/>
    <cellStyle name="20% - Accent2 3 4 2 2 4 2" xfId="48711"/>
    <cellStyle name="20% - Accent2 3 4 2 2 5" xfId="24262"/>
    <cellStyle name="20% - Accent2 3 4 2 2 5 2" xfId="46508"/>
    <cellStyle name="20% - Accent2 3 4 2 2 6" xfId="33697"/>
    <cellStyle name="20% - Accent2 3 4 2 3" xfId="13592"/>
    <cellStyle name="20% - Accent2 3 4 2 3 2" xfId="26807"/>
    <cellStyle name="20% - Accent2 3 4 2 3 2 2" xfId="49052"/>
    <cellStyle name="20% - Accent2 3 4 2 3 3" xfId="24594"/>
    <cellStyle name="20% - Accent2 3 4 2 3 3 2" xfId="46839"/>
    <cellStyle name="20% - Accent2 3 4 2 3 4" xfId="37013"/>
    <cellStyle name="20% - Accent2 3 4 2 4" xfId="25168"/>
    <cellStyle name="20% - Accent2 3 4 2 4 2" xfId="27473"/>
    <cellStyle name="20% - Accent2 3 4 2 4 2 2" xfId="49718"/>
    <cellStyle name="20% - Accent2 3 4 2 4 3" xfId="47413"/>
    <cellStyle name="20% - Accent2 3 4 2 5" xfId="26138"/>
    <cellStyle name="20% - Accent2 3 4 2 5 2" xfId="48383"/>
    <cellStyle name="20% - Accent2 3 4 2 6" xfId="23947"/>
    <cellStyle name="20% - Accent2 3 4 2 6 2" xfId="46193"/>
    <cellStyle name="20% - Accent2 3 4 2 7" xfId="30381"/>
    <cellStyle name="20% - Accent2 3 4 3" xfId="8538"/>
    <cellStyle name="20% - Accent2 3 4 3 2" xfId="15250"/>
    <cellStyle name="20% - Accent2 3 4 3 2 2" xfId="26973"/>
    <cellStyle name="20% - Accent2 3 4 3 2 2 2" xfId="49218"/>
    <cellStyle name="20% - Accent2 3 4 3 2 3" xfId="24760"/>
    <cellStyle name="20% - Accent2 3 4 3 2 3 2" xfId="47005"/>
    <cellStyle name="20% - Accent2 3 4 3 2 4" xfId="38671"/>
    <cellStyle name="20% - Accent2 3 4 3 3" xfId="25336"/>
    <cellStyle name="20% - Accent2 3 4 3 3 2" xfId="27641"/>
    <cellStyle name="20% - Accent2 3 4 3 3 2 2" xfId="49886"/>
    <cellStyle name="20% - Accent2 3 4 3 3 3" xfId="47581"/>
    <cellStyle name="20% - Accent2 3 4 3 4" xfId="26301"/>
    <cellStyle name="20% - Accent2 3 4 3 4 2" xfId="48546"/>
    <cellStyle name="20% - Accent2 3 4 3 5" xfId="24097"/>
    <cellStyle name="20% - Accent2 3 4 3 5 2" xfId="46343"/>
    <cellStyle name="20% - Accent2 3 4 3 6" xfId="32039"/>
    <cellStyle name="20% - Accent2 3 4 4" xfId="11932"/>
    <cellStyle name="20% - Accent2 3 4 4 2" xfId="26641"/>
    <cellStyle name="20% - Accent2 3 4 4 2 2" xfId="48886"/>
    <cellStyle name="20% - Accent2 3 4 4 3" xfId="24428"/>
    <cellStyle name="20% - Accent2 3 4 4 3 2" xfId="46673"/>
    <cellStyle name="20% - Accent2 3 4 4 4" xfId="35355"/>
    <cellStyle name="20% - Accent2 3 4 5" xfId="23458"/>
    <cellStyle name="20% - Accent2 3 4 5 2" xfId="27305"/>
    <cellStyle name="20% - Accent2 3 4 5 2 2" xfId="49550"/>
    <cellStyle name="20% - Accent2 3 4 5 3" xfId="45803"/>
    <cellStyle name="20% - Accent2 3 4 6" xfId="25727"/>
    <cellStyle name="20% - Accent2 3 4 6 2" xfId="47972"/>
    <cellStyle name="20% - Accent2 3 4 7" xfId="28723"/>
    <cellStyle name="20% - Accent2 3 5" xfId="3143"/>
    <cellStyle name="20% - Accent2 3 5 2" xfId="24027"/>
    <cellStyle name="20% - Accent2 3 5 2 2" xfId="24343"/>
    <cellStyle name="20% - Accent2 3 5 2 2 2" xfId="25008"/>
    <cellStyle name="20% - Accent2 3 5 2 2 2 2" xfId="27221"/>
    <cellStyle name="20% - Accent2 3 5 2 2 2 2 2" xfId="49466"/>
    <cellStyle name="20% - Accent2 3 5 2 2 2 3" xfId="47253"/>
    <cellStyle name="20% - Accent2 3 5 2 2 3" xfId="25588"/>
    <cellStyle name="20% - Accent2 3 5 2 2 3 2" xfId="27893"/>
    <cellStyle name="20% - Accent2 3 5 2 2 3 2 2" xfId="50138"/>
    <cellStyle name="20% - Accent2 3 5 2 2 3 3" xfId="47833"/>
    <cellStyle name="20% - Accent2 3 5 2 2 4" xfId="26547"/>
    <cellStyle name="20% - Accent2 3 5 2 2 4 2" xfId="48792"/>
    <cellStyle name="20% - Accent2 3 5 2 2 5" xfId="46589"/>
    <cellStyle name="20% - Accent2 3 5 2 3" xfId="24676"/>
    <cellStyle name="20% - Accent2 3 5 2 3 2" xfId="26889"/>
    <cellStyle name="20% - Accent2 3 5 2 3 2 2" xfId="49134"/>
    <cellStyle name="20% - Accent2 3 5 2 3 3" xfId="46921"/>
    <cellStyle name="20% - Accent2 3 5 2 4" xfId="25252"/>
    <cellStyle name="20% - Accent2 3 5 2 4 2" xfId="27557"/>
    <cellStyle name="20% - Accent2 3 5 2 4 2 2" xfId="49802"/>
    <cellStyle name="20% - Accent2 3 5 2 4 3" xfId="47497"/>
    <cellStyle name="20% - Accent2 3 5 2 5" xfId="26218"/>
    <cellStyle name="20% - Accent2 3 5 2 5 2" xfId="48463"/>
    <cellStyle name="20% - Accent2 3 5 2 6" xfId="46273"/>
    <cellStyle name="20% - Accent2 3 5 3" xfId="24178"/>
    <cellStyle name="20% - Accent2 3 5 3 2" xfId="24842"/>
    <cellStyle name="20% - Accent2 3 5 3 2 2" xfId="27055"/>
    <cellStyle name="20% - Accent2 3 5 3 2 2 2" xfId="49300"/>
    <cellStyle name="20% - Accent2 3 5 3 2 3" xfId="47087"/>
    <cellStyle name="20% - Accent2 3 5 3 3" xfId="25420"/>
    <cellStyle name="20% - Accent2 3 5 3 3 2" xfId="27725"/>
    <cellStyle name="20% - Accent2 3 5 3 3 2 2" xfId="49970"/>
    <cellStyle name="20% - Accent2 3 5 3 3 3" xfId="47665"/>
    <cellStyle name="20% - Accent2 3 5 3 4" xfId="26382"/>
    <cellStyle name="20% - Accent2 3 5 3 4 2" xfId="48627"/>
    <cellStyle name="20% - Accent2 3 5 3 5" xfId="46424"/>
    <cellStyle name="20% - Accent2 3 5 4" xfId="24510"/>
    <cellStyle name="20% - Accent2 3 5 4 2" xfId="26723"/>
    <cellStyle name="20% - Accent2 3 5 4 2 2" xfId="48968"/>
    <cellStyle name="20% - Accent2 3 5 4 3" xfId="46755"/>
    <cellStyle name="20% - Accent2 3 5 5" xfId="25092"/>
    <cellStyle name="20% - Accent2 3 5 5 2" xfId="27389"/>
    <cellStyle name="20% - Accent2 3 5 5 2 2" xfId="49634"/>
    <cellStyle name="20% - Accent2 3 5 5 3" xfId="47337"/>
    <cellStyle name="20% - Accent2 3 5 6" xfId="23882"/>
    <cellStyle name="20% - Accent2 3 5 6 2" xfId="26073"/>
    <cellStyle name="20% - Accent2 3 5 6 2 2" xfId="48318"/>
    <cellStyle name="20% - Accent2 3 5 6 3" xfId="46128"/>
    <cellStyle name="20% - Accent2 3 6" xfId="3137"/>
    <cellStyle name="20% - Accent2 3 6 2" xfId="6867"/>
    <cellStyle name="20% - Accent2 3 6 2 2" xfId="10199"/>
    <cellStyle name="20% - Accent2 3 6 2 2 2" xfId="16903"/>
    <cellStyle name="20% - Accent2 3 6 2 2 2 2" xfId="27097"/>
    <cellStyle name="20% - Accent2 3 6 2 2 2 2 2" xfId="49342"/>
    <cellStyle name="20% - Accent2 3 6 2 2 2 3" xfId="40324"/>
    <cellStyle name="20% - Accent2 3 6 2 2 3" xfId="24884"/>
    <cellStyle name="20% - Accent2 3 6 2 2 3 2" xfId="47129"/>
    <cellStyle name="20% - Accent2 3 6 2 2 4" xfId="33692"/>
    <cellStyle name="20% - Accent2 3 6 2 3" xfId="13587"/>
    <cellStyle name="20% - Accent2 3 6 2 3 2" xfId="27767"/>
    <cellStyle name="20% - Accent2 3 6 2 3 2 2" xfId="50012"/>
    <cellStyle name="20% - Accent2 3 6 2 3 3" xfId="25462"/>
    <cellStyle name="20% - Accent2 3 6 2 3 3 2" xfId="47707"/>
    <cellStyle name="20% - Accent2 3 6 2 3 4" xfId="37008"/>
    <cellStyle name="20% - Accent2 3 6 2 4" xfId="26424"/>
    <cellStyle name="20% - Accent2 3 6 2 4 2" xfId="48669"/>
    <cellStyle name="20% - Accent2 3 6 2 5" xfId="24220"/>
    <cellStyle name="20% - Accent2 3 6 2 5 2" xfId="46466"/>
    <cellStyle name="20% - Accent2 3 6 2 6" xfId="30376"/>
    <cellStyle name="20% - Accent2 3 6 3" xfId="8533"/>
    <cellStyle name="20% - Accent2 3 6 3 2" xfId="15245"/>
    <cellStyle name="20% - Accent2 3 6 3 2 2" xfId="26765"/>
    <cellStyle name="20% - Accent2 3 6 3 2 2 2" xfId="49010"/>
    <cellStyle name="20% - Accent2 3 6 3 2 3" xfId="38666"/>
    <cellStyle name="20% - Accent2 3 6 3 3" xfId="24552"/>
    <cellStyle name="20% - Accent2 3 6 3 3 2" xfId="46797"/>
    <cellStyle name="20% - Accent2 3 6 3 4" xfId="32034"/>
    <cellStyle name="20% - Accent2 3 6 4" xfId="11927"/>
    <cellStyle name="20% - Accent2 3 6 4 2" xfId="27431"/>
    <cellStyle name="20% - Accent2 3 6 4 2 2" xfId="49676"/>
    <cellStyle name="20% - Accent2 3 6 4 3" xfId="25126"/>
    <cellStyle name="20% - Accent2 3 6 4 3 2" xfId="47371"/>
    <cellStyle name="20% - Accent2 3 6 4 4" xfId="35350"/>
    <cellStyle name="20% - Accent2 3 6 5" xfId="25722"/>
    <cellStyle name="20% - Accent2 3 6 5 2" xfId="47967"/>
    <cellStyle name="20% - Accent2 3 6 6" xfId="23401"/>
    <cellStyle name="20% - Accent2 3 6 6 2" xfId="45746"/>
    <cellStyle name="20% - Accent2 3 6 7" xfId="28718"/>
    <cellStyle name="20% - Accent2 3 7" xfId="23463"/>
    <cellStyle name="20% - Accent2 3 7 2" xfId="24718"/>
    <cellStyle name="20% - Accent2 3 7 2 2" xfId="26931"/>
    <cellStyle name="20% - Accent2 3 7 2 2 2" xfId="49176"/>
    <cellStyle name="20% - Accent2 3 7 2 3" xfId="46963"/>
    <cellStyle name="20% - Accent2 3 7 3" xfId="25294"/>
    <cellStyle name="20% - Accent2 3 7 3 2" xfId="27599"/>
    <cellStyle name="20% - Accent2 3 7 3 2 2" xfId="49844"/>
    <cellStyle name="20% - Accent2 3 7 3 3" xfId="47539"/>
    <cellStyle name="20% - Accent2 3 7 4" xfId="26259"/>
    <cellStyle name="20% - Accent2 3 7 4 2" xfId="48504"/>
    <cellStyle name="20% - Accent2 3 7 5" xfId="45808"/>
    <cellStyle name="20% - Accent2 3 8" xfId="24396"/>
    <cellStyle name="20% - Accent2 3 8 2" xfId="26599"/>
    <cellStyle name="20% - Accent2 3 8 2 2" xfId="48844"/>
    <cellStyle name="20% - Accent2 3 8 3" xfId="46641"/>
    <cellStyle name="20% - Accent2 3 9" xfId="25050"/>
    <cellStyle name="20% - Accent2 3 9 2" xfId="27263"/>
    <cellStyle name="20% - Accent2 3 9 2 2" xfId="49508"/>
    <cellStyle name="20% - Accent2 3 9 3" xfId="47295"/>
    <cellStyle name="20% - Accent2 4" xfId="3136"/>
    <cellStyle name="20% - Accent2 4 2" xfId="25706"/>
    <cellStyle name="20% - Accent2 4 2 2" xfId="47951"/>
    <cellStyle name="20% - Accent2 5" xfId="7764"/>
    <cellStyle name="20% - Accent2 5 2" xfId="11093"/>
    <cellStyle name="20% - Accent2 5 2 2" xfId="17797"/>
    <cellStyle name="20% - Accent2 5 2 2 2" xfId="41218"/>
    <cellStyle name="20% - Accent2 5 2 3" xfId="34586"/>
    <cellStyle name="20% - Accent2 5 3" xfId="14481"/>
    <cellStyle name="20% - Accent2 5 3 2" xfId="37902"/>
    <cellStyle name="20% - Accent2 5 4" xfId="31270"/>
    <cellStyle name="20% - Accent2 6" xfId="9435"/>
    <cellStyle name="20% - Accent2 6 2" xfId="16139"/>
    <cellStyle name="20% - Accent2 6 2 2" xfId="39560"/>
    <cellStyle name="20% - Accent2 6 3" xfId="32928"/>
    <cellStyle name="20% - Accent2 7" xfId="12823"/>
    <cellStyle name="20% - Accent2 7 2" xfId="36244"/>
    <cellStyle name="20% - Accent2 8" xfId="23333"/>
    <cellStyle name="20% - Accent2 8 2" xfId="45705"/>
    <cellStyle name="20% - Accent2 9" xfId="6090"/>
    <cellStyle name="20% - Accent2 9 2" xfId="29612"/>
    <cellStyle name="20% - Accent3" xfId="9" builtinId="38" customBuiltin="1"/>
    <cellStyle name="20% - Accent3 10" xfId="8521"/>
    <cellStyle name="20% - Accent3 10 2" xfId="15233"/>
    <cellStyle name="20% - Accent3 10 2 2" xfId="26600"/>
    <cellStyle name="20% - Accent3 10 2 2 2" xfId="48845"/>
    <cellStyle name="20% - Accent3 10 2 3" xfId="38654"/>
    <cellStyle name="20% - Accent3 10 3" xfId="24397"/>
    <cellStyle name="20% - Accent3 10 3 2" xfId="46642"/>
    <cellStyle name="20% - Accent3 10 4" xfId="32022"/>
    <cellStyle name="20% - Accent3 11" xfId="11915"/>
    <cellStyle name="20% - Accent3 11 2" xfId="27264"/>
    <cellStyle name="20% - Accent3 11 2 2" xfId="49509"/>
    <cellStyle name="20% - Accent3 11 3" xfId="25051"/>
    <cellStyle name="20% - Accent3 11 3 2" xfId="47296"/>
    <cellStyle name="20% - Accent3 11 4" xfId="35338"/>
    <cellStyle name="20% - Accent3 12" xfId="25708"/>
    <cellStyle name="20% - Accent3 12 2" xfId="47953"/>
    <cellStyle name="20% - Accent3 13" xfId="2883"/>
    <cellStyle name="20% - Accent3 13 2" xfId="28706"/>
    <cellStyle name="20% - Accent3 2" xfId="261"/>
    <cellStyle name="20% - Accent3 2 2" xfId="262"/>
    <cellStyle name="20% - Accent3 2 3" xfId="5116"/>
    <cellStyle name="20% - Accent3 2 4" xfId="3145"/>
    <cellStyle name="20% - Accent3 3" xfId="1075"/>
    <cellStyle name="20% - Accent3 3 2" xfId="3147"/>
    <cellStyle name="20% - Accent3 3 2 2" xfId="6874"/>
    <cellStyle name="20% - Accent3 3 2 2 2" xfId="10206"/>
    <cellStyle name="20% - Accent3 3 2 2 2 2" xfId="16910"/>
    <cellStyle name="20% - Accent3 3 2 2 2 2 2" xfId="27202"/>
    <cellStyle name="20% - Accent3 3 2 2 2 2 2 2" xfId="49447"/>
    <cellStyle name="20% - Accent3 3 2 2 2 2 3" xfId="24989"/>
    <cellStyle name="20% - Accent3 3 2 2 2 2 3 2" xfId="47234"/>
    <cellStyle name="20% - Accent3 3 2 2 2 2 4" xfId="40331"/>
    <cellStyle name="20% - Accent3 3 2 2 2 3" xfId="25568"/>
    <cellStyle name="20% - Accent3 3 2 2 2 3 2" xfId="27873"/>
    <cellStyle name="20% - Accent3 3 2 2 2 3 2 2" xfId="50118"/>
    <cellStyle name="20% - Accent3 3 2 2 2 3 3" xfId="47813"/>
    <cellStyle name="20% - Accent3 3 2 2 2 4" xfId="26528"/>
    <cellStyle name="20% - Accent3 3 2 2 2 4 2" xfId="48773"/>
    <cellStyle name="20% - Accent3 3 2 2 2 5" xfId="24324"/>
    <cellStyle name="20% - Accent3 3 2 2 2 5 2" xfId="46570"/>
    <cellStyle name="20% - Accent3 3 2 2 2 6" xfId="33699"/>
    <cellStyle name="20% - Accent3 3 2 2 3" xfId="13594"/>
    <cellStyle name="20% - Accent3 3 2 2 3 2" xfId="26870"/>
    <cellStyle name="20% - Accent3 3 2 2 3 2 2" xfId="49115"/>
    <cellStyle name="20% - Accent3 3 2 2 3 3" xfId="24657"/>
    <cellStyle name="20% - Accent3 3 2 2 3 3 2" xfId="46902"/>
    <cellStyle name="20% - Accent3 3 2 2 3 4" xfId="37015"/>
    <cellStyle name="20% - Accent3 3 2 2 4" xfId="25232"/>
    <cellStyle name="20% - Accent3 3 2 2 4 2" xfId="27537"/>
    <cellStyle name="20% - Accent3 3 2 2 4 2 2" xfId="49782"/>
    <cellStyle name="20% - Accent3 3 2 2 4 3" xfId="47477"/>
    <cellStyle name="20% - Accent3 3 2 2 5" xfId="26199"/>
    <cellStyle name="20% - Accent3 3 2 2 5 2" xfId="48444"/>
    <cellStyle name="20% - Accent3 3 2 2 6" xfId="24008"/>
    <cellStyle name="20% - Accent3 3 2 2 6 2" xfId="46254"/>
    <cellStyle name="20% - Accent3 3 2 2 7" xfId="30383"/>
    <cellStyle name="20% - Accent3 3 2 3" xfId="8540"/>
    <cellStyle name="20% - Accent3 3 2 3 2" xfId="15252"/>
    <cellStyle name="20% - Accent3 3 2 3 2 2" xfId="27036"/>
    <cellStyle name="20% - Accent3 3 2 3 2 2 2" xfId="49281"/>
    <cellStyle name="20% - Accent3 3 2 3 2 3" xfId="24823"/>
    <cellStyle name="20% - Accent3 3 2 3 2 3 2" xfId="47068"/>
    <cellStyle name="20% - Accent3 3 2 3 2 4" xfId="38673"/>
    <cellStyle name="20% - Accent3 3 2 3 3" xfId="25400"/>
    <cellStyle name="20% - Accent3 3 2 3 3 2" xfId="27705"/>
    <cellStyle name="20% - Accent3 3 2 3 3 2 2" xfId="49950"/>
    <cellStyle name="20% - Accent3 3 2 3 3 3" xfId="47645"/>
    <cellStyle name="20% - Accent3 3 2 3 4" xfId="26363"/>
    <cellStyle name="20% - Accent3 3 2 3 4 2" xfId="48608"/>
    <cellStyle name="20% - Accent3 3 2 3 5" xfId="24159"/>
    <cellStyle name="20% - Accent3 3 2 3 5 2" xfId="46405"/>
    <cellStyle name="20% - Accent3 3 2 3 6" xfId="32041"/>
    <cellStyle name="20% - Accent3 3 2 4" xfId="11934"/>
    <cellStyle name="20% - Accent3 3 2 4 2" xfId="26704"/>
    <cellStyle name="20% - Accent3 3 2 4 2 2" xfId="48949"/>
    <cellStyle name="20% - Accent3 3 2 4 3" xfId="24491"/>
    <cellStyle name="20% - Accent3 3 2 4 3 2" xfId="46736"/>
    <cellStyle name="20% - Accent3 3 2 4 4" xfId="35357"/>
    <cellStyle name="20% - Accent3 3 2 5" xfId="23456"/>
    <cellStyle name="20% - Accent3 3 2 5 2" xfId="27369"/>
    <cellStyle name="20% - Accent3 3 2 5 2 2" xfId="49614"/>
    <cellStyle name="20% - Accent3 3 2 5 3" xfId="45801"/>
    <cellStyle name="20% - Accent3 3 2 6" xfId="25729"/>
    <cellStyle name="20% - Accent3 3 2 6 2" xfId="47974"/>
    <cellStyle name="20% - Accent3 3 2 7" xfId="28725"/>
    <cellStyle name="20% - Accent3 3 3" xfId="3148"/>
    <cellStyle name="20% - Accent3 3 3 2" xfId="6875"/>
    <cellStyle name="20% - Accent3 3 3 2 2" xfId="10207"/>
    <cellStyle name="20% - Accent3 3 3 2 2 2" xfId="16911"/>
    <cellStyle name="20% - Accent3 3 3 2 2 2 2" xfId="27161"/>
    <cellStyle name="20% - Accent3 3 3 2 2 2 2 2" xfId="49406"/>
    <cellStyle name="20% - Accent3 3 3 2 2 2 3" xfId="24948"/>
    <cellStyle name="20% - Accent3 3 3 2 2 2 3 2" xfId="47193"/>
    <cellStyle name="20% - Accent3 3 3 2 2 2 4" xfId="40332"/>
    <cellStyle name="20% - Accent3 3 3 2 2 3" xfId="25526"/>
    <cellStyle name="20% - Accent3 3 3 2 2 3 2" xfId="27831"/>
    <cellStyle name="20% - Accent3 3 3 2 2 3 2 2" xfId="50076"/>
    <cellStyle name="20% - Accent3 3 3 2 2 3 3" xfId="47771"/>
    <cellStyle name="20% - Accent3 3 3 2 2 4" xfId="26488"/>
    <cellStyle name="20% - Accent3 3 3 2 2 4 2" xfId="48733"/>
    <cellStyle name="20% - Accent3 3 3 2 2 5" xfId="24284"/>
    <cellStyle name="20% - Accent3 3 3 2 2 5 2" xfId="46530"/>
    <cellStyle name="20% - Accent3 3 3 2 2 6" xfId="33700"/>
    <cellStyle name="20% - Accent3 3 3 2 3" xfId="13595"/>
    <cellStyle name="20% - Accent3 3 3 2 3 2" xfId="26829"/>
    <cellStyle name="20% - Accent3 3 3 2 3 2 2" xfId="49074"/>
    <cellStyle name="20% - Accent3 3 3 2 3 3" xfId="24616"/>
    <cellStyle name="20% - Accent3 3 3 2 3 3 2" xfId="46861"/>
    <cellStyle name="20% - Accent3 3 3 2 3 4" xfId="37016"/>
    <cellStyle name="20% - Accent3 3 3 2 4" xfId="25190"/>
    <cellStyle name="20% - Accent3 3 3 2 4 2" xfId="27495"/>
    <cellStyle name="20% - Accent3 3 3 2 4 2 2" xfId="49740"/>
    <cellStyle name="20% - Accent3 3 3 2 4 3" xfId="47435"/>
    <cellStyle name="20% - Accent3 3 3 2 5" xfId="26159"/>
    <cellStyle name="20% - Accent3 3 3 2 5 2" xfId="48404"/>
    <cellStyle name="20% - Accent3 3 3 2 6" xfId="23968"/>
    <cellStyle name="20% - Accent3 3 3 2 6 2" xfId="46214"/>
    <cellStyle name="20% - Accent3 3 3 2 7" xfId="30384"/>
    <cellStyle name="20% - Accent3 3 3 3" xfId="8541"/>
    <cellStyle name="20% - Accent3 3 3 3 2" xfId="15253"/>
    <cellStyle name="20% - Accent3 3 3 3 2 2" xfId="26995"/>
    <cellStyle name="20% - Accent3 3 3 3 2 2 2" xfId="49240"/>
    <cellStyle name="20% - Accent3 3 3 3 2 3" xfId="24782"/>
    <cellStyle name="20% - Accent3 3 3 3 2 3 2" xfId="47027"/>
    <cellStyle name="20% - Accent3 3 3 3 2 4" xfId="38674"/>
    <cellStyle name="20% - Accent3 3 3 3 3" xfId="25358"/>
    <cellStyle name="20% - Accent3 3 3 3 3 2" xfId="27663"/>
    <cellStyle name="20% - Accent3 3 3 3 3 2 2" xfId="49908"/>
    <cellStyle name="20% - Accent3 3 3 3 3 3" xfId="47603"/>
    <cellStyle name="20% - Accent3 3 3 3 4" xfId="26323"/>
    <cellStyle name="20% - Accent3 3 3 3 4 2" xfId="48568"/>
    <cellStyle name="20% - Accent3 3 3 3 5" xfId="24119"/>
    <cellStyle name="20% - Accent3 3 3 3 5 2" xfId="46365"/>
    <cellStyle name="20% - Accent3 3 3 3 6" xfId="32042"/>
    <cellStyle name="20% - Accent3 3 3 4" xfId="11935"/>
    <cellStyle name="20% - Accent3 3 3 4 2" xfId="26663"/>
    <cellStyle name="20% - Accent3 3 3 4 2 2" xfId="48908"/>
    <cellStyle name="20% - Accent3 3 3 4 3" xfId="24450"/>
    <cellStyle name="20% - Accent3 3 3 4 3 2" xfId="46695"/>
    <cellStyle name="20% - Accent3 3 3 4 4" xfId="35358"/>
    <cellStyle name="20% - Accent3 3 3 5" xfId="23455"/>
    <cellStyle name="20% - Accent3 3 3 5 2" xfId="27327"/>
    <cellStyle name="20% - Accent3 3 3 5 2 2" xfId="49572"/>
    <cellStyle name="20% - Accent3 3 3 5 3" xfId="45800"/>
    <cellStyle name="20% - Accent3 3 3 6" xfId="25730"/>
    <cellStyle name="20% - Accent3 3 3 6 2" xfId="47975"/>
    <cellStyle name="20% - Accent3 3 3 7" xfId="28726"/>
    <cellStyle name="20% - Accent3 3 4" xfId="3149"/>
    <cellStyle name="20% - Accent3 3 4 2" xfId="24049"/>
    <cellStyle name="20% - Accent3 3 4 2 2" xfId="24365"/>
    <cellStyle name="20% - Accent3 3 4 2 2 2" xfId="25030"/>
    <cellStyle name="20% - Accent3 3 4 2 2 2 2" xfId="27243"/>
    <cellStyle name="20% - Accent3 3 4 2 2 2 2 2" xfId="49488"/>
    <cellStyle name="20% - Accent3 3 4 2 2 2 3" xfId="47275"/>
    <cellStyle name="20% - Accent3 3 4 2 2 3" xfId="25610"/>
    <cellStyle name="20% - Accent3 3 4 2 2 3 2" xfId="27915"/>
    <cellStyle name="20% - Accent3 3 4 2 2 3 2 2" xfId="50160"/>
    <cellStyle name="20% - Accent3 3 4 2 2 3 3" xfId="47855"/>
    <cellStyle name="20% - Accent3 3 4 2 2 4" xfId="26569"/>
    <cellStyle name="20% - Accent3 3 4 2 2 4 2" xfId="48814"/>
    <cellStyle name="20% - Accent3 3 4 2 2 5" xfId="46611"/>
    <cellStyle name="20% - Accent3 3 4 2 3" xfId="24698"/>
    <cellStyle name="20% - Accent3 3 4 2 3 2" xfId="26911"/>
    <cellStyle name="20% - Accent3 3 4 2 3 2 2" xfId="49156"/>
    <cellStyle name="20% - Accent3 3 4 2 3 3" xfId="46943"/>
    <cellStyle name="20% - Accent3 3 4 2 4" xfId="25274"/>
    <cellStyle name="20% - Accent3 3 4 2 4 2" xfId="27579"/>
    <cellStyle name="20% - Accent3 3 4 2 4 2 2" xfId="49824"/>
    <cellStyle name="20% - Accent3 3 4 2 4 3" xfId="47519"/>
    <cellStyle name="20% - Accent3 3 4 2 5" xfId="26240"/>
    <cellStyle name="20% - Accent3 3 4 2 5 2" xfId="48485"/>
    <cellStyle name="20% - Accent3 3 4 2 6" xfId="46295"/>
    <cellStyle name="20% - Accent3 3 4 3" xfId="24200"/>
    <cellStyle name="20% - Accent3 3 4 3 2" xfId="24864"/>
    <cellStyle name="20% - Accent3 3 4 3 2 2" xfId="27077"/>
    <cellStyle name="20% - Accent3 3 4 3 2 2 2" xfId="49322"/>
    <cellStyle name="20% - Accent3 3 4 3 2 3" xfId="47109"/>
    <cellStyle name="20% - Accent3 3 4 3 3" xfId="25442"/>
    <cellStyle name="20% - Accent3 3 4 3 3 2" xfId="27747"/>
    <cellStyle name="20% - Accent3 3 4 3 3 2 2" xfId="49992"/>
    <cellStyle name="20% - Accent3 3 4 3 3 3" xfId="47687"/>
    <cellStyle name="20% - Accent3 3 4 3 4" xfId="26404"/>
    <cellStyle name="20% - Accent3 3 4 3 4 2" xfId="48649"/>
    <cellStyle name="20% - Accent3 3 4 3 5" xfId="46446"/>
    <cellStyle name="20% - Accent3 3 4 4" xfId="24532"/>
    <cellStyle name="20% - Accent3 3 4 4 2" xfId="26745"/>
    <cellStyle name="20% - Accent3 3 4 4 2 2" xfId="48990"/>
    <cellStyle name="20% - Accent3 3 4 4 3" xfId="46777"/>
    <cellStyle name="20% - Accent3 3 4 5" xfId="25106"/>
    <cellStyle name="20% - Accent3 3 4 5 2" xfId="27411"/>
    <cellStyle name="20% - Accent3 3 4 5 2 2" xfId="49656"/>
    <cellStyle name="20% - Accent3 3 4 5 3" xfId="47351"/>
    <cellStyle name="20% - Accent3 3 4 6" xfId="23896"/>
    <cellStyle name="20% - Accent3 3 4 6 2" xfId="26087"/>
    <cellStyle name="20% - Accent3 3 4 6 2 2" xfId="48332"/>
    <cellStyle name="20% - Accent3 3 4 6 3" xfId="46142"/>
    <cellStyle name="20% - Accent3 3 5" xfId="3146"/>
    <cellStyle name="20% - Accent3 3 5 2" xfId="6873"/>
    <cellStyle name="20% - Accent3 3 5 2 2" xfId="10205"/>
    <cellStyle name="20% - Accent3 3 5 2 2 2" xfId="16909"/>
    <cellStyle name="20% - Accent3 3 5 2 2 2 2" xfId="27119"/>
    <cellStyle name="20% - Accent3 3 5 2 2 2 2 2" xfId="49364"/>
    <cellStyle name="20% - Accent3 3 5 2 2 2 3" xfId="40330"/>
    <cellStyle name="20% - Accent3 3 5 2 2 3" xfId="24906"/>
    <cellStyle name="20% - Accent3 3 5 2 2 3 2" xfId="47151"/>
    <cellStyle name="20% - Accent3 3 5 2 2 4" xfId="33698"/>
    <cellStyle name="20% - Accent3 3 5 2 3" xfId="13593"/>
    <cellStyle name="20% - Accent3 3 5 2 3 2" xfId="27789"/>
    <cellStyle name="20% - Accent3 3 5 2 3 2 2" xfId="50034"/>
    <cellStyle name="20% - Accent3 3 5 2 3 3" xfId="25484"/>
    <cellStyle name="20% - Accent3 3 5 2 3 3 2" xfId="47729"/>
    <cellStyle name="20% - Accent3 3 5 2 3 4" xfId="37014"/>
    <cellStyle name="20% - Accent3 3 5 2 4" xfId="26446"/>
    <cellStyle name="20% - Accent3 3 5 2 4 2" xfId="48691"/>
    <cellStyle name="20% - Accent3 3 5 2 5" xfId="24242"/>
    <cellStyle name="20% - Accent3 3 5 2 5 2" xfId="46488"/>
    <cellStyle name="20% - Accent3 3 5 2 6" xfId="30382"/>
    <cellStyle name="20% - Accent3 3 5 3" xfId="8539"/>
    <cellStyle name="20% - Accent3 3 5 3 2" xfId="15251"/>
    <cellStyle name="20% - Accent3 3 5 3 2 2" xfId="26787"/>
    <cellStyle name="20% - Accent3 3 5 3 2 2 2" xfId="49032"/>
    <cellStyle name="20% - Accent3 3 5 3 2 3" xfId="38672"/>
    <cellStyle name="20% - Accent3 3 5 3 3" xfId="24574"/>
    <cellStyle name="20% - Accent3 3 5 3 3 2" xfId="46819"/>
    <cellStyle name="20% - Accent3 3 5 3 4" xfId="32040"/>
    <cellStyle name="20% - Accent3 3 5 4" xfId="11933"/>
    <cellStyle name="20% - Accent3 3 5 4 2" xfId="27453"/>
    <cellStyle name="20% - Accent3 3 5 4 2 2" xfId="49698"/>
    <cellStyle name="20% - Accent3 3 5 4 3" xfId="25148"/>
    <cellStyle name="20% - Accent3 3 5 4 3 2" xfId="47393"/>
    <cellStyle name="20% - Accent3 3 5 4 4" xfId="35356"/>
    <cellStyle name="20% - Accent3 3 5 5" xfId="25728"/>
    <cellStyle name="20% - Accent3 3 5 5 2" xfId="47973"/>
    <cellStyle name="20% - Accent3 3 5 6" xfId="23402"/>
    <cellStyle name="20% - Accent3 3 5 6 2" xfId="45747"/>
    <cellStyle name="20% - Accent3 3 5 7" xfId="28724"/>
    <cellStyle name="20% - Accent3 3 6" xfId="23457"/>
    <cellStyle name="20% - Accent3 3 6 2" xfId="24740"/>
    <cellStyle name="20% - Accent3 3 6 2 2" xfId="26953"/>
    <cellStyle name="20% - Accent3 3 6 2 2 2" xfId="49198"/>
    <cellStyle name="20% - Accent3 3 6 2 3" xfId="46985"/>
    <cellStyle name="20% - Accent3 3 6 3" xfId="25316"/>
    <cellStyle name="20% - Accent3 3 6 3 2" xfId="27621"/>
    <cellStyle name="20% - Accent3 3 6 3 2 2" xfId="49866"/>
    <cellStyle name="20% - Accent3 3 6 3 3" xfId="47561"/>
    <cellStyle name="20% - Accent3 3 6 4" xfId="26281"/>
    <cellStyle name="20% - Accent3 3 6 4 2" xfId="48526"/>
    <cellStyle name="20% - Accent3 3 6 5" xfId="45802"/>
    <cellStyle name="20% - Accent3 3 7" xfId="24416"/>
    <cellStyle name="20% - Accent3 3 7 2" xfId="26621"/>
    <cellStyle name="20% - Accent3 3 7 2 2" xfId="48866"/>
    <cellStyle name="20% - Accent3 3 7 3" xfId="46661"/>
    <cellStyle name="20% - Accent3 3 8" xfId="25072"/>
    <cellStyle name="20% - Accent3 3 8 2" xfId="27285"/>
    <cellStyle name="20% - Accent3 3 8 2 2" xfId="49530"/>
    <cellStyle name="20% - Accent3 3 8 3" xfId="47317"/>
    <cellStyle name="20% - Accent3 3 9" xfId="23643"/>
    <cellStyle name="20% - Accent3 4" xfId="3150"/>
    <cellStyle name="20% - Accent3 4 2" xfId="6876"/>
    <cellStyle name="20% - Accent3 4 2 2" xfId="10208"/>
    <cellStyle name="20% - Accent3 4 2 2 2" xfId="16912"/>
    <cellStyle name="20% - Accent3 4 2 2 2 2" xfId="27182"/>
    <cellStyle name="20% - Accent3 4 2 2 2 2 2" xfId="49427"/>
    <cellStyle name="20% - Accent3 4 2 2 2 3" xfId="24969"/>
    <cellStyle name="20% - Accent3 4 2 2 2 3 2" xfId="47214"/>
    <cellStyle name="20% - Accent3 4 2 2 2 4" xfId="40333"/>
    <cellStyle name="20% - Accent3 4 2 2 3" xfId="25547"/>
    <cellStyle name="20% - Accent3 4 2 2 3 2" xfId="27852"/>
    <cellStyle name="20% - Accent3 4 2 2 3 2 2" xfId="50097"/>
    <cellStyle name="20% - Accent3 4 2 2 3 3" xfId="47792"/>
    <cellStyle name="20% - Accent3 4 2 2 4" xfId="26508"/>
    <cellStyle name="20% - Accent3 4 2 2 4 2" xfId="48753"/>
    <cellStyle name="20% - Accent3 4 2 2 5" xfId="24304"/>
    <cellStyle name="20% - Accent3 4 2 2 5 2" xfId="46550"/>
    <cellStyle name="20% - Accent3 4 2 2 6" xfId="33701"/>
    <cellStyle name="20% - Accent3 4 2 3" xfId="13596"/>
    <cellStyle name="20% - Accent3 4 2 3 2" xfId="26850"/>
    <cellStyle name="20% - Accent3 4 2 3 2 2" xfId="49095"/>
    <cellStyle name="20% - Accent3 4 2 3 3" xfId="24637"/>
    <cellStyle name="20% - Accent3 4 2 3 3 2" xfId="46882"/>
    <cellStyle name="20% - Accent3 4 2 3 4" xfId="37017"/>
    <cellStyle name="20% - Accent3 4 2 4" xfId="25211"/>
    <cellStyle name="20% - Accent3 4 2 4 2" xfId="27516"/>
    <cellStyle name="20% - Accent3 4 2 4 2 2" xfId="49761"/>
    <cellStyle name="20% - Accent3 4 2 4 3" xfId="47456"/>
    <cellStyle name="20% - Accent3 4 2 5" xfId="26179"/>
    <cellStyle name="20% - Accent3 4 2 5 2" xfId="48424"/>
    <cellStyle name="20% - Accent3 4 2 6" xfId="23988"/>
    <cellStyle name="20% - Accent3 4 2 6 2" xfId="46234"/>
    <cellStyle name="20% - Accent3 4 2 7" xfId="30385"/>
    <cellStyle name="20% - Accent3 4 3" xfId="8542"/>
    <cellStyle name="20% - Accent3 4 3 2" xfId="15254"/>
    <cellStyle name="20% - Accent3 4 3 2 2" xfId="27016"/>
    <cellStyle name="20% - Accent3 4 3 2 2 2" xfId="49261"/>
    <cellStyle name="20% - Accent3 4 3 2 3" xfId="24803"/>
    <cellStyle name="20% - Accent3 4 3 2 3 2" xfId="47048"/>
    <cellStyle name="20% - Accent3 4 3 2 4" xfId="38675"/>
    <cellStyle name="20% - Accent3 4 3 3" xfId="25379"/>
    <cellStyle name="20% - Accent3 4 3 3 2" xfId="27684"/>
    <cellStyle name="20% - Accent3 4 3 3 2 2" xfId="49929"/>
    <cellStyle name="20% - Accent3 4 3 3 3" xfId="47624"/>
    <cellStyle name="20% - Accent3 4 3 4" xfId="26343"/>
    <cellStyle name="20% - Accent3 4 3 4 2" xfId="48588"/>
    <cellStyle name="20% - Accent3 4 3 5" xfId="24139"/>
    <cellStyle name="20% - Accent3 4 3 5 2" xfId="46385"/>
    <cellStyle name="20% - Accent3 4 3 6" xfId="32043"/>
    <cellStyle name="20% - Accent3 4 4" xfId="11936"/>
    <cellStyle name="20% - Accent3 4 4 2" xfId="26684"/>
    <cellStyle name="20% - Accent3 4 4 2 2" xfId="48929"/>
    <cellStyle name="20% - Accent3 4 4 3" xfId="24471"/>
    <cellStyle name="20% - Accent3 4 4 3 2" xfId="46716"/>
    <cellStyle name="20% - Accent3 4 4 4" xfId="35359"/>
    <cellStyle name="20% - Accent3 4 5" xfId="23454"/>
    <cellStyle name="20% - Accent3 4 5 2" xfId="27348"/>
    <cellStyle name="20% - Accent3 4 5 2 2" xfId="49593"/>
    <cellStyle name="20% - Accent3 4 5 3" xfId="45799"/>
    <cellStyle name="20% - Accent3 4 6" xfId="25731"/>
    <cellStyle name="20% - Accent3 4 6 2" xfId="47976"/>
    <cellStyle name="20% - Accent3 4 7" xfId="28727"/>
    <cellStyle name="20% - Accent3 5" xfId="3151"/>
    <cellStyle name="20% - Accent3 5 2" xfId="6877"/>
    <cellStyle name="20% - Accent3 5 2 2" xfId="10209"/>
    <cellStyle name="20% - Accent3 5 2 2 2" xfId="16913"/>
    <cellStyle name="20% - Accent3 5 2 2 2 2" xfId="27140"/>
    <cellStyle name="20% - Accent3 5 2 2 2 2 2" xfId="49385"/>
    <cellStyle name="20% - Accent3 5 2 2 2 3" xfId="24927"/>
    <cellStyle name="20% - Accent3 5 2 2 2 3 2" xfId="47172"/>
    <cellStyle name="20% - Accent3 5 2 2 2 4" xfId="40334"/>
    <cellStyle name="20% - Accent3 5 2 2 3" xfId="25505"/>
    <cellStyle name="20% - Accent3 5 2 2 3 2" xfId="27810"/>
    <cellStyle name="20% - Accent3 5 2 2 3 2 2" xfId="50055"/>
    <cellStyle name="20% - Accent3 5 2 2 3 3" xfId="47750"/>
    <cellStyle name="20% - Accent3 5 2 2 4" xfId="26467"/>
    <cellStyle name="20% - Accent3 5 2 2 4 2" xfId="48712"/>
    <cellStyle name="20% - Accent3 5 2 2 5" xfId="24263"/>
    <cellStyle name="20% - Accent3 5 2 2 5 2" xfId="46509"/>
    <cellStyle name="20% - Accent3 5 2 2 6" xfId="33702"/>
    <cellStyle name="20% - Accent3 5 2 3" xfId="13597"/>
    <cellStyle name="20% - Accent3 5 2 3 2" xfId="26808"/>
    <cellStyle name="20% - Accent3 5 2 3 2 2" xfId="49053"/>
    <cellStyle name="20% - Accent3 5 2 3 3" xfId="24595"/>
    <cellStyle name="20% - Accent3 5 2 3 3 2" xfId="46840"/>
    <cellStyle name="20% - Accent3 5 2 3 4" xfId="37018"/>
    <cellStyle name="20% - Accent3 5 2 4" xfId="25169"/>
    <cellStyle name="20% - Accent3 5 2 4 2" xfId="27474"/>
    <cellStyle name="20% - Accent3 5 2 4 2 2" xfId="49719"/>
    <cellStyle name="20% - Accent3 5 2 4 3" xfId="47414"/>
    <cellStyle name="20% - Accent3 5 2 5" xfId="26139"/>
    <cellStyle name="20% - Accent3 5 2 5 2" xfId="48384"/>
    <cellStyle name="20% - Accent3 5 2 6" xfId="23948"/>
    <cellStyle name="20% - Accent3 5 2 6 2" xfId="46194"/>
    <cellStyle name="20% - Accent3 5 2 7" xfId="30386"/>
    <cellStyle name="20% - Accent3 5 3" xfId="8543"/>
    <cellStyle name="20% - Accent3 5 3 2" xfId="15255"/>
    <cellStyle name="20% - Accent3 5 3 2 2" xfId="26974"/>
    <cellStyle name="20% - Accent3 5 3 2 2 2" xfId="49219"/>
    <cellStyle name="20% - Accent3 5 3 2 3" xfId="24761"/>
    <cellStyle name="20% - Accent3 5 3 2 3 2" xfId="47006"/>
    <cellStyle name="20% - Accent3 5 3 2 4" xfId="38676"/>
    <cellStyle name="20% - Accent3 5 3 3" xfId="25337"/>
    <cellStyle name="20% - Accent3 5 3 3 2" xfId="27642"/>
    <cellStyle name="20% - Accent3 5 3 3 2 2" xfId="49887"/>
    <cellStyle name="20% - Accent3 5 3 3 3" xfId="47582"/>
    <cellStyle name="20% - Accent3 5 3 4" xfId="26302"/>
    <cellStyle name="20% - Accent3 5 3 4 2" xfId="48547"/>
    <cellStyle name="20% - Accent3 5 3 5" xfId="24098"/>
    <cellStyle name="20% - Accent3 5 3 5 2" xfId="46344"/>
    <cellStyle name="20% - Accent3 5 3 6" xfId="32044"/>
    <cellStyle name="20% - Accent3 5 4" xfId="11937"/>
    <cellStyle name="20% - Accent3 5 4 2" xfId="26642"/>
    <cellStyle name="20% - Accent3 5 4 2 2" xfId="48887"/>
    <cellStyle name="20% - Accent3 5 4 3" xfId="24429"/>
    <cellStyle name="20% - Accent3 5 4 3 2" xfId="46674"/>
    <cellStyle name="20% - Accent3 5 4 4" xfId="35360"/>
    <cellStyle name="20% - Accent3 5 5" xfId="23453"/>
    <cellStyle name="20% - Accent3 5 5 2" xfId="27306"/>
    <cellStyle name="20% - Accent3 5 5 2 2" xfId="49551"/>
    <cellStyle name="20% - Accent3 5 5 3" xfId="45798"/>
    <cellStyle name="20% - Accent3 5 6" xfId="25732"/>
    <cellStyle name="20% - Accent3 5 6 2" xfId="47977"/>
    <cellStyle name="20% - Accent3 5 7" xfId="28728"/>
    <cellStyle name="20% - Accent3 6" xfId="3152"/>
    <cellStyle name="20% - Accent3 6 2" xfId="6878"/>
    <cellStyle name="20% - Accent3 6 2 2" xfId="10210"/>
    <cellStyle name="20% - Accent3 6 2 2 2" xfId="16914"/>
    <cellStyle name="20% - Accent3 6 2 2 2 2" xfId="27222"/>
    <cellStyle name="20% - Accent3 6 2 2 2 2 2" xfId="49467"/>
    <cellStyle name="20% - Accent3 6 2 2 2 3" xfId="25009"/>
    <cellStyle name="20% - Accent3 6 2 2 2 3 2" xfId="47254"/>
    <cellStyle name="20% - Accent3 6 2 2 2 4" xfId="40335"/>
    <cellStyle name="20% - Accent3 6 2 2 3" xfId="25589"/>
    <cellStyle name="20% - Accent3 6 2 2 3 2" xfId="27894"/>
    <cellStyle name="20% - Accent3 6 2 2 3 2 2" xfId="50139"/>
    <cellStyle name="20% - Accent3 6 2 2 3 3" xfId="47834"/>
    <cellStyle name="20% - Accent3 6 2 2 4" xfId="26548"/>
    <cellStyle name="20% - Accent3 6 2 2 4 2" xfId="48793"/>
    <cellStyle name="20% - Accent3 6 2 2 5" xfId="24344"/>
    <cellStyle name="20% - Accent3 6 2 2 5 2" xfId="46590"/>
    <cellStyle name="20% - Accent3 6 2 2 6" xfId="33703"/>
    <cellStyle name="20% - Accent3 6 2 3" xfId="13598"/>
    <cellStyle name="20% - Accent3 6 2 3 2" xfId="26890"/>
    <cellStyle name="20% - Accent3 6 2 3 2 2" xfId="49135"/>
    <cellStyle name="20% - Accent3 6 2 3 3" xfId="24677"/>
    <cellStyle name="20% - Accent3 6 2 3 3 2" xfId="46922"/>
    <cellStyle name="20% - Accent3 6 2 3 4" xfId="37019"/>
    <cellStyle name="20% - Accent3 6 2 4" xfId="25253"/>
    <cellStyle name="20% - Accent3 6 2 4 2" xfId="27558"/>
    <cellStyle name="20% - Accent3 6 2 4 2 2" xfId="49803"/>
    <cellStyle name="20% - Accent3 6 2 4 3" xfId="47498"/>
    <cellStyle name="20% - Accent3 6 2 5" xfId="26219"/>
    <cellStyle name="20% - Accent3 6 2 5 2" xfId="48464"/>
    <cellStyle name="20% - Accent3 6 2 6" xfId="24028"/>
    <cellStyle name="20% - Accent3 6 2 6 2" xfId="46274"/>
    <cellStyle name="20% - Accent3 6 2 7" xfId="30387"/>
    <cellStyle name="20% - Accent3 6 3" xfId="8544"/>
    <cellStyle name="20% - Accent3 6 3 2" xfId="15256"/>
    <cellStyle name="20% - Accent3 6 3 2 2" xfId="27056"/>
    <cellStyle name="20% - Accent3 6 3 2 2 2" xfId="49301"/>
    <cellStyle name="20% - Accent3 6 3 2 3" xfId="24843"/>
    <cellStyle name="20% - Accent3 6 3 2 3 2" xfId="47088"/>
    <cellStyle name="20% - Accent3 6 3 2 4" xfId="38677"/>
    <cellStyle name="20% - Accent3 6 3 3" xfId="25421"/>
    <cellStyle name="20% - Accent3 6 3 3 2" xfId="27726"/>
    <cellStyle name="20% - Accent3 6 3 3 2 2" xfId="49971"/>
    <cellStyle name="20% - Accent3 6 3 3 3" xfId="47666"/>
    <cellStyle name="20% - Accent3 6 3 4" xfId="26383"/>
    <cellStyle name="20% - Accent3 6 3 4 2" xfId="48628"/>
    <cellStyle name="20% - Accent3 6 3 5" xfId="24179"/>
    <cellStyle name="20% - Accent3 6 3 5 2" xfId="46425"/>
    <cellStyle name="20% - Accent3 6 3 6" xfId="32045"/>
    <cellStyle name="20% - Accent3 6 4" xfId="11938"/>
    <cellStyle name="20% - Accent3 6 4 2" xfId="26724"/>
    <cellStyle name="20% - Accent3 6 4 2 2" xfId="48969"/>
    <cellStyle name="20% - Accent3 6 4 3" xfId="24511"/>
    <cellStyle name="20% - Accent3 6 4 3 2" xfId="46756"/>
    <cellStyle name="20% - Accent3 6 4 4" xfId="35361"/>
    <cellStyle name="20% - Accent3 6 5" xfId="23452"/>
    <cellStyle name="20% - Accent3 6 5 2" xfId="27390"/>
    <cellStyle name="20% - Accent3 6 5 2 2" xfId="49635"/>
    <cellStyle name="20% - Accent3 6 5 3" xfId="45797"/>
    <cellStyle name="20% - Accent3 6 6" xfId="25733"/>
    <cellStyle name="20% - Accent3 6 6 2" xfId="47978"/>
    <cellStyle name="20% - Accent3 6 7" xfId="28729"/>
    <cellStyle name="20% - Accent3 7" xfId="3144"/>
    <cellStyle name="20% - Accent3 7 2" xfId="24221"/>
    <cellStyle name="20% - Accent3 7 2 2" xfId="24885"/>
    <cellStyle name="20% - Accent3 7 2 2 2" xfId="27098"/>
    <cellStyle name="20% - Accent3 7 2 2 2 2" xfId="49343"/>
    <cellStyle name="20% - Accent3 7 2 2 3" xfId="47130"/>
    <cellStyle name="20% - Accent3 7 2 3" xfId="25463"/>
    <cellStyle name="20% - Accent3 7 2 3 2" xfId="27768"/>
    <cellStyle name="20% - Accent3 7 2 3 2 2" xfId="50013"/>
    <cellStyle name="20% - Accent3 7 2 3 3" xfId="47708"/>
    <cellStyle name="20% - Accent3 7 2 4" xfId="26425"/>
    <cellStyle name="20% - Accent3 7 2 4 2" xfId="48670"/>
    <cellStyle name="20% - Accent3 7 2 5" xfId="46467"/>
    <cellStyle name="20% - Accent3 7 3" xfId="24553"/>
    <cellStyle name="20% - Accent3 7 3 2" xfId="26766"/>
    <cellStyle name="20% - Accent3 7 3 2 2" xfId="49011"/>
    <cellStyle name="20% - Accent3 7 3 3" xfId="46798"/>
    <cellStyle name="20% - Accent3 7 4" xfId="25127"/>
    <cellStyle name="20% - Accent3 7 4 2" xfId="27432"/>
    <cellStyle name="20% - Accent3 7 4 2 2" xfId="49677"/>
    <cellStyle name="20% - Accent3 7 4 3" xfId="47372"/>
    <cellStyle name="20% - Accent3 7 5" xfId="26105"/>
    <cellStyle name="20% - Accent3 7 5 2" xfId="48350"/>
    <cellStyle name="20% - Accent3 7 6" xfId="23914"/>
    <cellStyle name="20% - Accent3 7 6 2" xfId="46160"/>
    <cellStyle name="20% - Accent3 8" xfId="6108"/>
    <cellStyle name="20% - Accent3 8 2" xfId="7774"/>
    <cellStyle name="20% - Accent3 8 2 2" xfId="11103"/>
    <cellStyle name="20% - Accent3 8 2 2 2" xfId="17807"/>
    <cellStyle name="20% - Accent3 8 2 2 2 2" xfId="41228"/>
    <cellStyle name="20% - Accent3 8 2 2 3" xfId="26932"/>
    <cellStyle name="20% - Accent3 8 2 2 3 2" xfId="49177"/>
    <cellStyle name="20% - Accent3 8 2 2 4" xfId="34596"/>
    <cellStyle name="20% - Accent3 8 2 3" xfId="14491"/>
    <cellStyle name="20% - Accent3 8 2 3 2" xfId="37912"/>
    <cellStyle name="20% - Accent3 8 2 4" xfId="24719"/>
    <cellStyle name="20% - Accent3 8 2 4 2" xfId="46964"/>
    <cellStyle name="20% - Accent3 8 2 5" xfId="31280"/>
    <cellStyle name="20% - Accent3 8 3" xfId="9445"/>
    <cellStyle name="20% - Accent3 8 3 2" xfId="16149"/>
    <cellStyle name="20% - Accent3 8 3 2 2" xfId="27600"/>
    <cellStyle name="20% - Accent3 8 3 2 2 2" xfId="49845"/>
    <cellStyle name="20% - Accent3 8 3 2 3" xfId="39570"/>
    <cellStyle name="20% - Accent3 8 3 3" xfId="25295"/>
    <cellStyle name="20% - Accent3 8 3 3 2" xfId="47540"/>
    <cellStyle name="20% - Accent3 8 3 4" xfId="32938"/>
    <cellStyle name="20% - Accent3 8 4" xfId="12833"/>
    <cellStyle name="20% - Accent3 8 4 2" xfId="26260"/>
    <cellStyle name="20% - Accent3 8 4 2 2" xfId="48505"/>
    <cellStyle name="20% - Accent3 8 4 3" xfId="36254"/>
    <cellStyle name="20% - Accent3 8 5" xfId="24067"/>
    <cellStyle name="20% - Accent3 8 5 2" xfId="46313"/>
    <cellStyle name="20% - Accent3 8 6" xfId="29622"/>
    <cellStyle name="20% - Accent3 9" xfId="6855"/>
    <cellStyle name="20% - Accent3 9 2" xfId="10187"/>
    <cellStyle name="20% - Accent3 9 2 2" xfId="16891"/>
    <cellStyle name="20% - Accent3 9 2 2 2" xfId="40312"/>
    <cellStyle name="20% - Accent3 9 2 3" xfId="26591"/>
    <cellStyle name="20% - Accent3 9 2 3 2" xfId="48836"/>
    <cellStyle name="20% - Accent3 9 2 4" xfId="33680"/>
    <cellStyle name="20% - Accent3 9 3" xfId="13575"/>
    <cellStyle name="20% - Accent3 9 3 2" xfId="36996"/>
    <cellStyle name="20% - Accent3 9 4" xfId="24388"/>
    <cellStyle name="20% - Accent3 9 4 2" xfId="46633"/>
    <cellStyle name="20% - Accent3 9 5" xfId="30364"/>
    <cellStyle name="20% - Accent4" xfId="10" builtinId="42" customBuiltin="1"/>
    <cellStyle name="20% - Accent4 2" xfId="263"/>
    <cellStyle name="20% - Accent4 2 2" xfId="264"/>
    <cellStyle name="20% - Accent4 3" xfId="1076"/>
    <cellStyle name="20% - Accent4 3 10" xfId="23642"/>
    <cellStyle name="20% - Accent4 3 2" xfId="3155"/>
    <cellStyle name="20% - Accent4 3 2 10" xfId="28731"/>
    <cellStyle name="20% - Accent4 3 2 2" xfId="3156"/>
    <cellStyle name="20% - Accent4 3 2 2 2" xfId="6881"/>
    <cellStyle name="20% - Accent4 3 2 2 2 2" xfId="10213"/>
    <cellStyle name="20% - Accent4 3 2 2 2 2 2" xfId="16917"/>
    <cellStyle name="20% - Accent4 3 2 2 2 2 2 2" xfId="27203"/>
    <cellStyle name="20% - Accent4 3 2 2 2 2 2 2 2" xfId="49448"/>
    <cellStyle name="20% - Accent4 3 2 2 2 2 2 3" xfId="24990"/>
    <cellStyle name="20% - Accent4 3 2 2 2 2 2 3 2" xfId="47235"/>
    <cellStyle name="20% - Accent4 3 2 2 2 2 2 4" xfId="40338"/>
    <cellStyle name="20% - Accent4 3 2 2 2 2 3" xfId="25569"/>
    <cellStyle name="20% - Accent4 3 2 2 2 2 3 2" xfId="27874"/>
    <cellStyle name="20% - Accent4 3 2 2 2 2 3 2 2" xfId="50119"/>
    <cellStyle name="20% - Accent4 3 2 2 2 2 3 3" xfId="47814"/>
    <cellStyle name="20% - Accent4 3 2 2 2 2 4" xfId="26529"/>
    <cellStyle name="20% - Accent4 3 2 2 2 2 4 2" xfId="48774"/>
    <cellStyle name="20% - Accent4 3 2 2 2 2 5" xfId="24325"/>
    <cellStyle name="20% - Accent4 3 2 2 2 2 5 2" xfId="46571"/>
    <cellStyle name="20% - Accent4 3 2 2 2 2 6" xfId="33706"/>
    <cellStyle name="20% - Accent4 3 2 2 2 3" xfId="13601"/>
    <cellStyle name="20% - Accent4 3 2 2 2 3 2" xfId="26871"/>
    <cellStyle name="20% - Accent4 3 2 2 2 3 2 2" xfId="49116"/>
    <cellStyle name="20% - Accent4 3 2 2 2 3 3" xfId="24658"/>
    <cellStyle name="20% - Accent4 3 2 2 2 3 3 2" xfId="46903"/>
    <cellStyle name="20% - Accent4 3 2 2 2 3 4" xfId="37022"/>
    <cellStyle name="20% - Accent4 3 2 2 2 4" xfId="25233"/>
    <cellStyle name="20% - Accent4 3 2 2 2 4 2" xfId="27538"/>
    <cellStyle name="20% - Accent4 3 2 2 2 4 2 2" xfId="49783"/>
    <cellStyle name="20% - Accent4 3 2 2 2 4 3" xfId="47478"/>
    <cellStyle name="20% - Accent4 3 2 2 2 5" xfId="26200"/>
    <cellStyle name="20% - Accent4 3 2 2 2 5 2" xfId="48445"/>
    <cellStyle name="20% - Accent4 3 2 2 2 6" xfId="24009"/>
    <cellStyle name="20% - Accent4 3 2 2 2 6 2" xfId="46255"/>
    <cellStyle name="20% - Accent4 3 2 2 2 7" xfId="30390"/>
    <cellStyle name="20% - Accent4 3 2 2 3" xfId="8547"/>
    <cellStyle name="20% - Accent4 3 2 2 3 2" xfId="15259"/>
    <cellStyle name="20% - Accent4 3 2 2 3 2 2" xfId="27037"/>
    <cellStyle name="20% - Accent4 3 2 2 3 2 2 2" xfId="49282"/>
    <cellStyle name="20% - Accent4 3 2 2 3 2 3" xfId="24824"/>
    <cellStyle name="20% - Accent4 3 2 2 3 2 3 2" xfId="47069"/>
    <cellStyle name="20% - Accent4 3 2 2 3 2 4" xfId="38680"/>
    <cellStyle name="20% - Accent4 3 2 2 3 3" xfId="25401"/>
    <cellStyle name="20% - Accent4 3 2 2 3 3 2" xfId="27706"/>
    <cellStyle name="20% - Accent4 3 2 2 3 3 2 2" xfId="49951"/>
    <cellStyle name="20% - Accent4 3 2 2 3 3 3" xfId="47646"/>
    <cellStyle name="20% - Accent4 3 2 2 3 4" xfId="26364"/>
    <cellStyle name="20% - Accent4 3 2 2 3 4 2" xfId="48609"/>
    <cellStyle name="20% - Accent4 3 2 2 3 5" xfId="24160"/>
    <cellStyle name="20% - Accent4 3 2 2 3 5 2" xfId="46406"/>
    <cellStyle name="20% - Accent4 3 2 2 3 6" xfId="32048"/>
    <cellStyle name="20% - Accent4 3 2 2 4" xfId="11941"/>
    <cellStyle name="20% - Accent4 3 2 2 4 2" xfId="26705"/>
    <cellStyle name="20% - Accent4 3 2 2 4 2 2" xfId="48950"/>
    <cellStyle name="20% - Accent4 3 2 2 4 3" xfId="24492"/>
    <cellStyle name="20% - Accent4 3 2 2 4 3 2" xfId="46737"/>
    <cellStyle name="20% - Accent4 3 2 2 4 4" xfId="35364"/>
    <cellStyle name="20% - Accent4 3 2 2 5" xfId="23449"/>
    <cellStyle name="20% - Accent4 3 2 2 5 2" xfId="27370"/>
    <cellStyle name="20% - Accent4 3 2 2 5 2 2" xfId="49615"/>
    <cellStyle name="20% - Accent4 3 2 2 5 3" xfId="45794"/>
    <cellStyle name="20% - Accent4 3 2 2 6" xfId="25736"/>
    <cellStyle name="20% - Accent4 3 2 2 6 2" xfId="47981"/>
    <cellStyle name="20% - Accent4 3 2 2 7" xfId="28732"/>
    <cellStyle name="20% - Accent4 3 2 3" xfId="3157"/>
    <cellStyle name="20% - Accent4 3 2 3 2" xfId="6882"/>
    <cellStyle name="20% - Accent4 3 2 3 2 2" xfId="10214"/>
    <cellStyle name="20% - Accent4 3 2 3 2 2 2" xfId="16918"/>
    <cellStyle name="20% - Accent4 3 2 3 2 2 2 2" xfId="27162"/>
    <cellStyle name="20% - Accent4 3 2 3 2 2 2 2 2" xfId="49407"/>
    <cellStyle name="20% - Accent4 3 2 3 2 2 2 3" xfId="24949"/>
    <cellStyle name="20% - Accent4 3 2 3 2 2 2 3 2" xfId="47194"/>
    <cellStyle name="20% - Accent4 3 2 3 2 2 2 4" xfId="40339"/>
    <cellStyle name="20% - Accent4 3 2 3 2 2 3" xfId="25527"/>
    <cellStyle name="20% - Accent4 3 2 3 2 2 3 2" xfId="27832"/>
    <cellStyle name="20% - Accent4 3 2 3 2 2 3 2 2" xfId="50077"/>
    <cellStyle name="20% - Accent4 3 2 3 2 2 3 3" xfId="47772"/>
    <cellStyle name="20% - Accent4 3 2 3 2 2 4" xfId="26489"/>
    <cellStyle name="20% - Accent4 3 2 3 2 2 4 2" xfId="48734"/>
    <cellStyle name="20% - Accent4 3 2 3 2 2 5" xfId="24285"/>
    <cellStyle name="20% - Accent4 3 2 3 2 2 5 2" xfId="46531"/>
    <cellStyle name="20% - Accent4 3 2 3 2 2 6" xfId="33707"/>
    <cellStyle name="20% - Accent4 3 2 3 2 3" xfId="13602"/>
    <cellStyle name="20% - Accent4 3 2 3 2 3 2" xfId="26830"/>
    <cellStyle name="20% - Accent4 3 2 3 2 3 2 2" xfId="49075"/>
    <cellStyle name="20% - Accent4 3 2 3 2 3 3" xfId="24617"/>
    <cellStyle name="20% - Accent4 3 2 3 2 3 3 2" xfId="46862"/>
    <cellStyle name="20% - Accent4 3 2 3 2 3 4" xfId="37023"/>
    <cellStyle name="20% - Accent4 3 2 3 2 4" xfId="25191"/>
    <cellStyle name="20% - Accent4 3 2 3 2 4 2" xfId="27496"/>
    <cellStyle name="20% - Accent4 3 2 3 2 4 2 2" xfId="49741"/>
    <cellStyle name="20% - Accent4 3 2 3 2 4 3" xfId="47436"/>
    <cellStyle name="20% - Accent4 3 2 3 2 5" xfId="26160"/>
    <cellStyle name="20% - Accent4 3 2 3 2 5 2" xfId="48405"/>
    <cellStyle name="20% - Accent4 3 2 3 2 6" xfId="23969"/>
    <cellStyle name="20% - Accent4 3 2 3 2 6 2" xfId="46215"/>
    <cellStyle name="20% - Accent4 3 2 3 2 7" xfId="30391"/>
    <cellStyle name="20% - Accent4 3 2 3 3" xfId="8548"/>
    <cellStyle name="20% - Accent4 3 2 3 3 2" xfId="15260"/>
    <cellStyle name="20% - Accent4 3 2 3 3 2 2" xfId="26996"/>
    <cellStyle name="20% - Accent4 3 2 3 3 2 2 2" xfId="49241"/>
    <cellStyle name="20% - Accent4 3 2 3 3 2 3" xfId="24783"/>
    <cellStyle name="20% - Accent4 3 2 3 3 2 3 2" xfId="47028"/>
    <cellStyle name="20% - Accent4 3 2 3 3 2 4" xfId="38681"/>
    <cellStyle name="20% - Accent4 3 2 3 3 3" xfId="25359"/>
    <cellStyle name="20% - Accent4 3 2 3 3 3 2" xfId="27664"/>
    <cellStyle name="20% - Accent4 3 2 3 3 3 2 2" xfId="49909"/>
    <cellStyle name="20% - Accent4 3 2 3 3 3 3" xfId="47604"/>
    <cellStyle name="20% - Accent4 3 2 3 3 4" xfId="26324"/>
    <cellStyle name="20% - Accent4 3 2 3 3 4 2" xfId="48569"/>
    <cellStyle name="20% - Accent4 3 2 3 3 5" xfId="24120"/>
    <cellStyle name="20% - Accent4 3 2 3 3 5 2" xfId="46366"/>
    <cellStyle name="20% - Accent4 3 2 3 3 6" xfId="32049"/>
    <cellStyle name="20% - Accent4 3 2 3 4" xfId="11942"/>
    <cellStyle name="20% - Accent4 3 2 3 4 2" xfId="26664"/>
    <cellStyle name="20% - Accent4 3 2 3 4 2 2" xfId="48909"/>
    <cellStyle name="20% - Accent4 3 2 3 4 3" xfId="24451"/>
    <cellStyle name="20% - Accent4 3 2 3 4 3 2" xfId="46696"/>
    <cellStyle name="20% - Accent4 3 2 3 4 4" xfId="35365"/>
    <cellStyle name="20% - Accent4 3 2 3 5" xfId="23448"/>
    <cellStyle name="20% - Accent4 3 2 3 5 2" xfId="27328"/>
    <cellStyle name="20% - Accent4 3 2 3 5 2 2" xfId="49573"/>
    <cellStyle name="20% - Accent4 3 2 3 5 3" xfId="45793"/>
    <cellStyle name="20% - Accent4 3 2 3 6" xfId="25737"/>
    <cellStyle name="20% - Accent4 3 2 3 6 2" xfId="47982"/>
    <cellStyle name="20% - Accent4 3 2 3 7" xfId="28733"/>
    <cellStyle name="20% - Accent4 3 2 4" xfId="6880"/>
    <cellStyle name="20% - Accent4 3 2 4 2" xfId="10212"/>
    <cellStyle name="20% - Accent4 3 2 4 2 2" xfId="16916"/>
    <cellStyle name="20% - Accent4 3 2 4 2 2 2" xfId="25031"/>
    <cellStyle name="20% - Accent4 3 2 4 2 2 2 2" xfId="27244"/>
    <cellStyle name="20% - Accent4 3 2 4 2 2 2 2 2" xfId="49489"/>
    <cellStyle name="20% - Accent4 3 2 4 2 2 2 3" xfId="47276"/>
    <cellStyle name="20% - Accent4 3 2 4 2 2 3" xfId="25611"/>
    <cellStyle name="20% - Accent4 3 2 4 2 2 3 2" xfId="27916"/>
    <cellStyle name="20% - Accent4 3 2 4 2 2 3 2 2" xfId="50161"/>
    <cellStyle name="20% - Accent4 3 2 4 2 2 3 3" xfId="47856"/>
    <cellStyle name="20% - Accent4 3 2 4 2 2 4" xfId="26570"/>
    <cellStyle name="20% - Accent4 3 2 4 2 2 4 2" xfId="48815"/>
    <cellStyle name="20% - Accent4 3 2 4 2 2 5" xfId="24366"/>
    <cellStyle name="20% - Accent4 3 2 4 2 2 5 2" xfId="46612"/>
    <cellStyle name="20% - Accent4 3 2 4 2 2 6" xfId="40337"/>
    <cellStyle name="20% - Accent4 3 2 4 2 3" xfId="24699"/>
    <cellStyle name="20% - Accent4 3 2 4 2 3 2" xfId="26912"/>
    <cellStyle name="20% - Accent4 3 2 4 2 3 2 2" xfId="49157"/>
    <cellStyle name="20% - Accent4 3 2 4 2 3 3" xfId="46944"/>
    <cellStyle name="20% - Accent4 3 2 4 2 4" xfId="25275"/>
    <cellStyle name="20% - Accent4 3 2 4 2 4 2" xfId="27580"/>
    <cellStyle name="20% - Accent4 3 2 4 2 4 2 2" xfId="49825"/>
    <cellStyle name="20% - Accent4 3 2 4 2 4 3" xfId="47520"/>
    <cellStyle name="20% - Accent4 3 2 4 2 5" xfId="26241"/>
    <cellStyle name="20% - Accent4 3 2 4 2 5 2" xfId="48486"/>
    <cellStyle name="20% - Accent4 3 2 4 2 6" xfId="24050"/>
    <cellStyle name="20% - Accent4 3 2 4 2 6 2" xfId="46296"/>
    <cellStyle name="20% - Accent4 3 2 4 2 7" xfId="33705"/>
    <cellStyle name="20% - Accent4 3 2 4 3" xfId="13600"/>
    <cellStyle name="20% - Accent4 3 2 4 3 2" xfId="24865"/>
    <cellStyle name="20% - Accent4 3 2 4 3 2 2" xfId="27078"/>
    <cellStyle name="20% - Accent4 3 2 4 3 2 2 2" xfId="49323"/>
    <cellStyle name="20% - Accent4 3 2 4 3 2 3" xfId="47110"/>
    <cellStyle name="20% - Accent4 3 2 4 3 3" xfId="25443"/>
    <cellStyle name="20% - Accent4 3 2 4 3 3 2" xfId="27748"/>
    <cellStyle name="20% - Accent4 3 2 4 3 3 2 2" xfId="49993"/>
    <cellStyle name="20% - Accent4 3 2 4 3 3 3" xfId="47688"/>
    <cellStyle name="20% - Accent4 3 2 4 3 4" xfId="26405"/>
    <cellStyle name="20% - Accent4 3 2 4 3 4 2" xfId="48650"/>
    <cellStyle name="20% - Accent4 3 2 4 3 5" xfId="24201"/>
    <cellStyle name="20% - Accent4 3 2 4 3 5 2" xfId="46447"/>
    <cellStyle name="20% - Accent4 3 2 4 3 6" xfId="37021"/>
    <cellStyle name="20% - Accent4 3 2 4 4" xfId="24533"/>
    <cellStyle name="20% - Accent4 3 2 4 4 2" xfId="26746"/>
    <cellStyle name="20% - Accent4 3 2 4 4 2 2" xfId="48991"/>
    <cellStyle name="20% - Accent4 3 2 4 4 3" xfId="46778"/>
    <cellStyle name="20% - Accent4 3 2 4 5" xfId="25107"/>
    <cellStyle name="20% - Accent4 3 2 4 5 2" xfId="27412"/>
    <cellStyle name="20% - Accent4 3 2 4 5 2 2" xfId="49657"/>
    <cellStyle name="20% - Accent4 3 2 4 5 3" xfId="47352"/>
    <cellStyle name="20% - Accent4 3 2 4 6" xfId="26088"/>
    <cellStyle name="20% - Accent4 3 2 4 6 2" xfId="48333"/>
    <cellStyle name="20% - Accent4 3 2 4 7" xfId="23897"/>
    <cellStyle name="20% - Accent4 3 2 4 7 2" xfId="46143"/>
    <cellStyle name="20% - Accent4 3 2 4 8" xfId="30389"/>
    <cellStyle name="20% - Accent4 3 2 5" xfId="8546"/>
    <cellStyle name="20% - Accent4 3 2 5 2" xfId="15258"/>
    <cellStyle name="20% - Accent4 3 2 5 2 2" xfId="24907"/>
    <cellStyle name="20% - Accent4 3 2 5 2 2 2" xfId="27120"/>
    <cellStyle name="20% - Accent4 3 2 5 2 2 2 2" xfId="49365"/>
    <cellStyle name="20% - Accent4 3 2 5 2 2 3" xfId="47152"/>
    <cellStyle name="20% - Accent4 3 2 5 2 3" xfId="25485"/>
    <cellStyle name="20% - Accent4 3 2 5 2 3 2" xfId="27790"/>
    <cellStyle name="20% - Accent4 3 2 5 2 3 2 2" xfId="50035"/>
    <cellStyle name="20% - Accent4 3 2 5 2 3 3" xfId="47730"/>
    <cellStyle name="20% - Accent4 3 2 5 2 4" xfId="26447"/>
    <cellStyle name="20% - Accent4 3 2 5 2 4 2" xfId="48692"/>
    <cellStyle name="20% - Accent4 3 2 5 2 5" xfId="24243"/>
    <cellStyle name="20% - Accent4 3 2 5 2 5 2" xfId="46489"/>
    <cellStyle name="20% - Accent4 3 2 5 2 6" xfId="38679"/>
    <cellStyle name="20% - Accent4 3 2 5 3" xfId="24575"/>
    <cellStyle name="20% - Accent4 3 2 5 3 2" xfId="26788"/>
    <cellStyle name="20% - Accent4 3 2 5 3 2 2" xfId="49033"/>
    <cellStyle name="20% - Accent4 3 2 5 3 3" xfId="46820"/>
    <cellStyle name="20% - Accent4 3 2 5 4" xfId="25149"/>
    <cellStyle name="20% - Accent4 3 2 5 4 2" xfId="27454"/>
    <cellStyle name="20% - Accent4 3 2 5 4 2 2" xfId="49699"/>
    <cellStyle name="20% - Accent4 3 2 5 4 3" xfId="47394"/>
    <cellStyle name="20% - Accent4 3 2 5 5" xfId="26121"/>
    <cellStyle name="20% - Accent4 3 2 5 5 2" xfId="48366"/>
    <cellStyle name="20% - Accent4 3 2 5 6" xfId="23930"/>
    <cellStyle name="20% - Accent4 3 2 5 6 2" xfId="46176"/>
    <cellStyle name="20% - Accent4 3 2 5 7" xfId="32047"/>
    <cellStyle name="20% - Accent4 3 2 6" xfId="11940"/>
    <cellStyle name="20% - Accent4 3 2 6 2" xfId="24741"/>
    <cellStyle name="20% - Accent4 3 2 6 2 2" xfId="26954"/>
    <cellStyle name="20% - Accent4 3 2 6 2 2 2" xfId="49199"/>
    <cellStyle name="20% - Accent4 3 2 6 2 3" xfId="46986"/>
    <cellStyle name="20% - Accent4 3 2 6 3" xfId="25317"/>
    <cellStyle name="20% - Accent4 3 2 6 3 2" xfId="27622"/>
    <cellStyle name="20% - Accent4 3 2 6 3 2 2" xfId="49867"/>
    <cellStyle name="20% - Accent4 3 2 6 3 3" xfId="47562"/>
    <cellStyle name="20% - Accent4 3 2 6 4" xfId="26282"/>
    <cellStyle name="20% - Accent4 3 2 6 4 2" xfId="48527"/>
    <cellStyle name="20% - Accent4 3 2 6 5" xfId="24079"/>
    <cellStyle name="20% - Accent4 3 2 6 5 2" xfId="46325"/>
    <cellStyle name="20% - Accent4 3 2 6 6" xfId="35363"/>
    <cellStyle name="20% - Accent4 3 2 7" xfId="23450"/>
    <cellStyle name="20% - Accent4 3 2 7 2" xfId="26622"/>
    <cellStyle name="20% - Accent4 3 2 7 2 2" xfId="48867"/>
    <cellStyle name="20% - Accent4 3 2 7 3" xfId="45795"/>
    <cellStyle name="20% - Accent4 3 2 8" xfId="25073"/>
    <cellStyle name="20% - Accent4 3 2 8 2" xfId="27286"/>
    <cellStyle name="20% - Accent4 3 2 8 2 2" xfId="49531"/>
    <cellStyle name="20% - Accent4 3 2 8 3" xfId="47318"/>
    <cellStyle name="20% - Accent4 3 2 9" xfId="25735"/>
    <cellStyle name="20% - Accent4 3 2 9 2" xfId="47980"/>
    <cellStyle name="20% - Accent4 3 3" xfId="3158"/>
    <cellStyle name="20% - Accent4 3 3 2" xfId="6883"/>
    <cellStyle name="20% - Accent4 3 3 2 2" xfId="10215"/>
    <cellStyle name="20% - Accent4 3 3 2 2 2" xfId="16919"/>
    <cellStyle name="20% - Accent4 3 3 2 2 2 2" xfId="27183"/>
    <cellStyle name="20% - Accent4 3 3 2 2 2 2 2" xfId="49428"/>
    <cellStyle name="20% - Accent4 3 3 2 2 2 3" xfId="24970"/>
    <cellStyle name="20% - Accent4 3 3 2 2 2 3 2" xfId="47215"/>
    <cellStyle name="20% - Accent4 3 3 2 2 2 4" xfId="40340"/>
    <cellStyle name="20% - Accent4 3 3 2 2 3" xfId="25548"/>
    <cellStyle name="20% - Accent4 3 3 2 2 3 2" xfId="27853"/>
    <cellStyle name="20% - Accent4 3 3 2 2 3 2 2" xfId="50098"/>
    <cellStyle name="20% - Accent4 3 3 2 2 3 3" xfId="47793"/>
    <cellStyle name="20% - Accent4 3 3 2 2 4" xfId="26509"/>
    <cellStyle name="20% - Accent4 3 3 2 2 4 2" xfId="48754"/>
    <cellStyle name="20% - Accent4 3 3 2 2 5" xfId="24305"/>
    <cellStyle name="20% - Accent4 3 3 2 2 5 2" xfId="46551"/>
    <cellStyle name="20% - Accent4 3 3 2 2 6" xfId="33708"/>
    <cellStyle name="20% - Accent4 3 3 2 3" xfId="13603"/>
    <cellStyle name="20% - Accent4 3 3 2 3 2" xfId="26851"/>
    <cellStyle name="20% - Accent4 3 3 2 3 2 2" xfId="49096"/>
    <cellStyle name="20% - Accent4 3 3 2 3 3" xfId="24638"/>
    <cellStyle name="20% - Accent4 3 3 2 3 3 2" xfId="46883"/>
    <cellStyle name="20% - Accent4 3 3 2 3 4" xfId="37024"/>
    <cellStyle name="20% - Accent4 3 3 2 4" xfId="25212"/>
    <cellStyle name="20% - Accent4 3 3 2 4 2" xfId="27517"/>
    <cellStyle name="20% - Accent4 3 3 2 4 2 2" xfId="49762"/>
    <cellStyle name="20% - Accent4 3 3 2 4 3" xfId="47457"/>
    <cellStyle name="20% - Accent4 3 3 2 5" xfId="26180"/>
    <cellStyle name="20% - Accent4 3 3 2 5 2" xfId="48425"/>
    <cellStyle name="20% - Accent4 3 3 2 6" xfId="23989"/>
    <cellStyle name="20% - Accent4 3 3 2 6 2" xfId="46235"/>
    <cellStyle name="20% - Accent4 3 3 2 7" xfId="30392"/>
    <cellStyle name="20% - Accent4 3 3 3" xfId="8549"/>
    <cellStyle name="20% - Accent4 3 3 3 2" xfId="15261"/>
    <cellStyle name="20% - Accent4 3 3 3 2 2" xfId="27017"/>
    <cellStyle name="20% - Accent4 3 3 3 2 2 2" xfId="49262"/>
    <cellStyle name="20% - Accent4 3 3 3 2 3" xfId="24804"/>
    <cellStyle name="20% - Accent4 3 3 3 2 3 2" xfId="47049"/>
    <cellStyle name="20% - Accent4 3 3 3 2 4" xfId="38682"/>
    <cellStyle name="20% - Accent4 3 3 3 3" xfId="25380"/>
    <cellStyle name="20% - Accent4 3 3 3 3 2" xfId="27685"/>
    <cellStyle name="20% - Accent4 3 3 3 3 2 2" xfId="49930"/>
    <cellStyle name="20% - Accent4 3 3 3 3 3" xfId="47625"/>
    <cellStyle name="20% - Accent4 3 3 3 4" xfId="26344"/>
    <cellStyle name="20% - Accent4 3 3 3 4 2" xfId="48589"/>
    <cellStyle name="20% - Accent4 3 3 3 5" xfId="24140"/>
    <cellStyle name="20% - Accent4 3 3 3 5 2" xfId="46386"/>
    <cellStyle name="20% - Accent4 3 3 3 6" xfId="32050"/>
    <cellStyle name="20% - Accent4 3 3 4" xfId="11943"/>
    <cellStyle name="20% - Accent4 3 3 4 2" xfId="26685"/>
    <cellStyle name="20% - Accent4 3 3 4 2 2" xfId="48930"/>
    <cellStyle name="20% - Accent4 3 3 4 3" xfId="24472"/>
    <cellStyle name="20% - Accent4 3 3 4 3 2" xfId="46717"/>
    <cellStyle name="20% - Accent4 3 3 4 4" xfId="35366"/>
    <cellStyle name="20% - Accent4 3 3 5" xfId="23447"/>
    <cellStyle name="20% - Accent4 3 3 5 2" xfId="27349"/>
    <cellStyle name="20% - Accent4 3 3 5 2 2" xfId="49594"/>
    <cellStyle name="20% - Accent4 3 3 5 3" xfId="45792"/>
    <cellStyle name="20% - Accent4 3 3 6" xfId="25738"/>
    <cellStyle name="20% - Accent4 3 3 6 2" xfId="47983"/>
    <cellStyle name="20% - Accent4 3 3 7" xfId="28734"/>
    <cellStyle name="20% - Accent4 3 4" xfId="3159"/>
    <cellStyle name="20% - Accent4 3 4 2" xfId="6884"/>
    <cellStyle name="20% - Accent4 3 4 2 2" xfId="10216"/>
    <cellStyle name="20% - Accent4 3 4 2 2 2" xfId="16920"/>
    <cellStyle name="20% - Accent4 3 4 2 2 2 2" xfId="27141"/>
    <cellStyle name="20% - Accent4 3 4 2 2 2 2 2" xfId="49386"/>
    <cellStyle name="20% - Accent4 3 4 2 2 2 3" xfId="24928"/>
    <cellStyle name="20% - Accent4 3 4 2 2 2 3 2" xfId="47173"/>
    <cellStyle name="20% - Accent4 3 4 2 2 2 4" xfId="40341"/>
    <cellStyle name="20% - Accent4 3 4 2 2 3" xfId="25506"/>
    <cellStyle name="20% - Accent4 3 4 2 2 3 2" xfId="27811"/>
    <cellStyle name="20% - Accent4 3 4 2 2 3 2 2" xfId="50056"/>
    <cellStyle name="20% - Accent4 3 4 2 2 3 3" xfId="47751"/>
    <cellStyle name="20% - Accent4 3 4 2 2 4" xfId="26468"/>
    <cellStyle name="20% - Accent4 3 4 2 2 4 2" xfId="48713"/>
    <cellStyle name="20% - Accent4 3 4 2 2 5" xfId="24264"/>
    <cellStyle name="20% - Accent4 3 4 2 2 5 2" xfId="46510"/>
    <cellStyle name="20% - Accent4 3 4 2 2 6" xfId="33709"/>
    <cellStyle name="20% - Accent4 3 4 2 3" xfId="13604"/>
    <cellStyle name="20% - Accent4 3 4 2 3 2" xfId="26809"/>
    <cellStyle name="20% - Accent4 3 4 2 3 2 2" xfId="49054"/>
    <cellStyle name="20% - Accent4 3 4 2 3 3" xfId="24596"/>
    <cellStyle name="20% - Accent4 3 4 2 3 3 2" xfId="46841"/>
    <cellStyle name="20% - Accent4 3 4 2 3 4" xfId="37025"/>
    <cellStyle name="20% - Accent4 3 4 2 4" xfId="25170"/>
    <cellStyle name="20% - Accent4 3 4 2 4 2" xfId="27475"/>
    <cellStyle name="20% - Accent4 3 4 2 4 2 2" xfId="49720"/>
    <cellStyle name="20% - Accent4 3 4 2 4 3" xfId="47415"/>
    <cellStyle name="20% - Accent4 3 4 2 5" xfId="26140"/>
    <cellStyle name="20% - Accent4 3 4 2 5 2" xfId="48385"/>
    <cellStyle name="20% - Accent4 3 4 2 6" xfId="23949"/>
    <cellStyle name="20% - Accent4 3 4 2 6 2" xfId="46195"/>
    <cellStyle name="20% - Accent4 3 4 2 7" xfId="30393"/>
    <cellStyle name="20% - Accent4 3 4 3" xfId="8550"/>
    <cellStyle name="20% - Accent4 3 4 3 2" xfId="15262"/>
    <cellStyle name="20% - Accent4 3 4 3 2 2" xfId="26975"/>
    <cellStyle name="20% - Accent4 3 4 3 2 2 2" xfId="49220"/>
    <cellStyle name="20% - Accent4 3 4 3 2 3" xfId="24762"/>
    <cellStyle name="20% - Accent4 3 4 3 2 3 2" xfId="47007"/>
    <cellStyle name="20% - Accent4 3 4 3 2 4" xfId="38683"/>
    <cellStyle name="20% - Accent4 3 4 3 3" xfId="25338"/>
    <cellStyle name="20% - Accent4 3 4 3 3 2" xfId="27643"/>
    <cellStyle name="20% - Accent4 3 4 3 3 2 2" xfId="49888"/>
    <cellStyle name="20% - Accent4 3 4 3 3 3" xfId="47583"/>
    <cellStyle name="20% - Accent4 3 4 3 4" xfId="26303"/>
    <cellStyle name="20% - Accent4 3 4 3 4 2" xfId="48548"/>
    <cellStyle name="20% - Accent4 3 4 3 5" xfId="24099"/>
    <cellStyle name="20% - Accent4 3 4 3 5 2" xfId="46345"/>
    <cellStyle name="20% - Accent4 3 4 3 6" xfId="32051"/>
    <cellStyle name="20% - Accent4 3 4 4" xfId="11944"/>
    <cellStyle name="20% - Accent4 3 4 4 2" xfId="26643"/>
    <cellStyle name="20% - Accent4 3 4 4 2 2" xfId="48888"/>
    <cellStyle name="20% - Accent4 3 4 4 3" xfId="24430"/>
    <cellStyle name="20% - Accent4 3 4 4 3 2" xfId="46675"/>
    <cellStyle name="20% - Accent4 3 4 4 4" xfId="35367"/>
    <cellStyle name="20% - Accent4 3 4 5" xfId="23446"/>
    <cellStyle name="20% - Accent4 3 4 5 2" xfId="27307"/>
    <cellStyle name="20% - Accent4 3 4 5 2 2" xfId="49552"/>
    <cellStyle name="20% - Accent4 3 4 5 3" xfId="45791"/>
    <cellStyle name="20% - Accent4 3 4 6" xfId="25739"/>
    <cellStyle name="20% - Accent4 3 4 6 2" xfId="47984"/>
    <cellStyle name="20% - Accent4 3 4 7" xfId="28735"/>
    <cellStyle name="20% - Accent4 3 5" xfId="3160"/>
    <cellStyle name="20% - Accent4 3 5 2" xfId="24029"/>
    <cellStyle name="20% - Accent4 3 5 2 2" xfId="24345"/>
    <cellStyle name="20% - Accent4 3 5 2 2 2" xfId="25010"/>
    <cellStyle name="20% - Accent4 3 5 2 2 2 2" xfId="27223"/>
    <cellStyle name="20% - Accent4 3 5 2 2 2 2 2" xfId="49468"/>
    <cellStyle name="20% - Accent4 3 5 2 2 2 3" xfId="47255"/>
    <cellStyle name="20% - Accent4 3 5 2 2 3" xfId="25590"/>
    <cellStyle name="20% - Accent4 3 5 2 2 3 2" xfId="27895"/>
    <cellStyle name="20% - Accent4 3 5 2 2 3 2 2" xfId="50140"/>
    <cellStyle name="20% - Accent4 3 5 2 2 3 3" xfId="47835"/>
    <cellStyle name="20% - Accent4 3 5 2 2 4" xfId="26549"/>
    <cellStyle name="20% - Accent4 3 5 2 2 4 2" xfId="48794"/>
    <cellStyle name="20% - Accent4 3 5 2 2 5" xfId="46591"/>
    <cellStyle name="20% - Accent4 3 5 2 3" xfId="24678"/>
    <cellStyle name="20% - Accent4 3 5 2 3 2" xfId="26891"/>
    <cellStyle name="20% - Accent4 3 5 2 3 2 2" xfId="49136"/>
    <cellStyle name="20% - Accent4 3 5 2 3 3" xfId="46923"/>
    <cellStyle name="20% - Accent4 3 5 2 4" xfId="25254"/>
    <cellStyle name="20% - Accent4 3 5 2 4 2" xfId="27559"/>
    <cellStyle name="20% - Accent4 3 5 2 4 2 2" xfId="49804"/>
    <cellStyle name="20% - Accent4 3 5 2 4 3" xfId="47499"/>
    <cellStyle name="20% - Accent4 3 5 2 5" xfId="26220"/>
    <cellStyle name="20% - Accent4 3 5 2 5 2" xfId="48465"/>
    <cellStyle name="20% - Accent4 3 5 2 6" xfId="46275"/>
    <cellStyle name="20% - Accent4 3 5 3" xfId="24180"/>
    <cellStyle name="20% - Accent4 3 5 3 2" xfId="24844"/>
    <cellStyle name="20% - Accent4 3 5 3 2 2" xfId="27057"/>
    <cellStyle name="20% - Accent4 3 5 3 2 2 2" xfId="49302"/>
    <cellStyle name="20% - Accent4 3 5 3 2 3" xfId="47089"/>
    <cellStyle name="20% - Accent4 3 5 3 3" xfId="25422"/>
    <cellStyle name="20% - Accent4 3 5 3 3 2" xfId="27727"/>
    <cellStyle name="20% - Accent4 3 5 3 3 2 2" xfId="49972"/>
    <cellStyle name="20% - Accent4 3 5 3 3 3" xfId="47667"/>
    <cellStyle name="20% - Accent4 3 5 3 4" xfId="26384"/>
    <cellStyle name="20% - Accent4 3 5 3 4 2" xfId="48629"/>
    <cellStyle name="20% - Accent4 3 5 3 5" xfId="46426"/>
    <cellStyle name="20% - Accent4 3 5 4" xfId="24512"/>
    <cellStyle name="20% - Accent4 3 5 4 2" xfId="26725"/>
    <cellStyle name="20% - Accent4 3 5 4 2 2" xfId="48970"/>
    <cellStyle name="20% - Accent4 3 5 4 3" xfId="46757"/>
    <cellStyle name="20% - Accent4 3 5 5" xfId="25093"/>
    <cellStyle name="20% - Accent4 3 5 5 2" xfId="27391"/>
    <cellStyle name="20% - Accent4 3 5 5 2 2" xfId="49636"/>
    <cellStyle name="20% - Accent4 3 5 5 3" xfId="47338"/>
    <cellStyle name="20% - Accent4 3 5 6" xfId="23883"/>
    <cellStyle name="20% - Accent4 3 5 6 2" xfId="26074"/>
    <cellStyle name="20% - Accent4 3 5 6 2 2" xfId="48319"/>
    <cellStyle name="20% - Accent4 3 5 6 3" xfId="46129"/>
    <cellStyle name="20% - Accent4 3 6" xfId="3154"/>
    <cellStyle name="20% - Accent4 3 6 2" xfId="6879"/>
    <cellStyle name="20% - Accent4 3 6 2 2" xfId="10211"/>
    <cellStyle name="20% - Accent4 3 6 2 2 2" xfId="16915"/>
    <cellStyle name="20% - Accent4 3 6 2 2 2 2" xfId="27099"/>
    <cellStyle name="20% - Accent4 3 6 2 2 2 2 2" xfId="49344"/>
    <cellStyle name="20% - Accent4 3 6 2 2 2 3" xfId="40336"/>
    <cellStyle name="20% - Accent4 3 6 2 2 3" xfId="24886"/>
    <cellStyle name="20% - Accent4 3 6 2 2 3 2" xfId="47131"/>
    <cellStyle name="20% - Accent4 3 6 2 2 4" xfId="33704"/>
    <cellStyle name="20% - Accent4 3 6 2 3" xfId="13599"/>
    <cellStyle name="20% - Accent4 3 6 2 3 2" xfId="27769"/>
    <cellStyle name="20% - Accent4 3 6 2 3 2 2" xfId="50014"/>
    <cellStyle name="20% - Accent4 3 6 2 3 3" xfId="25464"/>
    <cellStyle name="20% - Accent4 3 6 2 3 3 2" xfId="47709"/>
    <cellStyle name="20% - Accent4 3 6 2 3 4" xfId="37020"/>
    <cellStyle name="20% - Accent4 3 6 2 4" xfId="26426"/>
    <cellStyle name="20% - Accent4 3 6 2 4 2" xfId="48671"/>
    <cellStyle name="20% - Accent4 3 6 2 5" xfId="24222"/>
    <cellStyle name="20% - Accent4 3 6 2 5 2" xfId="46468"/>
    <cellStyle name="20% - Accent4 3 6 2 6" xfId="30388"/>
    <cellStyle name="20% - Accent4 3 6 3" xfId="8545"/>
    <cellStyle name="20% - Accent4 3 6 3 2" xfId="15257"/>
    <cellStyle name="20% - Accent4 3 6 3 2 2" xfId="26767"/>
    <cellStyle name="20% - Accent4 3 6 3 2 2 2" xfId="49012"/>
    <cellStyle name="20% - Accent4 3 6 3 2 3" xfId="38678"/>
    <cellStyle name="20% - Accent4 3 6 3 3" xfId="24554"/>
    <cellStyle name="20% - Accent4 3 6 3 3 2" xfId="46799"/>
    <cellStyle name="20% - Accent4 3 6 3 4" xfId="32046"/>
    <cellStyle name="20% - Accent4 3 6 4" xfId="11939"/>
    <cellStyle name="20% - Accent4 3 6 4 2" xfId="27433"/>
    <cellStyle name="20% - Accent4 3 6 4 2 2" xfId="49678"/>
    <cellStyle name="20% - Accent4 3 6 4 3" xfId="25128"/>
    <cellStyle name="20% - Accent4 3 6 4 3 2" xfId="47373"/>
    <cellStyle name="20% - Accent4 3 6 4 4" xfId="35362"/>
    <cellStyle name="20% - Accent4 3 6 5" xfId="25734"/>
    <cellStyle name="20% - Accent4 3 6 5 2" xfId="47979"/>
    <cellStyle name="20% - Accent4 3 6 6" xfId="23403"/>
    <cellStyle name="20% - Accent4 3 6 6 2" xfId="45748"/>
    <cellStyle name="20% - Accent4 3 6 7" xfId="28730"/>
    <cellStyle name="20% - Accent4 3 7" xfId="23451"/>
    <cellStyle name="20% - Accent4 3 7 2" xfId="24720"/>
    <cellStyle name="20% - Accent4 3 7 2 2" xfId="26933"/>
    <cellStyle name="20% - Accent4 3 7 2 2 2" xfId="49178"/>
    <cellStyle name="20% - Accent4 3 7 2 3" xfId="46965"/>
    <cellStyle name="20% - Accent4 3 7 3" xfId="25296"/>
    <cellStyle name="20% - Accent4 3 7 3 2" xfId="27601"/>
    <cellStyle name="20% - Accent4 3 7 3 2 2" xfId="49846"/>
    <cellStyle name="20% - Accent4 3 7 3 3" xfId="47541"/>
    <cellStyle name="20% - Accent4 3 7 4" xfId="26261"/>
    <cellStyle name="20% - Accent4 3 7 4 2" xfId="48506"/>
    <cellStyle name="20% - Accent4 3 7 5" xfId="45796"/>
    <cellStyle name="20% - Accent4 3 8" xfId="24398"/>
    <cellStyle name="20% - Accent4 3 8 2" xfId="26601"/>
    <cellStyle name="20% - Accent4 3 8 2 2" xfId="48846"/>
    <cellStyle name="20% - Accent4 3 8 3" xfId="46643"/>
    <cellStyle name="20% - Accent4 3 9" xfId="25052"/>
    <cellStyle name="20% - Accent4 3 9 2" xfId="27265"/>
    <cellStyle name="20% - Accent4 3 9 2 2" xfId="49510"/>
    <cellStyle name="20% - Accent4 3 9 3" xfId="47297"/>
    <cellStyle name="20% - Accent4 4" xfId="3153"/>
    <cellStyle name="20% - Accent4 4 2" xfId="25710"/>
    <cellStyle name="20% - Accent4 4 2 2" xfId="47955"/>
    <cellStyle name="20% - Accent4 5" xfId="7767"/>
    <cellStyle name="20% - Accent4 5 2" xfId="11096"/>
    <cellStyle name="20% - Accent4 5 2 2" xfId="17800"/>
    <cellStyle name="20% - Accent4 5 2 2 2" xfId="41221"/>
    <cellStyle name="20% - Accent4 5 2 3" xfId="34589"/>
    <cellStyle name="20% - Accent4 5 3" xfId="14484"/>
    <cellStyle name="20% - Accent4 5 3 2" xfId="37905"/>
    <cellStyle name="20% - Accent4 5 4" xfId="31273"/>
    <cellStyle name="20% - Accent4 6" xfId="9438"/>
    <cellStyle name="20% - Accent4 6 2" xfId="16142"/>
    <cellStyle name="20% - Accent4 6 2 2" xfId="39563"/>
    <cellStyle name="20% - Accent4 6 3" xfId="32931"/>
    <cellStyle name="20% - Accent4 7" xfId="12826"/>
    <cellStyle name="20% - Accent4 7 2" xfId="36247"/>
    <cellStyle name="20% - Accent4 8" xfId="23334"/>
    <cellStyle name="20% - Accent4 8 2" xfId="45706"/>
    <cellStyle name="20% - Accent4 9" xfId="6097"/>
    <cellStyle name="20% - Accent4 9 2" xfId="29615"/>
    <cellStyle name="20% - Accent5" xfId="11" builtinId="46" customBuiltin="1"/>
    <cellStyle name="20% - Accent5 2" xfId="265"/>
    <cellStyle name="20% - Accent5 2 2" xfId="266"/>
    <cellStyle name="20% - Accent5 3" xfId="1077"/>
    <cellStyle name="20% - Accent5 3 10" xfId="25740"/>
    <cellStyle name="20% - Accent5 3 10 2" xfId="47985"/>
    <cellStyle name="20% - Accent5 3 2" xfId="3163"/>
    <cellStyle name="20% - Accent5 3 2 10" xfId="28737"/>
    <cellStyle name="20% - Accent5 3 2 2" xfId="3164"/>
    <cellStyle name="20% - Accent5 3 2 2 2" xfId="6887"/>
    <cellStyle name="20% - Accent5 3 2 2 2 2" xfId="10219"/>
    <cellStyle name="20% - Accent5 3 2 2 2 2 2" xfId="16923"/>
    <cellStyle name="20% - Accent5 3 2 2 2 2 2 2" xfId="27204"/>
    <cellStyle name="20% - Accent5 3 2 2 2 2 2 2 2" xfId="49449"/>
    <cellStyle name="20% - Accent5 3 2 2 2 2 2 3" xfId="24991"/>
    <cellStyle name="20% - Accent5 3 2 2 2 2 2 3 2" xfId="47236"/>
    <cellStyle name="20% - Accent5 3 2 2 2 2 2 4" xfId="40344"/>
    <cellStyle name="20% - Accent5 3 2 2 2 2 3" xfId="25570"/>
    <cellStyle name="20% - Accent5 3 2 2 2 2 3 2" xfId="27875"/>
    <cellStyle name="20% - Accent5 3 2 2 2 2 3 2 2" xfId="50120"/>
    <cellStyle name="20% - Accent5 3 2 2 2 2 3 3" xfId="47815"/>
    <cellStyle name="20% - Accent5 3 2 2 2 2 4" xfId="26530"/>
    <cellStyle name="20% - Accent5 3 2 2 2 2 4 2" xfId="48775"/>
    <cellStyle name="20% - Accent5 3 2 2 2 2 5" xfId="24326"/>
    <cellStyle name="20% - Accent5 3 2 2 2 2 5 2" xfId="46572"/>
    <cellStyle name="20% - Accent5 3 2 2 2 2 6" xfId="33712"/>
    <cellStyle name="20% - Accent5 3 2 2 2 3" xfId="13607"/>
    <cellStyle name="20% - Accent5 3 2 2 2 3 2" xfId="26872"/>
    <cellStyle name="20% - Accent5 3 2 2 2 3 2 2" xfId="49117"/>
    <cellStyle name="20% - Accent5 3 2 2 2 3 3" xfId="24659"/>
    <cellStyle name="20% - Accent5 3 2 2 2 3 3 2" xfId="46904"/>
    <cellStyle name="20% - Accent5 3 2 2 2 3 4" xfId="37028"/>
    <cellStyle name="20% - Accent5 3 2 2 2 4" xfId="25234"/>
    <cellStyle name="20% - Accent5 3 2 2 2 4 2" xfId="27539"/>
    <cellStyle name="20% - Accent5 3 2 2 2 4 2 2" xfId="49784"/>
    <cellStyle name="20% - Accent5 3 2 2 2 4 3" xfId="47479"/>
    <cellStyle name="20% - Accent5 3 2 2 2 5" xfId="26201"/>
    <cellStyle name="20% - Accent5 3 2 2 2 5 2" xfId="48446"/>
    <cellStyle name="20% - Accent5 3 2 2 2 6" xfId="24010"/>
    <cellStyle name="20% - Accent5 3 2 2 2 6 2" xfId="46256"/>
    <cellStyle name="20% - Accent5 3 2 2 2 7" xfId="30396"/>
    <cellStyle name="20% - Accent5 3 2 2 3" xfId="8553"/>
    <cellStyle name="20% - Accent5 3 2 2 3 2" xfId="15265"/>
    <cellStyle name="20% - Accent5 3 2 2 3 2 2" xfId="27038"/>
    <cellStyle name="20% - Accent5 3 2 2 3 2 2 2" xfId="49283"/>
    <cellStyle name="20% - Accent5 3 2 2 3 2 3" xfId="24825"/>
    <cellStyle name="20% - Accent5 3 2 2 3 2 3 2" xfId="47070"/>
    <cellStyle name="20% - Accent5 3 2 2 3 2 4" xfId="38686"/>
    <cellStyle name="20% - Accent5 3 2 2 3 3" xfId="25402"/>
    <cellStyle name="20% - Accent5 3 2 2 3 3 2" xfId="27707"/>
    <cellStyle name="20% - Accent5 3 2 2 3 3 2 2" xfId="49952"/>
    <cellStyle name="20% - Accent5 3 2 2 3 3 3" xfId="47647"/>
    <cellStyle name="20% - Accent5 3 2 2 3 4" xfId="26365"/>
    <cellStyle name="20% - Accent5 3 2 2 3 4 2" xfId="48610"/>
    <cellStyle name="20% - Accent5 3 2 2 3 5" xfId="24161"/>
    <cellStyle name="20% - Accent5 3 2 2 3 5 2" xfId="46407"/>
    <cellStyle name="20% - Accent5 3 2 2 3 6" xfId="32054"/>
    <cellStyle name="20% - Accent5 3 2 2 4" xfId="11947"/>
    <cellStyle name="20% - Accent5 3 2 2 4 2" xfId="26706"/>
    <cellStyle name="20% - Accent5 3 2 2 4 2 2" xfId="48951"/>
    <cellStyle name="20% - Accent5 3 2 2 4 3" xfId="24493"/>
    <cellStyle name="20% - Accent5 3 2 2 4 3 2" xfId="46738"/>
    <cellStyle name="20% - Accent5 3 2 2 4 4" xfId="35370"/>
    <cellStyle name="20% - Accent5 3 2 2 5" xfId="23443"/>
    <cellStyle name="20% - Accent5 3 2 2 5 2" xfId="27371"/>
    <cellStyle name="20% - Accent5 3 2 2 5 2 2" xfId="49616"/>
    <cellStyle name="20% - Accent5 3 2 2 5 3" xfId="45788"/>
    <cellStyle name="20% - Accent5 3 2 2 6" xfId="25742"/>
    <cellStyle name="20% - Accent5 3 2 2 6 2" xfId="47987"/>
    <cellStyle name="20% - Accent5 3 2 2 7" xfId="28738"/>
    <cellStyle name="20% - Accent5 3 2 3" xfId="3165"/>
    <cellStyle name="20% - Accent5 3 2 3 2" xfId="6888"/>
    <cellStyle name="20% - Accent5 3 2 3 2 2" xfId="10220"/>
    <cellStyle name="20% - Accent5 3 2 3 2 2 2" xfId="16924"/>
    <cellStyle name="20% - Accent5 3 2 3 2 2 2 2" xfId="27163"/>
    <cellStyle name="20% - Accent5 3 2 3 2 2 2 2 2" xfId="49408"/>
    <cellStyle name="20% - Accent5 3 2 3 2 2 2 3" xfId="24950"/>
    <cellStyle name="20% - Accent5 3 2 3 2 2 2 3 2" xfId="47195"/>
    <cellStyle name="20% - Accent5 3 2 3 2 2 2 4" xfId="40345"/>
    <cellStyle name="20% - Accent5 3 2 3 2 2 3" xfId="25528"/>
    <cellStyle name="20% - Accent5 3 2 3 2 2 3 2" xfId="27833"/>
    <cellStyle name="20% - Accent5 3 2 3 2 2 3 2 2" xfId="50078"/>
    <cellStyle name="20% - Accent5 3 2 3 2 2 3 3" xfId="47773"/>
    <cellStyle name="20% - Accent5 3 2 3 2 2 4" xfId="26490"/>
    <cellStyle name="20% - Accent5 3 2 3 2 2 4 2" xfId="48735"/>
    <cellStyle name="20% - Accent5 3 2 3 2 2 5" xfId="24286"/>
    <cellStyle name="20% - Accent5 3 2 3 2 2 5 2" xfId="46532"/>
    <cellStyle name="20% - Accent5 3 2 3 2 2 6" xfId="33713"/>
    <cellStyle name="20% - Accent5 3 2 3 2 3" xfId="13608"/>
    <cellStyle name="20% - Accent5 3 2 3 2 3 2" xfId="26831"/>
    <cellStyle name="20% - Accent5 3 2 3 2 3 2 2" xfId="49076"/>
    <cellStyle name="20% - Accent5 3 2 3 2 3 3" xfId="24618"/>
    <cellStyle name="20% - Accent5 3 2 3 2 3 3 2" xfId="46863"/>
    <cellStyle name="20% - Accent5 3 2 3 2 3 4" xfId="37029"/>
    <cellStyle name="20% - Accent5 3 2 3 2 4" xfId="25192"/>
    <cellStyle name="20% - Accent5 3 2 3 2 4 2" xfId="27497"/>
    <cellStyle name="20% - Accent5 3 2 3 2 4 2 2" xfId="49742"/>
    <cellStyle name="20% - Accent5 3 2 3 2 4 3" xfId="47437"/>
    <cellStyle name="20% - Accent5 3 2 3 2 5" xfId="26161"/>
    <cellStyle name="20% - Accent5 3 2 3 2 5 2" xfId="48406"/>
    <cellStyle name="20% - Accent5 3 2 3 2 6" xfId="23970"/>
    <cellStyle name="20% - Accent5 3 2 3 2 6 2" xfId="46216"/>
    <cellStyle name="20% - Accent5 3 2 3 2 7" xfId="30397"/>
    <cellStyle name="20% - Accent5 3 2 3 3" xfId="8554"/>
    <cellStyle name="20% - Accent5 3 2 3 3 2" xfId="15266"/>
    <cellStyle name="20% - Accent5 3 2 3 3 2 2" xfId="26997"/>
    <cellStyle name="20% - Accent5 3 2 3 3 2 2 2" xfId="49242"/>
    <cellStyle name="20% - Accent5 3 2 3 3 2 3" xfId="24784"/>
    <cellStyle name="20% - Accent5 3 2 3 3 2 3 2" xfId="47029"/>
    <cellStyle name="20% - Accent5 3 2 3 3 2 4" xfId="38687"/>
    <cellStyle name="20% - Accent5 3 2 3 3 3" xfId="25360"/>
    <cellStyle name="20% - Accent5 3 2 3 3 3 2" xfId="27665"/>
    <cellStyle name="20% - Accent5 3 2 3 3 3 2 2" xfId="49910"/>
    <cellStyle name="20% - Accent5 3 2 3 3 3 3" xfId="47605"/>
    <cellStyle name="20% - Accent5 3 2 3 3 4" xfId="26325"/>
    <cellStyle name="20% - Accent5 3 2 3 3 4 2" xfId="48570"/>
    <cellStyle name="20% - Accent5 3 2 3 3 5" xfId="24121"/>
    <cellStyle name="20% - Accent5 3 2 3 3 5 2" xfId="46367"/>
    <cellStyle name="20% - Accent5 3 2 3 3 6" xfId="32055"/>
    <cellStyle name="20% - Accent5 3 2 3 4" xfId="11948"/>
    <cellStyle name="20% - Accent5 3 2 3 4 2" xfId="26665"/>
    <cellStyle name="20% - Accent5 3 2 3 4 2 2" xfId="48910"/>
    <cellStyle name="20% - Accent5 3 2 3 4 3" xfId="24452"/>
    <cellStyle name="20% - Accent5 3 2 3 4 3 2" xfId="46697"/>
    <cellStyle name="20% - Accent5 3 2 3 4 4" xfId="35371"/>
    <cellStyle name="20% - Accent5 3 2 3 5" xfId="23263"/>
    <cellStyle name="20% - Accent5 3 2 3 5 2" xfId="27329"/>
    <cellStyle name="20% - Accent5 3 2 3 5 2 2" xfId="49574"/>
    <cellStyle name="20% - Accent5 3 2 3 5 3" xfId="45672"/>
    <cellStyle name="20% - Accent5 3 2 3 6" xfId="25743"/>
    <cellStyle name="20% - Accent5 3 2 3 6 2" xfId="47988"/>
    <cellStyle name="20% - Accent5 3 2 3 7" xfId="28739"/>
    <cellStyle name="20% - Accent5 3 2 4" xfId="6886"/>
    <cellStyle name="20% - Accent5 3 2 4 2" xfId="10218"/>
    <cellStyle name="20% - Accent5 3 2 4 2 2" xfId="16922"/>
    <cellStyle name="20% - Accent5 3 2 4 2 2 2" xfId="25032"/>
    <cellStyle name="20% - Accent5 3 2 4 2 2 2 2" xfId="27245"/>
    <cellStyle name="20% - Accent5 3 2 4 2 2 2 2 2" xfId="49490"/>
    <cellStyle name="20% - Accent5 3 2 4 2 2 2 3" xfId="47277"/>
    <cellStyle name="20% - Accent5 3 2 4 2 2 3" xfId="25612"/>
    <cellStyle name="20% - Accent5 3 2 4 2 2 3 2" xfId="27917"/>
    <cellStyle name="20% - Accent5 3 2 4 2 2 3 2 2" xfId="50162"/>
    <cellStyle name="20% - Accent5 3 2 4 2 2 3 3" xfId="47857"/>
    <cellStyle name="20% - Accent5 3 2 4 2 2 4" xfId="26571"/>
    <cellStyle name="20% - Accent5 3 2 4 2 2 4 2" xfId="48816"/>
    <cellStyle name="20% - Accent5 3 2 4 2 2 5" xfId="24367"/>
    <cellStyle name="20% - Accent5 3 2 4 2 2 5 2" xfId="46613"/>
    <cellStyle name="20% - Accent5 3 2 4 2 2 6" xfId="40343"/>
    <cellStyle name="20% - Accent5 3 2 4 2 3" xfId="24700"/>
    <cellStyle name="20% - Accent5 3 2 4 2 3 2" xfId="26913"/>
    <cellStyle name="20% - Accent5 3 2 4 2 3 2 2" xfId="49158"/>
    <cellStyle name="20% - Accent5 3 2 4 2 3 3" xfId="46945"/>
    <cellStyle name="20% - Accent5 3 2 4 2 4" xfId="25276"/>
    <cellStyle name="20% - Accent5 3 2 4 2 4 2" xfId="27581"/>
    <cellStyle name="20% - Accent5 3 2 4 2 4 2 2" xfId="49826"/>
    <cellStyle name="20% - Accent5 3 2 4 2 4 3" xfId="47521"/>
    <cellStyle name="20% - Accent5 3 2 4 2 5" xfId="26242"/>
    <cellStyle name="20% - Accent5 3 2 4 2 5 2" xfId="48487"/>
    <cellStyle name="20% - Accent5 3 2 4 2 6" xfId="24051"/>
    <cellStyle name="20% - Accent5 3 2 4 2 6 2" xfId="46297"/>
    <cellStyle name="20% - Accent5 3 2 4 2 7" xfId="33711"/>
    <cellStyle name="20% - Accent5 3 2 4 3" xfId="13606"/>
    <cellStyle name="20% - Accent5 3 2 4 3 2" xfId="24866"/>
    <cellStyle name="20% - Accent5 3 2 4 3 2 2" xfId="27079"/>
    <cellStyle name="20% - Accent5 3 2 4 3 2 2 2" xfId="49324"/>
    <cellStyle name="20% - Accent5 3 2 4 3 2 3" xfId="47111"/>
    <cellStyle name="20% - Accent5 3 2 4 3 3" xfId="25444"/>
    <cellStyle name="20% - Accent5 3 2 4 3 3 2" xfId="27749"/>
    <cellStyle name="20% - Accent5 3 2 4 3 3 2 2" xfId="49994"/>
    <cellStyle name="20% - Accent5 3 2 4 3 3 3" xfId="47689"/>
    <cellStyle name="20% - Accent5 3 2 4 3 4" xfId="26406"/>
    <cellStyle name="20% - Accent5 3 2 4 3 4 2" xfId="48651"/>
    <cellStyle name="20% - Accent5 3 2 4 3 5" xfId="24202"/>
    <cellStyle name="20% - Accent5 3 2 4 3 5 2" xfId="46448"/>
    <cellStyle name="20% - Accent5 3 2 4 3 6" xfId="37027"/>
    <cellStyle name="20% - Accent5 3 2 4 4" xfId="24534"/>
    <cellStyle name="20% - Accent5 3 2 4 4 2" xfId="26747"/>
    <cellStyle name="20% - Accent5 3 2 4 4 2 2" xfId="48992"/>
    <cellStyle name="20% - Accent5 3 2 4 4 3" xfId="46779"/>
    <cellStyle name="20% - Accent5 3 2 4 5" xfId="25108"/>
    <cellStyle name="20% - Accent5 3 2 4 5 2" xfId="27413"/>
    <cellStyle name="20% - Accent5 3 2 4 5 2 2" xfId="49658"/>
    <cellStyle name="20% - Accent5 3 2 4 5 3" xfId="47353"/>
    <cellStyle name="20% - Accent5 3 2 4 6" xfId="26089"/>
    <cellStyle name="20% - Accent5 3 2 4 6 2" xfId="48334"/>
    <cellStyle name="20% - Accent5 3 2 4 7" xfId="23898"/>
    <cellStyle name="20% - Accent5 3 2 4 7 2" xfId="46144"/>
    <cellStyle name="20% - Accent5 3 2 4 8" xfId="30395"/>
    <cellStyle name="20% - Accent5 3 2 5" xfId="8552"/>
    <cellStyle name="20% - Accent5 3 2 5 2" xfId="15264"/>
    <cellStyle name="20% - Accent5 3 2 5 2 2" xfId="24908"/>
    <cellStyle name="20% - Accent5 3 2 5 2 2 2" xfId="27121"/>
    <cellStyle name="20% - Accent5 3 2 5 2 2 2 2" xfId="49366"/>
    <cellStyle name="20% - Accent5 3 2 5 2 2 3" xfId="47153"/>
    <cellStyle name="20% - Accent5 3 2 5 2 3" xfId="25486"/>
    <cellStyle name="20% - Accent5 3 2 5 2 3 2" xfId="27791"/>
    <cellStyle name="20% - Accent5 3 2 5 2 3 2 2" xfId="50036"/>
    <cellStyle name="20% - Accent5 3 2 5 2 3 3" xfId="47731"/>
    <cellStyle name="20% - Accent5 3 2 5 2 4" xfId="26448"/>
    <cellStyle name="20% - Accent5 3 2 5 2 4 2" xfId="48693"/>
    <cellStyle name="20% - Accent5 3 2 5 2 5" xfId="24244"/>
    <cellStyle name="20% - Accent5 3 2 5 2 5 2" xfId="46490"/>
    <cellStyle name="20% - Accent5 3 2 5 2 6" xfId="38685"/>
    <cellStyle name="20% - Accent5 3 2 5 3" xfId="24576"/>
    <cellStyle name="20% - Accent5 3 2 5 3 2" xfId="26789"/>
    <cellStyle name="20% - Accent5 3 2 5 3 2 2" xfId="49034"/>
    <cellStyle name="20% - Accent5 3 2 5 3 3" xfId="46821"/>
    <cellStyle name="20% - Accent5 3 2 5 4" xfId="25150"/>
    <cellStyle name="20% - Accent5 3 2 5 4 2" xfId="27455"/>
    <cellStyle name="20% - Accent5 3 2 5 4 2 2" xfId="49700"/>
    <cellStyle name="20% - Accent5 3 2 5 4 3" xfId="47395"/>
    <cellStyle name="20% - Accent5 3 2 5 5" xfId="26122"/>
    <cellStyle name="20% - Accent5 3 2 5 5 2" xfId="48367"/>
    <cellStyle name="20% - Accent5 3 2 5 6" xfId="23931"/>
    <cellStyle name="20% - Accent5 3 2 5 6 2" xfId="46177"/>
    <cellStyle name="20% - Accent5 3 2 5 7" xfId="32053"/>
    <cellStyle name="20% - Accent5 3 2 6" xfId="11946"/>
    <cellStyle name="20% - Accent5 3 2 6 2" xfId="24742"/>
    <cellStyle name="20% - Accent5 3 2 6 2 2" xfId="26955"/>
    <cellStyle name="20% - Accent5 3 2 6 2 2 2" xfId="49200"/>
    <cellStyle name="20% - Accent5 3 2 6 2 3" xfId="46987"/>
    <cellStyle name="20% - Accent5 3 2 6 3" xfId="25318"/>
    <cellStyle name="20% - Accent5 3 2 6 3 2" xfId="27623"/>
    <cellStyle name="20% - Accent5 3 2 6 3 2 2" xfId="49868"/>
    <cellStyle name="20% - Accent5 3 2 6 3 3" xfId="47563"/>
    <cellStyle name="20% - Accent5 3 2 6 4" xfId="26283"/>
    <cellStyle name="20% - Accent5 3 2 6 4 2" xfId="48528"/>
    <cellStyle name="20% - Accent5 3 2 6 5" xfId="24080"/>
    <cellStyle name="20% - Accent5 3 2 6 5 2" xfId="46326"/>
    <cellStyle name="20% - Accent5 3 2 6 6" xfId="35369"/>
    <cellStyle name="20% - Accent5 3 2 7" xfId="23445"/>
    <cellStyle name="20% - Accent5 3 2 7 2" xfId="26623"/>
    <cellStyle name="20% - Accent5 3 2 7 2 2" xfId="48868"/>
    <cellStyle name="20% - Accent5 3 2 7 3" xfId="45790"/>
    <cellStyle name="20% - Accent5 3 2 8" xfId="25074"/>
    <cellStyle name="20% - Accent5 3 2 8 2" xfId="27287"/>
    <cellStyle name="20% - Accent5 3 2 8 2 2" xfId="49532"/>
    <cellStyle name="20% - Accent5 3 2 8 3" xfId="47319"/>
    <cellStyle name="20% - Accent5 3 2 9" xfId="25741"/>
    <cellStyle name="20% - Accent5 3 2 9 2" xfId="47986"/>
    <cellStyle name="20% - Accent5 3 3" xfId="3166"/>
    <cellStyle name="20% - Accent5 3 3 2" xfId="6889"/>
    <cellStyle name="20% - Accent5 3 3 2 2" xfId="10221"/>
    <cellStyle name="20% - Accent5 3 3 2 2 2" xfId="16925"/>
    <cellStyle name="20% - Accent5 3 3 2 2 2 2" xfId="27184"/>
    <cellStyle name="20% - Accent5 3 3 2 2 2 2 2" xfId="49429"/>
    <cellStyle name="20% - Accent5 3 3 2 2 2 3" xfId="24971"/>
    <cellStyle name="20% - Accent5 3 3 2 2 2 3 2" xfId="47216"/>
    <cellStyle name="20% - Accent5 3 3 2 2 2 4" xfId="40346"/>
    <cellStyle name="20% - Accent5 3 3 2 2 3" xfId="25549"/>
    <cellStyle name="20% - Accent5 3 3 2 2 3 2" xfId="27854"/>
    <cellStyle name="20% - Accent5 3 3 2 2 3 2 2" xfId="50099"/>
    <cellStyle name="20% - Accent5 3 3 2 2 3 3" xfId="47794"/>
    <cellStyle name="20% - Accent5 3 3 2 2 4" xfId="26510"/>
    <cellStyle name="20% - Accent5 3 3 2 2 4 2" xfId="48755"/>
    <cellStyle name="20% - Accent5 3 3 2 2 5" xfId="24306"/>
    <cellStyle name="20% - Accent5 3 3 2 2 5 2" xfId="46552"/>
    <cellStyle name="20% - Accent5 3 3 2 2 6" xfId="33714"/>
    <cellStyle name="20% - Accent5 3 3 2 3" xfId="13609"/>
    <cellStyle name="20% - Accent5 3 3 2 3 2" xfId="26852"/>
    <cellStyle name="20% - Accent5 3 3 2 3 2 2" xfId="49097"/>
    <cellStyle name="20% - Accent5 3 3 2 3 3" xfId="24639"/>
    <cellStyle name="20% - Accent5 3 3 2 3 3 2" xfId="46884"/>
    <cellStyle name="20% - Accent5 3 3 2 3 4" xfId="37030"/>
    <cellStyle name="20% - Accent5 3 3 2 4" xfId="25213"/>
    <cellStyle name="20% - Accent5 3 3 2 4 2" xfId="27518"/>
    <cellStyle name="20% - Accent5 3 3 2 4 2 2" xfId="49763"/>
    <cellStyle name="20% - Accent5 3 3 2 4 3" xfId="47458"/>
    <cellStyle name="20% - Accent5 3 3 2 5" xfId="26181"/>
    <cellStyle name="20% - Accent5 3 3 2 5 2" xfId="48426"/>
    <cellStyle name="20% - Accent5 3 3 2 6" xfId="23990"/>
    <cellStyle name="20% - Accent5 3 3 2 6 2" xfId="46236"/>
    <cellStyle name="20% - Accent5 3 3 2 7" xfId="30398"/>
    <cellStyle name="20% - Accent5 3 3 3" xfId="8555"/>
    <cellStyle name="20% - Accent5 3 3 3 2" xfId="15267"/>
    <cellStyle name="20% - Accent5 3 3 3 2 2" xfId="27018"/>
    <cellStyle name="20% - Accent5 3 3 3 2 2 2" xfId="49263"/>
    <cellStyle name="20% - Accent5 3 3 3 2 3" xfId="24805"/>
    <cellStyle name="20% - Accent5 3 3 3 2 3 2" xfId="47050"/>
    <cellStyle name="20% - Accent5 3 3 3 2 4" xfId="38688"/>
    <cellStyle name="20% - Accent5 3 3 3 3" xfId="25381"/>
    <cellStyle name="20% - Accent5 3 3 3 3 2" xfId="27686"/>
    <cellStyle name="20% - Accent5 3 3 3 3 2 2" xfId="49931"/>
    <cellStyle name="20% - Accent5 3 3 3 3 3" xfId="47626"/>
    <cellStyle name="20% - Accent5 3 3 3 4" xfId="26345"/>
    <cellStyle name="20% - Accent5 3 3 3 4 2" xfId="48590"/>
    <cellStyle name="20% - Accent5 3 3 3 5" xfId="24141"/>
    <cellStyle name="20% - Accent5 3 3 3 5 2" xfId="46387"/>
    <cellStyle name="20% - Accent5 3 3 3 6" xfId="32056"/>
    <cellStyle name="20% - Accent5 3 3 4" xfId="11949"/>
    <cellStyle name="20% - Accent5 3 3 4 2" xfId="26686"/>
    <cellStyle name="20% - Accent5 3 3 4 2 2" xfId="48931"/>
    <cellStyle name="20% - Accent5 3 3 4 3" xfId="24473"/>
    <cellStyle name="20% - Accent5 3 3 4 3 2" xfId="46718"/>
    <cellStyle name="20% - Accent5 3 3 4 4" xfId="35372"/>
    <cellStyle name="20% - Accent5 3 3 5" xfId="23442"/>
    <cellStyle name="20% - Accent5 3 3 5 2" xfId="27350"/>
    <cellStyle name="20% - Accent5 3 3 5 2 2" xfId="49595"/>
    <cellStyle name="20% - Accent5 3 3 5 3" xfId="45787"/>
    <cellStyle name="20% - Accent5 3 3 6" xfId="25744"/>
    <cellStyle name="20% - Accent5 3 3 6 2" xfId="47989"/>
    <cellStyle name="20% - Accent5 3 3 7" xfId="28740"/>
    <cellStyle name="20% - Accent5 3 4" xfId="3167"/>
    <cellStyle name="20% - Accent5 3 4 2" xfId="6890"/>
    <cellStyle name="20% - Accent5 3 4 2 2" xfId="10222"/>
    <cellStyle name="20% - Accent5 3 4 2 2 2" xfId="16926"/>
    <cellStyle name="20% - Accent5 3 4 2 2 2 2" xfId="27142"/>
    <cellStyle name="20% - Accent5 3 4 2 2 2 2 2" xfId="49387"/>
    <cellStyle name="20% - Accent5 3 4 2 2 2 3" xfId="24929"/>
    <cellStyle name="20% - Accent5 3 4 2 2 2 3 2" xfId="47174"/>
    <cellStyle name="20% - Accent5 3 4 2 2 2 4" xfId="40347"/>
    <cellStyle name="20% - Accent5 3 4 2 2 3" xfId="25507"/>
    <cellStyle name="20% - Accent5 3 4 2 2 3 2" xfId="27812"/>
    <cellStyle name="20% - Accent5 3 4 2 2 3 2 2" xfId="50057"/>
    <cellStyle name="20% - Accent5 3 4 2 2 3 3" xfId="47752"/>
    <cellStyle name="20% - Accent5 3 4 2 2 4" xfId="26469"/>
    <cellStyle name="20% - Accent5 3 4 2 2 4 2" xfId="48714"/>
    <cellStyle name="20% - Accent5 3 4 2 2 5" xfId="24265"/>
    <cellStyle name="20% - Accent5 3 4 2 2 5 2" xfId="46511"/>
    <cellStyle name="20% - Accent5 3 4 2 2 6" xfId="33715"/>
    <cellStyle name="20% - Accent5 3 4 2 3" xfId="13610"/>
    <cellStyle name="20% - Accent5 3 4 2 3 2" xfId="26810"/>
    <cellStyle name="20% - Accent5 3 4 2 3 2 2" xfId="49055"/>
    <cellStyle name="20% - Accent5 3 4 2 3 3" xfId="24597"/>
    <cellStyle name="20% - Accent5 3 4 2 3 3 2" xfId="46842"/>
    <cellStyle name="20% - Accent5 3 4 2 3 4" xfId="37031"/>
    <cellStyle name="20% - Accent5 3 4 2 4" xfId="25171"/>
    <cellStyle name="20% - Accent5 3 4 2 4 2" xfId="27476"/>
    <cellStyle name="20% - Accent5 3 4 2 4 2 2" xfId="49721"/>
    <cellStyle name="20% - Accent5 3 4 2 4 3" xfId="47416"/>
    <cellStyle name="20% - Accent5 3 4 2 5" xfId="26141"/>
    <cellStyle name="20% - Accent5 3 4 2 5 2" xfId="48386"/>
    <cellStyle name="20% - Accent5 3 4 2 6" xfId="23950"/>
    <cellStyle name="20% - Accent5 3 4 2 6 2" xfId="46196"/>
    <cellStyle name="20% - Accent5 3 4 2 7" xfId="30399"/>
    <cellStyle name="20% - Accent5 3 4 3" xfId="8556"/>
    <cellStyle name="20% - Accent5 3 4 3 2" xfId="15268"/>
    <cellStyle name="20% - Accent5 3 4 3 2 2" xfId="26976"/>
    <cellStyle name="20% - Accent5 3 4 3 2 2 2" xfId="49221"/>
    <cellStyle name="20% - Accent5 3 4 3 2 3" xfId="24763"/>
    <cellStyle name="20% - Accent5 3 4 3 2 3 2" xfId="47008"/>
    <cellStyle name="20% - Accent5 3 4 3 2 4" xfId="38689"/>
    <cellStyle name="20% - Accent5 3 4 3 3" xfId="25339"/>
    <cellStyle name="20% - Accent5 3 4 3 3 2" xfId="27644"/>
    <cellStyle name="20% - Accent5 3 4 3 3 2 2" xfId="49889"/>
    <cellStyle name="20% - Accent5 3 4 3 3 3" xfId="47584"/>
    <cellStyle name="20% - Accent5 3 4 3 4" xfId="26304"/>
    <cellStyle name="20% - Accent5 3 4 3 4 2" xfId="48549"/>
    <cellStyle name="20% - Accent5 3 4 3 5" xfId="24100"/>
    <cellStyle name="20% - Accent5 3 4 3 5 2" xfId="46346"/>
    <cellStyle name="20% - Accent5 3 4 3 6" xfId="32057"/>
    <cellStyle name="20% - Accent5 3 4 4" xfId="11950"/>
    <cellStyle name="20% - Accent5 3 4 4 2" xfId="26644"/>
    <cellStyle name="20% - Accent5 3 4 4 2 2" xfId="48889"/>
    <cellStyle name="20% - Accent5 3 4 4 3" xfId="24431"/>
    <cellStyle name="20% - Accent5 3 4 4 3 2" xfId="46676"/>
    <cellStyle name="20% - Accent5 3 4 4 4" xfId="35373"/>
    <cellStyle name="20% - Accent5 3 4 5" xfId="23441"/>
    <cellStyle name="20% - Accent5 3 4 5 2" xfId="27308"/>
    <cellStyle name="20% - Accent5 3 4 5 2 2" xfId="49553"/>
    <cellStyle name="20% - Accent5 3 4 5 3" xfId="45786"/>
    <cellStyle name="20% - Accent5 3 4 6" xfId="25745"/>
    <cellStyle name="20% - Accent5 3 4 6 2" xfId="47990"/>
    <cellStyle name="20% - Accent5 3 4 7" xfId="28741"/>
    <cellStyle name="20% - Accent5 3 5" xfId="3168"/>
    <cellStyle name="20% - Accent5 3 5 2" xfId="24030"/>
    <cellStyle name="20% - Accent5 3 5 2 2" xfId="24346"/>
    <cellStyle name="20% - Accent5 3 5 2 2 2" xfId="25011"/>
    <cellStyle name="20% - Accent5 3 5 2 2 2 2" xfId="27224"/>
    <cellStyle name="20% - Accent5 3 5 2 2 2 2 2" xfId="49469"/>
    <cellStyle name="20% - Accent5 3 5 2 2 2 3" xfId="47256"/>
    <cellStyle name="20% - Accent5 3 5 2 2 3" xfId="25591"/>
    <cellStyle name="20% - Accent5 3 5 2 2 3 2" xfId="27896"/>
    <cellStyle name="20% - Accent5 3 5 2 2 3 2 2" xfId="50141"/>
    <cellStyle name="20% - Accent5 3 5 2 2 3 3" xfId="47836"/>
    <cellStyle name="20% - Accent5 3 5 2 2 4" xfId="26550"/>
    <cellStyle name="20% - Accent5 3 5 2 2 4 2" xfId="48795"/>
    <cellStyle name="20% - Accent5 3 5 2 2 5" xfId="46592"/>
    <cellStyle name="20% - Accent5 3 5 2 3" xfId="24679"/>
    <cellStyle name="20% - Accent5 3 5 2 3 2" xfId="26892"/>
    <cellStyle name="20% - Accent5 3 5 2 3 2 2" xfId="49137"/>
    <cellStyle name="20% - Accent5 3 5 2 3 3" xfId="46924"/>
    <cellStyle name="20% - Accent5 3 5 2 4" xfId="25255"/>
    <cellStyle name="20% - Accent5 3 5 2 4 2" xfId="27560"/>
    <cellStyle name="20% - Accent5 3 5 2 4 2 2" xfId="49805"/>
    <cellStyle name="20% - Accent5 3 5 2 4 3" xfId="47500"/>
    <cellStyle name="20% - Accent5 3 5 2 5" xfId="26221"/>
    <cellStyle name="20% - Accent5 3 5 2 5 2" xfId="48466"/>
    <cellStyle name="20% - Accent5 3 5 2 6" xfId="46276"/>
    <cellStyle name="20% - Accent5 3 5 3" xfId="24181"/>
    <cellStyle name="20% - Accent5 3 5 3 2" xfId="24845"/>
    <cellStyle name="20% - Accent5 3 5 3 2 2" xfId="27058"/>
    <cellStyle name="20% - Accent5 3 5 3 2 2 2" xfId="49303"/>
    <cellStyle name="20% - Accent5 3 5 3 2 3" xfId="47090"/>
    <cellStyle name="20% - Accent5 3 5 3 3" xfId="25423"/>
    <cellStyle name="20% - Accent5 3 5 3 3 2" xfId="27728"/>
    <cellStyle name="20% - Accent5 3 5 3 3 2 2" xfId="49973"/>
    <cellStyle name="20% - Accent5 3 5 3 3 3" xfId="47668"/>
    <cellStyle name="20% - Accent5 3 5 3 4" xfId="26385"/>
    <cellStyle name="20% - Accent5 3 5 3 4 2" xfId="48630"/>
    <cellStyle name="20% - Accent5 3 5 3 5" xfId="46427"/>
    <cellStyle name="20% - Accent5 3 5 4" xfId="24513"/>
    <cellStyle name="20% - Accent5 3 5 4 2" xfId="26726"/>
    <cellStyle name="20% - Accent5 3 5 4 2 2" xfId="48971"/>
    <cellStyle name="20% - Accent5 3 5 4 3" xfId="46758"/>
    <cellStyle name="20% - Accent5 3 5 5" xfId="25094"/>
    <cellStyle name="20% - Accent5 3 5 5 2" xfId="27392"/>
    <cellStyle name="20% - Accent5 3 5 5 2 2" xfId="49637"/>
    <cellStyle name="20% - Accent5 3 5 5 3" xfId="47339"/>
    <cellStyle name="20% - Accent5 3 5 6" xfId="23884"/>
    <cellStyle name="20% - Accent5 3 5 6 2" xfId="26075"/>
    <cellStyle name="20% - Accent5 3 5 6 2 2" xfId="48320"/>
    <cellStyle name="20% - Accent5 3 5 6 3" xfId="46130"/>
    <cellStyle name="20% - Accent5 3 6" xfId="3162"/>
    <cellStyle name="20% - Accent5 3 6 2" xfId="6885"/>
    <cellStyle name="20% - Accent5 3 6 2 2" xfId="10217"/>
    <cellStyle name="20% - Accent5 3 6 2 2 2" xfId="16921"/>
    <cellStyle name="20% - Accent5 3 6 2 2 2 2" xfId="27100"/>
    <cellStyle name="20% - Accent5 3 6 2 2 2 2 2" xfId="49345"/>
    <cellStyle name="20% - Accent5 3 6 2 2 2 3" xfId="40342"/>
    <cellStyle name="20% - Accent5 3 6 2 2 3" xfId="24887"/>
    <cellStyle name="20% - Accent5 3 6 2 2 3 2" xfId="47132"/>
    <cellStyle name="20% - Accent5 3 6 2 2 4" xfId="33710"/>
    <cellStyle name="20% - Accent5 3 6 2 3" xfId="13605"/>
    <cellStyle name="20% - Accent5 3 6 2 3 2" xfId="27770"/>
    <cellStyle name="20% - Accent5 3 6 2 3 2 2" xfId="50015"/>
    <cellStyle name="20% - Accent5 3 6 2 3 3" xfId="25465"/>
    <cellStyle name="20% - Accent5 3 6 2 3 3 2" xfId="47710"/>
    <cellStyle name="20% - Accent5 3 6 2 3 4" xfId="37026"/>
    <cellStyle name="20% - Accent5 3 6 2 4" xfId="26427"/>
    <cellStyle name="20% - Accent5 3 6 2 4 2" xfId="48672"/>
    <cellStyle name="20% - Accent5 3 6 2 5" xfId="24223"/>
    <cellStyle name="20% - Accent5 3 6 2 5 2" xfId="46469"/>
    <cellStyle name="20% - Accent5 3 6 2 6" xfId="30394"/>
    <cellStyle name="20% - Accent5 3 6 3" xfId="8551"/>
    <cellStyle name="20% - Accent5 3 6 3 2" xfId="15263"/>
    <cellStyle name="20% - Accent5 3 6 3 2 2" xfId="26768"/>
    <cellStyle name="20% - Accent5 3 6 3 2 2 2" xfId="49013"/>
    <cellStyle name="20% - Accent5 3 6 3 2 3" xfId="38684"/>
    <cellStyle name="20% - Accent5 3 6 3 3" xfId="24555"/>
    <cellStyle name="20% - Accent5 3 6 3 3 2" xfId="46800"/>
    <cellStyle name="20% - Accent5 3 6 3 4" xfId="32052"/>
    <cellStyle name="20% - Accent5 3 6 4" xfId="11945"/>
    <cellStyle name="20% - Accent5 3 6 4 2" xfId="27434"/>
    <cellStyle name="20% - Accent5 3 6 4 2 2" xfId="49679"/>
    <cellStyle name="20% - Accent5 3 6 4 3" xfId="25129"/>
    <cellStyle name="20% - Accent5 3 6 4 3 2" xfId="47374"/>
    <cellStyle name="20% - Accent5 3 6 4 4" xfId="35368"/>
    <cellStyle name="20% - Accent5 3 6 5" xfId="26106"/>
    <cellStyle name="20% - Accent5 3 6 5 2" xfId="48351"/>
    <cellStyle name="20% - Accent5 3 6 6" xfId="23915"/>
    <cellStyle name="20% - Accent5 3 6 6 2" xfId="46161"/>
    <cellStyle name="20% - Accent5 3 6 7" xfId="28736"/>
    <cellStyle name="20% - Accent5 3 7" xfId="23444"/>
    <cellStyle name="20% - Accent5 3 7 2" xfId="24721"/>
    <cellStyle name="20% - Accent5 3 7 2 2" xfId="26934"/>
    <cellStyle name="20% - Accent5 3 7 2 2 2" xfId="49179"/>
    <cellStyle name="20% - Accent5 3 7 2 3" xfId="46966"/>
    <cellStyle name="20% - Accent5 3 7 3" xfId="25297"/>
    <cellStyle name="20% - Accent5 3 7 3 2" xfId="27602"/>
    <cellStyle name="20% - Accent5 3 7 3 2 2" xfId="49847"/>
    <cellStyle name="20% - Accent5 3 7 3 3" xfId="47542"/>
    <cellStyle name="20% - Accent5 3 7 4" xfId="26262"/>
    <cellStyle name="20% - Accent5 3 7 4 2" xfId="48507"/>
    <cellStyle name="20% - Accent5 3 7 5" xfId="45789"/>
    <cellStyle name="20% - Accent5 3 8" xfId="24399"/>
    <cellStyle name="20% - Accent5 3 8 2" xfId="26602"/>
    <cellStyle name="20% - Accent5 3 8 2 2" xfId="48847"/>
    <cellStyle name="20% - Accent5 3 8 3" xfId="46644"/>
    <cellStyle name="20% - Accent5 3 9" xfId="25053"/>
    <cellStyle name="20% - Accent5 3 9 2" xfId="27266"/>
    <cellStyle name="20% - Accent5 3 9 2 2" xfId="49511"/>
    <cellStyle name="20% - Accent5 3 9 3" xfId="47298"/>
    <cellStyle name="20% - Accent5 4" xfId="3161"/>
    <cellStyle name="20% - Accent5 4 2" xfId="25712"/>
    <cellStyle name="20% - Accent5 4 2 2" xfId="47957"/>
    <cellStyle name="20% - Accent5 5" xfId="7769"/>
    <cellStyle name="20% - Accent5 5 2" xfId="11098"/>
    <cellStyle name="20% - Accent5 5 2 2" xfId="17802"/>
    <cellStyle name="20% - Accent5 5 2 2 2" xfId="41223"/>
    <cellStyle name="20% - Accent5 5 2 3" xfId="34591"/>
    <cellStyle name="20% - Accent5 5 3" xfId="14486"/>
    <cellStyle name="20% - Accent5 5 3 2" xfId="37907"/>
    <cellStyle name="20% - Accent5 5 4" xfId="31275"/>
    <cellStyle name="20% - Accent5 6" xfId="9440"/>
    <cellStyle name="20% - Accent5 6 2" xfId="16144"/>
    <cellStyle name="20% - Accent5 6 2 2" xfId="39565"/>
    <cellStyle name="20% - Accent5 6 3" xfId="32933"/>
    <cellStyle name="20% - Accent5 7" xfId="12828"/>
    <cellStyle name="20% - Accent5 7 2" xfId="36249"/>
    <cellStyle name="20% - Accent5 8" xfId="23398"/>
    <cellStyle name="20% - Accent5 8 2" xfId="45743"/>
    <cellStyle name="20% - Accent5 9" xfId="6101"/>
    <cellStyle name="20% - Accent5 9 2" xfId="29617"/>
    <cellStyle name="20% - Accent6" xfId="12" builtinId="50" customBuiltin="1"/>
    <cellStyle name="20% - Accent6 10" xfId="8522"/>
    <cellStyle name="20% - Accent6 10 2" xfId="15234"/>
    <cellStyle name="20% - Accent6 10 2 2" xfId="26603"/>
    <cellStyle name="20% - Accent6 10 2 2 2" xfId="48848"/>
    <cellStyle name="20% - Accent6 10 2 3" xfId="38655"/>
    <cellStyle name="20% - Accent6 10 3" xfId="24400"/>
    <cellStyle name="20% - Accent6 10 3 2" xfId="46645"/>
    <cellStyle name="20% - Accent6 10 4" xfId="32023"/>
    <cellStyle name="20% - Accent6 11" xfId="11916"/>
    <cellStyle name="20% - Accent6 11 2" xfId="27267"/>
    <cellStyle name="20% - Accent6 11 2 2" xfId="49512"/>
    <cellStyle name="20% - Accent6 11 3" xfId="25054"/>
    <cellStyle name="20% - Accent6 11 3 2" xfId="47299"/>
    <cellStyle name="20% - Accent6 11 4" xfId="35339"/>
    <cellStyle name="20% - Accent6 12" xfId="25714"/>
    <cellStyle name="20% - Accent6 12 2" xfId="47959"/>
    <cellStyle name="20% - Accent6 13" xfId="2885"/>
    <cellStyle name="20% - Accent6 13 2" xfId="28707"/>
    <cellStyle name="20% - Accent6 2" xfId="267"/>
    <cellStyle name="20% - Accent6 2 2" xfId="268"/>
    <cellStyle name="20% - Accent6 2 3" xfId="5117"/>
    <cellStyle name="20% - Accent6 2 4" xfId="3170"/>
    <cellStyle name="20% - Accent6 3" xfId="1078"/>
    <cellStyle name="20% - Accent6 3 2" xfId="3172"/>
    <cellStyle name="20% - Accent6 3 2 2" xfId="6892"/>
    <cellStyle name="20% - Accent6 3 2 2 2" xfId="10224"/>
    <cellStyle name="20% - Accent6 3 2 2 2 2" xfId="16928"/>
    <cellStyle name="20% - Accent6 3 2 2 2 2 2" xfId="27205"/>
    <cellStyle name="20% - Accent6 3 2 2 2 2 2 2" xfId="49450"/>
    <cellStyle name="20% - Accent6 3 2 2 2 2 3" xfId="24992"/>
    <cellStyle name="20% - Accent6 3 2 2 2 2 3 2" xfId="47237"/>
    <cellStyle name="20% - Accent6 3 2 2 2 2 4" xfId="40349"/>
    <cellStyle name="20% - Accent6 3 2 2 2 3" xfId="25571"/>
    <cellStyle name="20% - Accent6 3 2 2 2 3 2" xfId="27876"/>
    <cellStyle name="20% - Accent6 3 2 2 2 3 2 2" xfId="50121"/>
    <cellStyle name="20% - Accent6 3 2 2 2 3 3" xfId="47816"/>
    <cellStyle name="20% - Accent6 3 2 2 2 4" xfId="26531"/>
    <cellStyle name="20% - Accent6 3 2 2 2 4 2" xfId="48776"/>
    <cellStyle name="20% - Accent6 3 2 2 2 5" xfId="24327"/>
    <cellStyle name="20% - Accent6 3 2 2 2 5 2" xfId="46573"/>
    <cellStyle name="20% - Accent6 3 2 2 2 6" xfId="33717"/>
    <cellStyle name="20% - Accent6 3 2 2 3" xfId="13612"/>
    <cellStyle name="20% - Accent6 3 2 2 3 2" xfId="26873"/>
    <cellStyle name="20% - Accent6 3 2 2 3 2 2" xfId="49118"/>
    <cellStyle name="20% - Accent6 3 2 2 3 3" xfId="24660"/>
    <cellStyle name="20% - Accent6 3 2 2 3 3 2" xfId="46905"/>
    <cellStyle name="20% - Accent6 3 2 2 3 4" xfId="37033"/>
    <cellStyle name="20% - Accent6 3 2 2 4" xfId="25235"/>
    <cellStyle name="20% - Accent6 3 2 2 4 2" xfId="27540"/>
    <cellStyle name="20% - Accent6 3 2 2 4 2 2" xfId="49785"/>
    <cellStyle name="20% - Accent6 3 2 2 4 3" xfId="47480"/>
    <cellStyle name="20% - Accent6 3 2 2 5" xfId="26202"/>
    <cellStyle name="20% - Accent6 3 2 2 5 2" xfId="48447"/>
    <cellStyle name="20% - Accent6 3 2 2 6" xfId="24011"/>
    <cellStyle name="20% - Accent6 3 2 2 6 2" xfId="46257"/>
    <cellStyle name="20% - Accent6 3 2 2 7" xfId="30401"/>
    <cellStyle name="20% - Accent6 3 2 3" xfId="8558"/>
    <cellStyle name="20% - Accent6 3 2 3 2" xfId="15270"/>
    <cellStyle name="20% - Accent6 3 2 3 2 2" xfId="27039"/>
    <cellStyle name="20% - Accent6 3 2 3 2 2 2" xfId="49284"/>
    <cellStyle name="20% - Accent6 3 2 3 2 3" xfId="24826"/>
    <cellStyle name="20% - Accent6 3 2 3 2 3 2" xfId="47071"/>
    <cellStyle name="20% - Accent6 3 2 3 2 4" xfId="38691"/>
    <cellStyle name="20% - Accent6 3 2 3 3" xfId="25403"/>
    <cellStyle name="20% - Accent6 3 2 3 3 2" xfId="27708"/>
    <cellStyle name="20% - Accent6 3 2 3 3 2 2" xfId="49953"/>
    <cellStyle name="20% - Accent6 3 2 3 3 3" xfId="47648"/>
    <cellStyle name="20% - Accent6 3 2 3 4" xfId="26366"/>
    <cellStyle name="20% - Accent6 3 2 3 4 2" xfId="48611"/>
    <cellStyle name="20% - Accent6 3 2 3 5" xfId="24162"/>
    <cellStyle name="20% - Accent6 3 2 3 5 2" xfId="46408"/>
    <cellStyle name="20% - Accent6 3 2 3 6" xfId="32059"/>
    <cellStyle name="20% - Accent6 3 2 4" xfId="11952"/>
    <cellStyle name="20% - Accent6 3 2 4 2" xfId="26707"/>
    <cellStyle name="20% - Accent6 3 2 4 2 2" xfId="48952"/>
    <cellStyle name="20% - Accent6 3 2 4 3" xfId="24494"/>
    <cellStyle name="20% - Accent6 3 2 4 3 2" xfId="46739"/>
    <cellStyle name="20% - Accent6 3 2 4 4" xfId="35375"/>
    <cellStyle name="20% - Accent6 3 2 5" xfId="23439"/>
    <cellStyle name="20% - Accent6 3 2 5 2" xfId="27372"/>
    <cellStyle name="20% - Accent6 3 2 5 2 2" xfId="49617"/>
    <cellStyle name="20% - Accent6 3 2 5 3" xfId="45784"/>
    <cellStyle name="20% - Accent6 3 2 6" xfId="25747"/>
    <cellStyle name="20% - Accent6 3 2 6 2" xfId="47992"/>
    <cellStyle name="20% - Accent6 3 2 7" xfId="28743"/>
    <cellStyle name="20% - Accent6 3 3" xfId="3173"/>
    <cellStyle name="20% - Accent6 3 3 2" xfId="6893"/>
    <cellStyle name="20% - Accent6 3 3 2 2" xfId="10225"/>
    <cellStyle name="20% - Accent6 3 3 2 2 2" xfId="16929"/>
    <cellStyle name="20% - Accent6 3 3 2 2 2 2" xfId="27164"/>
    <cellStyle name="20% - Accent6 3 3 2 2 2 2 2" xfId="49409"/>
    <cellStyle name="20% - Accent6 3 3 2 2 2 3" xfId="24951"/>
    <cellStyle name="20% - Accent6 3 3 2 2 2 3 2" xfId="47196"/>
    <cellStyle name="20% - Accent6 3 3 2 2 2 4" xfId="40350"/>
    <cellStyle name="20% - Accent6 3 3 2 2 3" xfId="25529"/>
    <cellStyle name="20% - Accent6 3 3 2 2 3 2" xfId="27834"/>
    <cellStyle name="20% - Accent6 3 3 2 2 3 2 2" xfId="50079"/>
    <cellStyle name="20% - Accent6 3 3 2 2 3 3" xfId="47774"/>
    <cellStyle name="20% - Accent6 3 3 2 2 4" xfId="26491"/>
    <cellStyle name="20% - Accent6 3 3 2 2 4 2" xfId="48736"/>
    <cellStyle name="20% - Accent6 3 3 2 2 5" xfId="24287"/>
    <cellStyle name="20% - Accent6 3 3 2 2 5 2" xfId="46533"/>
    <cellStyle name="20% - Accent6 3 3 2 2 6" xfId="33718"/>
    <cellStyle name="20% - Accent6 3 3 2 3" xfId="13613"/>
    <cellStyle name="20% - Accent6 3 3 2 3 2" xfId="26832"/>
    <cellStyle name="20% - Accent6 3 3 2 3 2 2" xfId="49077"/>
    <cellStyle name="20% - Accent6 3 3 2 3 3" xfId="24619"/>
    <cellStyle name="20% - Accent6 3 3 2 3 3 2" xfId="46864"/>
    <cellStyle name="20% - Accent6 3 3 2 3 4" xfId="37034"/>
    <cellStyle name="20% - Accent6 3 3 2 4" xfId="25193"/>
    <cellStyle name="20% - Accent6 3 3 2 4 2" xfId="27498"/>
    <cellStyle name="20% - Accent6 3 3 2 4 2 2" xfId="49743"/>
    <cellStyle name="20% - Accent6 3 3 2 4 3" xfId="47438"/>
    <cellStyle name="20% - Accent6 3 3 2 5" xfId="26162"/>
    <cellStyle name="20% - Accent6 3 3 2 5 2" xfId="48407"/>
    <cellStyle name="20% - Accent6 3 3 2 6" xfId="23971"/>
    <cellStyle name="20% - Accent6 3 3 2 6 2" xfId="46217"/>
    <cellStyle name="20% - Accent6 3 3 2 7" xfId="30402"/>
    <cellStyle name="20% - Accent6 3 3 3" xfId="8559"/>
    <cellStyle name="20% - Accent6 3 3 3 2" xfId="15271"/>
    <cellStyle name="20% - Accent6 3 3 3 2 2" xfId="26998"/>
    <cellStyle name="20% - Accent6 3 3 3 2 2 2" xfId="49243"/>
    <cellStyle name="20% - Accent6 3 3 3 2 3" xfId="24785"/>
    <cellStyle name="20% - Accent6 3 3 3 2 3 2" xfId="47030"/>
    <cellStyle name="20% - Accent6 3 3 3 2 4" xfId="38692"/>
    <cellStyle name="20% - Accent6 3 3 3 3" xfId="25361"/>
    <cellStyle name="20% - Accent6 3 3 3 3 2" xfId="27666"/>
    <cellStyle name="20% - Accent6 3 3 3 3 2 2" xfId="49911"/>
    <cellStyle name="20% - Accent6 3 3 3 3 3" xfId="47606"/>
    <cellStyle name="20% - Accent6 3 3 3 4" xfId="26326"/>
    <cellStyle name="20% - Accent6 3 3 3 4 2" xfId="48571"/>
    <cellStyle name="20% - Accent6 3 3 3 5" xfId="24122"/>
    <cellStyle name="20% - Accent6 3 3 3 5 2" xfId="46368"/>
    <cellStyle name="20% - Accent6 3 3 3 6" xfId="32060"/>
    <cellStyle name="20% - Accent6 3 3 4" xfId="11953"/>
    <cellStyle name="20% - Accent6 3 3 4 2" xfId="26666"/>
    <cellStyle name="20% - Accent6 3 3 4 2 2" xfId="48911"/>
    <cellStyle name="20% - Accent6 3 3 4 3" xfId="24453"/>
    <cellStyle name="20% - Accent6 3 3 4 3 2" xfId="46698"/>
    <cellStyle name="20% - Accent6 3 3 4 4" xfId="35376"/>
    <cellStyle name="20% - Accent6 3 3 5" xfId="23438"/>
    <cellStyle name="20% - Accent6 3 3 5 2" xfId="27330"/>
    <cellStyle name="20% - Accent6 3 3 5 2 2" xfId="49575"/>
    <cellStyle name="20% - Accent6 3 3 5 3" xfId="45783"/>
    <cellStyle name="20% - Accent6 3 3 6" xfId="25748"/>
    <cellStyle name="20% - Accent6 3 3 6 2" xfId="47993"/>
    <cellStyle name="20% - Accent6 3 3 7" xfId="28744"/>
    <cellStyle name="20% - Accent6 3 4" xfId="3174"/>
    <cellStyle name="20% - Accent6 3 4 2" xfId="24052"/>
    <cellStyle name="20% - Accent6 3 4 2 2" xfId="24368"/>
    <cellStyle name="20% - Accent6 3 4 2 2 2" xfId="25033"/>
    <cellStyle name="20% - Accent6 3 4 2 2 2 2" xfId="27246"/>
    <cellStyle name="20% - Accent6 3 4 2 2 2 2 2" xfId="49491"/>
    <cellStyle name="20% - Accent6 3 4 2 2 2 3" xfId="47278"/>
    <cellStyle name="20% - Accent6 3 4 2 2 3" xfId="25613"/>
    <cellStyle name="20% - Accent6 3 4 2 2 3 2" xfId="27918"/>
    <cellStyle name="20% - Accent6 3 4 2 2 3 2 2" xfId="50163"/>
    <cellStyle name="20% - Accent6 3 4 2 2 3 3" xfId="47858"/>
    <cellStyle name="20% - Accent6 3 4 2 2 4" xfId="26572"/>
    <cellStyle name="20% - Accent6 3 4 2 2 4 2" xfId="48817"/>
    <cellStyle name="20% - Accent6 3 4 2 2 5" xfId="46614"/>
    <cellStyle name="20% - Accent6 3 4 2 3" xfId="24701"/>
    <cellStyle name="20% - Accent6 3 4 2 3 2" xfId="26914"/>
    <cellStyle name="20% - Accent6 3 4 2 3 2 2" xfId="49159"/>
    <cellStyle name="20% - Accent6 3 4 2 3 3" xfId="46946"/>
    <cellStyle name="20% - Accent6 3 4 2 4" xfId="25277"/>
    <cellStyle name="20% - Accent6 3 4 2 4 2" xfId="27582"/>
    <cellStyle name="20% - Accent6 3 4 2 4 2 2" xfId="49827"/>
    <cellStyle name="20% - Accent6 3 4 2 4 3" xfId="47522"/>
    <cellStyle name="20% - Accent6 3 4 2 5" xfId="26243"/>
    <cellStyle name="20% - Accent6 3 4 2 5 2" xfId="48488"/>
    <cellStyle name="20% - Accent6 3 4 2 6" xfId="46298"/>
    <cellStyle name="20% - Accent6 3 4 3" xfId="24203"/>
    <cellStyle name="20% - Accent6 3 4 3 2" xfId="24867"/>
    <cellStyle name="20% - Accent6 3 4 3 2 2" xfId="27080"/>
    <cellStyle name="20% - Accent6 3 4 3 2 2 2" xfId="49325"/>
    <cellStyle name="20% - Accent6 3 4 3 2 3" xfId="47112"/>
    <cellStyle name="20% - Accent6 3 4 3 3" xfId="25445"/>
    <cellStyle name="20% - Accent6 3 4 3 3 2" xfId="27750"/>
    <cellStyle name="20% - Accent6 3 4 3 3 2 2" xfId="49995"/>
    <cellStyle name="20% - Accent6 3 4 3 3 3" xfId="47690"/>
    <cellStyle name="20% - Accent6 3 4 3 4" xfId="26407"/>
    <cellStyle name="20% - Accent6 3 4 3 4 2" xfId="48652"/>
    <cellStyle name="20% - Accent6 3 4 3 5" xfId="46449"/>
    <cellStyle name="20% - Accent6 3 4 4" xfId="24535"/>
    <cellStyle name="20% - Accent6 3 4 4 2" xfId="26748"/>
    <cellStyle name="20% - Accent6 3 4 4 2 2" xfId="48993"/>
    <cellStyle name="20% - Accent6 3 4 4 3" xfId="46780"/>
    <cellStyle name="20% - Accent6 3 4 5" xfId="25109"/>
    <cellStyle name="20% - Accent6 3 4 5 2" xfId="27414"/>
    <cellStyle name="20% - Accent6 3 4 5 2 2" xfId="49659"/>
    <cellStyle name="20% - Accent6 3 4 5 3" xfId="47354"/>
    <cellStyle name="20% - Accent6 3 4 6" xfId="23899"/>
    <cellStyle name="20% - Accent6 3 4 6 2" xfId="26090"/>
    <cellStyle name="20% - Accent6 3 4 6 2 2" xfId="48335"/>
    <cellStyle name="20% - Accent6 3 4 6 3" xfId="46145"/>
    <cellStyle name="20% - Accent6 3 5" xfId="3171"/>
    <cellStyle name="20% - Accent6 3 5 2" xfId="6891"/>
    <cellStyle name="20% - Accent6 3 5 2 2" xfId="10223"/>
    <cellStyle name="20% - Accent6 3 5 2 2 2" xfId="16927"/>
    <cellStyle name="20% - Accent6 3 5 2 2 2 2" xfId="27122"/>
    <cellStyle name="20% - Accent6 3 5 2 2 2 2 2" xfId="49367"/>
    <cellStyle name="20% - Accent6 3 5 2 2 2 3" xfId="40348"/>
    <cellStyle name="20% - Accent6 3 5 2 2 3" xfId="24909"/>
    <cellStyle name="20% - Accent6 3 5 2 2 3 2" xfId="47154"/>
    <cellStyle name="20% - Accent6 3 5 2 2 4" xfId="33716"/>
    <cellStyle name="20% - Accent6 3 5 2 3" xfId="13611"/>
    <cellStyle name="20% - Accent6 3 5 2 3 2" xfId="27792"/>
    <cellStyle name="20% - Accent6 3 5 2 3 2 2" xfId="50037"/>
    <cellStyle name="20% - Accent6 3 5 2 3 3" xfId="25487"/>
    <cellStyle name="20% - Accent6 3 5 2 3 3 2" xfId="47732"/>
    <cellStyle name="20% - Accent6 3 5 2 3 4" xfId="37032"/>
    <cellStyle name="20% - Accent6 3 5 2 4" xfId="26449"/>
    <cellStyle name="20% - Accent6 3 5 2 4 2" xfId="48694"/>
    <cellStyle name="20% - Accent6 3 5 2 5" xfId="24245"/>
    <cellStyle name="20% - Accent6 3 5 2 5 2" xfId="46491"/>
    <cellStyle name="20% - Accent6 3 5 2 6" xfId="30400"/>
    <cellStyle name="20% - Accent6 3 5 3" xfId="8557"/>
    <cellStyle name="20% - Accent6 3 5 3 2" xfId="15269"/>
    <cellStyle name="20% - Accent6 3 5 3 2 2" xfId="26790"/>
    <cellStyle name="20% - Accent6 3 5 3 2 2 2" xfId="49035"/>
    <cellStyle name="20% - Accent6 3 5 3 2 3" xfId="38690"/>
    <cellStyle name="20% - Accent6 3 5 3 3" xfId="24577"/>
    <cellStyle name="20% - Accent6 3 5 3 3 2" xfId="46822"/>
    <cellStyle name="20% - Accent6 3 5 3 4" xfId="32058"/>
    <cellStyle name="20% - Accent6 3 5 4" xfId="11951"/>
    <cellStyle name="20% - Accent6 3 5 4 2" xfId="27456"/>
    <cellStyle name="20% - Accent6 3 5 4 2 2" xfId="49701"/>
    <cellStyle name="20% - Accent6 3 5 4 3" xfId="25151"/>
    <cellStyle name="20% - Accent6 3 5 4 3 2" xfId="47396"/>
    <cellStyle name="20% - Accent6 3 5 4 4" xfId="35374"/>
    <cellStyle name="20% - Accent6 3 5 5" xfId="25746"/>
    <cellStyle name="20% - Accent6 3 5 5 2" xfId="47991"/>
    <cellStyle name="20% - Accent6 3 5 6" xfId="23404"/>
    <cellStyle name="20% - Accent6 3 5 6 2" xfId="45749"/>
    <cellStyle name="20% - Accent6 3 5 7" xfId="28742"/>
    <cellStyle name="20% - Accent6 3 6" xfId="23440"/>
    <cellStyle name="20% - Accent6 3 6 2" xfId="24743"/>
    <cellStyle name="20% - Accent6 3 6 2 2" xfId="26956"/>
    <cellStyle name="20% - Accent6 3 6 2 2 2" xfId="49201"/>
    <cellStyle name="20% - Accent6 3 6 2 3" xfId="46988"/>
    <cellStyle name="20% - Accent6 3 6 3" xfId="25319"/>
    <cellStyle name="20% - Accent6 3 6 3 2" xfId="27624"/>
    <cellStyle name="20% - Accent6 3 6 3 2 2" xfId="49869"/>
    <cellStyle name="20% - Accent6 3 6 3 3" xfId="47564"/>
    <cellStyle name="20% - Accent6 3 6 4" xfId="26284"/>
    <cellStyle name="20% - Accent6 3 6 4 2" xfId="48529"/>
    <cellStyle name="20% - Accent6 3 6 5" xfId="45785"/>
    <cellStyle name="20% - Accent6 3 7" xfId="24417"/>
    <cellStyle name="20% - Accent6 3 7 2" xfId="26624"/>
    <cellStyle name="20% - Accent6 3 7 2 2" xfId="48869"/>
    <cellStyle name="20% - Accent6 3 7 3" xfId="46662"/>
    <cellStyle name="20% - Accent6 3 8" xfId="25075"/>
    <cellStyle name="20% - Accent6 3 8 2" xfId="27288"/>
    <cellStyle name="20% - Accent6 3 8 2 2" xfId="49533"/>
    <cellStyle name="20% - Accent6 3 8 3" xfId="47320"/>
    <cellStyle name="20% - Accent6 3 9" xfId="23641"/>
    <cellStyle name="20% - Accent6 4" xfId="3175"/>
    <cellStyle name="20% - Accent6 4 2" xfId="6894"/>
    <cellStyle name="20% - Accent6 4 2 2" xfId="10226"/>
    <cellStyle name="20% - Accent6 4 2 2 2" xfId="16930"/>
    <cellStyle name="20% - Accent6 4 2 2 2 2" xfId="27185"/>
    <cellStyle name="20% - Accent6 4 2 2 2 2 2" xfId="49430"/>
    <cellStyle name="20% - Accent6 4 2 2 2 3" xfId="24972"/>
    <cellStyle name="20% - Accent6 4 2 2 2 3 2" xfId="47217"/>
    <cellStyle name="20% - Accent6 4 2 2 2 4" xfId="40351"/>
    <cellStyle name="20% - Accent6 4 2 2 3" xfId="25550"/>
    <cellStyle name="20% - Accent6 4 2 2 3 2" xfId="27855"/>
    <cellStyle name="20% - Accent6 4 2 2 3 2 2" xfId="50100"/>
    <cellStyle name="20% - Accent6 4 2 2 3 3" xfId="47795"/>
    <cellStyle name="20% - Accent6 4 2 2 4" xfId="26511"/>
    <cellStyle name="20% - Accent6 4 2 2 4 2" xfId="48756"/>
    <cellStyle name="20% - Accent6 4 2 2 5" xfId="24307"/>
    <cellStyle name="20% - Accent6 4 2 2 5 2" xfId="46553"/>
    <cellStyle name="20% - Accent6 4 2 2 6" xfId="33719"/>
    <cellStyle name="20% - Accent6 4 2 3" xfId="13614"/>
    <cellStyle name="20% - Accent6 4 2 3 2" xfId="26853"/>
    <cellStyle name="20% - Accent6 4 2 3 2 2" xfId="49098"/>
    <cellStyle name="20% - Accent6 4 2 3 3" xfId="24640"/>
    <cellStyle name="20% - Accent6 4 2 3 3 2" xfId="46885"/>
    <cellStyle name="20% - Accent6 4 2 3 4" xfId="37035"/>
    <cellStyle name="20% - Accent6 4 2 4" xfId="25214"/>
    <cellStyle name="20% - Accent6 4 2 4 2" xfId="27519"/>
    <cellStyle name="20% - Accent6 4 2 4 2 2" xfId="49764"/>
    <cellStyle name="20% - Accent6 4 2 4 3" xfId="47459"/>
    <cellStyle name="20% - Accent6 4 2 5" xfId="26182"/>
    <cellStyle name="20% - Accent6 4 2 5 2" xfId="48427"/>
    <cellStyle name="20% - Accent6 4 2 6" xfId="23991"/>
    <cellStyle name="20% - Accent6 4 2 6 2" xfId="46237"/>
    <cellStyle name="20% - Accent6 4 2 7" xfId="30403"/>
    <cellStyle name="20% - Accent6 4 3" xfId="8560"/>
    <cellStyle name="20% - Accent6 4 3 2" xfId="15272"/>
    <cellStyle name="20% - Accent6 4 3 2 2" xfId="27019"/>
    <cellStyle name="20% - Accent6 4 3 2 2 2" xfId="49264"/>
    <cellStyle name="20% - Accent6 4 3 2 3" xfId="24806"/>
    <cellStyle name="20% - Accent6 4 3 2 3 2" xfId="47051"/>
    <cellStyle name="20% - Accent6 4 3 2 4" xfId="38693"/>
    <cellStyle name="20% - Accent6 4 3 3" xfId="25382"/>
    <cellStyle name="20% - Accent6 4 3 3 2" xfId="27687"/>
    <cellStyle name="20% - Accent6 4 3 3 2 2" xfId="49932"/>
    <cellStyle name="20% - Accent6 4 3 3 3" xfId="47627"/>
    <cellStyle name="20% - Accent6 4 3 4" xfId="26346"/>
    <cellStyle name="20% - Accent6 4 3 4 2" xfId="48591"/>
    <cellStyle name="20% - Accent6 4 3 5" xfId="24142"/>
    <cellStyle name="20% - Accent6 4 3 5 2" xfId="46388"/>
    <cellStyle name="20% - Accent6 4 3 6" xfId="32061"/>
    <cellStyle name="20% - Accent6 4 4" xfId="11954"/>
    <cellStyle name="20% - Accent6 4 4 2" xfId="26687"/>
    <cellStyle name="20% - Accent6 4 4 2 2" xfId="48932"/>
    <cellStyle name="20% - Accent6 4 4 3" xfId="24474"/>
    <cellStyle name="20% - Accent6 4 4 3 2" xfId="46719"/>
    <cellStyle name="20% - Accent6 4 4 4" xfId="35377"/>
    <cellStyle name="20% - Accent6 4 5" xfId="23437"/>
    <cellStyle name="20% - Accent6 4 5 2" xfId="27351"/>
    <cellStyle name="20% - Accent6 4 5 2 2" xfId="49596"/>
    <cellStyle name="20% - Accent6 4 5 3" xfId="45782"/>
    <cellStyle name="20% - Accent6 4 6" xfId="25749"/>
    <cellStyle name="20% - Accent6 4 6 2" xfId="47994"/>
    <cellStyle name="20% - Accent6 4 7" xfId="28745"/>
    <cellStyle name="20% - Accent6 5" xfId="3176"/>
    <cellStyle name="20% - Accent6 5 2" xfId="6895"/>
    <cellStyle name="20% - Accent6 5 2 2" xfId="10227"/>
    <cellStyle name="20% - Accent6 5 2 2 2" xfId="16931"/>
    <cellStyle name="20% - Accent6 5 2 2 2 2" xfId="27143"/>
    <cellStyle name="20% - Accent6 5 2 2 2 2 2" xfId="49388"/>
    <cellStyle name="20% - Accent6 5 2 2 2 3" xfId="24930"/>
    <cellStyle name="20% - Accent6 5 2 2 2 3 2" xfId="47175"/>
    <cellStyle name="20% - Accent6 5 2 2 2 4" xfId="40352"/>
    <cellStyle name="20% - Accent6 5 2 2 3" xfId="25508"/>
    <cellStyle name="20% - Accent6 5 2 2 3 2" xfId="27813"/>
    <cellStyle name="20% - Accent6 5 2 2 3 2 2" xfId="50058"/>
    <cellStyle name="20% - Accent6 5 2 2 3 3" xfId="47753"/>
    <cellStyle name="20% - Accent6 5 2 2 4" xfId="26470"/>
    <cellStyle name="20% - Accent6 5 2 2 4 2" xfId="48715"/>
    <cellStyle name="20% - Accent6 5 2 2 5" xfId="24266"/>
    <cellStyle name="20% - Accent6 5 2 2 5 2" xfId="46512"/>
    <cellStyle name="20% - Accent6 5 2 2 6" xfId="33720"/>
    <cellStyle name="20% - Accent6 5 2 3" xfId="13615"/>
    <cellStyle name="20% - Accent6 5 2 3 2" xfId="26811"/>
    <cellStyle name="20% - Accent6 5 2 3 2 2" xfId="49056"/>
    <cellStyle name="20% - Accent6 5 2 3 3" xfId="24598"/>
    <cellStyle name="20% - Accent6 5 2 3 3 2" xfId="46843"/>
    <cellStyle name="20% - Accent6 5 2 3 4" xfId="37036"/>
    <cellStyle name="20% - Accent6 5 2 4" xfId="25172"/>
    <cellStyle name="20% - Accent6 5 2 4 2" xfId="27477"/>
    <cellStyle name="20% - Accent6 5 2 4 2 2" xfId="49722"/>
    <cellStyle name="20% - Accent6 5 2 4 3" xfId="47417"/>
    <cellStyle name="20% - Accent6 5 2 5" xfId="26142"/>
    <cellStyle name="20% - Accent6 5 2 5 2" xfId="48387"/>
    <cellStyle name="20% - Accent6 5 2 6" xfId="23951"/>
    <cellStyle name="20% - Accent6 5 2 6 2" xfId="46197"/>
    <cellStyle name="20% - Accent6 5 2 7" xfId="30404"/>
    <cellStyle name="20% - Accent6 5 3" xfId="8561"/>
    <cellStyle name="20% - Accent6 5 3 2" xfId="15273"/>
    <cellStyle name="20% - Accent6 5 3 2 2" xfId="26977"/>
    <cellStyle name="20% - Accent6 5 3 2 2 2" xfId="49222"/>
    <cellStyle name="20% - Accent6 5 3 2 3" xfId="24764"/>
    <cellStyle name="20% - Accent6 5 3 2 3 2" xfId="47009"/>
    <cellStyle name="20% - Accent6 5 3 2 4" xfId="38694"/>
    <cellStyle name="20% - Accent6 5 3 3" xfId="25340"/>
    <cellStyle name="20% - Accent6 5 3 3 2" xfId="27645"/>
    <cellStyle name="20% - Accent6 5 3 3 2 2" xfId="49890"/>
    <cellStyle name="20% - Accent6 5 3 3 3" xfId="47585"/>
    <cellStyle name="20% - Accent6 5 3 4" xfId="26305"/>
    <cellStyle name="20% - Accent6 5 3 4 2" xfId="48550"/>
    <cellStyle name="20% - Accent6 5 3 5" xfId="24101"/>
    <cellStyle name="20% - Accent6 5 3 5 2" xfId="46347"/>
    <cellStyle name="20% - Accent6 5 3 6" xfId="32062"/>
    <cellStyle name="20% - Accent6 5 4" xfId="11955"/>
    <cellStyle name="20% - Accent6 5 4 2" xfId="26645"/>
    <cellStyle name="20% - Accent6 5 4 2 2" xfId="48890"/>
    <cellStyle name="20% - Accent6 5 4 3" xfId="24432"/>
    <cellStyle name="20% - Accent6 5 4 3 2" xfId="46677"/>
    <cellStyle name="20% - Accent6 5 4 4" xfId="35378"/>
    <cellStyle name="20% - Accent6 5 5" xfId="23356"/>
    <cellStyle name="20% - Accent6 5 5 2" xfId="27309"/>
    <cellStyle name="20% - Accent6 5 5 2 2" xfId="49554"/>
    <cellStyle name="20% - Accent6 5 5 3" xfId="45722"/>
    <cellStyle name="20% - Accent6 5 6" xfId="25750"/>
    <cellStyle name="20% - Accent6 5 6 2" xfId="47995"/>
    <cellStyle name="20% - Accent6 5 7" xfId="28746"/>
    <cellStyle name="20% - Accent6 6" xfId="3177"/>
    <cellStyle name="20% - Accent6 6 2" xfId="6896"/>
    <cellStyle name="20% - Accent6 6 2 2" xfId="10228"/>
    <cellStyle name="20% - Accent6 6 2 2 2" xfId="16932"/>
    <cellStyle name="20% - Accent6 6 2 2 2 2" xfId="27225"/>
    <cellStyle name="20% - Accent6 6 2 2 2 2 2" xfId="49470"/>
    <cellStyle name="20% - Accent6 6 2 2 2 3" xfId="25012"/>
    <cellStyle name="20% - Accent6 6 2 2 2 3 2" xfId="47257"/>
    <cellStyle name="20% - Accent6 6 2 2 2 4" xfId="40353"/>
    <cellStyle name="20% - Accent6 6 2 2 3" xfId="25592"/>
    <cellStyle name="20% - Accent6 6 2 2 3 2" xfId="27897"/>
    <cellStyle name="20% - Accent6 6 2 2 3 2 2" xfId="50142"/>
    <cellStyle name="20% - Accent6 6 2 2 3 3" xfId="47837"/>
    <cellStyle name="20% - Accent6 6 2 2 4" xfId="26551"/>
    <cellStyle name="20% - Accent6 6 2 2 4 2" xfId="48796"/>
    <cellStyle name="20% - Accent6 6 2 2 5" xfId="24347"/>
    <cellStyle name="20% - Accent6 6 2 2 5 2" xfId="46593"/>
    <cellStyle name="20% - Accent6 6 2 2 6" xfId="33721"/>
    <cellStyle name="20% - Accent6 6 2 3" xfId="13616"/>
    <cellStyle name="20% - Accent6 6 2 3 2" xfId="26893"/>
    <cellStyle name="20% - Accent6 6 2 3 2 2" xfId="49138"/>
    <cellStyle name="20% - Accent6 6 2 3 3" xfId="24680"/>
    <cellStyle name="20% - Accent6 6 2 3 3 2" xfId="46925"/>
    <cellStyle name="20% - Accent6 6 2 3 4" xfId="37037"/>
    <cellStyle name="20% - Accent6 6 2 4" xfId="25256"/>
    <cellStyle name="20% - Accent6 6 2 4 2" xfId="27561"/>
    <cellStyle name="20% - Accent6 6 2 4 2 2" xfId="49806"/>
    <cellStyle name="20% - Accent6 6 2 4 3" xfId="47501"/>
    <cellStyle name="20% - Accent6 6 2 5" xfId="26222"/>
    <cellStyle name="20% - Accent6 6 2 5 2" xfId="48467"/>
    <cellStyle name="20% - Accent6 6 2 6" xfId="24031"/>
    <cellStyle name="20% - Accent6 6 2 6 2" xfId="46277"/>
    <cellStyle name="20% - Accent6 6 2 7" xfId="30405"/>
    <cellStyle name="20% - Accent6 6 3" xfId="8562"/>
    <cellStyle name="20% - Accent6 6 3 2" xfId="15274"/>
    <cellStyle name="20% - Accent6 6 3 2 2" xfId="27059"/>
    <cellStyle name="20% - Accent6 6 3 2 2 2" xfId="49304"/>
    <cellStyle name="20% - Accent6 6 3 2 3" xfId="24846"/>
    <cellStyle name="20% - Accent6 6 3 2 3 2" xfId="47091"/>
    <cellStyle name="20% - Accent6 6 3 2 4" xfId="38695"/>
    <cellStyle name="20% - Accent6 6 3 3" xfId="25424"/>
    <cellStyle name="20% - Accent6 6 3 3 2" xfId="27729"/>
    <cellStyle name="20% - Accent6 6 3 3 2 2" xfId="49974"/>
    <cellStyle name="20% - Accent6 6 3 3 3" xfId="47669"/>
    <cellStyle name="20% - Accent6 6 3 4" xfId="26386"/>
    <cellStyle name="20% - Accent6 6 3 4 2" xfId="48631"/>
    <cellStyle name="20% - Accent6 6 3 5" xfId="24182"/>
    <cellStyle name="20% - Accent6 6 3 5 2" xfId="46428"/>
    <cellStyle name="20% - Accent6 6 3 6" xfId="32063"/>
    <cellStyle name="20% - Accent6 6 4" xfId="11956"/>
    <cellStyle name="20% - Accent6 6 4 2" xfId="26727"/>
    <cellStyle name="20% - Accent6 6 4 2 2" xfId="48972"/>
    <cellStyle name="20% - Accent6 6 4 3" xfId="24514"/>
    <cellStyle name="20% - Accent6 6 4 3 2" xfId="46759"/>
    <cellStyle name="20% - Accent6 6 4 4" xfId="35379"/>
    <cellStyle name="20% - Accent6 6 5" xfId="23436"/>
    <cellStyle name="20% - Accent6 6 5 2" xfId="27393"/>
    <cellStyle name="20% - Accent6 6 5 2 2" xfId="49638"/>
    <cellStyle name="20% - Accent6 6 5 3" xfId="45781"/>
    <cellStyle name="20% - Accent6 6 6" xfId="25751"/>
    <cellStyle name="20% - Accent6 6 6 2" xfId="47996"/>
    <cellStyle name="20% - Accent6 6 7" xfId="28747"/>
    <cellStyle name="20% - Accent6 7" xfId="3169"/>
    <cellStyle name="20% - Accent6 7 2" xfId="24224"/>
    <cellStyle name="20% - Accent6 7 2 2" xfId="24888"/>
    <cellStyle name="20% - Accent6 7 2 2 2" xfId="27101"/>
    <cellStyle name="20% - Accent6 7 2 2 2 2" xfId="49346"/>
    <cellStyle name="20% - Accent6 7 2 2 3" xfId="47133"/>
    <cellStyle name="20% - Accent6 7 2 3" xfId="25466"/>
    <cellStyle name="20% - Accent6 7 2 3 2" xfId="27771"/>
    <cellStyle name="20% - Accent6 7 2 3 2 2" xfId="50016"/>
    <cellStyle name="20% - Accent6 7 2 3 3" xfId="47711"/>
    <cellStyle name="20% - Accent6 7 2 4" xfId="26428"/>
    <cellStyle name="20% - Accent6 7 2 4 2" xfId="48673"/>
    <cellStyle name="20% - Accent6 7 2 5" xfId="46470"/>
    <cellStyle name="20% - Accent6 7 3" xfId="24556"/>
    <cellStyle name="20% - Accent6 7 3 2" xfId="26769"/>
    <cellStyle name="20% - Accent6 7 3 2 2" xfId="49014"/>
    <cellStyle name="20% - Accent6 7 3 3" xfId="46801"/>
    <cellStyle name="20% - Accent6 7 4" xfId="25130"/>
    <cellStyle name="20% - Accent6 7 4 2" xfId="27435"/>
    <cellStyle name="20% - Accent6 7 4 2 2" xfId="49680"/>
    <cellStyle name="20% - Accent6 7 4 3" xfId="47375"/>
    <cellStyle name="20% - Accent6 7 5" xfId="26107"/>
    <cellStyle name="20% - Accent6 7 5 2" xfId="48352"/>
    <cellStyle name="20% - Accent6 7 6" xfId="23916"/>
    <cellStyle name="20% - Accent6 7 6 2" xfId="46162"/>
    <cellStyle name="20% - Accent6 8" xfId="6109"/>
    <cellStyle name="20% - Accent6 8 2" xfId="7775"/>
    <cellStyle name="20% - Accent6 8 2 2" xfId="11104"/>
    <cellStyle name="20% - Accent6 8 2 2 2" xfId="17808"/>
    <cellStyle name="20% - Accent6 8 2 2 2 2" xfId="41229"/>
    <cellStyle name="20% - Accent6 8 2 2 3" xfId="26935"/>
    <cellStyle name="20% - Accent6 8 2 2 3 2" xfId="49180"/>
    <cellStyle name="20% - Accent6 8 2 2 4" xfId="34597"/>
    <cellStyle name="20% - Accent6 8 2 3" xfId="14492"/>
    <cellStyle name="20% - Accent6 8 2 3 2" xfId="37913"/>
    <cellStyle name="20% - Accent6 8 2 4" xfId="24722"/>
    <cellStyle name="20% - Accent6 8 2 4 2" xfId="46967"/>
    <cellStyle name="20% - Accent6 8 2 5" xfId="31281"/>
    <cellStyle name="20% - Accent6 8 3" xfId="9446"/>
    <cellStyle name="20% - Accent6 8 3 2" xfId="16150"/>
    <cellStyle name="20% - Accent6 8 3 2 2" xfId="27603"/>
    <cellStyle name="20% - Accent6 8 3 2 2 2" xfId="49848"/>
    <cellStyle name="20% - Accent6 8 3 2 3" xfId="39571"/>
    <cellStyle name="20% - Accent6 8 3 3" xfId="25298"/>
    <cellStyle name="20% - Accent6 8 3 3 2" xfId="47543"/>
    <cellStyle name="20% - Accent6 8 3 4" xfId="32939"/>
    <cellStyle name="20% - Accent6 8 4" xfId="12834"/>
    <cellStyle name="20% - Accent6 8 4 2" xfId="26263"/>
    <cellStyle name="20% - Accent6 8 4 2 2" xfId="48508"/>
    <cellStyle name="20% - Accent6 8 4 3" xfId="36255"/>
    <cellStyle name="20% - Accent6 8 5" xfId="24068"/>
    <cellStyle name="20% - Accent6 8 5 2" xfId="46314"/>
    <cellStyle name="20% - Accent6 8 6" xfId="29623"/>
    <cellStyle name="20% - Accent6 9" xfId="6856"/>
    <cellStyle name="20% - Accent6 9 2" xfId="10188"/>
    <cellStyle name="20% - Accent6 9 2 2" xfId="16892"/>
    <cellStyle name="20% - Accent6 9 2 2 2" xfId="40313"/>
    <cellStyle name="20% - Accent6 9 2 3" xfId="26592"/>
    <cellStyle name="20% - Accent6 9 2 3 2" xfId="48837"/>
    <cellStyle name="20% - Accent6 9 2 4" xfId="33681"/>
    <cellStyle name="20% - Accent6 9 3" xfId="13576"/>
    <cellStyle name="20% - Accent6 9 3 2" xfId="36997"/>
    <cellStyle name="20% - Accent6 9 4" xfId="24389"/>
    <cellStyle name="20% - Accent6 9 4 2" xfId="46634"/>
    <cellStyle name="20% - Accent6 9 5" xfId="30365"/>
    <cellStyle name="³f¹ô [0]_2311" xfId="4996"/>
    <cellStyle name="³f¹ô_2311" xfId="4997"/>
    <cellStyle name="40% - Accent1" xfId="13" builtinId="31" customBuiltin="1"/>
    <cellStyle name="40% - Accent1 2" xfId="269"/>
    <cellStyle name="40% - Accent1 2 2" xfId="270"/>
    <cellStyle name="40% - Accent1 2 3" xfId="5118"/>
    <cellStyle name="40% - Accent1 2 4" xfId="3179"/>
    <cellStyle name="40% - Accent1 3" xfId="1079"/>
    <cellStyle name="40% - Accent1 3 10" xfId="23640"/>
    <cellStyle name="40% - Accent1 3 2" xfId="3181"/>
    <cellStyle name="40% - Accent1 3 2 10" xfId="28749"/>
    <cellStyle name="40% - Accent1 3 2 2" xfId="3182"/>
    <cellStyle name="40% - Accent1 3 2 2 2" xfId="6899"/>
    <cellStyle name="40% - Accent1 3 2 2 2 2" xfId="10231"/>
    <cellStyle name="40% - Accent1 3 2 2 2 2 2" xfId="16935"/>
    <cellStyle name="40% - Accent1 3 2 2 2 2 2 2" xfId="27206"/>
    <cellStyle name="40% - Accent1 3 2 2 2 2 2 2 2" xfId="49451"/>
    <cellStyle name="40% - Accent1 3 2 2 2 2 2 3" xfId="24993"/>
    <cellStyle name="40% - Accent1 3 2 2 2 2 2 3 2" xfId="47238"/>
    <cellStyle name="40% - Accent1 3 2 2 2 2 2 4" xfId="40356"/>
    <cellStyle name="40% - Accent1 3 2 2 2 2 3" xfId="25572"/>
    <cellStyle name="40% - Accent1 3 2 2 2 2 3 2" xfId="27877"/>
    <cellStyle name="40% - Accent1 3 2 2 2 2 3 2 2" xfId="50122"/>
    <cellStyle name="40% - Accent1 3 2 2 2 2 3 3" xfId="47817"/>
    <cellStyle name="40% - Accent1 3 2 2 2 2 4" xfId="26532"/>
    <cellStyle name="40% - Accent1 3 2 2 2 2 4 2" xfId="48777"/>
    <cellStyle name="40% - Accent1 3 2 2 2 2 5" xfId="24328"/>
    <cellStyle name="40% - Accent1 3 2 2 2 2 5 2" xfId="46574"/>
    <cellStyle name="40% - Accent1 3 2 2 2 2 6" xfId="33724"/>
    <cellStyle name="40% - Accent1 3 2 2 2 3" xfId="13619"/>
    <cellStyle name="40% - Accent1 3 2 2 2 3 2" xfId="26874"/>
    <cellStyle name="40% - Accent1 3 2 2 2 3 2 2" xfId="49119"/>
    <cellStyle name="40% - Accent1 3 2 2 2 3 3" xfId="24661"/>
    <cellStyle name="40% - Accent1 3 2 2 2 3 3 2" xfId="46906"/>
    <cellStyle name="40% - Accent1 3 2 2 2 3 4" xfId="37040"/>
    <cellStyle name="40% - Accent1 3 2 2 2 4" xfId="25236"/>
    <cellStyle name="40% - Accent1 3 2 2 2 4 2" xfId="27541"/>
    <cellStyle name="40% - Accent1 3 2 2 2 4 2 2" xfId="49786"/>
    <cellStyle name="40% - Accent1 3 2 2 2 4 3" xfId="47481"/>
    <cellStyle name="40% - Accent1 3 2 2 2 5" xfId="26203"/>
    <cellStyle name="40% - Accent1 3 2 2 2 5 2" xfId="48448"/>
    <cellStyle name="40% - Accent1 3 2 2 2 6" xfId="24012"/>
    <cellStyle name="40% - Accent1 3 2 2 2 6 2" xfId="46258"/>
    <cellStyle name="40% - Accent1 3 2 2 2 7" xfId="30408"/>
    <cellStyle name="40% - Accent1 3 2 2 3" xfId="8565"/>
    <cellStyle name="40% - Accent1 3 2 2 3 2" xfId="15277"/>
    <cellStyle name="40% - Accent1 3 2 2 3 2 2" xfId="27040"/>
    <cellStyle name="40% - Accent1 3 2 2 3 2 2 2" xfId="49285"/>
    <cellStyle name="40% - Accent1 3 2 2 3 2 3" xfId="24827"/>
    <cellStyle name="40% - Accent1 3 2 2 3 2 3 2" xfId="47072"/>
    <cellStyle name="40% - Accent1 3 2 2 3 2 4" xfId="38698"/>
    <cellStyle name="40% - Accent1 3 2 2 3 3" xfId="25404"/>
    <cellStyle name="40% - Accent1 3 2 2 3 3 2" xfId="27709"/>
    <cellStyle name="40% - Accent1 3 2 2 3 3 2 2" xfId="49954"/>
    <cellStyle name="40% - Accent1 3 2 2 3 3 3" xfId="47649"/>
    <cellStyle name="40% - Accent1 3 2 2 3 4" xfId="26367"/>
    <cellStyle name="40% - Accent1 3 2 2 3 4 2" xfId="48612"/>
    <cellStyle name="40% - Accent1 3 2 2 3 5" xfId="24163"/>
    <cellStyle name="40% - Accent1 3 2 2 3 5 2" xfId="46409"/>
    <cellStyle name="40% - Accent1 3 2 2 3 6" xfId="32066"/>
    <cellStyle name="40% - Accent1 3 2 2 4" xfId="11959"/>
    <cellStyle name="40% - Accent1 3 2 2 4 2" xfId="26708"/>
    <cellStyle name="40% - Accent1 3 2 2 4 2 2" xfId="48953"/>
    <cellStyle name="40% - Accent1 3 2 2 4 3" xfId="24495"/>
    <cellStyle name="40% - Accent1 3 2 2 4 3 2" xfId="46740"/>
    <cellStyle name="40% - Accent1 3 2 2 4 4" xfId="35382"/>
    <cellStyle name="40% - Accent1 3 2 2 5" xfId="23435"/>
    <cellStyle name="40% - Accent1 3 2 2 5 2" xfId="27373"/>
    <cellStyle name="40% - Accent1 3 2 2 5 2 2" xfId="49618"/>
    <cellStyle name="40% - Accent1 3 2 2 5 3" xfId="45780"/>
    <cellStyle name="40% - Accent1 3 2 2 6" xfId="25754"/>
    <cellStyle name="40% - Accent1 3 2 2 6 2" xfId="47999"/>
    <cellStyle name="40% - Accent1 3 2 2 7" xfId="28750"/>
    <cellStyle name="40% - Accent1 3 2 3" xfId="3183"/>
    <cellStyle name="40% - Accent1 3 2 3 2" xfId="6900"/>
    <cellStyle name="40% - Accent1 3 2 3 2 2" xfId="10232"/>
    <cellStyle name="40% - Accent1 3 2 3 2 2 2" xfId="16936"/>
    <cellStyle name="40% - Accent1 3 2 3 2 2 2 2" xfId="27165"/>
    <cellStyle name="40% - Accent1 3 2 3 2 2 2 2 2" xfId="49410"/>
    <cellStyle name="40% - Accent1 3 2 3 2 2 2 3" xfId="24952"/>
    <cellStyle name="40% - Accent1 3 2 3 2 2 2 3 2" xfId="47197"/>
    <cellStyle name="40% - Accent1 3 2 3 2 2 2 4" xfId="40357"/>
    <cellStyle name="40% - Accent1 3 2 3 2 2 3" xfId="25530"/>
    <cellStyle name="40% - Accent1 3 2 3 2 2 3 2" xfId="27835"/>
    <cellStyle name="40% - Accent1 3 2 3 2 2 3 2 2" xfId="50080"/>
    <cellStyle name="40% - Accent1 3 2 3 2 2 3 3" xfId="47775"/>
    <cellStyle name="40% - Accent1 3 2 3 2 2 4" xfId="26492"/>
    <cellStyle name="40% - Accent1 3 2 3 2 2 4 2" xfId="48737"/>
    <cellStyle name="40% - Accent1 3 2 3 2 2 5" xfId="24288"/>
    <cellStyle name="40% - Accent1 3 2 3 2 2 5 2" xfId="46534"/>
    <cellStyle name="40% - Accent1 3 2 3 2 2 6" xfId="33725"/>
    <cellStyle name="40% - Accent1 3 2 3 2 3" xfId="13620"/>
    <cellStyle name="40% - Accent1 3 2 3 2 3 2" xfId="26833"/>
    <cellStyle name="40% - Accent1 3 2 3 2 3 2 2" xfId="49078"/>
    <cellStyle name="40% - Accent1 3 2 3 2 3 3" xfId="24620"/>
    <cellStyle name="40% - Accent1 3 2 3 2 3 3 2" xfId="46865"/>
    <cellStyle name="40% - Accent1 3 2 3 2 3 4" xfId="37041"/>
    <cellStyle name="40% - Accent1 3 2 3 2 4" xfId="25194"/>
    <cellStyle name="40% - Accent1 3 2 3 2 4 2" xfId="27499"/>
    <cellStyle name="40% - Accent1 3 2 3 2 4 2 2" xfId="49744"/>
    <cellStyle name="40% - Accent1 3 2 3 2 4 3" xfId="47439"/>
    <cellStyle name="40% - Accent1 3 2 3 2 5" xfId="26163"/>
    <cellStyle name="40% - Accent1 3 2 3 2 5 2" xfId="48408"/>
    <cellStyle name="40% - Accent1 3 2 3 2 6" xfId="23972"/>
    <cellStyle name="40% - Accent1 3 2 3 2 6 2" xfId="46218"/>
    <cellStyle name="40% - Accent1 3 2 3 2 7" xfId="30409"/>
    <cellStyle name="40% - Accent1 3 2 3 3" xfId="8566"/>
    <cellStyle name="40% - Accent1 3 2 3 3 2" xfId="15278"/>
    <cellStyle name="40% - Accent1 3 2 3 3 2 2" xfId="26999"/>
    <cellStyle name="40% - Accent1 3 2 3 3 2 2 2" xfId="49244"/>
    <cellStyle name="40% - Accent1 3 2 3 3 2 3" xfId="24786"/>
    <cellStyle name="40% - Accent1 3 2 3 3 2 3 2" xfId="47031"/>
    <cellStyle name="40% - Accent1 3 2 3 3 2 4" xfId="38699"/>
    <cellStyle name="40% - Accent1 3 2 3 3 3" xfId="25362"/>
    <cellStyle name="40% - Accent1 3 2 3 3 3 2" xfId="27667"/>
    <cellStyle name="40% - Accent1 3 2 3 3 3 2 2" xfId="49912"/>
    <cellStyle name="40% - Accent1 3 2 3 3 3 3" xfId="47607"/>
    <cellStyle name="40% - Accent1 3 2 3 3 4" xfId="26327"/>
    <cellStyle name="40% - Accent1 3 2 3 3 4 2" xfId="48572"/>
    <cellStyle name="40% - Accent1 3 2 3 3 5" xfId="24123"/>
    <cellStyle name="40% - Accent1 3 2 3 3 5 2" xfId="46369"/>
    <cellStyle name="40% - Accent1 3 2 3 3 6" xfId="32067"/>
    <cellStyle name="40% - Accent1 3 2 3 4" xfId="11960"/>
    <cellStyle name="40% - Accent1 3 2 3 4 2" xfId="26667"/>
    <cellStyle name="40% - Accent1 3 2 3 4 2 2" xfId="48912"/>
    <cellStyle name="40% - Accent1 3 2 3 4 3" xfId="24454"/>
    <cellStyle name="40% - Accent1 3 2 3 4 3 2" xfId="46699"/>
    <cellStyle name="40% - Accent1 3 2 3 4 4" xfId="35383"/>
    <cellStyle name="40% - Accent1 3 2 3 5" xfId="23308"/>
    <cellStyle name="40% - Accent1 3 2 3 5 2" xfId="27331"/>
    <cellStyle name="40% - Accent1 3 2 3 5 2 2" xfId="49576"/>
    <cellStyle name="40% - Accent1 3 2 3 5 3" xfId="45700"/>
    <cellStyle name="40% - Accent1 3 2 3 6" xfId="25755"/>
    <cellStyle name="40% - Accent1 3 2 3 6 2" xfId="48000"/>
    <cellStyle name="40% - Accent1 3 2 3 7" xfId="28751"/>
    <cellStyle name="40% - Accent1 3 2 4" xfId="6898"/>
    <cellStyle name="40% - Accent1 3 2 4 2" xfId="10230"/>
    <cellStyle name="40% - Accent1 3 2 4 2 2" xfId="16934"/>
    <cellStyle name="40% - Accent1 3 2 4 2 2 2" xfId="25034"/>
    <cellStyle name="40% - Accent1 3 2 4 2 2 2 2" xfId="27247"/>
    <cellStyle name="40% - Accent1 3 2 4 2 2 2 2 2" xfId="49492"/>
    <cellStyle name="40% - Accent1 3 2 4 2 2 2 3" xfId="47279"/>
    <cellStyle name="40% - Accent1 3 2 4 2 2 3" xfId="25614"/>
    <cellStyle name="40% - Accent1 3 2 4 2 2 3 2" xfId="27919"/>
    <cellStyle name="40% - Accent1 3 2 4 2 2 3 2 2" xfId="50164"/>
    <cellStyle name="40% - Accent1 3 2 4 2 2 3 3" xfId="47859"/>
    <cellStyle name="40% - Accent1 3 2 4 2 2 4" xfId="26573"/>
    <cellStyle name="40% - Accent1 3 2 4 2 2 4 2" xfId="48818"/>
    <cellStyle name="40% - Accent1 3 2 4 2 2 5" xfId="24369"/>
    <cellStyle name="40% - Accent1 3 2 4 2 2 5 2" xfId="46615"/>
    <cellStyle name="40% - Accent1 3 2 4 2 2 6" xfId="40355"/>
    <cellStyle name="40% - Accent1 3 2 4 2 3" xfId="24702"/>
    <cellStyle name="40% - Accent1 3 2 4 2 3 2" xfId="26915"/>
    <cellStyle name="40% - Accent1 3 2 4 2 3 2 2" xfId="49160"/>
    <cellStyle name="40% - Accent1 3 2 4 2 3 3" xfId="46947"/>
    <cellStyle name="40% - Accent1 3 2 4 2 4" xfId="25278"/>
    <cellStyle name="40% - Accent1 3 2 4 2 4 2" xfId="27583"/>
    <cellStyle name="40% - Accent1 3 2 4 2 4 2 2" xfId="49828"/>
    <cellStyle name="40% - Accent1 3 2 4 2 4 3" xfId="47523"/>
    <cellStyle name="40% - Accent1 3 2 4 2 5" xfId="26244"/>
    <cellStyle name="40% - Accent1 3 2 4 2 5 2" xfId="48489"/>
    <cellStyle name="40% - Accent1 3 2 4 2 6" xfId="24053"/>
    <cellStyle name="40% - Accent1 3 2 4 2 6 2" xfId="46299"/>
    <cellStyle name="40% - Accent1 3 2 4 2 7" xfId="33723"/>
    <cellStyle name="40% - Accent1 3 2 4 3" xfId="13618"/>
    <cellStyle name="40% - Accent1 3 2 4 3 2" xfId="24868"/>
    <cellStyle name="40% - Accent1 3 2 4 3 2 2" xfId="27081"/>
    <cellStyle name="40% - Accent1 3 2 4 3 2 2 2" xfId="49326"/>
    <cellStyle name="40% - Accent1 3 2 4 3 2 3" xfId="47113"/>
    <cellStyle name="40% - Accent1 3 2 4 3 3" xfId="25446"/>
    <cellStyle name="40% - Accent1 3 2 4 3 3 2" xfId="27751"/>
    <cellStyle name="40% - Accent1 3 2 4 3 3 2 2" xfId="49996"/>
    <cellStyle name="40% - Accent1 3 2 4 3 3 3" xfId="47691"/>
    <cellStyle name="40% - Accent1 3 2 4 3 4" xfId="26408"/>
    <cellStyle name="40% - Accent1 3 2 4 3 4 2" xfId="48653"/>
    <cellStyle name="40% - Accent1 3 2 4 3 5" xfId="24204"/>
    <cellStyle name="40% - Accent1 3 2 4 3 5 2" xfId="46450"/>
    <cellStyle name="40% - Accent1 3 2 4 3 6" xfId="37039"/>
    <cellStyle name="40% - Accent1 3 2 4 4" xfId="24536"/>
    <cellStyle name="40% - Accent1 3 2 4 4 2" xfId="26749"/>
    <cellStyle name="40% - Accent1 3 2 4 4 2 2" xfId="48994"/>
    <cellStyle name="40% - Accent1 3 2 4 4 3" xfId="46781"/>
    <cellStyle name="40% - Accent1 3 2 4 5" xfId="25110"/>
    <cellStyle name="40% - Accent1 3 2 4 5 2" xfId="27415"/>
    <cellStyle name="40% - Accent1 3 2 4 5 2 2" xfId="49660"/>
    <cellStyle name="40% - Accent1 3 2 4 5 3" xfId="47355"/>
    <cellStyle name="40% - Accent1 3 2 4 6" xfId="26091"/>
    <cellStyle name="40% - Accent1 3 2 4 6 2" xfId="48336"/>
    <cellStyle name="40% - Accent1 3 2 4 7" xfId="23900"/>
    <cellStyle name="40% - Accent1 3 2 4 7 2" xfId="46146"/>
    <cellStyle name="40% - Accent1 3 2 4 8" xfId="30407"/>
    <cellStyle name="40% - Accent1 3 2 5" xfId="8564"/>
    <cellStyle name="40% - Accent1 3 2 5 2" xfId="15276"/>
    <cellStyle name="40% - Accent1 3 2 5 2 2" xfId="24910"/>
    <cellStyle name="40% - Accent1 3 2 5 2 2 2" xfId="27123"/>
    <cellStyle name="40% - Accent1 3 2 5 2 2 2 2" xfId="49368"/>
    <cellStyle name="40% - Accent1 3 2 5 2 2 3" xfId="47155"/>
    <cellStyle name="40% - Accent1 3 2 5 2 3" xfId="25488"/>
    <cellStyle name="40% - Accent1 3 2 5 2 3 2" xfId="27793"/>
    <cellStyle name="40% - Accent1 3 2 5 2 3 2 2" xfId="50038"/>
    <cellStyle name="40% - Accent1 3 2 5 2 3 3" xfId="47733"/>
    <cellStyle name="40% - Accent1 3 2 5 2 4" xfId="26450"/>
    <cellStyle name="40% - Accent1 3 2 5 2 4 2" xfId="48695"/>
    <cellStyle name="40% - Accent1 3 2 5 2 5" xfId="24246"/>
    <cellStyle name="40% - Accent1 3 2 5 2 5 2" xfId="46492"/>
    <cellStyle name="40% - Accent1 3 2 5 2 6" xfId="38697"/>
    <cellStyle name="40% - Accent1 3 2 5 3" xfId="24578"/>
    <cellStyle name="40% - Accent1 3 2 5 3 2" xfId="26791"/>
    <cellStyle name="40% - Accent1 3 2 5 3 2 2" xfId="49036"/>
    <cellStyle name="40% - Accent1 3 2 5 3 3" xfId="46823"/>
    <cellStyle name="40% - Accent1 3 2 5 4" xfId="25152"/>
    <cellStyle name="40% - Accent1 3 2 5 4 2" xfId="27457"/>
    <cellStyle name="40% - Accent1 3 2 5 4 2 2" xfId="49702"/>
    <cellStyle name="40% - Accent1 3 2 5 4 3" xfId="47397"/>
    <cellStyle name="40% - Accent1 3 2 5 5" xfId="26123"/>
    <cellStyle name="40% - Accent1 3 2 5 5 2" xfId="48368"/>
    <cellStyle name="40% - Accent1 3 2 5 6" xfId="23932"/>
    <cellStyle name="40% - Accent1 3 2 5 6 2" xfId="46178"/>
    <cellStyle name="40% - Accent1 3 2 5 7" xfId="32065"/>
    <cellStyle name="40% - Accent1 3 2 6" xfId="11958"/>
    <cellStyle name="40% - Accent1 3 2 6 2" xfId="24744"/>
    <cellStyle name="40% - Accent1 3 2 6 2 2" xfId="26957"/>
    <cellStyle name="40% - Accent1 3 2 6 2 2 2" xfId="49202"/>
    <cellStyle name="40% - Accent1 3 2 6 2 3" xfId="46989"/>
    <cellStyle name="40% - Accent1 3 2 6 3" xfId="25320"/>
    <cellStyle name="40% - Accent1 3 2 6 3 2" xfId="27625"/>
    <cellStyle name="40% - Accent1 3 2 6 3 2 2" xfId="49870"/>
    <cellStyle name="40% - Accent1 3 2 6 3 3" xfId="47565"/>
    <cellStyle name="40% - Accent1 3 2 6 4" xfId="26285"/>
    <cellStyle name="40% - Accent1 3 2 6 4 2" xfId="48530"/>
    <cellStyle name="40% - Accent1 3 2 6 5" xfId="24081"/>
    <cellStyle name="40% - Accent1 3 2 6 5 2" xfId="46327"/>
    <cellStyle name="40% - Accent1 3 2 6 6" xfId="35381"/>
    <cellStyle name="40% - Accent1 3 2 7" xfId="23338"/>
    <cellStyle name="40% - Accent1 3 2 7 2" xfId="26625"/>
    <cellStyle name="40% - Accent1 3 2 7 2 2" xfId="48870"/>
    <cellStyle name="40% - Accent1 3 2 7 3" xfId="45709"/>
    <cellStyle name="40% - Accent1 3 2 8" xfId="25076"/>
    <cellStyle name="40% - Accent1 3 2 8 2" xfId="27289"/>
    <cellStyle name="40% - Accent1 3 2 8 2 2" xfId="49534"/>
    <cellStyle name="40% - Accent1 3 2 8 3" xfId="47321"/>
    <cellStyle name="40% - Accent1 3 2 9" xfId="25753"/>
    <cellStyle name="40% - Accent1 3 2 9 2" xfId="47998"/>
    <cellStyle name="40% - Accent1 3 3" xfId="3184"/>
    <cellStyle name="40% - Accent1 3 3 2" xfId="6901"/>
    <cellStyle name="40% - Accent1 3 3 2 2" xfId="10233"/>
    <cellStyle name="40% - Accent1 3 3 2 2 2" xfId="16937"/>
    <cellStyle name="40% - Accent1 3 3 2 2 2 2" xfId="27186"/>
    <cellStyle name="40% - Accent1 3 3 2 2 2 2 2" xfId="49431"/>
    <cellStyle name="40% - Accent1 3 3 2 2 2 3" xfId="24973"/>
    <cellStyle name="40% - Accent1 3 3 2 2 2 3 2" xfId="47218"/>
    <cellStyle name="40% - Accent1 3 3 2 2 2 4" xfId="40358"/>
    <cellStyle name="40% - Accent1 3 3 2 2 3" xfId="25551"/>
    <cellStyle name="40% - Accent1 3 3 2 2 3 2" xfId="27856"/>
    <cellStyle name="40% - Accent1 3 3 2 2 3 2 2" xfId="50101"/>
    <cellStyle name="40% - Accent1 3 3 2 2 3 3" xfId="47796"/>
    <cellStyle name="40% - Accent1 3 3 2 2 4" xfId="26512"/>
    <cellStyle name="40% - Accent1 3 3 2 2 4 2" xfId="48757"/>
    <cellStyle name="40% - Accent1 3 3 2 2 5" xfId="24308"/>
    <cellStyle name="40% - Accent1 3 3 2 2 5 2" xfId="46554"/>
    <cellStyle name="40% - Accent1 3 3 2 2 6" xfId="33726"/>
    <cellStyle name="40% - Accent1 3 3 2 3" xfId="13621"/>
    <cellStyle name="40% - Accent1 3 3 2 3 2" xfId="26854"/>
    <cellStyle name="40% - Accent1 3 3 2 3 2 2" xfId="49099"/>
    <cellStyle name="40% - Accent1 3 3 2 3 3" xfId="24641"/>
    <cellStyle name="40% - Accent1 3 3 2 3 3 2" xfId="46886"/>
    <cellStyle name="40% - Accent1 3 3 2 3 4" xfId="37042"/>
    <cellStyle name="40% - Accent1 3 3 2 4" xfId="25215"/>
    <cellStyle name="40% - Accent1 3 3 2 4 2" xfId="27520"/>
    <cellStyle name="40% - Accent1 3 3 2 4 2 2" xfId="49765"/>
    <cellStyle name="40% - Accent1 3 3 2 4 3" xfId="47460"/>
    <cellStyle name="40% - Accent1 3 3 2 5" xfId="26183"/>
    <cellStyle name="40% - Accent1 3 3 2 5 2" xfId="48428"/>
    <cellStyle name="40% - Accent1 3 3 2 6" xfId="23992"/>
    <cellStyle name="40% - Accent1 3 3 2 6 2" xfId="46238"/>
    <cellStyle name="40% - Accent1 3 3 2 7" xfId="30410"/>
    <cellStyle name="40% - Accent1 3 3 3" xfId="8567"/>
    <cellStyle name="40% - Accent1 3 3 3 2" xfId="15279"/>
    <cellStyle name="40% - Accent1 3 3 3 2 2" xfId="27020"/>
    <cellStyle name="40% - Accent1 3 3 3 2 2 2" xfId="49265"/>
    <cellStyle name="40% - Accent1 3 3 3 2 3" xfId="24807"/>
    <cellStyle name="40% - Accent1 3 3 3 2 3 2" xfId="47052"/>
    <cellStyle name="40% - Accent1 3 3 3 2 4" xfId="38700"/>
    <cellStyle name="40% - Accent1 3 3 3 3" xfId="25383"/>
    <cellStyle name="40% - Accent1 3 3 3 3 2" xfId="27688"/>
    <cellStyle name="40% - Accent1 3 3 3 3 2 2" xfId="49933"/>
    <cellStyle name="40% - Accent1 3 3 3 3 3" xfId="47628"/>
    <cellStyle name="40% - Accent1 3 3 3 4" xfId="26347"/>
    <cellStyle name="40% - Accent1 3 3 3 4 2" xfId="48592"/>
    <cellStyle name="40% - Accent1 3 3 3 5" xfId="24143"/>
    <cellStyle name="40% - Accent1 3 3 3 5 2" xfId="46389"/>
    <cellStyle name="40% - Accent1 3 3 3 6" xfId="32068"/>
    <cellStyle name="40% - Accent1 3 3 4" xfId="11961"/>
    <cellStyle name="40% - Accent1 3 3 4 2" xfId="26688"/>
    <cellStyle name="40% - Accent1 3 3 4 2 2" xfId="48933"/>
    <cellStyle name="40% - Accent1 3 3 4 3" xfId="24475"/>
    <cellStyle name="40% - Accent1 3 3 4 3 2" xfId="46720"/>
    <cellStyle name="40% - Accent1 3 3 4 4" xfId="35384"/>
    <cellStyle name="40% - Accent1 3 3 5" xfId="23434"/>
    <cellStyle name="40% - Accent1 3 3 5 2" xfId="27352"/>
    <cellStyle name="40% - Accent1 3 3 5 2 2" xfId="49597"/>
    <cellStyle name="40% - Accent1 3 3 5 3" xfId="45779"/>
    <cellStyle name="40% - Accent1 3 3 6" xfId="25756"/>
    <cellStyle name="40% - Accent1 3 3 6 2" xfId="48001"/>
    <cellStyle name="40% - Accent1 3 3 7" xfId="28752"/>
    <cellStyle name="40% - Accent1 3 4" xfId="3185"/>
    <cellStyle name="40% - Accent1 3 4 2" xfId="6902"/>
    <cellStyle name="40% - Accent1 3 4 2 2" xfId="10234"/>
    <cellStyle name="40% - Accent1 3 4 2 2 2" xfId="16938"/>
    <cellStyle name="40% - Accent1 3 4 2 2 2 2" xfId="27144"/>
    <cellStyle name="40% - Accent1 3 4 2 2 2 2 2" xfId="49389"/>
    <cellStyle name="40% - Accent1 3 4 2 2 2 3" xfId="24931"/>
    <cellStyle name="40% - Accent1 3 4 2 2 2 3 2" xfId="47176"/>
    <cellStyle name="40% - Accent1 3 4 2 2 2 4" xfId="40359"/>
    <cellStyle name="40% - Accent1 3 4 2 2 3" xfId="25509"/>
    <cellStyle name="40% - Accent1 3 4 2 2 3 2" xfId="27814"/>
    <cellStyle name="40% - Accent1 3 4 2 2 3 2 2" xfId="50059"/>
    <cellStyle name="40% - Accent1 3 4 2 2 3 3" xfId="47754"/>
    <cellStyle name="40% - Accent1 3 4 2 2 4" xfId="26471"/>
    <cellStyle name="40% - Accent1 3 4 2 2 4 2" xfId="48716"/>
    <cellStyle name="40% - Accent1 3 4 2 2 5" xfId="24267"/>
    <cellStyle name="40% - Accent1 3 4 2 2 5 2" xfId="46513"/>
    <cellStyle name="40% - Accent1 3 4 2 2 6" xfId="33727"/>
    <cellStyle name="40% - Accent1 3 4 2 3" xfId="13622"/>
    <cellStyle name="40% - Accent1 3 4 2 3 2" xfId="26812"/>
    <cellStyle name="40% - Accent1 3 4 2 3 2 2" xfId="49057"/>
    <cellStyle name="40% - Accent1 3 4 2 3 3" xfId="24599"/>
    <cellStyle name="40% - Accent1 3 4 2 3 3 2" xfId="46844"/>
    <cellStyle name="40% - Accent1 3 4 2 3 4" xfId="37043"/>
    <cellStyle name="40% - Accent1 3 4 2 4" xfId="25173"/>
    <cellStyle name="40% - Accent1 3 4 2 4 2" xfId="27478"/>
    <cellStyle name="40% - Accent1 3 4 2 4 2 2" xfId="49723"/>
    <cellStyle name="40% - Accent1 3 4 2 4 3" xfId="47418"/>
    <cellStyle name="40% - Accent1 3 4 2 5" xfId="26143"/>
    <cellStyle name="40% - Accent1 3 4 2 5 2" xfId="48388"/>
    <cellStyle name="40% - Accent1 3 4 2 6" xfId="23952"/>
    <cellStyle name="40% - Accent1 3 4 2 6 2" xfId="46198"/>
    <cellStyle name="40% - Accent1 3 4 2 7" xfId="30411"/>
    <cellStyle name="40% - Accent1 3 4 3" xfId="8568"/>
    <cellStyle name="40% - Accent1 3 4 3 2" xfId="15280"/>
    <cellStyle name="40% - Accent1 3 4 3 2 2" xfId="26978"/>
    <cellStyle name="40% - Accent1 3 4 3 2 2 2" xfId="49223"/>
    <cellStyle name="40% - Accent1 3 4 3 2 3" xfId="24765"/>
    <cellStyle name="40% - Accent1 3 4 3 2 3 2" xfId="47010"/>
    <cellStyle name="40% - Accent1 3 4 3 2 4" xfId="38701"/>
    <cellStyle name="40% - Accent1 3 4 3 3" xfId="25341"/>
    <cellStyle name="40% - Accent1 3 4 3 3 2" xfId="27646"/>
    <cellStyle name="40% - Accent1 3 4 3 3 2 2" xfId="49891"/>
    <cellStyle name="40% - Accent1 3 4 3 3 3" xfId="47586"/>
    <cellStyle name="40% - Accent1 3 4 3 4" xfId="26306"/>
    <cellStyle name="40% - Accent1 3 4 3 4 2" xfId="48551"/>
    <cellStyle name="40% - Accent1 3 4 3 5" xfId="24102"/>
    <cellStyle name="40% - Accent1 3 4 3 5 2" xfId="46348"/>
    <cellStyle name="40% - Accent1 3 4 3 6" xfId="32069"/>
    <cellStyle name="40% - Accent1 3 4 4" xfId="11962"/>
    <cellStyle name="40% - Accent1 3 4 4 2" xfId="26646"/>
    <cellStyle name="40% - Accent1 3 4 4 2 2" xfId="48891"/>
    <cellStyle name="40% - Accent1 3 4 4 3" xfId="24433"/>
    <cellStyle name="40% - Accent1 3 4 4 3 2" xfId="46678"/>
    <cellStyle name="40% - Accent1 3 4 4 4" xfId="35385"/>
    <cellStyle name="40% - Accent1 3 4 5" xfId="23433"/>
    <cellStyle name="40% - Accent1 3 4 5 2" xfId="27310"/>
    <cellStyle name="40% - Accent1 3 4 5 2 2" xfId="49555"/>
    <cellStyle name="40% - Accent1 3 4 5 3" xfId="45778"/>
    <cellStyle name="40% - Accent1 3 4 6" xfId="25757"/>
    <cellStyle name="40% - Accent1 3 4 6 2" xfId="48002"/>
    <cellStyle name="40% - Accent1 3 4 7" xfId="28753"/>
    <cellStyle name="40% - Accent1 3 5" xfId="3186"/>
    <cellStyle name="40% - Accent1 3 5 2" xfId="24032"/>
    <cellStyle name="40% - Accent1 3 5 2 2" xfId="24348"/>
    <cellStyle name="40% - Accent1 3 5 2 2 2" xfId="25013"/>
    <cellStyle name="40% - Accent1 3 5 2 2 2 2" xfId="27226"/>
    <cellStyle name="40% - Accent1 3 5 2 2 2 2 2" xfId="49471"/>
    <cellStyle name="40% - Accent1 3 5 2 2 2 3" xfId="47258"/>
    <cellStyle name="40% - Accent1 3 5 2 2 3" xfId="25593"/>
    <cellStyle name="40% - Accent1 3 5 2 2 3 2" xfId="27898"/>
    <cellStyle name="40% - Accent1 3 5 2 2 3 2 2" xfId="50143"/>
    <cellStyle name="40% - Accent1 3 5 2 2 3 3" xfId="47838"/>
    <cellStyle name="40% - Accent1 3 5 2 2 4" xfId="26552"/>
    <cellStyle name="40% - Accent1 3 5 2 2 4 2" xfId="48797"/>
    <cellStyle name="40% - Accent1 3 5 2 2 5" xfId="46594"/>
    <cellStyle name="40% - Accent1 3 5 2 3" xfId="24681"/>
    <cellStyle name="40% - Accent1 3 5 2 3 2" xfId="26894"/>
    <cellStyle name="40% - Accent1 3 5 2 3 2 2" xfId="49139"/>
    <cellStyle name="40% - Accent1 3 5 2 3 3" xfId="46926"/>
    <cellStyle name="40% - Accent1 3 5 2 4" xfId="25257"/>
    <cellStyle name="40% - Accent1 3 5 2 4 2" xfId="27562"/>
    <cellStyle name="40% - Accent1 3 5 2 4 2 2" xfId="49807"/>
    <cellStyle name="40% - Accent1 3 5 2 4 3" xfId="47502"/>
    <cellStyle name="40% - Accent1 3 5 2 5" xfId="26223"/>
    <cellStyle name="40% - Accent1 3 5 2 5 2" xfId="48468"/>
    <cellStyle name="40% - Accent1 3 5 2 6" xfId="46278"/>
    <cellStyle name="40% - Accent1 3 5 3" xfId="24183"/>
    <cellStyle name="40% - Accent1 3 5 3 2" xfId="24847"/>
    <cellStyle name="40% - Accent1 3 5 3 2 2" xfId="27060"/>
    <cellStyle name="40% - Accent1 3 5 3 2 2 2" xfId="49305"/>
    <cellStyle name="40% - Accent1 3 5 3 2 3" xfId="47092"/>
    <cellStyle name="40% - Accent1 3 5 3 3" xfId="25425"/>
    <cellStyle name="40% - Accent1 3 5 3 3 2" xfId="27730"/>
    <cellStyle name="40% - Accent1 3 5 3 3 2 2" xfId="49975"/>
    <cellStyle name="40% - Accent1 3 5 3 3 3" xfId="47670"/>
    <cellStyle name="40% - Accent1 3 5 3 4" xfId="26387"/>
    <cellStyle name="40% - Accent1 3 5 3 4 2" xfId="48632"/>
    <cellStyle name="40% - Accent1 3 5 3 5" xfId="46429"/>
    <cellStyle name="40% - Accent1 3 5 4" xfId="24515"/>
    <cellStyle name="40% - Accent1 3 5 4 2" xfId="26728"/>
    <cellStyle name="40% - Accent1 3 5 4 2 2" xfId="48973"/>
    <cellStyle name="40% - Accent1 3 5 4 3" xfId="46760"/>
    <cellStyle name="40% - Accent1 3 5 5" xfId="25095"/>
    <cellStyle name="40% - Accent1 3 5 5 2" xfId="27394"/>
    <cellStyle name="40% - Accent1 3 5 5 2 2" xfId="49639"/>
    <cellStyle name="40% - Accent1 3 5 5 3" xfId="47340"/>
    <cellStyle name="40% - Accent1 3 5 6" xfId="23885"/>
    <cellStyle name="40% - Accent1 3 5 6 2" xfId="26076"/>
    <cellStyle name="40% - Accent1 3 5 6 2 2" xfId="48321"/>
    <cellStyle name="40% - Accent1 3 5 6 3" xfId="46131"/>
    <cellStyle name="40% - Accent1 3 6" xfId="3180"/>
    <cellStyle name="40% - Accent1 3 6 2" xfId="6897"/>
    <cellStyle name="40% - Accent1 3 6 2 2" xfId="10229"/>
    <cellStyle name="40% - Accent1 3 6 2 2 2" xfId="16933"/>
    <cellStyle name="40% - Accent1 3 6 2 2 2 2" xfId="27102"/>
    <cellStyle name="40% - Accent1 3 6 2 2 2 2 2" xfId="49347"/>
    <cellStyle name="40% - Accent1 3 6 2 2 2 3" xfId="40354"/>
    <cellStyle name="40% - Accent1 3 6 2 2 3" xfId="24889"/>
    <cellStyle name="40% - Accent1 3 6 2 2 3 2" xfId="47134"/>
    <cellStyle name="40% - Accent1 3 6 2 2 4" xfId="33722"/>
    <cellStyle name="40% - Accent1 3 6 2 3" xfId="13617"/>
    <cellStyle name="40% - Accent1 3 6 2 3 2" xfId="27772"/>
    <cellStyle name="40% - Accent1 3 6 2 3 2 2" xfId="50017"/>
    <cellStyle name="40% - Accent1 3 6 2 3 3" xfId="25467"/>
    <cellStyle name="40% - Accent1 3 6 2 3 3 2" xfId="47712"/>
    <cellStyle name="40% - Accent1 3 6 2 3 4" xfId="37038"/>
    <cellStyle name="40% - Accent1 3 6 2 4" xfId="26429"/>
    <cellStyle name="40% - Accent1 3 6 2 4 2" xfId="48674"/>
    <cellStyle name="40% - Accent1 3 6 2 5" xfId="24225"/>
    <cellStyle name="40% - Accent1 3 6 2 5 2" xfId="46471"/>
    <cellStyle name="40% - Accent1 3 6 2 6" xfId="30406"/>
    <cellStyle name="40% - Accent1 3 6 3" xfId="8563"/>
    <cellStyle name="40% - Accent1 3 6 3 2" xfId="15275"/>
    <cellStyle name="40% - Accent1 3 6 3 2 2" xfId="26770"/>
    <cellStyle name="40% - Accent1 3 6 3 2 2 2" xfId="49015"/>
    <cellStyle name="40% - Accent1 3 6 3 2 3" xfId="38696"/>
    <cellStyle name="40% - Accent1 3 6 3 3" xfId="24557"/>
    <cellStyle name="40% - Accent1 3 6 3 3 2" xfId="46802"/>
    <cellStyle name="40% - Accent1 3 6 3 4" xfId="32064"/>
    <cellStyle name="40% - Accent1 3 6 4" xfId="11957"/>
    <cellStyle name="40% - Accent1 3 6 4 2" xfId="27436"/>
    <cellStyle name="40% - Accent1 3 6 4 2 2" xfId="49681"/>
    <cellStyle name="40% - Accent1 3 6 4 3" xfId="25131"/>
    <cellStyle name="40% - Accent1 3 6 4 3 2" xfId="47376"/>
    <cellStyle name="40% - Accent1 3 6 4 4" xfId="35380"/>
    <cellStyle name="40% - Accent1 3 6 5" xfId="25752"/>
    <cellStyle name="40% - Accent1 3 6 5 2" xfId="47997"/>
    <cellStyle name="40% - Accent1 3 6 6" xfId="23405"/>
    <cellStyle name="40% - Accent1 3 6 6 2" xfId="45750"/>
    <cellStyle name="40% - Accent1 3 6 7" xfId="28748"/>
    <cellStyle name="40% - Accent1 3 7" xfId="23429"/>
    <cellStyle name="40% - Accent1 3 7 2" xfId="24723"/>
    <cellStyle name="40% - Accent1 3 7 2 2" xfId="26936"/>
    <cellStyle name="40% - Accent1 3 7 2 2 2" xfId="49181"/>
    <cellStyle name="40% - Accent1 3 7 2 3" xfId="46968"/>
    <cellStyle name="40% - Accent1 3 7 3" xfId="25299"/>
    <cellStyle name="40% - Accent1 3 7 3 2" xfId="27604"/>
    <cellStyle name="40% - Accent1 3 7 3 2 2" xfId="49849"/>
    <cellStyle name="40% - Accent1 3 7 3 3" xfId="47544"/>
    <cellStyle name="40% - Accent1 3 7 4" xfId="26264"/>
    <cellStyle name="40% - Accent1 3 7 4 2" xfId="48509"/>
    <cellStyle name="40% - Accent1 3 7 5" xfId="45774"/>
    <cellStyle name="40% - Accent1 3 8" xfId="24401"/>
    <cellStyle name="40% - Accent1 3 8 2" xfId="26604"/>
    <cellStyle name="40% - Accent1 3 8 2 2" xfId="48849"/>
    <cellStyle name="40% - Accent1 3 8 3" xfId="46646"/>
    <cellStyle name="40% - Accent1 3 9" xfId="25055"/>
    <cellStyle name="40% - Accent1 3 9 2" xfId="27268"/>
    <cellStyle name="40% - Accent1 3 9 2 2" xfId="49513"/>
    <cellStyle name="40% - Accent1 3 9 3" xfId="47300"/>
    <cellStyle name="40% - Accent1 4" xfId="3178"/>
    <cellStyle name="40% - Accent1 4 2" xfId="25705"/>
    <cellStyle name="40% - Accent1 4 2 2" xfId="47950"/>
    <cellStyle name="40% - Accent1 5" xfId="7763"/>
    <cellStyle name="40% - Accent1 5 2" xfId="11092"/>
    <cellStyle name="40% - Accent1 5 2 2" xfId="17796"/>
    <cellStyle name="40% - Accent1 5 2 2 2" xfId="41217"/>
    <cellStyle name="40% - Accent1 5 2 3" xfId="34585"/>
    <cellStyle name="40% - Accent1 5 3" xfId="14480"/>
    <cellStyle name="40% - Accent1 5 3 2" xfId="37901"/>
    <cellStyle name="40% - Accent1 5 4" xfId="31269"/>
    <cellStyle name="40% - Accent1 6" xfId="9434"/>
    <cellStyle name="40% - Accent1 6 2" xfId="16138"/>
    <cellStyle name="40% - Accent1 6 2 2" xfId="39559"/>
    <cellStyle name="40% - Accent1 6 3" xfId="32927"/>
    <cellStyle name="40% - Accent1 7" xfId="12822"/>
    <cellStyle name="40% - Accent1 7 2" xfId="36243"/>
    <cellStyle name="40% - Accent1 8" xfId="23836"/>
    <cellStyle name="40% - Accent1 8 2" xfId="46102"/>
    <cellStyle name="40% - Accent1 9" xfId="6087"/>
    <cellStyle name="40% - Accent1 9 2" xfId="29611"/>
    <cellStyle name="40% - Accent2" xfId="14" builtinId="35" customBuiltin="1"/>
    <cellStyle name="40% - Accent2 2" xfId="271"/>
    <cellStyle name="40% - Accent2 2 2" xfId="272"/>
    <cellStyle name="40% - Accent2 3" xfId="1080"/>
    <cellStyle name="40% - Accent2 3 10" xfId="25758"/>
    <cellStyle name="40% - Accent2 3 10 2" xfId="48003"/>
    <cellStyle name="40% - Accent2 3 2" xfId="3189"/>
    <cellStyle name="40% - Accent2 3 2 10" xfId="28755"/>
    <cellStyle name="40% - Accent2 3 2 2" xfId="3190"/>
    <cellStyle name="40% - Accent2 3 2 2 2" xfId="6905"/>
    <cellStyle name="40% - Accent2 3 2 2 2 2" xfId="10237"/>
    <cellStyle name="40% - Accent2 3 2 2 2 2 2" xfId="16941"/>
    <cellStyle name="40% - Accent2 3 2 2 2 2 2 2" xfId="27207"/>
    <cellStyle name="40% - Accent2 3 2 2 2 2 2 2 2" xfId="49452"/>
    <cellStyle name="40% - Accent2 3 2 2 2 2 2 3" xfId="24994"/>
    <cellStyle name="40% - Accent2 3 2 2 2 2 2 3 2" xfId="47239"/>
    <cellStyle name="40% - Accent2 3 2 2 2 2 2 4" xfId="40362"/>
    <cellStyle name="40% - Accent2 3 2 2 2 2 3" xfId="25573"/>
    <cellStyle name="40% - Accent2 3 2 2 2 2 3 2" xfId="27878"/>
    <cellStyle name="40% - Accent2 3 2 2 2 2 3 2 2" xfId="50123"/>
    <cellStyle name="40% - Accent2 3 2 2 2 2 3 3" xfId="47818"/>
    <cellStyle name="40% - Accent2 3 2 2 2 2 4" xfId="26533"/>
    <cellStyle name="40% - Accent2 3 2 2 2 2 4 2" xfId="48778"/>
    <cellStyle name="40% - Accent2 3 2 2 2 2 5" xfId="24329"/>
    <cellStyle name="40% - Accent2 3 2 2 2 2 5 2" xfId="46575"/>
    <cellStyle name="40% - Accent2 3 2 2 2 2 6" xfId="33730"/>
    <cellStyle name="40% - Accent2 3 2 2 2 3" xfId="13625"/>
    <cellStyle name="40% - Accent2 3 2 2 2 3 2" xfId="26875"/>
    <cellStyle name="40% - Accent2 3 2 2 2 3 2 2" xfId="49120"/>
    <cellStyle name="40% - Accent2 3 2 2 2 3 3" xfId="24662"/>
    <cellStyle name="40% - Accent2 3 2 2 2 3 3 2" xfId="46907"/>
    <cellStyle name="40% - Accent2 3 2 2 2 3 4" xfId="37046"/>
    <cellStyle name="40% - Accent2 3 2 2 2 4" xfId="25237"/>
    <cellStyle name="40% - Accent2 3 2 2 2 4 2" xfId="27542"/>
    <cellStyle name="40% - Accent2 3 2 2 2 4 2 2" xfId="49787"/>
    <cellStyle name="40% - Accent2 3 2 2 2 4 3" xfId="47482"/>
    <cellStyle name="40% - Accent2 3 2 2 2 5" xfId="26204"/>
    <cellStyle name="40% - Accent2 3 2 2 2 5 2" xfId="48449"/>
    <cellStyle name="40% - Accent2 3 2 2 2 6" xfId="24013"/>
    <cellStyle name="40% - Accent2 3 2 2 2 6 2" xfId="46259"/>
    <cellStyle name="40% - Accent2 3 2 2 2 7" xfId="30414"/>
    <cellStyle name="40% - Accent2 3 2 2 3" xfId="8571"/>
    <cellStyle name="40% - Accent2 3 2 2 3 2" xfId="15283"/>
    <cellStyle name="40% - Accent2 3 2 2 3 2 2" xfId="27041"/>
    <cellStyle name="40% - Accent2 3 2 2 3 2 2 2" xfId="49286"/>
    <cellStyle name="40% - Accent2 3 2 2 3 2 3" xfId="24828"/>
    <cellStyle name="40% - Accent2 3 2 2 3 2 3 2" xfId="47073"/>
    <cellStyle name="40% - Accent2 3 2 2 3 2 4" xfId="38704"/>
    <cellStyle name="40% - Accent2 3 2 2 3 3" xfId="25405"/>
    <cellStyle name="40% - Accent2 3 2 2 3 3 2" xfId="27710"/>
    <cellStyle name="40% - Accent2 3 2 2 3 3 2 2" xfId="49955"/>
    <cellStyle name="40% - Accent2 3 2 2 3 3 3" xfId="47650"/>
    <cellStyle name="40% - Accent2 3 2 2 3 4" xfId="26368"/>
    <cellStyle name="40% - Accent2 3 2 2 3 4 2" xfId="48613"/>
    <cellStyle name="40% - Accent2 3 2 2 3 5" xfId="24164"/>
    <cellStyle name="40% - Accent2 3 2 2 3 5 2" xfId="46410"/>
    <cellStyle name="40% - Accent2 3 2 2 3 6" xfId="32072"/>
    <cellStyle name="40% - Accent2 3 2 2 4" xfId="11965"/>
    <cellStyle name="40% - Accent2 3 2 2 4 2" xfId="26709"/>
    <cellStyle name="40% - Accent2 3 2 2 4 2 2" xfId="48954"/>
    <cellStyle name="40% - Accent2 3 2 2 4 3" xfId="24496"/>
    <cellStyle name="40% - Accent2 3 2 2 4 3 2" xfId="46741"/>
    <cellStyle name="40% - Accent2 3 2 2 4 4" xfId="35388"/>
    <cellStyle name="40% - Accent2 3 2 2 5" xfId="23430"/>
    <cellStyle name="40% - Accent2 3 2 2 5 2" xfId="27374"/>
    <cellStyle name="40% - Accent2 3 2 2 5 2 2" xfId="49619"/>
    <cellStyle name="40% - Accent2 3 2 2 5 3" xfId="45775"/>
    <cellStyle name="40% - Accent2 3 2 2 6" xfId="25760"/>
    <cellStyle name="40% - Accent2 3 2 2 6 2" xfId="48005"/>
    <cellStyle name="40% - Accent2 3 2 2 7" xfId="28756"/>
    <cellStyle name="40% - Accent2 3 2 3" xfId="3191"/>
    <cellStyle name="40% - Accent2 3 2 3 2" xfId="6906"/>
    <cellStyle name="40% - Accent2 3 2 3 2 2" xfId="10238"/>
    <cellStyle name="40% - Accent2 3 2 3 2 2 2" xfId="16942"/>
    <cellStyle name="40% - Accent2 3 2 3 2 2 2 2" xfId="27166"/>
    <cellStyle name="40% - Accent2 3 2 3 2 2 2 2 2" xfId="49411"/>
    <cellStyle name="40% - Accent2 3 2 3 2 2 2 3" xfId="24953"/>
    <cellStyle name="40% - Accent2 3 2 3 2 2 2 3 2" xfId="47198"/>
    <cellStyle name="40% - Accent2 3 2 3 2 2 2 4" xfId="40363"/>
    <cellStyle name="40% - Accent2 3 2 3 2 2 3" xfId="25531"/>
    <cellStyle name="40% - Accent2 3 2 3 2 2 3 2" xfId="27836"/>
    <cellStyle name="40% - Accent2 3 2 3 2 2 3 2 2" xfId="50081"/>
    <cellStyle name="40% - Accent2 3 2 3 2 2 3 3" xfId="47776"/>
    <cellStyle name="40% - Accent2 3 2 3 2 2 4" xfId="26493"/>
    <cellStyle name="40% - Accent2 3 2 3 2 2 4 2" xfId="48738"/>
    <cellStyle name="40% - Accent2 3 2 3 2 2 5" xfId="24289"/>
    <cellStyle name="40% - Accent2 3 2 3 2 2 5 2" xfId="46535"/>
    <cellStyle name="40% - Accent2 3 2 3 2 2 6" xfId="33731"/>
    <cellStyle name="40% - Accent2 3 2 3 2 3" xfId="13626"/>
    <cellStyle name="40% - Accent2 3 2 3 2 3 2" xfId="26834"/>
    <cellStyle name="40% - Accent2 3 2 3 2 3 2 2" xfId="49079"/>
    <cellStyle name="40% - Accent2 3 2 3 2 3 3" xfId="24621"/>
    <cellStyle name="40% - Accent2 3 2 3 2 3 3 2" xfId="46866"/>
    <cellStyle name="40% - Accent2 3 2 3 2 3 4" xfId="37047"/>
    <cellStyle name="40% - Accent2 3 2 3 2 4" xfId="25195"/>
    <cellStyle name="40% - Accent2 3 2 3 2 4 2" xfId="27500"/>
    <cellStyle name="40% - Accent2 3 2 3 2 4 2 2" xfId="49745"/>
    <cellStyle name="40% - Accent2 3 2 3 2 4 3" xfId="47440"/>
    <cellStyle name="40% - Accent2 3 2 3 2 5" xfId="26164"/>
    <cellStyle name="40% - Accent2 3 2 3 2 5 2" xfId="48409"/>
    <cellStyle name="40% - Accent2 3 2 3 2 6" xfId="23973"/>
    <cellStyle name="40% - Accent2 3 2 3 2 6 2" xfId="46219"/>
    <cellStyle name="40% - Accent2 3 2 3 2 7" xfId="30415"/>
    <cellStyle name="40% - Accent2 3 2 3 3" xfId="8572"/>
    <cellStyle name="40% - Accent2 3 2 3 3 2" xfId="15284"/>
    <cellStyle name="40% - Accent2 3 2 3 3 2 2" xfId="27000"/>
    <cellStyle name="40% - Accent2 3 2 3 3 2 2 2" xfId="49245"/>
    <cellStyle name="40% - Accent2 3 2 3 3 2 3" xfId="24787"/>
    <cellStyle name="40% - Accent2 3 2 3 3 2 3 2" xfId="47032"/>
    <cellStyle name="40% - Accent2 3 2 3 3 2 4" xfId="38705"/>
    <cellStyle name="40% - Accent2 3 2 3 3 3" xfId="25363"/>
    <cellStyle name="40% - Accent2 3 2 3 3 3 2" xfId="27668"/>
    <cellStyle name="40% - Accent2 3 2 3 3 3 2 2" xfId="49913"/>
    <cellStyle name="40% - Accent2 3 2 3 3 3 3" xfId="47608"/>
    <cellStyle name="40% - Accent2 3 2 3 3 4" xfId="26328"/>
    <cellStyle name="40% - Accent2 3 2 3 3 4 2" xfId="48573"/>
    <cellStyle name="40% - Accent2 3 2 3 3 5" xfId="24124"/>
    <cellStyle name="40% - Accent2 3 2 3 3 5 2" xfId="46370"/>
    <cellStyle name="40% - Accent2 3 2 3 3 6" xfId="32073"/>
    <cellStyle name="40% - Accent2 3 2 3 4" xfId="11966"/>
    <cellStyle name="40% - Accent2 3 2 3 4 2" xfId="26668"/>
    <cellStyle name="40% - Accent2 3 2 3 4 2 2" xfId="48913"/>
    <cellStyle name="40% - Accent2 3 2 3 4 3" xfId="24455"/>
    <cellStyle name="40% - Accent2 3 2 3 4 3 2" xfId="46700"/>
    <cellStyle name="40% - Accent2 3 2 3 4 4" xfId="35389"/>
    <cellStyle name="40% - Accent2 3 2 3 5" xfId="23280"/>
    <cellStyle name="40% - Accent2 3 2 3 5 2" xfId="27332"/>
    <cellStyle name="40% - Accent2 3 2 3 5 2 2" xfId="49577"/>
    <cellStyle name="40% - Accent2 3 2 3 5 3" xfId="45680"/>
    <cellStyle name="40% - Accent2 3 2 3 6" xfId="25761"/>
    <cellStyle name="40% - Accent2 3 2 3 6 2" xfId="48006"/>
    <cellStyle name="40% - Accent2 3 2 3 7" xfId="28757"/>
    <cellStyle name="40% - Accent2 3 2 4" xfId="6904"/>
    <cellStyle name="40% - Accent2 3 2 4 2" xfId="10236"/>
    <cellStyle name="40% - Accent2 3 2 4 2 2" xfId="16940"/>
    <cellStyle name="40% - Accent2 3 2 4 2 2 2" xfId="25035"/>
    <cellStyle name="40% - Accent2 3 2 4 2 2 2 2" xfId="27248"/>
    <cellStyle name="40% - Accent2 3 2 4 2 2 2 2 2" xfId="49493"/>
    <cellStyle name="40% - Accent2 3 2 4 2 2 2 3" xfId="47280"/>
    <cellStyle name="40% - Accent2 3 2 4 2 2 3" xfId="25615"/>
    <cellStyle name="40% - Accent2 3 2 4 2 2 3 2" xfId="27920"/>
    <cellStyle name="40% - Accent2 3 2 4 2 2 3 2 2" xfId="50165"/>
    <cellStyle name="40% - Accent2 3 2 4 2 2 3 3" xfId="47860"/>
    <cellStyle name="40% - Accent2 3 2 4 2 2 4" xfId="26574"/>
    <cellStyle name="40% - Accent2 3 2 4 2 2 4 2" xfId="48819"/>
    <cellStyle name="40% - Accent2 3 2 4 2 2 5" xfId="24370"/>
    <cellStyle name="40% - Accent2 3 2 4 2 2 5 2" xfId="46616"/>
    <cellStyle name="40% - Accent2 3 2 4 2 2 6" xfId="40361"/>
    <cellStyle name="40% - Accent2 3 2 4 2 3" xfId="24703"/>
    <cellStyle name="40% - Accent2 3 2 4 2 3 2" xfId="26916"/>
    <cellStyle name="40% - Accent2 3 2 4 2 3 2 2" xfId="49161"/>
    <cellStyle name="40% - Accent2 3 2 4 2 3 3" xfId="46948"/>
    <cellStyle name="40% - Accent2 3 2 4 2 4" xfId="25279"/>
    <cellStyle name="40% - Accent2 3 2 4 2 4 2" xfId="27584"/>
    <cellStyle name="40% - Accent2 3 2 4 2 4 2 2" xfId="49829"/>
    <cellStyle name="40% - Accent2 3 2 4 2 4 3" xfId="47524"/>
    <cellStyle name="40% - Accent2 3 2 4 2 5" xfId="26245"/>
    <cellStyle name="40% - Accent2 3 2 4 2 5 2" xfId="48490"/>
    <cellStyle name="40% - Accent2 3 2 4 2 6" xfId="24054"/>
    <cellStyle name="40% - Accent2 3 2 4 2 6 2" xfId="46300"/>
    <cellStyle name="40% - Accent2 3 2 4 2 7" xfId="33729"/>
    <cellStyle name="40% - Accent2 3 2 4 3" xfId="13624"/>
    <cellStyle name="40% - Accent2 3 2 4 3 2" xfId="24869"/>
    <cellStyle name="40% - Accent2 3 2 4 3 2 2" xfId="27082"/>
    <cellStyle name="40% - Accent2 3 2 4 3 2 2 2" xfId="49327"/>
    <cellStyle name="40% - Accent2 3 2 4 3 2 3" xfId="47114"/>
    <cellStyle name="40% - Accent2 3 2 4 3 3" xfId="25447"/>
    <cellStyle name="40% - Accent2 3 2 4 3 3 2" xfId="27752"/>
    <cellStyle name="40% - Accent2 3 2 4 3 3 2 2" xfId="49997"/>
    <cellStyle name="40% - Accent2 3 2 4 3 3 3" xfId="47692"/>
    <cellStyle name="40% - Accent2 3 2 4 3 4" xfId="26409"/>
    <cellStyle name="40% - Accent2 3 2 4 3 4 2" xfId="48654"/>
    <cellStyle name="40% - Accent2 3 2 4 3 5" xfId="24205"/>
    <cellStyle name="40% - Accent2 3 2 4 3 5 2" xfId="46451"/>
    <cellStyle name="40% - Accent2 3 2 4 3 6" xfId="37045"/>
    <cellStyle name="40% - Accent2 3 2 4 4" xfId="24537"/>
    <cellStyle name="40% - Accent2 3 2 4 4 2" xfId="26750"/>
    <cellStyle name="40% - Accent2 3 2 4 4 2 2" xfId="48995"/>
    <cellStyle name="40% - Accent2 3 2 4 4 3" xfId="46782"/>
    <cellStyle name="40% - Accent2 3 2 4 5" xfId="25111"/>
    <cellStyle name="40% - Accent2 3 2 4 5 2" xfId="27416"/>
    <cellStyle name="40% - Accent2 3 2 4 5 2 2" xfId="49661"/>
    <cellStyle name="40% - Accent2 3 2 4 5 3" xfId="47356"/>
    <cellStyle name="40% - Accent2 3 2 4 6" xfId="26092"/>
    <cellStyle name="40% - Accent2 3 2 4 6 2" xfId="48337"/>
    <cellStyle name="40% - Accent2 3 2 4 7" xfId="23901"/>
    <cellStyle name="40% - Accent2 3 2 4 7 2" xfId="46147"/>
    <cellStyle name="40% - Accent2 3 2 4 8" xfId="30413"/>
    <cellStyle name="40% - Accent2 3 2 5" xfId="8570"/>
    <cellStyle name="40% - Accent2 3 2 5 2" xfId="15282"/>
    <cellStyle name="40% - Accent2 3 2 5 2 2" xfId="24911"/>
    <cellStyle name="40% - Accent2 3 2 5 2 2 2" xfId="27124"/>
    <cellStyle name="40% - Accent2 3 2 5 2 2 2 2" xfId="49369"/>
    <cellStyle name="40% - Accent2 3 2 5 2 2 3" xfId="47156"/>
    <cellStyle name="40% - Accent2 3 2 5 2 3" xfId="25489"/>
    <cellStyle name="40% - Accent2 3 2 5 2 3 2" xfId="27794"/>
    <cellStyle name="40% - Accent2 3 2 5 2 3 2 2" xfId="50039"/>
    <cellStyle name="40% - Accent2 3 2 5 2 3 3" xfId="47734"/>
    <cellStyle name="40% - Accent2 3 2 5 2 4" xfId="26451"/>
    <cellStyle name="40% - Accent2 3 2 5 2 4 2" xfId="48696"/>
    <cellStyle name="40% - Accent2 3 2 5 2 5" xfId="24247"/>
    <cellStyle name="40% - Accent2 3 2 5 2 5 2" xfId="46493"/>
    <cellStyle name="40% - Accent2 3 2 5 2 6" xfId="38703"/>
    <cellStyle name="40% - Accent2 3 2 5 3" xfId="24579"/>
    <cellStyle name="40% - Accent2 3 2 5 3 2" xfId="26792"/>
    <cellStyle name="40% - Accent2 3 2 5 3 2 2" xfId="49037"/>
    <cellStyle name="40% - Accent2 3 2 5 3 3" xfId="46824"/>
    <cellStyle name="40% - Accent2 3 2 5 4" xfId="25153"/>
    <cellStyle name="40% - Accent2 3 2 5 4 2" xfId="27458"/>
    <cellStyle name="40% - Accent2 3 2 5 4 2 2" xfId="49703"/>
    <cellStyle name="40% - Accent2 3 2 5 4 3" xfId="47398"/>
    <cellStyle name="40% - Accent2 3 2 5 5" xfId="26124"/>
    <cellStyle name="40% - Accent2 3 2 5 5 2" xfId="48369"/>
    <cellStyle name="40% - Accent2 3 2 5 6" xfId="23933"/>
    <cellStyle name="40% - Accent2 3 2 5 6 2" xfId="46179"/>
    <cellStyle name="40% - Accent2 3 2 5 7" xfId="32071"/>
    <cellStyle name="40% - Accent2 3 2 6" xfId="11964"/>
    <cellStyle name="40% - Accent2 3 2 6 2" xfId="24745"/>
    <cellStyle name="40% - Accent2 3 2 6 2 2" xfId="26958"/>
    <cellStyle name="40% - Accent2 3 2 6 2 2 2" xfId="49203"/>
    <cellStyle name="40% - Accent2 3 2 6 2 3" xfId="46990"/>
    <cellStyle name="40% - Accent2 3 2 6 3" xfId="25321"/>
    <cellStyle name="40% - Accent2 3 2 6 3 2" xfId="27626"/>
    <cellStyle name="40% - Accent2 3 2 6 3 2 2" xfId="49871"/>
    <cellStyle name="40% - Accent2 3 2 6 3 3" xfId="47566"/>
    <cellStyle name="40% - Accent2 3 2 6 4" xfId="26286"/>
    <cellStyle name="40% - Accent2 3 2 6 4 2" xfId="48531"/>
    <cellStyle name="40% - Accent2 3 2 6 5" xfId="24082"/>
    <cellStyle name="40% - Accent2 3 2 6 5 2" xfId="46328"/>
    <cellStyle name="40% - Accent2 3 2 6 6" xfId="35387"/>
    <cellStyle name="40% - Accent2 3 2 7" xfId="23431"/>
    <cellStyle name="40% - Accent2 3 2 7 2" xfId="26626"/>
    <cellStyle name="40% - Accent2 3 2 7 2 2" xfId="48871"/>
    <cellStyle name="40% - Accent2 3 2 7 3" xfId="45776"/>
    <cellStyle name="40% - Accent2 3 2 8" xfId="25077"/>
    <cellStyle name="40% - Accent2 3 2 8 2" xfId="27290"/>
    <cellStyle name="40% - Accent2 3 2 8 2 2" xfId="49535"/>
    <cellStyle name="40% - Accent2 3 2 8 3" xfId="47322"/>
    <cellStyle name="40% - Accent2 3 2 9" xfId="25759"/>
    <cellStyle name="40% - Accent2 3 2 9 2" xfId="48004"/>
    <cellStyle name="40% - Accent2 3 3" xfId="3192"/>
    <cellStyle name="40% - Accent2 3 3 2" xfId="6907"/>
    <cellStyle name="40% - Accent2 3 3 2 2" xfId="10239"/>
    <cellStyle name="40% - Accent2 3 3 2 2 2" xfId="16943"/>
    <cellStyle name="40% - Accent2 3 3 2 2 2 2" xfId="27187"/>
    <cellStyle name="40% - Accent2 3 3 2 2 2 2 2" xfId="49432"/>
    <cellStyle name="40% - Accent2 3 3 2 2 2 3" xfId="24974"/>
    <cellStyle name="40% - Accent2 3 3 2 2 2 3 2" xfId="47219"/>
    <cellStyle name="40% - Accent2 3 3 2 2 2 4" xfId="40364"/>
    <cellStyle name="40% - Accent2 3 3 2 2 3" xfId="25552"/>
    <cellStyle name="40% - Accent2 3 3 2 2 3 2" xfId="27857"/>
    <cellStyle name="40% - Accent2 3 3 2 2 3 2 2" xfId="50102"/>
    <cellStyle name="40% - Accent2 3 3 2 2 3 3" xfId="47797"/>
    <cellStyle name="40% - Accent2 3 3 2 2 4" xfId="26513"/>
    <cellStyle name="40% - Accent2 3 3 2 2 4 2" xfId="48758"/>
    <cellStyle name="40% - Accent2 3 3 2 2 5" xfId="24309"/>
    <cellStyle name="40% - Accent2 3 3 2 2 5 2" xfId="46555"/>
    <cellStyle name="40% - Accent2 3 3 2 2 6" xfId="33732"/>
    <cellStyle name="40% - Accent2 3 3 2 3" xfId="13627"/>
    <cellStyle name="40% - Accent2 3 3 2 3 2" xfId="26855"/>
    <cellStyle name="40% - Accent2 3 3 2 3 2 2" xfId="49100"/>
    <cellStyle name="40% - Accent2 3 3 2 3 3" xfId="24642"/>
    <cellStyle name="40% - Accent2 3 3 2 3 3 2" xfId="46887"/>
    <cellStyle name="40% - Accent2 3 3 2 3 4" xfId="37048"/>
    <cellStyle name="40% - Accent2 3 3 2 4" xfId="25216"/>
    <cellStyle name="40% - Accent2 3 3 2 4 2" xfId="27521"/>
    <cellStyle name="40% - Accent2 3 3 2 4 2 2" xfId="49766"/>
    <cellStyle name="40% - Accent2 3 3 2 4 3" xfId="47461"/>
    <cellStyle name="40% - Accent2 3 3 2 5" xfId="26184"/>
    <cellStyle name="40% - Accent2 3 3 2 5 2" xfId="48429"/>
    <cellStyle name="40% - Accent2 3 3 2 6" xfId="23993"/>
    <cellStyle name="40% - Accent2 3 3 2 6 2" xfId="46239"/>
    <cellStyle name="40% - Accent2 3 3 2 7" xfId="30416"/>
    <cellStyle name="40% - Accent2 3 3 3" xfId="8573"/>
    <cellStyle name="40% - Accent2 3 3 3 2" xfId="15285"/>
    <cellStyle name="40% - Accent2 3 3 3 2 2" xfId="27021"/>
    <cellStyle name="40% - Accent2 3 3 3 2 2 2" xfId="49266"/>
    <cellStyle name="40% - Accent2 3 3 3 2 3" xfId="24808"/>
    <cellStyle name="40% - Accent2 3 3 3 2 3 2" xfId="47053"/>
    <cellStyle name="40% - Accent2 3 3 3 2 4" xfId="38706"/>
    <cellStyle name="40% - Accent2 3 3 3 3" xfId="25384"/>
    <cellStyle name="40% - Accent2 3 3 3 3 2" xfId="27689"/>
    <cellStyle name="40% - Accent2 3 3 3 3 2 2" xfId="49934"/>
    <cellStyle name="40% - Accent2 3 3 3 3 3" xfId="47629"/>
    <cellStyle name="40% - Accent2 3 3 3 4" xfId="26348"/>
    <cellStyle name="40% - Accent2 3 3 3 4 2" xfId="48593"/>
    <cellStyle name="40% - Accent2 3 3 3 5" xfId="24144"/>
    <cellStyle name="40% - Accent2 3 3 3 5 2" xfId="46390"/>
    <cellStyle name="40% - Accent2 3 3 3 6" xfId="32074"/>
    <cellStyle name="40% - Accent2 3 3 4" xfId="11967"/>
    <cellStyle name="40% - Accent2 3 3 4 2" xfId="26689"/>
    <cellStyle name="40% - Accent2 3 3 4 2 2" xfId="48934"/>
    <cellStyle name="40% - Accent2 3 3 4 3" xfId="24476"/>
    <cellStyle name="40% - Accent2 3 3 4 3 2" xfId="46721"/>
    <cellStyle name="40% - Accent2 3 3 4 4" xfId="35390"/>
    <cellStyle name="40% - Accent2 3 3 5" xfId="23262"/>
    <cellStyle name="40% - Accent2 3 3 5 2" xfId="27353"/>
    <cellStyle name="40% - Accent2 3 3 5 2 2" xfId="49598"/>
    <cellStyle name="40% - Accent2 3 3 5 3" xfId="45671"/>
    <cellStyle name="40% - Accent2 3 3 6" xfId="25762"/>
    <cellStyle name="40% - Accent2 3 3 6 2" xfId="48007"/>
    <cellStyle name="40% - Accent2 3 3 7" xfId="28758"/>
    <cellStyle name="40% - Accent2 3 4" xfId="3193"/>
    <cellStyle name="40% - Accent2 3 4 2" xfId="6908"/>
    <cellStyle name="40% - Accent2 3 4 2 2" xfId="10240"/>
    <cellStyle name="40% - Accent2 3 4 2 2 2" xfId="16944"/>
    <cellStyle name="40% - Accent2 3 4 2 2 2 2" xfId="27145"/>
    <cellStyle name="40% - Accent2 3 4 2 2 2 2 2" xfId="49390"/>
    <cellStyle name="40% - Accent2 3 4 2 2 2 3" xfId="24932"/>
    <cellStyle name="40% - Accent2 3 4 2 2 2 3 2" xfId="47177"/>
    <cellStyle name="40% - Accent2 3 4 2 2 2 4" xfId="40365"/>
    <cellStyle name="40% - Accent2 3 4 2 2 3" xfId="25510"/>
    <cellStyle name="40% - Accent2 3 4 2 2 3 2" xfId="27815"/>
    <cellStyle name="40% - Accent2 3 4 2 2 3 2 2" xfId="50060"/>
    <cellStyle name="40% - Accent2 3 4 2 2 3 3" xfId="47755"/>
    <cellStyle name="40% - Accent2 3 4 2 2 4" xfId="26472"/>
    <cellStyle name="40% - Accent2 3 4 2 2 4 2" xfId="48717"/>
    <cellStyle name="40% - Accent2 3 4 2 2 5" xfId="24268"/>
    <cellStyle name="40% - Accent2 3 4 2 2 5 2" xfId="46514"/>
    <cellStyle name="40% - Accent2 3 4 2 2 6" xfId="33733"/>
    <cellStyle name="40% - Accent2 3 4 2 3" xfId="13628"/>
    <cellStyle name="40% - Accent2 3 4 2 3 2" xfId="26813"/>
    <cellStyle name="40% - Accent2 3 4 2 3 2 2" xfId="49058"/>
    <cellStyle name="40% - Accent2 3 4 2 3 3" xfId="24600"/>
    <cellStyle name="40% - Accent2 3 4 2 3 3 2" xfId="46845"/>
    <cellStyle name="40% - Accent2 3 4 2 3 4" xfId="37049"/>
    <cellStyle name="40% - Accent2 3 4 2 4" xfId="25174"/>
    <cellStyle name="40% - Accent2 3 4 2 4 2" xfId="27479"/>
    <cellStyle name="40% - Accent2 3 4 2 4 2 2" xfId="49724"/>
    <cellStyle name="40% - Accent2 3 4 2 4 3" xfId="47419"/>
    <cellStyle name="40% - Accent2 3 4 2 5" xfId="26144"/>
    <cellStyle name="40% - Accent2 3 4 2 5 2" xfId="48389"/>
    <cellStyle name="40% - Accent2 3 4 2 6" xfId="23953"/>
    <cellStyle name="40% - Accent2 3 4 2 6 2" xfId="46199"/>
    <cellStyle name="40% - Accent2 3 4 2 7" xfId="30417"/>
    <cellStyle name="40% - Accent2 3 4 3" xfId="8574"/>
    <cellStyle name="40% - Accent2 3 4 3 2" xfId="15286"/>
    <cellStyle name="40% - Accent2 3 4 3 2 2" xfId="26979"/>
    <cellStyle name="40% - Accent2 3 4 3 2 2 2" xfId="49224"/>
    <cellStyle name="40% - Accent2 3 4 3 2 3" xfId="24766"/>
    <cellStyle name="40% - Accent2 3 4 3 2 3 2" xfId="47011"/>
    <cellStyle name="40% - Accent2 3 4 3 2 4" xfId="38707"/>
    <cellStyle name="40% - Accent2 3 4 3 3" xfId="25342"/>
    <cellStyle name="40% - Accent2 3 4 3 3 2" xfId="27647"/>
    <cellStyle name="40% - Accent2 3 4 3 3 2 2" xfId="49892"/>
    <cellStyle name="40% - Accent2 3 4 3 3 3" xfId="47587"/>
    <cellStyle name="40% - Accent2 3 4 3 4" xfId="26307"/>
    <cellStyle name="40% - Accent2 3 4 3 4 2" xfId="48552"/>
    <cellStyle name="40% - Accent2 3 4 3 5" xfId="24103"/>
    <cellStyle name="40% - Accent2 3 4 3 5 2" xfId="46349"/>
    <cellStyle name="40% - Accent2 3 4 3 6" xfId="32075"/>
    <cellStyle name="40% - Accent2 3 4 4" xfId="11968"/>
    <cellStyle name="40% - Accent2 3 4 4 2" xfId="26647"/>
    <cellStyle name="40% - Accent2 3 4 4 2 2" xfId="48892"/>
    <cellStyle name="40% - Accent2 3 4 4 3" xfId="24434"/>
    <cellStyle name="40% - Accent2 3 4 4 3 2" xfId="46679"/>
    <cellStyle name="40% - Accent2 3 4 4 4" xfId="35391"/>
    <cellStyle name="40% - Accent2 3 4 5" xfId="23311"/>
    <cellStyle name="40% - Accent2 3 4 5 2" xfId="27311"/>
    <cellStyle name="40% - Accent2 3 4 5 2 2" xfId="49556"/>
    <cellStyle name="40% - Accent2 3 4 5 3" xfId="45703"/>
    <cellStyle name="40% - Accent2 3 4 6" xfId="25763"/>
    <cellStyle name="40% - Accent2 3 4 6 2" xfId="48008"/>
    <cellStyle name="40% - Accent2 3 4 7" xfId="28759"/>
    <cellStyle name="40% - Accent2 3 5" xfId="3194"/>
    <cellStyle name="40% - Accent2 3 5 2" xfId="24033"/>
    <cellStyle name="40% - Accent2 3 5 2 2" xfId="24349"/>
    <cellStyle name="40% - Accent2 3 5 2 2 2" xfId="25014"/>
    <cellStyle name="40% - Accent2 3 5 2 2 2 2" xfId="27227"/>
    <cellStyle name="40% - Accent2 3 5 2 2 2 2 2" xfId="49472"/>
    <cellStyle name="40% - Accent2 3 5 2 2 2 3" xfId="47259"/>
    <cellStyle name="40% - Accent2 3 5 2 2 3" xfId="25594"/>
    <cellStyle name="40% - Accent2 3 5 2 2 3 2" xfId="27899"/>
    <cellStyle name="40% - Accent2 3 5 2 2 3 2 2" xfId="50144"/>
    <cellStyle name="40% - Accent2 3 5 2 2 3 3" xfId="47839"/>
    <cellStyle name="40% - Accent2 3 5 2 2 4" xfId="26553"/>
    <cellStyle name="40% - Accent2 3 5 2 2 4 2" xfId="48798"/>
    <cellStyle name="40% - Accent2 3 5 2 2 5" xfId="46595"/>
    <cellStyle name="40% - Accent2 3 5 2 3" xfId="24682"/>
    <cellStyle name="40% - Accent2 3 5 2 3 2" xfId="26895"/>
    <cellStyle name="40% - Accent2 3 5 2 3 2 2" xfId="49140"/>
    <cellStyle name="40% - Accent2 3 5 2 3 3" xfId="46927"/>
    <cellStyle name="40% - Accent2 3 5 2 4" xfId="25258"/>
    <cellStyle name="40% - Accent2 3 5 2 4 2" xfId="27563"/>
    <cellStyle name="40% - Accent2 3 5 2 4 2 2" xfId="49808"/>
    <cellStyle name="40% - Accent2 3 5 2 4 3" xfId="47503"/>
    <cellStyle name="40% - Accent2 3 5 2 5" xfId="26224"/>
    <cellStyle name="40% - Accent2 3 5 2 5 2" xfId="48469"/>
    <cellStyle name="40% - Accent2 3 5 2 6" xfId="46279"/>
    <cellStyle name="40% - Accent2 3 5 3" xfId="24184"/>
    <cellStyle name="40% - Accent2 3 5 3 2" xfId="24848"/>
    <cellStyle name="40% - Accent2 3 5 3 2 2" xfId="27061"/>
    <cellStyle name="40% - Accent2 3 5 3 2 2 2" xfId="49306"/>
    <cellStyle name="40% - Accent2 3 5 3 2 3" xfId="47093"/>
    <cellStyle name="40% - Accent2 3 5 3 3" xfId="25426"/>
    <cellStyle name="40% - Accent2 3 5 3 3 2" xfId="27731"/>
    <cellStyle name="40% - Accent2 3 5 3 3 2 2" xfId="49976"/>
    <cellStyle name="40% - Accent2 3 5 3 3 3" xfId="47671"/>
    <cellStyle name="40% - Accent2 3 5 3 4" xfId="26388"/>
    <cellStyle name="40% - Accent2 3 5 3 4 2" xfId="48633"/>
    <cellStyle name="40% - Accent2 3 5 3 5" xfId="46430"/>
    <cellStyle name="40% - Accent2 3 5 4" xfId="24516"/>
    <cellStyle name="40% - Accent2 3 5 4 2" xfId="26729"/>
    <cellStyle name="40% - Accent2 3 5 4 2 2" xfId="48974"/>
    <cellStyle name="40% - Accent2 3 5 4 3" xfId="46761"/>
    <cellStyle name="40% - Accent2 3 5 5" xfId="25096"/>
    <cellStyle name="40% - Accent2 3 5 5 2" xfId="27395"/>
    <cellStyle name="40% - Accent2 3 5 5 2 2" xfId="49640"/>
    <cellStyle name="40% - Accent2 3 5 5 3" xfId="47341"/>
    <cellStyle name="40% - Accent2 3 5 6" xfId="23886"/>
    <cellStyle name="40% - Accent2 3 5 6 2" xfId="26077"/>
    <cellStyle name="40% - Accent2 3 5 6 2 2" xfId="48322"/>
    <cellStyle name="40% - Accent2 3 5 6 3" xfId="46132"/>
    <cellStyle name="40% - Accent2 3 6" xfId="3188"/>
    <cellStyle name="40% - Accent2 3 6 2" xfId="6903"/>
    <cellStyle name="40% - Accent2 3 6 2 2" xfId="10235"/>
    <cellStyle name="40% - Accent2 3 6 2 2 2" xfId="16939"/>
    <cellStyle name="40% - Accent2 3 6 2 2 2 2" xfId="27103"/>
    <cellStyle name="40% - Accent2 3 6 2 2 2 2 2" xfId="49348"/>
    <cellStyle name="40% - Accent2 3 6 2 2 2 3" xfId="40360"/>
    <cellStyle name="40% - Accent2 3 6 2 2 3" xfId="24890"/>
    <cellStyle name="40% - Accent2 3 6 2 2 3 2" xfId="47135"/>
    <cellStyle name="40% - Accent2 3 6 2 2 4" xfId="33728"/>
    <cellStyle name="40% - Accent2 3 6 2 3" xfId="13623"/>
    <cellStyle name="40% - Accent2 3 6 2 3 2" xfId="27773"/>
    <cellStyle name="40% - Accent2 3 6 2 3 2 2" xfId="50018"/>
    <cellStyle name="40% - Accent2 3 6 2 3 3" xfId="25468"/>
    <cellStyle name="40% - Accent2 3 6 2 3 3 2" xfId="47713"/>
    <cellStyle name="40% - Accent2 3 6 2 3 4" xfId="37044"/>
    <cellStyle name="40% - Accent2 3 6 2 4" xfId="26430"/>
    <cellStyle name="40% - Accent2 3 6 2 4 2" xfId="48675"/>
    <cellStyle name="40% - Accent2 3 6 2 5" xfId="24226"/>
    <cellStyle name="40% - Accent2 3 6 2 5 2" xfId="46472"/>
    <cellStyle name="40% - Accent2 3 6 2 6" xfId="30412"/>
    <cellStyle name="40% - Accent2 3 6 3" xfId="8569"/>
    <cellStyle name="40% - Accent2 3 6 3 2" xfId="15281"/>
    <cellStyle name="40% - Accent2 3 6 3 2 2" xfId="26771"/>
    <cellStyle name="40% - Accent2 3 6 3 2 2 2" xfId="49016"/>
    <cellStyle name="40% - Accent2 3 6 3 2 3" xfId="38702"/>
    <cellStyle name="40% - Accent2 3 6 3 3" xfId="24558"/>
    <cellStyle name="40% - Accent2 3 6 3 3 2" xfId="46803"/>
    <cellStyle name="40% - Accent2 3 6 3 4" xfId="32070"/>
    <cellStyle name="40% - Accent2 3 6 4" xfId="11963"/>
    <cellStyle name="40% - Accent2 3 6 4 2" xfId="27437"/>
    <cellStyle name="40% - Accent2 3 6 4 2 2" xfId="49682"/>
    <cellStyle name="40% - Accent2 3 6 4 3" xfId="25132"/>
    <cellStyle name="40% - Accent2 3 6 4 3 2" xfId="47377"/>
    <cellStyle name="40% - Accent2 3 6 4 4" xfId="35386"/>
    <cellStyle name="40% - Accent2 3 6 5" xfId="26108"/>
    <cellStyle name="40% - Accent2 3 6 5 2" xfId="48353"/>
    <cellStyle name="40% - Accent2 3 6 6" xfId="23917"/>
    <cellStyle name="40% - Accent2 3 6 6 2" xfId="46163"/>
    <cellStyle name="40% - Accent2 3 6 7" xfId="28754"/>
    <cellStyle name="40% - Accent2 3 7" xfId="23432"/>
    <cellStyle name="40% - Accent2 3 7 2" xfId="24724"/>
    <cellStyle name="40% - Accent2 3 7 2 2" xfId="26937"/>
    <cellStyle name="40% - Accent2 3 7 2 2 2" xfId="49182"/>
    <cellStyle name="40% - Accent2 3 7 2 3" xfId="46969"/>
    <cellStyle name="40% - Accent2 3 7 3" xfId="25300"/>
    <cellStyle name="40% - Accent2 3 7 3 2" xfId="27605"/>
    <cellStyle name="40% - Accent2 3 7 3 2 2" xfId="49850"/>
    <cellStyle name="40% - Accent2 3 7 3 3" xfId="47545"/>
    <cellStyle name="40% - Accent2 3 7 4" xfId="26265"/>
    <cellStyle name="40% - Accent2 3 7 4 2" xfId="48510"/>
    <cellStyle name="40% - Accent2 3 7 5" xfId="45777"/>
    <cellStyle name="40% - Accent2 3 8" xfId="24402"/>
    <cellStyle name="40% - Accent2 3 8 2" xfId="26605"/>
    <cellStyle name="40% - Accent2 3 8 2 2" xfId="48850"/>
    <cellStyle name="40% - Accent2 3 8 3" xfId="46647"/>
    <cellStyle name="40% - Accent2 3 9" xfId="25056"/>
    <cellStyle name="40% - Accent2 3 9 2" xfId="27269"/>
    <cellStyle name="40% - Accent2 3 9 2 2" xfId="49514"/>
    <cellStyle name="40% - Accent2 3 9 3" xfId="47301"/>
    <cellStyle name="40% - Accent2 4" xfId="3187"/>
    <cellStyle name="40% - Accent2 4 2" xfId="25707"/>
    <cellStyle name="40% - Accent2 4 2 2" xfId="47952"/>
    <cellStyle name="40% - Accent2 5" xfId="7765"/>
    <cellStyle name="40% - Accent2 5 2" xfId="11094"/>
    <cellStyle name="40% - Accent2 5 2 2" xfId="17798"/>
    <cellStyle name="40% - Accent2 5 2 2 2" xfId="41219"/>
    <cellStyle name="40% - Accent2 5 2 3" xfId="34587"/>
    <cellStyle name="40% - Accent2 5 3" xfId="14482"/>
    <cellStyle name="40% - Accent2 5 3 2" xfId="37903"/>
    <cellStyle name="40% - Accent2 5 4" xfId="31271"/>
    <cellStyle name="40% - Accent2 6" xfId="9436"/>
    <cellStyle name="40% - Accent2 6 2" xfId="16140"/>
    <cellStyle name="40% - Accent2 6 2 2" xfId="39561"/>
    <cellStyle name="40% - Accent2 6 3" xfId="32929"/>
    <cellStyle name="40% - Accent2 7" xfId="12824"/>
    <cellStyle name="40% - Accent2 7 2" xfId="36245"/>
    <cellStyle name="40% - Accent2 8" xfId="23841"/>
    <cellStyle name="40% - Accent2 8 2" xfId="46106"/>
    <cellStyle name="40% - Accent2 9" xfId="6091"/>
    <cellStyle name="40% - Accent2 9 2" xfId="29613"/>
    <cellStyle name="40% - Accent3" xfId="15" builtinId="39" customBuiltin="1"/>
    <cellStyle name="40% - Accent3 2" xfId="273"/>
    <cellStyle name="40% - Accent3 2 2" xfId="274"/>
    <cellStyle name="40% - Accent3 3" xfId="1081"/>
    <cellStyle name="40% - Accent3 3 10" xfId="23639"/>
    <cellStyle name="40% - Accent3 3 2" xfId="3197"/>
    <cellStyle name="40% - Accent3 3 2 10" xfId="28761"/>
    <cellStyle name="40% - Accent3 3 2 2" xfId="3198"/>
    <cellStyle name="40% - Accent3 3 2 2 2" xfId="6911"/>
    <cellStyle name="40% - Accent3 3 2 2 2 2" xfId="10243"/>
    <cellStyle name="40% - Accent3 3 2 2 2 2 2" xfId="16947"/>
    <cellStyle name="40% - Accent3 3 2 2 2 2 2 2" xfId="27208"/>
    <cellStyle name="40% - Accent3 3 2 2 2 2 2 2 2" xfId="49453"/>
    <cellStyle name="40% - Accent3 3 2 2 2 2 2 3" xfId="24995"/>
    <cellStyle name="40% - Accent3 3 2 2 2 2 2 3 2" xfId="47240"/>
    <cellStyle name="40% - Accent3 3 2 2 2 2 2 4" xfId="40368"/>
    <cellStyle name="40% - Accent3 3 2 2 2 2 3" xfId="25574"/>
    <cellStyle name="40% - Accent3 3 2 2 2 2 3 2" xfId="27879"/>
    <cellStyle name="40% - Accent3 3 2 2 2 2 3 2 2" xfId="50124"/>
    <cellStyle name="40% - Accent3 3 2 2 2 2 3 3" xfId="47819"/>
    <cellStyle name="40% - Accent3 3 2 2 2 2 4" xfId="26534"/>
    <cellStyle name="40% - Accent3 3 2 2 2 2 4 2" xfId="48779"/>
    <cellStyle name="40% - Accent3 3 2 2 2 2 5" xfId="24330"/>
    <cellStyle name="40% - Accent3 3 2 2 2 2 5 2" xfId="46576"/>
    <cellStyle name="40% - Accent3 3 2 2 2 2 6" xfId="33736"/>
    <cellStyle name="40% - Accent3 3 2 2 2 3" xfId="13631"/>
    <cellStyle name="40% - Accent3 3 2 2 2 3 2" xfId="26876"/>
    <cellStyle name="40% - Accent3 3 2 2 2 3 2 2" xfId="49121"/>
    <cellStyle name="40% - Accent3 3 2 2 2 3 3" xfId="24663"/>
    <cellStyle name="40% - Accent3 3 2 2 2 3 3 2" xfId="46908"/>
    <cellStyle name="40% - Accent3 3 2 2 2 3 4" xfId="37052"/>
    <cellStyle name="40% - Accent3 3 2 2 2 4" xfId="25238"/>
    <cellStyle name="40% - Accent3 3 2 2 2 4 2" xfId="27543"/>
    <cellStyle name="40% - Accent3 3 2 2 2 4 2 2" xfId="49788"/>
    <cellStyle name="40% - Accent3 3 2 2 2 4 3" xfId="47483"/>
    <cellStyle name="40% - Accent3 3 2 2 2 5" xfId="26205"/>
    <cellStyle name="40% - Accent3 3 2 2 2 5 2" xfId="48450"/>
    <cellStyle name="40% - Accent3 3 2 2 2 6" xfId="24014"/>
    <cellStyle name="40% - Accent3 3 2 2 2 6 2" xfId="46260"/>
    <cellStyle name="40% - Accent3 3 2 2 2 7" xfId="30420"/>
    <cellStyle name="40% - Accent3 3 2 2 3" xfId="8577"/>
    <cellStyle name="40% - Accent3 3 2 2 3 2" xfId="15289"/>
    <cellStyle name="40% - Accent3 3 2 2 3 2 2" xfId="27042"/>
    <cellStyle name="40% - Accent3 3 2 2 3 2 2 2" xfId="49287"/>
    <cellStyle name="40% - Accent3 3 2 2 3 2 3" xfId="24829"/>
    <cellStyle name="40% - Accent3 3 2 2 3 2 3 2" xfId="47074"/>
    <cellStyle name="40% - Accent3 3 2 2 3 2 4" xfId="38710"/>
    <cellStyle name="40% - Accent3 3 2 2 3 3" xfId="25406"/>
    <cellStyle name="40% - Accent3 3 2 2 3 3 2" xfId="27711"/>
    <cellStyle name="40% - Accent3 3 2 2 3 3 2 2" xfId="49956"/>
    <cellStyle name="40% - Accent3 3 2 2 3 3 3" xfId="47651"/>
    <cellStyle name="40% - Accent3 3 2 2 3 4" xfId="26369"/>
    <cellStyle name="40% - Accent3 3 2 2 3 4 2" xfId="48614"/>
    <cellStyle name="40% - Accent3 3 2 2 3 5" xfId="24165"/>
    <cellStyle name="40% - Accent3 3 2 2 3 5 2" xfId="46411"/>
    <cellStyle name="40% - Accent3 3 2 2 3 6" xfId="32078"/>
    <cellStyle name="40% - Accent3 3 2 2 4" xfId="11971"/>
    <cellStyle name="40% - Accent3 3 2 2 4 2" xfId="26710"/>
    <cellStyle name="40% - Accent3 3 2 2 4 2 2" xfId="48955"/>
    <cellStyle name="40% - Accent3 3 2 2 4 3" xfId="24497"/>
    <cellStyle name="40% - Accent3 3 2 2 4 3 2" xfId="46742"/>
    <cellStyle name="40% - Accent3 3 2 2 4 4" xfId="35394"/>
    <cellStyle name="40% - Accent3 3 2 2 5" xfId="23307"/>
    <cellStyle name="40% - Accent3 3 2 2 5 2" xfId="27375"/>
    <cellStyle name="40% - Accent3 3 2 2 5 2 2" xfId="49620"/>
    <cellStyle name="40% - Accent3 3 2 2 5 3" xfId="45699"/>
    <cellStyle name="40% - Accent3 3 2 2 6" xfId="25766"/>
    <cellStyle name="40% - Accent3 3 2 2 6 2" xfId="48011"/>
    <cellStyle name="40% - Accent3 3 2 2 7" xfId="28762"/>
    <cellStyle name="40% - Accent3 3 2 3" xfId="3199"/>
    <cellStyle name="40% - Accent3 3 2 3 2" xfId="6912"/>
    <cellStyle name="40% - Accent3 3 2 3 2 2" xfId="10244"/>
    <cellStyle name="40% - Accent3 3 2 3 2 2 2" xfId="16948"/>
    <cellStyle name="40% - Accent3 3 2 3 2 2 2 2" xfId="27167"/>
    <cellStyle name="40% - Accent3 3 2 3 2 2 2 2 2" xfId="49412"/>
    <cellStyle name="40% - Accent3 3 2 3 2 2 2 3" xfId="24954"/>
    <cellStyle name="40% - Accent3 3 2 3 2 2 2 3 2" xfId="47199"/>
    <cellStyle name="40% - Accent3 3 2 3 2 2 2 4" xfId="40369"/>
    <cellStyle name="40% - Accent3 3 2 3 2 2 3" xfId="25532"/>
    <cellStyle name="40% - Accent3 3 2 3 2 2 3 2" xfId="27837"/>
    <cellStyle name="40% - Accent3 3 2 3 2 2 3 2 2" xfId="50082"/>
    <cellStyle name="40% - Accent3 3 2 3 2 2 3 3" xfId="47777"/>
    <cellStyle name="40% - Accent3 3 2 3 2 2 4" xfId="26494"/>
    <cellStyle name="40% - Accent3 3 2 3 2 2 4 2" xfId="48739"/>
    <cellStyle name="40% - Accent3 3 2 3 2 2 5" xfId="24290"/>
    <cellStyle name="40% - Accent3 3 2 3 2 2 5 2" xfId="46536"/>
    <cellStyle name="40% - Accent3 3 2 3 2 2 6" xfId="33737"/>
    <cellStyle name="40% - Accent3 3 2 3 2 3" xfId="13632"/>
    <cellStyle name="40% - Accent3 3 2 3 2 3 2" xfId="26835"/>
    <cellStyle name="40% - Accent3 3 2 3 2 3 2 2" xfId="49080"/>
    <cellStyle name="40% - Accent3 3 2 3 2 3 3" xfId="24622"/>
    <cellStyle name="40% - Accent3 3 2 3 2 3 3 2" xfId="46867"/>
    <cellStyle name="40% - Accent3 3 2 3 2 3 4" xfId="37053"/>
    <cellStyle name="40% - Accent3 3 2 3 2 4" xfId="25196"/>
    <cellStyle name="40% - Accent3 3 2 3 2 4 2" xfId="27501"/>
    <cellStyle name="40% - Accent3 3 2 3 2 4 2 2" xfId="49746"/>
    <cellStyle name="40% - Accent3 3 2 3 2 4 3" xfId="47441"/>
    <cellStyle name="40% - Accent3 3 2 3 2 5" xfId="26165"/>
    <cellStyle name="40% - Accent3 3 2 3 2 5 2" xfId="48410"/>
    <cellStyle name="40% - Accent3 3 2 3 2 6" xfId="23974"/>
    <cellStyle name="40% - Accent3 3 2 3 2 6 2" xfId="46220"/>
    <cellStyle name="40% - Accent3 3 2 3 2 7" xfId="30421"/>
    <cellStyle name="40% - Accent3 3 2 3 3" xfId="8578"/>
    <cellStyle name="40% - Accent3 3 2 3 3 2" xfId="15290"/>
    <cellStyle name="40% - Accent3 3 2 3 3 2 2" xfId="27001"/>
    <cellStyle name="40% - Accent3 3 2 3 3 2 2 2" xfId="49246"/>
    <cellStyle name="40% - Accent3 3 2 3 3 2 3" xfId="24788"/>
    <cellStyle name="40% - Accent3 3 2 3 3 2 3 2" xfId="47033"/>
    <cellStyle name="40% - Accent3 3 2 3 3 2 4" xfId="38711"/>
    <cellStyle name="40% - Accent3 3 2 3 3 3" xfId="25364"/>
    <cellStyle name="40% - Accent3 3 2 3 3 3 2" xfId="27669"/>
    <cellStyle name="40% - Accent3 3 2 3 3 3 2 2" xfId="49914"/>
    <cellStyle name="40% - Accent3 3 2 3 3 3 3" xfId="47609"/>
    <cellStyle name="40% - Accent3 3 2 3 3 4" xfId="26329"/>
    <cellStyle name="40% - Accent3 3 2 3 3 4 2" xfId="48574"/>
    <cellStyle name="40% - Accent3 3 2 3 3 5" xfId="24125"/>
    <cellStyle name="40% - Accent3 3 2 3 3 5 2" xfId="46371"/>
    <cellStyle name="40% - Accent3 3 2 3 3 6" xfId="32079"/>
    <cellStyle name="40% - Accent3 3 2 3 4" xfId="11972"/>
    <cellStyle name="40% - Accent3 3 2 3 4 2" xfId="26669"/>
    <cellStyle name="40% - Accent3 3 2 3 4 2 2" xfId="48914"/>
    <cellStyle name="40% - Accent3 3 2 3 4 3" xfId="24456"/>
    <cellStyle name="40% - Accent3 3 2 3 4 3 2" xfId="46701"/>
    <cellStyle name="40% - Accent3 3 2 3 4 4" xfId="35395"/>
    <cellStyle name="40% - Accent3 3 2 3 5" xfId="23426"/>
    <cellStyle name="40% - Accent3 3 2 3 5 2" xfId="27333"/>
    <cellStyle name="40% - Accent3 3 2 3 5 2 2" xfId="49578"/>
    <cellStyle name="40% - Accent3 3 2 3 5 3" xfId="45771"/>
    <cellStyle name="40% - Accent3 3 2 3 6" xfId="25767"/>
    <cellStyle name="40% - Accent3 3 2 3 6 2" xfId="48012"/>
    <cellStyle name="40% - Accent3 3 2 3 7" xfId="28763"/>
    <cellStyle name="40% - Accent3 3 2 4" xfId="6910"/>
    <cellStyle name="40% - Accent3 3 2 4 2" xfId="10242"/>
    <cellStyle name="40% - Accent3 3 2 4 2 2" xfId="16946"/>
    <cellStyle name="40% - Accent3 3 2 4 2 2 2" xfId="25036"/>
    <cellStyle name="40% - Accent3 3 2 4 2 2 2 2" xfId="27249"/>
    <cellStyle name="40% - Accent3 3 2 4 2 2 2 2 2" xfId="49494"/>
    <cellStyle name="40% - Accent3 3 2 4 2 2 2 3" xfId="47281"/>
    <cellStyle name="40% - Accent3 3 2 4 2 2 3" xfId="25616"/>
    <cellStyle name="40% - Accent3 3 2 4 2 2 3 2" xfId="27921"/>
    <cellStyle name="40% - Accent3 3 2 4 2 2 3 2 2" xfId="50166"/>
    <cellStyle name="40% - Accent3 3 2 4 2 2 3 3" xfId="47861"/>
    <cellStyle name="40% - Accent3 3 2 4 2 2 4" xfId="26575"/>
    <cellStyle name="40% - Accent3 3 2 4 2 2 4 2" xfId="48820"/>
    <cellStyle name="40% - Accent3 3 2 4 2 2 5" xfId="24371"/>
    <cellStyle name="40% - Accent3 3 2 4 2 2 5 2" xfId="46617"/>
    <cellStyle name="40% - Accent3 3 2 4 2 2 6" xfId="40367"/>
    <cellStyle name="40% - Accent3 3 2 4 2 3" xfId="24704"/>
    <cellStyle name="40% - Accent3 3 2 4 2 3 2" xfId="26917"/>
    <cellStyle name="40% - Accent3 3 2 4 2 3 2 2" xfId="49162"/>
    <cellStyle name="40% - Accent3 3 2 4 2 3 3" xfId="46949"/>
    <cellStyle name="40% - Accent3 3 2 4 2 4" xfId="25280"/>
    <cellStyle name="40% - Accent3 3 2 4 2 4 2" xfId="27585"/>
    <cellStyle name="40% - Accent3 3 2 4 2 4 2 2" xfId="49830"/>
    <cellStyle name="40% - Accent3 3 2 4 2 4 3" xfId="47525"/>
    <cellStyle name="40% - Accent3 3 2 4 2 5" xfId="26246"/>
    <cellStyle name="40% - Accent3 3 2 4 2 5 2" xfId="48491"/>
    <cellStyle name="40% - Accent3 3 2 4 2 6" xfId="24055"/>
    <cellStyle name="40% - Accent3 3 2 4 2 6 2" xfId="46301"/>
    <cellStyle name="40% - Accent3 3 2 4 2 7" xfId="33735"/>
    <cellStyle name="40% - Accent3 3 2 4 3" xfId="13630"/>
    <cellStyle name="40% - Accent3 3 2 4 3 2" xfId="24870"/>
    <cellStyle name="40% - Accent3 3 2 4 3 2 2" xfId="27083"/>
    <cellStyle name="40% - Accent3 3 2 4 3 2 2 2" xfId="49328"/>
    <cellStyle name="40% - Accent3 3 2 4 3 2 3" xfId="47115"/>
    <cellStyle name="40% - Accent3 3 2 4 3 3" xfId="25448"/>
    <cellStyle name="40% - Accent3 3 2 4 3 3 2" xfId="27753"/>
    <cellStyle name="40% - Accent3 3 2 4 3 3 2 2" xfId="49998"/>
    <cellStyle name="40% - Accent3 3 2 4 3 3 3" xfId="47693"/>
    <cellStyle name="40% - Accent3 3 2 4 3 4" xfId="26410"/>
    <cellStyle name="40% - Accent3 3 2 4 3 4 2" xfId="48655"/>
    <cellStyle name="40% - Accent3 3 2 4 3 5" xfId="24206"/>
    <cellStyle name="40% - Accent3 3 2 4 3 5 2" xfId="46452"/>
    <cellStyle name="40% - Accent3 3 2 4 3 6" xfId="37051"/>
    <cellStyle name="40% - Accent3 3 2 4 4" xfId="24538"/>
    <cellStyle name="40% - Accent3 3 2 4 4 2" xfId="26751"/>
    <cellStyle name="40% - Accent3 3 2 4 4 2 2" xfId="48996"/>
    <cellStyle name="40% - Accent3 3 2 4 4 3" xfId="46783"/>
    <cellStyle name="40% - Accent3 3 2 4 5" xfId="25112"/>
    <cellStyle name="40% - Accent3 3 2 4 5 2" xfId="27417"/>
    <cellStyle name="40% - Accent3 3 2 4 5 2 2" xfId="49662"/>
    <cellStyle name="40% - Accent3 3 2 4 5 3" xfId="47357"/>
    <cellStyle name="40% - Accent3 3 2 4 6" xfId="26093"/>
    <cellStyle name="40% - Accent3 3 2 4 6 2" xfId="48338"/>
    <cellStyle name="40% - Accent3 3 2 4 7" xfId="23902"/>
    <cellStyle name="40% - Accent3 3 2 4 7 2" xfId="46148"/>
    <cellStyle name="40% - Accent3 3 2 4 8" xfId="30419"/>
    <cellStyle name="40% - Accent3 3 2 5" xfId="8576"/>
    <cellStyle name="40% - Accent3 3 2 5 2" xfId="15288"/>
    <cellStyle name="40% - Accent3 3 2 5 2 2" xfId="24912"/>
    <cellStyle name="40% - Accent3 3 2 5 2 2 2" xfId="27125"/>
    <cellStyle name="40% - Accent3 3 2 5 2 2 2 2" xfId="49370"/>
    <cellStyle name="40% - Accent3 3 2 5 2 2 3" xfId="47157"/>
    <cellStyle name="40% - Accent3 3 2 5 2 3" xfId="25490"/>
    <cellStyle name="40% - Accent3 3 2 5 2 3 2" xfId="27795"/>
    <cellStyle name="40% - Accent3 3 2 5 2 3 2 2" xfId="50040"/>
    <cellStyle name="40% - Accent3 3 2 5 2 3 3" xfId="47735"/>
    <cellStyle name="40% - Accent3 3 2 5 2 4" xfId="26452"/>
    <cellStyle name="40% - Accent3 3 2 5 2 4 2" xfId="48697"/>
    <cellStyle name="40% - Accent3 3 2 5 2 5" xfId="24248"/>
    <cellStyle name="40% - Accent3 3 2 5 2 5 2" xfId="46494"/>
    <cellStyle name="40% - Accent3 3 2 5 2 6" xfId="38709"/>
    <cellStyle name="40% - Accent3 3 2 5 3" xfId="24580"/>
    <cellStyle name="40% - Accent3 3 2 5 3 2" xfId="26793"/>
    <cellStyle name="40% - Accent3 3 2 5 3 2 2" xfId="49038"/>
    <cellStyle name="40% - Accent3 3 2 5 3 3" xfId="46825"/>
    <cellStyle name="40% - Accent3 3 2 5 4" xfId="25154"/>
    <cellStyle name="40% - Accent3 3 2 5 4 2" xfId="27459"/>
    <cellStyle name="40% - Accent3 3 2 5 4 2 2" xfId="49704"/>
    <cellStyle name="40% - Accent3 3 2 5 4 3" xfId="47399"/>
    <cellStyle name="40% - Accent3 3 2 5 5" xfId="26125"/>
    <cellStyle name="40% - Accent3 3 2 5 5 2" xfId="48370"/>
    <cellStyle name="40% - Accent3 3 2 5 6" xfId="23934"/>
    <cellStyle name="40% - Accent3 3 2 5 6 2" xfId="46180"/>
    <cellStyle name="40% - Accent3 3 2 5 7" xfId="32077"/>
    <cellStyle name="40% - Accent3 3 2 6" xfId="11970"/>
    <cellStyle name="40% - Accent3 3 2 6 2" xfId="24746"/>
    <cellStyle name="40% - Accent3 3 2 6 2 2" xfId="26959"/>
    <cellStyle name="40% - Accent3 3 2 6 2 2 2" xfId="49204"/>
    <cellStyle name="40% - Accent3 3 2 6 2 3" xfId="46991"/>
    <cellStyle name="40% - Accent3 3 2 6 3" xfId="25322"/>
    <cellStyle name="40% - Accent3 3 2 6 3 2" xfId="27627"/>
    <cellStyle name="40% - Accent3 3 2 6 3 2 2" xfId="49872"/>
    <cellStyle name="40% - Accent3 3 2 6 3 3" xfId="47567"/>
    <cellStyle name="40% - Accent3 3 2 6 4" xfId="26287"/>
    <cellStyle name="40% - Accent3 3 2 6 4 2" xfId="48532"/>
    <cellStyle name="40% - Accent3 3 2 6 5" xfId="24083"/>
    <cellStyle name="40% - Accent3 3 2 6 5 2" xfId="46329"/>
    <cellStyle name="40% - Accent3 3 2 6 6" xfId="35393"/>
    <cellStyle name="40% - Accent3 3 2 7" xfId="23427"/>
    <cellStyle name="40% - Accent3 3 2 7 2" xfId="26627"/>
    <cellStyle name="40% - Accent3 3 2 7 2 2" xfId="48872"/>
    <cellStyle name="40% - Accent3 3 2 7 3" xfId="45772"/>
    <cellStyle name="40% - Accent3 3 2 8" xfId="25078"/>
    <cellStyle name="40% - Accent3 3 2 8 2" xfId="27291"/>
    <cellStyle name="40% - Accent3 3 2 8 2 2" xfId="49536"/>
    <cellStyle name="40% - Accent3 3 2 8 3" xfId="47323"/>
    <cellStyle name="40% - Accent3 3 2 9" xfId="25765"/>
    <cellStyle name="40% - Accent3 3 2 9 2" xfId="48010"/>
    <cellStyle name="40% - Accent3 3 3" xfId="3200"/>
    <cellStyle name="40% - Accent3 3 3 2" xfId="6913"/>
    <cellStyle name="40% - Accent3 3 3 2 2" xfId="10245"/>
    <cellStyle name="40% - Accent3 3 3 2 2 2" xfId="16949"/>
    <cellStyle name="40% - Accent3 3 3 2 2 2 2" xfId="27188"/>
    <cellStyle name="40% - Accent3 3 3 2 2 2 2 2" xfId="49433"/>
    <cellStyle name="40% - Accent3 3 3 2 2 2 3" xfId="24975"/>
    <cellStyle name="40% - Accent3 3 3 2 2 2 3 2" xfId="47220"/>
    <cellStyle name="40% - Accent3 3 3 2 2 2 4" xfId="40370"/>
    <cellStyle name="40% - Accent3 3 3 2 2 3" xfId="25553"/>
    <cellStyle name="40% - Accent3 3 3 2 2 3 2" xfId="27858"/>
    <cellStyle name="40% - Accent3 3 3 2 2 3 2 2" xfId="50103"/>
    <cellStyle name="40% - Accent3 3 3 2 2 3 3" xfId="47798"/>
    <cellStyle name="40% - Accent3 3 3 2 2 4" xfId="26514"/>
    <cellStyle name="40% - Accent3 3 3 2 2 4 2" xfId="48759"/>
    <cellStyle name="40% - Accent3 3 3 2 2 5" xfId="24310"/>
    <cellStyle name="40% - Accent3 3 3 2 2 5 2" xfId="46556"/>
    <cellStyle name="40% - Accent3 3 3 2 2 6" xfId="33738"/>
    <cellStyle name="40% - Accent3 3 3 2 3" xfId="13633"/>
    <cellStyle name="40% - Accent3 3 3 2 3 2" xfId="26856"/>
    <cellStyle name="40% - Accent3 3 3 2 3 2 2" xfId="49101"/>
    <cellStyle name="40% - Accent3 3 3 2 3 3" xfId="24643"/>
    <cellStyle name="40% - Accent3 3 3 2 3 3 2" xfId="46888"/>
    <cellStyle name="40% - Accent3 3 3 2 3 4" xfId="37054"/>
    <cellStyle name="40% - Accent3 3 3 2 4" xfId="25217"/>
    <cellStyle name="40% - Accent3 3 3 2 4 2" xfId="27522"/>
    <cellStyle name="40% - Accent3 3 3 2 4 2 2" xfId="49767"/>
    <cellStyle name="40% - Accent3 3 3 2 4 3" xfId="47462"/>
    <cellStyle name="40% - Accent3 3 3 2 5" xfId="26185"/>
    <cellStyle name="40% - Accent3 3 3 2 5 2" xfId="48430"/>
    <cellStyle name="40% - Accent3 3 3 2 6" xfId="23994"/>
    <cellStyle name="40% - Accent3 3 3 2 6 2" xfId="46240"/>
    <cellStyle name="40% - Accent3 3 3 2 7" xfId="30422"/>
    <cellStyle name="40% - Accent3 3 3 3" xfId="8579"/>
    <cellStyle name="40% - Accent3 3 3 3 2" xfId="15291"/>
    <cellStyle name="40% - Accent3 3 3 3 2 2" xfId="27022"/>
    <cellStyle name="40% - Accent3 3 3 3 2 2 2" xfId="49267"/>
    <cellStyle name="40% - Accent3 3 3 3 2 3" xfId="24809"/>
    <cellStyle name="40% - Accent3 3 3 3 2 3 2" xfId="47054"/>
    <cellStyle name="40% - Accent3 3 3 3 2 4" xfId="38712"/>
    <cellStyle name="40% - Accent3 3 3 3 3" xfId="25385"/>
    <cellStyle name="40% - Accent3 3 3 3 3 2" xfId="27690"/>
    <cellStyle name="40% - Accent3 3 3 3 3 2 2" xfId="49935"/>
    <cellStyle name="40% - Accent3 3 3 3 3 3" xfId="47630"/>
    <cellStyle name="40% - Accent3 3 3 3 4" xfId="26349"/>
    <cellStyle name="40% - Accent3 3 3 3 4 2" xfId="48594"/>
    <cellStyle name="40% - Accent3 3 3 3 5" xfId="24145"/>
    <cellStyle name="40% - Accent3 3 3 3 5 2" xfId="46391"/>
    <cellStyle name="40% - Accent3 3 3 3 6" xfId="32080"/>
    <cellStyle name="40% - Accent3 3 3 4" xfId="11973"/>
    <cellStyle name="40% - Accent3 3 3 4 2" xfId="26690"/>
    <cellStyle name="40% - Accent3 3 3 4 2 2" xfId="48935"/>
    <cellStyle name="40% - Accent3 3 3 4 3" xfId="24477"/>
    <cellStyle name="40% - Accent3 3 3 4 3 2" xfId="46722"/>
    <cellStyle name="40% - Accent3 3 3 4 4" xfId="35396"/>
    <cellStyle name="40% - Accent3 3 3 5" xfId="23306"/>
    <cellStyle name="40% - Accent3 3 3 5 2" xfId="27354"/>
    <cellStyle name="40% - Accent3 3 3 5 2 2" xfId="49599"/>
    <cellStyle name="40% - Accent3 3 3 5 3" xfId="45698"/>
    <cellStyle name="40% - Accent3 3 3 6" xfId="25768"/>
    <cellStyle name="40% - Accent3 3 3 6 2" xfId="48013"/>
    <cellStyle name="40% - Accent3 3 3 7" xfId="28764"/>
    <cellStyle name="40% - Accent3 3 4" xfId="3201"/>
    <cellStyle name="40% - Accent3 3 4 2" xfId="6914"/>
    <cellStyle name="40% - Accent3 3 4 2 2" xfId="10246"/>
    <cellStyle name="40% - Accent3 3 4 2 2 2" xfId="16950"/>
    <cellStyle name="40% - Accent3 3 4 2 2 2 2" xfId="27146"/>
    <cellStyle name="40% - Accent3 3 4 2 2 2 2 2" xfId="49391"/>
    <cellStyle name="40% - Accent3 3 4 2 2 2 3" xfId="24933"/>
    <cellStyle name="40% - Accent3 3 4 2 2 2 3 2" xfId="47178"/>
    <cellStyle name="40% - Accent3 3 4 2 2 2 4" xfId="40371"/>
    <cellStyle name="40% - Accent3 3 4 2 2 3" xfId="25511"/>
    <cellStyle name="40% - Accent3 3 4 2 2 3 2" xfId="27816"/>
    <cellStyle name="40% - Accent3 3 4 2 2 3 2 2" xfId="50061"/>
    <cellStyle name="40% - Accent3 3 4 2 2 3 3" xfId="47756"/>
    <cellStyle name="40% - Accent3 3 4 2 2 4" xfId="26473"/>
    <cellStyle name="40% - Accent3 3 4 2 2 4 2" xfId="48718"/>
    <cellStyle name="40% - Accent3 3 4 2 2 5" xfId="24269"/>
    <cellStyle name="40% - Accent3 3 4 2 2 5 2" xfId="46515"/>
    <cellStyle name="40% - Accent3 3 4 2 2 6" xfId="33739"/>
    <cellStyle name="40% - Accent3 3 4 2 3" xfId="13634"/>
    <cellStyle name="40% - Accent3 3 4 2 3 2" xfId="26814"/>
    <cellStyle name="40% - Accent3 3 4 2 3 2 2" xfId="49059"/>
    <cellStyle name="40% - Accent3 3 4 2 3 3" xfId="24601"/>
    <cellStyle name="40% - Accent3 3 4 2 3 3 2" xfId="46846"/>
    <cellStyle name="40% - Accent3 3 4 2 3 4" xfId="37055"/>
    <cellStyle name="40% - Accent3 3 4 2 4" xfId="25175"/>
    <cellStyle name="40% - Accent3 3 4 2 4 2" xfId="27480"/>
    <cellStyle name="40% - Accent3 3 4 2 4 2 2" xfId="49725"/>
    <cellStyle name="40% - Accent3 3 4 2 4 3" xfId="47420"/>
    <cellStyle name="40% - Accent3 3 4 2 5" xfId="26145"/>
    <cellStyle name="40% - Accent3 3 4 2 5 2" xfId="48390"/>
    <cellStyle name="40% - Accent3 3 4 2 6" xfId="23954"/>
    <cellStyle name="40% - Accent3 3 4 2 6 2" xfId="46200"/>
    <cellStyle name="40% - Accent3 3 4 2 7" xfId="30423"/>
    <cellStyle name="40% - Accent3 3 4 3" xfId="8580"/>
    <cellStyle name="40% - Accent3 3 4 3 2" xfId="15292"/>
    <cellStyle name="40% - Accent3 3 4 3 2 2" xfId="26980"/>
    <cellStyle name="40% - Accent3 3 4 3 2 2 2" xfId="49225"/>
    <cellStyle name="40% - Accent3 3 4 3 2 3" xfId="24767"/>
    <cellStyle name="40% - Accent3 3 4 3 2 3 2" xfId="47012"/>
    <cellStyle name="40% - Accent3 3 4 3 2 4" xfId="38713"/>
    <cellStyle name="40% - Accent3 3 4 3 3" xfId="25343"/>
    <cellStyle name="40% - Accent3 3 4 3 3 2" xfId="27648"/>
    <cellStyle name="40% - Accent3 3 4 3 3 2 2" xfId="49893"/>
    <cellStyle name="40% - Accent3 3 4 3 3 3" xfId="47588"/>
    <cellStyle name="40% - Accent3 3 4 3 4" xfId="26308"/>
    <cellStyle name="40% - Accent3 3 4 3 4 2" xfId="48553"/>
    <cellStyle name="40% - Accent3 3 4 3 5" xfId="24104"/>
    <cellStyle name="40% - Accent3 3 4 3 5 2" xfId="46350"/>
    <cellStyle name="40% - Accent3 3 4 3 6" xfId="32081"/>
    <cellStyle name="40% - Accent3 3 4 4" xfId="11974"/>
    <cellStyle name="40% - Accent3 3 4 4 2" xfId="26648"/>
    <cellStyle name="40% - Accent3 3 4 4 2 2" xfId="48893"/>
    <cellStyle name="40% - Accent3 3 4 4 3" xfId="24435"/>
    <cellStyle name="40% - Accent3 3 4 4 3 2" xfId="46680"/>
    <cellStyle name="40% - Accent3 3 4 4 4" xfId="35397"/>
    <cellStyle name="40% - Accent3 3 4 5" xfId="23425"/>
    <cellStyle name="40% - Accent3 3 4 5 2" xfId="27312"/>
    <cellStyle name="40% - Accent3 3 4 5 2 2" xfId="49557"/>
    <cellStyle name="40% - Accent3 3 4 5 3" xfId="45770"/>
    <cellStyle name="40% - Accent3 3 4 6" xfId="25769"/>
    <cellStyle name="40% - Accent3 3 4 6 2" xfId="48014"/>
    <cellStyle name="40% - Accent3 3 4 7" xfId="28765"/>
    <cellStyle name="40% - Accent3 3 5" xfId="3202"/>
    <cellStyle name="40% - Accent3 3 5 2" xfId="24034"/>
    <cellStyle name="40% - Accent3 3 5 2 2" xfId="24350"/>
    <cellStyle name="40% - Accent3 3 5 2 2 2" xfId="25015"/>
    <cellStyle name="40% - Accent3 3 5 2 2 2 2" xfId="27228"/>
    <cellStyle name="40% - Accent3 3 5 2 2 2 2 2" xfId="49473"/>
    <cellStyle name="40% - Accent3 3 5 2 2 2 3" xfId="47260"/>
    <cellStyle name="40% - Accent3 3 5 2 2 3" xfId="25595"/>
    <cellStyle name="40% - Accent3 3 5 2 2 3 2" xfId="27900"/>
    <cellStyle name="40% - Accent3 3 5 2 2 3 2 2" xfId="50145"/>
    <cellStyle name="40% - Accent3 3 5 2 2 3 3" xfId="47840"/>
    <cellStyle name="40% - Accent3 3 5 2 2 4" xfId="26554"/>
    <cellStyle name="40% - Accent3 3 5 2 2 4 2" xfId="48799"/>
    <cellStyle name="40% - Accent3 3 5 2 2 5" xfId="46596"/>
    <cellStyle name="40% - Accent3 3 5 2 3" xfId="24683"/>
    <cellStyle name="40% - Accent3 3 5 2 3 2" xfId="26896"/>
    <cellStyle name="40% - Accent3 3 5 2 3 2 2" xfId="49141"/>
    <cellStyle name="40% - Accent3 3 5 2 3 3" xfId="46928"/>
    <cellStyle name="40% - Accent3 3 5 2 4" xfId="25259"/>
    <cellStyle name="40% - Accent3 3 5 2 4 2" xfId="27564"/>
    <cellStyle name="40% - Accent3 3 5 2 4 2 2" xfId="49809"/>
    <cellStyle name="40% - Accent3 3 5 2 4 3" xfId="47504"/>
    <cellStyle name="40% - Accent3 3 5 2 5" xfId="26225"/>
    <cellStyle name="40% - Accent3 3 5 2 5 2" xfId="48470"/>
    <cellStyle name="40% - Accent3 3 5 2 6" xfId="46280"/>
    <cellStyle name="40% - Accent3 3 5 3" xfId="24185"/>
    <cellStyle name="40% - Accent3 3 5 3 2" xfId="24849"/>
    <cellStyle name="40% - Accent3 3 5 3 2 2" xfId="27062"/>
    <cellStyle name="40% - Accent3 3 5 3 2 2 2" xfId="49307"/>
    <cellStyle name="40% - Accent3 3 5 3 2 3" xfId="47094"/>
    <cellStyle name="40% - Accent3 3 5 3 3" xfId="25427"/>
    <cellStyle name="40% - Accent3 3 5 3 3 2" xfId="27732"/>
    <cellStyle name="40% - Accent3 3 5 3 3 2 2" xfId="49977"/>
    <cellStyle name="40% - Accent3 3 5 3 3 3" xfId="47672"/>
    <cellStyle name="40% - Accent3 3 5 3 4" xfId="26389"/>
    <cellStyle name="40% - Accent3 3 5 3 4 2" xfId="48634"/>
    <cellStyle name="40% - Accent3 3 5 3 5" xfId="46431"/>
    <cellStyle name="40% - Accent3 3 5 4" xfId="24517"/>
    <cellStyle name="40% - Accent3 3 5 4 2" xfId="26730"/>
    <cellStyle name="40% - Accent3 3 5 4 2 2" xfId="48975"/>
    <cellStyle name="40% - Accent3 3 5 4 3" xfId="46762"/>
    <cellStyle name="40% - Accent3 3 5 5" xfId="25097"/>
    <cellStyle name="40% - Accent3 3 5 5 2" xfId="27396"/>
    <cellStyle name="40% - Accent3 3 5 5 2 2" xfId="49641"/>
    <cellStyle name="40% - Accent3 3 5 5 3" xfId="47342"/>
    <cellStyle name="40% - Accent3 3 5 6" xfId="23887"/>
    <cellStyle name="40% - Accent3 3 5 6 2" xfId="26078"/>
    <cellStyle name="40% - Accent3 3 5 6 2 2" xfId="48323"/>
    <cellStyle name="40% - Accent3 3 5 6 3" xfId="46133"/>
    <cellStyle name="40% - Accent3 3 6" xfId="3196"/>
    <cellStyle name="40% - Accent3 3 6 2" xfId="6909"/>
    <cellStyle name="40% - Accent3 3 6 2 2" xfId="10241"/>
    <cellStyle name="40% - Accent3 3 6 2 2 2" xfId="16945"/>
    <cellStyle name="40% - Accent3 3 6 2 2 2 2" xfId="27104"/>
    <cellStyle name="40% - Accent3 3 6 2 2 2 2 2" xfId="49349"/>
    <cellStyle name="40% - Accent3 3 6 2 2 2 3" xfId="40366"/>
    <cellStyle name="40% - Accent3 3 6 2 2 3" xfId="24891"/>
    <cellStyle name="40% - Accent3 3 6 2 2 3 2" xfId="47136"/>
    <cellStyle name="40% - Accent3 3 6 2 2 4" xfId="33734"/>
    <cellStyle name="40% - Accent3 3 6 2 3" xfId="13629"/>
    <cellStyle name="40% - Accent3 3 6 2 3 2" xfId="27774"/>
    <cellStyle name="40% - Accent3 3 6 2 3 2 2" xfId="50019"/>
    <cellStyle name="40% - Accent3 3 6 2 3 3" xfId="25469"/>
    <cellStyle name="40% - Accent3 3 6 2 3 3 2" xfId="47714"/>
    <cellStyle name="40% - Accent3 3 6 2 3 4" xfId="37050"/>
    <cellStyle name="40% - Accent3 3 6 2 4" xfId="26431"/>
    <cellStyle name="40% - Accent3 3 6 2 4 2" xfId="48676"/>
    <cellStyle name="40% - Accent3 3 6 2 5" xfId="24227"/>
    <cellStyle name="40% - Accent3 3 6 2 5 2" xfId="46473"/>
    <cellStyle name="40% - Accent3 3 6 2 6" xfId="30418"/>
    <cellStyle name="40% - Accent3 3 6 3" xfId="8575"/>
    <cellStyle name="40% - Accent3 3 6 3 2" xfId="15287"/>
    <cellStyle name="40% - Accent3 3 6 3 2 2" xfId="26772"/>
    <cellStyle name="40% - Accent3 3 6 3 2 2 2" xfId="49017"/>
    <cellStyle name="40% - Accent3 3 6 3 2 3" xfId="38708"/>
    <cellStyle name="40% - Accent3 3 6 3 3" xfId="24559"/>
    <cellStyle name="40% - Accent3 3 6 3 3 2" xfId="46804"/>
    <cellStyle name="40% - Accent3 3 6 3 4" xfId="32076"/>
    <cellStyle name="40% - Accent3 3 6 4" xfId="11969"/>
    <cellStyle name="40% - Accent3 3 6 4 2" xfId="27438"/>
    <cellStyle name="40% - Accent3 3 6 4 2 2" xfId="49683"/>
    <cellStyle name="40% - Accent3 3 6 4 3" xfId="25133"/>
    <cellStyle name="40% - Accent3 3 6 4 3 2" xfId="47378"/>
    <cellStyle name="40% - Accent3 3 6 4 4" xfId="35392"/>
    <cellStyle name="40% - Accent3 3 6 5" xfId="25764"/>
    <cellStyle name="40% - Accent3 3 6 5 2" xfId="48009"/>
    <cellStyle name="40% - Accent3 3 6 6" xfId="23849"/>
    <cellStyle name="40% - Accent3 3 6 6 2" xfId="46114"/>
    <cellStyle name="40% - Accent3 3 6 7" xfId="28760"/>
    <cellStyle name="40% - Accent3 3 7" xfId="23428"/>
    <cellStyle name="40% - Accent3 3 7 2" xfId="24725"/>
    <cellStyle name="40% - Accent3 3 7 2 2" xfId="26938"/>
    <cellStyle name="40% - Accent3 3 7 2 2 2" xfId="49183"/>
    <cellStyle name="40% - Accent3 3 7 2 3" xfId="46970"/>
    <cellStyle name="40% - Accent3 3 7 3" xfId="25301"/>
    <cellStyle name="40% - Accent3 3 7 3 2" xfId="27606"/>
    <cellStyle name="40% - Accent3 3 7 3 2 2" xfId="49851"/>
    <cellStyle name="40% - Accent3 3 7 3 3" xfId="47546"/>
    <cellStyle name="40% - Accent3 3 7 4" xfId="26266"/>
    <cellStyle name="40% - Accent3 3 7 4 2" xfId="48511"/>
    <cellStyle name="40% - Accent3 3 7 5" xfId="45773"/>
    <cellStyle name="40% - Accent3 3 8" xfId="24403"/>
    <cellStyle name="40% - Accent3 3 8 2" xfId="26606"/>
    <cellStyle name="40% - Accent3 3 8 2 2" xfId="48851"/>
    <cellStyle name="40% - Accent3 3 8 3" xfId="46648"/>
    <cellStyle name="40% - Accent3 3 9" xfId="25057"/>
    <cellStyle name="40% - Accent3 3 9 2" xfId="27270"/>
    <cellStyle name="40% - Accent3 3 9 2 2" xfId="49515"/>
    <cellStyle name="40% - Accent3 3 9 3" xfId="47302"/>
    <cellStyle name="40% - Accent3 4" xfId="3195"/>
    <cellStyle name="40% - Accent3 4 2" xfId="25709"/>
    <cellStyle name="40% - Accent3 4 2 2" xfId="47954"/>
    <cellStyle name="40% - Accent3 5" xfId="7766"/>
    <cellStyle name="40% - Accent3 5 2" xfId="11095"/>
    <cellStyle name="40% - Accent3 5 2 2" xfId="17799"/>
    <cellStyle name="40% - Accent3 5 2 2 2" xfId="41220"/>
    <cellStyle name="40% - Accent3 5 2 3" xfId="34588"/>
    <cellStyle name="40% - Accent3 5 3" xfId="14483"/>
    <cellStyle name="40% - Accent3 5 3 2" xfId="37904"/>
    <cellStyle name="40% - Accent3 5 4" xfId="31272"/>
    <cellStyle name="40% - Accent3 6" xfId="9437"/>
    <cellStyle name="40% - Accent3 6 2" xfId="16141"/>
    <cellStyle name="40% - Accent3 6 2 2" xfId="39562"/>
    <cellStyle name="40% - Accent3 6 3" xfId="32930"/>
    <cellStyle name="40% - Accent3 7" xfId="12825"/>
    <cellStyle name="40% - Accent3 7 2" xfId="36246"/>
    <cellStyle name="40% - Accent3 8" xfId="23835"/>
    <cellStyle name="40% - Accent3 8 2" xfId="46101"/>
    <cellStyle name="40% - Accent3 9" xfId="6094"/>
    <cellStyle name="40% - Accent3 9 2" xfId="29614"/>
    <cellStyle name="40% - Accent4" xfId="16" builtinId="43" customBuiltin="1"/>
    <cellStyle name="40% - Accent4 2" xfId="275"/>
    <cellStyle name="40% - Accent4 2 2" xfId="276"/>
    <cellStyle name="40% - Accent4 2 3" xfId="5119"/>
    <cellStyle name="40% - Accent4 2 4" xfId="3204"/>
    <cellStyle name="40% - Accent4 3" xfId="1082"/>
    <cellStyle name="40% - Accent4 3 10" xfId="23638"/>
    <cellStyle name="40% - Accent4 3 2" xfId="3206"/>
    <cellStyle name="40% - Accent4 3 2 10" xfId="28767"/>
    <cellStyle name="40% - Accent4 3 2 2" xfId="3207"/>
    <cellStyle name="40% - Accent4 3 2 2 2" xfId="6917"/>
    <cellStyle name="40% - Accent4 3 2 2 2 2" xfId="10249"/>
    <cellStyle name="40% - Accent4 3 2 2 2 2 2" xfId="16953"/>
    <cellStyle name="40% - Accent4 3 2 2 2 2 2 2" xfId="27209"/>
    <cellStyle name="40% - Accent4 3 2 2 2 2 2 2 2" xfId="49454"/>
    <cellStyle name="40% - Accent4 3 2 2 2 2 2 3" xfId="24996"/>
    <cellStyle name="40% - Accent4 3 2 2 2 2 2 3 2" xfId="47241"/>
    <cellStyle name="40% - Accent4 3 2 2 2 2 2 4" xfId="40374"/>
    <cellStyle name="40% - Accent4 3 2 2 2 2 3" xfId="25575"/>
    <cellStyle name="40% - Accent4 3 2 2 2 2 3 2" xfId="27880"/>
    <cellStyle name="40% - Accent4 3 2 2 2 2 3 2 2" xfId="50125"/>
    <cellStyle name="40% - Accent4 3 2 2 2 2 3 3" xfId="47820"/>
    <cellStyle name="40% - Accent4 3 2 2 2 2 4" xfId="26535"/>
    <cellStyle name="40% - Accent4 3 2 2 2 2 4 2" xfId="48780"/>
    <cellStyle name="40% - Accent4 3 2 2 2 2 5" xfId="24331"/>
    <cellStyle name="40% - Accent4 3 2 2 2 2 5 2" xfId="46577"/>
    <cellStyle name="40% - Accent4 3 2 2 2 2 6" xfId="33742"/>
    <cellStyle name="40% - Accent4 3 2 2 2 3" xfId="13637"/>
    <cellStyle name="40% - Accent4 3 2 2 2 3 2" xfId="26877"/>
    <cellStyle name="40% - Accent4 3 2 2 2 3 2 2" xfId="49122"/>
    <cellStyle name="40% - Accent4 3 2 2 2 3 3" xfId="24664"/>
    <cellStyle name="40% - Accent4 3 2 2 2 3 3 2" xfId="46909"/>
    <cellStyle name="40% - Accent4 3 2 2 2 3 4" xfId="37058"/>
    <cellStyle name="40% - Accent4 3 2 2 2 4" xfId="25239"/>
    <cellStyle name="40% - Accent4 3 2 2 2 4 2" xfId="27544"/>
    <cellStyle name="40% - Accent4 3 2 2 2 4 2 2" xfId="49789"/>
    <cellStyle name="40% - Accent4 3 2 2 2 4 3" xfId="47484"/>
    <cellStyle name="40% - Accent4 3 2 2 2 5" xfId="26206"/>
    <cellStyle name="40% - Accent4 3 2 2 2 5 2" xfId="48451"/>
    <cellStyle name="40% - Accent4 3 2 2 2 6" xfId="24015"/>
    <cellStyle name="40% - Accent4 3 2 2 2 6 2" xfId="46261"/>
    <cellStyle name="40% - Accent4 3 2 2 2 7" xfId="30426"/>
    <cellStyle name="40% - Accent4 3 2 2 3" xfId="8583"/>
    <cellStyle name="40% - Accent4 3 2 2 3 2" xfId="15295"/>
    <cellStyle name="40% - Accent4 3 2 2 3 2 2" xfId="27043"/>
    <cellStyle name="40% - Accent4 3 2 2 3 2 2 2" xfId="49288"/>
    <cellStyle name="40% - Accent4 3 2 2 3 2 3" xfId="24830"/>
    <cellStyle name="40% - Accent4 3 2 2 3 2 3 2" xfId="47075"/>
    <cellStyle name="40% - Accent4 3 2 2 3 2 4" xfId="38716"/>
    <cellStyle name="40% - Accent4 3 2 2 3 3" xfId="25407"/>
    <cellStyle name="40% - Accent4 3 2 2 3 3 2" xfId="27712"/>
    <cellStyle name="40% - Accent4 3 2 2 3 3 2 2" xfId="49957"/>
    <cellStyle name="40% - Accent4 3 2 2 3 3 3" xfId="47652"/>
    <cellStyle name="40% - Accent4 3 2 2 3 4" xfId="26370"/>
    <cellStyle name="40% - Accent4 3 2 2 3 4 2" xfId="48615"/>
    <cellStyle name="40% - Accent4 3 2 2 3 5" xfId="24166"/>
    <cellStyle name="40% - Accent4 3 2 2 3 5 2" xfId="46412"/>
    <cellStyle name="40% - Accent4 3 2 2 3 6" xfId="32084"/>
    <cellStyle name="40% - Accent4 3 2 2 4" xfId="11977"/>
    <cellStyle name="40% - Accent4 3 2 2 4 2" xfId="26711"/>
    <cellStyle name="40% - Accent4 3 2 2 4 2 2" xfId="48956"/>
    <cellStyle name="40% - Accent4 3 2 2 4 3" xfId="24498"/>
    <cellStyle name="40% - Accent4 3 2 2 4 3 2" xfId="46743"/>
    <cellStyle name="40% - Accent4 3 2 2 4 4" xfId="35400"/>
    <cellStyle name="40% - Accent4 3 2 2 5" xfId="23423"/>
    <cellStyle name="40% - Accent4 3 2 2 5 2" xfId="27376"/>
    <cellStyle name="40% - Accent4 3 2 2 5 2 2" xfId="49621"/>
    <cellStyle name="40% - Accent4 3 2 2 5 3" xfId="45768"/>
    <cellStyle name="40% - Accent4 3 2 2 6" xfId="25772"/>
    <cellStyle name="40% - Accent4 3 2 2 6 2" xfId="48017"/>
    <cellStyle name="40% - Accent4 3 2 2 7" xfId="28768"/>
    <cellStyle name="40% - Accent4 3 2 3" xfId="3208"/>
    <cellStyle name="40% - Accent4 3 2 3 2" xfId="6918"/>
    <cellStyle name="40% - Accent4 3 2 3 2 2" xfId="10250"/>
    <cellStyle name="40% - Accent4 3 2 3 2 2 2" xfId="16954"/>
    <cellStyle name="40% - Accent4 3 2 3 2 2 2 2" xfId="27168"/>
    <cellStyle name="40% - Accent4 3 2 3 2 2 2 2 2" xfId="49413"/>
    <cellStyle name="40% - Accent4 3 2 3 2 2 2 3" xfId="24955"/>
    <cellStyle name="40% - Accent4 3 2 3 2 2 2 3 2" xfId="47200"/>
    <cellStyle name="40% - Accent4 3 2 3 2 2 2 4" xfId="40375"/>
    <cellStyle name="40% - Accent4 3 2 3 2 2 3" xfId="25533"/>
    <cellStyle name="40% - Accent4 3 2 3 2 2 3 2" xfId="27838"/>
    <cellStyle name="40% - Accent4 3 2 3 2 2 3 2 2" xfId="50083"/>
    <cellStyle name="40% - Accent4 3 2 3 2 2 3 3" xfId="47778"/>
    <cellStyle name="40% - Accent4 3 2 3 2 2 4" xfId="26495"/>
    <cellStyle name="40% - Accent4 3 2 3 2 2 4 2" xfId="48740"/>
    <cellStyle name="40% - Accent4 3 2 3 2 2 5" xfId="24291"/>
    <cellStyle name="40% - Accent4 3 2 3 2 2 5 2" xfId="46537"/>
    <cellStyle name="40% - Accent4 3 2 3 2 2 6" xfId="33743"/>
    <cellStyle name="40% - Accent4 3 2 3 2 3" xfId="13638"/>
    <cellStyle name="40% - Accent4 3 2 3 2 3 2" xfId="26836"/>
    <cellStyle name="40% - Accent4 3 2 3 2 3 2 2" xfId="49081"/>
    <cellStyle name="40% - Accent4 3 2 3 2 3 3" xfId="24623"/>
    <cellStyle name="40% - Accent4 3 2 3 2 3 3 2" xfId="46868"/>
    <cellStyle name="40% - Accent4 3 2 3 2 3 4" xfId="37059"/>
    <cellStyle name="40% - Accent4 3 2 3 2 4" xfId="25197"/>
    <cellStyle name="40% - Accent4 3 2 3 2 4 2" xfId="27502"/>
    <cellStyle name="40% - Accent4 3 2 3 2 4 2 2" xfId="49747"/>
    <cellStyle name="40% - Accent4 3 2 3 2 4 3" xfId="47442"/>
    <cellStyle name="40% - Accent4 3 2 3 2 5" xfId="26166"/>
    <cellStyle name="40% - Accent4 3 2 3 2 5 2" xfId="48411"/>
    <cellStyle name="40% - Accent4 3 2 3 2 6" xfId="23975"/>
    <cellStyle name="40% - Accent4 3 2 3 2 6 2" xfId="46221"/>
    <cellStyle name="40% - Accent4 3 2 3 2 7" xfId="30427"/>
    <cellStyle name="40% - Accent4 3 2 3 3" xfId="8584"/>
    <cellStyle name="40% - Accent4 3 2 3 3 2" xfId="15296"/>
    <cellStyle name="40% - Accent4 3 2 3 3 2 2" xfId="27002"/>
    <cellStyle name="40% - Accent4 3 2 3 3 2 2 2" xfId="49247"/>
    <cellStyle name="40% - Accent4 3 2 3 3 2 3" xfId="24789"/>
    <cellStyle name="40% - Accent4 3 2 3 3 2 3 2" xfId="47034"/>
    <cellStyle name="40% - Accent4 3 2 3 3 2 4" xfId="38717"/>
    <cellStyle name="40% - Accent4 3 2 3 3 3" xfId="25365"/>
    <cellStyle name="40% - Accent4 3 2 3 3 3 2" xfId="27670"/>
    <cellStyle name="40% - Accent4 3 2 3 3 3 2 2" xfId="49915"/>
    <cellStyle name="40% - Accent4 3 2 3 3 3 3" xfId="47610"/>
    <cellStyle name="40% - Accent4 3 2 3 3 4" xfId="26330"/>
    <cellStyle name="40% - Accent4 3 2 3 3 4 2" xfId="48575"/>
    <cellStyle name="40% - Accent4 3 2 3 3 5" xfId="24126"/>
    <cellStyle name="40% - Accent4 3 2 3 3 5 2" xfId="46372"/>
    <cellStyle name="40% - Accent4 3 2 3 3 6" xfId="32085"/>
    <cellStyle name="40% - Accent4 3 2 3 4" xfId="11978"/>
    <cellStyle name="40% - Accent4 3 2 3 4 2" xfId="26670"/>
    <cellStyle name="40% - Accent4 3 2 3 4 2 2" xfId="48915"/>
    <cellStyle name="40% - Accent4 3 2 3 4 3" xfId="24457"/>
    <cellStyle name="40% - Accent4 3 2 3 4 3 2" xfId="46702"/>
    <cellStyle name="40% - Accent4 3 2 3 4 4" xfId="35401"/>
    <cellStyle name="40% - Accent4 3 2 3 5" xfId="23422"/>
    <cellStyle name="40% - Accent4 3 2 3 5 2" xfId="27334"/>
    <cellStyle name="40% - Accent4 3 2 3 5 2 2" xfId="49579"/>
    <cellStyle name="40% - Accent4 3 2 3 5 3" xfId="45767"/>
    <cellStyle name="40% - Accent4 3 2 3 6" xfId="25773"/>
    <cellStyle name="40% - Accent4 3 2 3 6 2" xfId="48018"/>
    <cellStyle name="40% - Accent4 3 2 3 7" xfId="28769"/>
    <cellStyle name="40% - Accent4 3 2 4" xfId="6916"/>
    <cellStyle name="40% - Accent4 3 2 4 2" xfId="10248"/>
    <cellStyle name="40% - Accent4 3 2 4 2 2" xfId="16952"/>
    <cellStyle name="40% - Accent4 3 2 4 2 2 2" xfId="25037"/>
    <cellStyle name="40% - Accent4 3 2 4 2 2 2 2" xfId="27250"/>
    <cellStyle name="40% - Accent4 3 2 4 2 2 2 2 2" xfId="49495"/>
    <cellStyle name="40% - Accent4 3 2 4 2 2 2 3" xfId="47282"/>
    <cellStyle name="40% - Accent4 3 2 4 2 2 3" xfId="25617"/>
    <cellStyle name="40% - Accent4 3 2 4 2 2 3 2" xfId="27922"/>
    <cellStyle name="40% - Accent4 3 2 4 2 2 3 2 2" xfId="50167"/>
    <cellStyle name="40% - Accent4 3 2 4 2 2 3 3" xfId="47862"/>
    <cellStyle name="40% - Accent4 3 2 4 2 2 4" xfId="26576"/>
    <cellStyle name="40% - Accent4 3 2 4 2 2 4 2" xfId="48821"/>
    <cellStyle name="40% - Accent4 3 2 4 2 2 5" xfId="24372"/>
    <cellStyle name="40% - Accent4 3 2 4 2 2 5 2" xfId="46618"/>
    <cellStyle name="40% - Accent4 3 2 4 2 2 6" xfId="40373"/>
    <cellStyle name="40% - Accent4 3 2 4 2 3" xfId="24705"/>
    <cellStyle name="40% - Accent4 3 2 4 2 3 2" xfId="26918"/>
    <cellStyle name="40% - Accent4 3 2 4 2 3 2 2" xfId="49163"/>
    <cellStyle name="40% - Accent4 3 2 4 2 3 3" xfId="46950"/>
    <cellStyle name="40% - Accent4 3 2 4 2 4" xfId="25281"/>
    <cellStyle name="40% - Accent4 3 2 4 2 4 2" xfId="27586"/>
    <cellStyle name="40% - Accent4 3 2 4 2 4 2 2" xfId="49831"/>
    <cellStyle name="40% - Accent4 3 2 4 2 4 3" xfId="47526"/>
    <cellStyle name="40% - Accent4 3 2 4 2 5" xfId="26247"/>
    <cellStyle name="40% - Accent4 3 2 4 2 5 2" xfId="48492"/>
    <cellStyle name="40% - Accent4 3 2 4 2 6" xfId="24056"/>
    <cellStyle name="40% - Accent4 3 2 4 2 6 2" xfId="46302"/>
    <cellStyle name="40% - Accent4 3 2 4 2 7" xfId="33741"/>
    <cellStyle name="40% - Accent4 3 2 4 3" xfId="13636"/>
    <cellStyle name="40% - Accent4 3 2 4 3 2" xfId="24871"/>
    <cellStyle name="40% - Accent4 3 2 4 3 2 2" xfId="27084"/>
    <cellStyle name="40% - Accent4 3 2 4 3 2 2 2" xfId="49329"/>
    <cellStyle name="40% - Accent4 3 2 4 3 2 3" xfId="47116"/>
    <cellStyle name="40% - Accent4 3 2 4 3 3" xfId="25449"/>
    <cellStyle name="40% - Accent4 3 2 4 3 3 2" xfId="27754"/>
    <cellStyle name="40% - Accent4 3 2 4 3 3 2 2" xfId="49999"/>
    <cellStyle name="40% - Accent4 3 2 4 3 3 3" xfId="47694"/>
    <cellStyle name="40% - Accent4 3 2 4 3 4" xfId="26411"/>
    <cellStyle name="40% - Accent4 3 2 4 3 4 2" xfId="48656"/>
    <cellStyle name="40% - Accent4 3 2 4 3 5" xfId="24207"/>
    <cellStyle name="40% - Accent4 3 2 4 3 5 2" xfId="46453"/>
    <cellStyle name="40% - Accent4 3 2 4 3 6" xfId="37057"/>
    <cellStyle name="40% - Accent4 3 2 4 4" xfId="24539"/>
    <cellStyle name="40% - Accent4 3 2 4 4 2" xfId="26752"/>
    <cellStyle name="40% - Accent4 3 2 4 4 2 2" xfId="48997"/>
    <cellStyle name="40% - Accent4 3 2 4 4 3" xfId="46784"/>
    <cellStyle name="40% - Accent4 3 2 4 5" xfId="25113"/>
    <cellStyle name="40% - Accent4 3 2 4 5 2" xfId="27418"/>
    <cellStyle name="40% - Accent4 3 2 4 5 2 2" xfId="49663"/>
    <cellStyle name="40% - Accent4 3 2 4 5 3" xfId="47358"/>
    <cellStyle name="40% - Accent4 3 2 4 6" xfId="26094"/>
    <cellStyle name="40% - Accent4 3 2 4 6 2" xfId="48339"/>
    <cellStyle name="40% - Accent4 3 2 4 7" xfId="23903"/>
    <cellStyle name="40% - Accent4 3 2 4 7 2" xfId="46149"/>
    <cellStyle name="40% - Accent4 3 2 4 8" xfId="30425"/>
    <cellStyle name="40% - Accent4 3 2 5" xfId="8582"/>
    <cellStyle name="40% - Accent4 3 2 5 2" xfId="15294"/>
    <cellStyle name="40% - Accent4 3 2 5 2 2" xfId="24913"/>
    <cellStyle name="40% - Accent4 3 2 5 2 2 2" xfId="27126"/>
    <cellStyle name="40% - Accent4 3 2 5 2 2 2 2" xfId="49371"/>
    <cellStyle name="40% - Accent4 3 2 5 2 2 3" xfId="47158"/>
    <cellStyle name="40% - Accent4 3 2 5 2 3" xfId="25491"/>
    <cellStyle name="40% - Accent4 3 2 5 2 3 2" xfId="27796"/>
    <cellStyle name="40% - Accent4 3 2 5 2 3 2 2" xfId="50041"/>
    <cellStyle name="40% - Accent4 3 2 5 2 3 3" xfId="47736"/>
    <cellStyle name="40% - Accent4 3 2 5 2 4" xfId="26453"/>
    <cellStyle name="40% - Accent4 3 2 5 2 4 2" xfId="48698"/>
    <cellStyle name="40% - Accent4 3 2 5 2 5" xfId="24249"/>
    <cellStyle name="40% - Accent4 3 2 5 2 5 2" xfId="46495"/>
    <cellStyle name="40% - Accent4 3 2 5 2 6" xfId="38715"/>
    <cellStyle name="40% - Accent4 3 2 5 3" xfId="24581"/>
    <cellStyle name="40% - Accent4 3 2 5 3 2" xfId="26794"/>
    <cellStyle name="40% - Accent4 3 2 5 3 2 2" xfId="49039"/>
    <cellStyle name="40% - Accent4 3 2 5 3 3" xfId="46826"/>
    <cellStyle name="40% - Accent4 3 2 5 4" xfId="25155"/>
    <cellStyle name="40% - Accent4 3 2 5 4 2" xfId="27460"/>
    <cellStyle name="40% - Accent4 3 2 5 4 2 2" xfId="49705"/>
    <cellStyle name="40% - Accent4 3 2 5 4 3" xfId="47400"/>
    <cellStyle name="40% - Accent4 3 2 5 5" xfId="26126"/>
    <cellStyle name="40% - Accent4 3 2 5 5 2" xfId="48371"/>
    <cellStyle name="40% - Accent4 3 2 5 6" xfId="23935"/>
    <cellStyle name="40% - Accent4 3 2 5 6 2" xfId="46181"/>
    <cellStyle name="40% - Accent4 3 2 5 7" xfId="32083"/>
    <cellStyle name="40% - Accent4 3 2 6" xfId="11976"/>
    <cellStyle name="40% - Accent4 3 2 6 2" xfId="24747"/>
    <cellStyle name="40% - Accent4 3 2 6 2 2" xfId="26960"/>
    <cellStyle name="40% - Accent4 3 2 6 2 2 2" xfId="49205"/>
    <cellStyle name="40% - Accent4 3 2 6 2 3" xfId="46992"/>
    <cellStyle name="40% - Accent4 3 2 6 3" xfId="25323"/>
    <cellStyle name="40% - Accent4 3 2 6 3 2" xfId="27628"/>
    <cellStyle name="40% - Accent4 3 2 6 3 2 2" xfId="49873"/>
    <cellStyle name="40% - Accent4 3 2 6 3 3" xfId="47568"/>
    <cellStyle name="40% - Accent4 3 2 6 4" xfId="26288"/>
    <cellStyle name="40% - Accent4 3 2 6 4 2" xfId="48533"/>
    <cellStyle name="40% - Accent4 3 2 6 5" xfId="24084"/>
    <cellStyle name="40% - Accent4 3 2 6 5 2" xfId="46330"/>
    <cellStyle name="40% - Accent4 3 2 6 6" xfId="35399"/>
    <cellStyle name="40% - Accent4 3 2 7" xfId="23305"/>
    <cellStyle name="40% - Accent4 3 2 7 2" xfId="26628"/>
    <cellStyle name="40% - Accent4 3 2 7 2 2" xfId="48873"/>
    <cellStyle name="40% - Accent4 3 2 7 3" xfId="45697"/>
    <cellStyle name="40% - Accent4 3 2 8" xfId="25079"/>
    <cellStyle name="40% - Accent4 3 2 8 2" xfId="27292"/>
    <cellStyle name="40% - Accent4 3 2 8 2 2" xfId="49537"/>
    <cellStyle name="40% - Accent4 3 2 8 3" xfId="47324"/>
    <cellStyle name="40% - Accent4 3 2 9" xfId="25771"/>
    <cellStyle name="40% - Accent4 3 2 9 2" xfId="48016"/>
    <cellStyle name="40% - Accent4 3 3" xfId="3209"/>
    <cellStyle name="40% - Accent4 3 3 2" xfId="6919"/>
    <cellStyle name="40% - Accent4 3 3 2 2" xfId="10251"/>
    <cellStyle name="40% - Accent4 3 3 2 2 2" xfId="16955"/>
    <cellStyle name="40% - Accent4 3 3 2 2 2 2" xfId="27189"/>
    <cellStyle name="40% - Accent4 3 3 2 2 2 2 2" xfId="49434"/>
    <cellStyle name="40% - Accent4 3 3 2 2 2 3" xfId="24976"/>
    <cellStyle name="40% - Accent4 3 3 2 2 2 3 2" xfId="47221"/>
    <cellStyle name="40% - Accent4 3 3 2 2 2 4" xfId="40376"/>
    <cellStyle name="40% - Accent4 3 3 2 2 3" xfId="25554"/>
    <cellStyle name="40% - Accent4 3 3 2 2 3 2" xfId="27859"/>
    <cellStyle name="40% - Accent4 3 3 2 2 3 2 2" xfId="50104"/>
    <cellStyle name="40% - Accent4 3 3 2 2 3 3" xfId="47799"/>
    <cellStyle name="40% - Accent4 3 3 2 2 4" xfId="26515"/>
    <cellStyle name="40% - Accent4 3 3 2 2 4 2" xfId="48760"/>
    <cellStyle name="40% - Accent4 3 3 2 2 5" xfId="24311"/>
    <cellStyle name="40% - Accent4 3 3 2 2 5 2" xfId="46557"/>
    <cellStyle name="40% - Accent4 3 3 2 2 6" xfId="33744"/>
    <cellStyle name="40% - Accent4 3 3 2 3" xfId="13639"/>
    <cellStyle name="40% - Accent4 3 3 2 3 2" xfId="26857"/>
    <cellStyle name="40% - Accent4 3 3 2 3 2 2" xfId="49102"/>
    <cellStyle name="40% - Accent4 3 3 2 3 3" xfId="24644"/>
    <cellStyle name="40% - Accent4 3 3 2 3 3 2" xfId="46889"/>
    <cellStyle name="40% - Accent4 3 3 2 3 4" xfId="37060"/>
    <cellStyle name="40% - Accent4 3 3 2 4" xfId="25218"/>
    <cellStyle name="40% - Accent4 3 3 2 4 2" xfId="27523"/>
    <cellStyle name="40% - Accent4 3 3 2 4 2 2" xfId="49768"/>
    <cellStyle name="40% - Accent4 3 3 2 4 3" xfId="47463"/>
    <cellStyle name="40% - Accent4 3 3 2 5" xfId="26186"/>
    <cellStyle name="40% - Accent4 3 3 2 5 2" xfId="48431"/>
    <cellStyle name="40% - Accent4 3 3 2 6" xfId="23995"/>
    <cellStyle name="40% - Accent4 3 3 2 6 2" xfId="46241"/>
    <cellStyle name="40% - Accent4 3 3 2 7" xfId="30428"/>
    <cellStyle name="40% - Accent4 3 3 3" xfId="8585"/>
    <cellStyle name="40% - Accent4 3 3 3 2" xfId="15297"/>
    <cellStyle name="40% - Accent4 3 3 3 2 2" xfId="27023"/>
    <cellStyle name="40% - Accent4 3 3 3 2 2 2" xfId="49268"/>
    <cellStyle name="40% - Accent4 3 3 3 2 3" xfId="24810"/>
    <cellStyle name="40% - Accent4 3 3 3 2 3 2" xfId="47055"/>
    <cellStyle name="40% - Accent4 3 3 3 2 4" xfId="38718"/>
    <cellStyle name="40% - Accent4 3 3 3 3" xfId="25386"/>
    <cellStyle name="40% - Accent4 3 3 3 3 2" xfId="27691"/>
    <cellStyle name="40% - Accent4 3 3 3 3 2 2" xfId="49936"/>
    <cellStyle name="40% - Accent4 3 3 3 3 3" xfId="47631"/>
    <cellStyle name="40% - Accent4 3 3 3 4" xfId="26350"/>
    <cellStyle name="40% - Accent4 3 3 3 4 2" xfId="48595"/>
    <cellStyle name="40% - Accent4 3 3 3 5" xfId="24146"/>
    <cellStyle name="40% - Accent4 3 3 3 5 2" xfId="46392"/>
    <cellStyle name="40% - Accent4 3 3 3 6" xfId="32086"/>
    <cellStyle name="40% - Accent4 3 3 4" xfId="11979"/>
    <cellStyle name="40% - Accent4 3 3 4 2" xfId="26691"/>
    <cellStyle name="40% - Accent4 3 3 4 2 2" xfId="48936"/>
    <cellStyle name="40% - Accent4 3 3 4 3" xfId="24478"/>
    <cellStyle name="40% - Accent4 3 3 4 3 2" xfId="46723"/>
    <cellStyle name="40% - Accent4 3 3 4 4" xfId="35402"/>
    <cellStyle name="40% - Accent4 3 3 5" xfId="23421"/>
    <cellStyle name="40% - Accent4 3 3 5 2" xfId="27355"/>
    <cellStyle name="40% - Accent4 3 3 5 2 2" xfId="49600"/>
    <cellStyle name="40% - Accent4 3 3 5 3" xfId="45766"/>
    <cellStyle name="40% - Accent4 3 3 6" xfId="25774"/>
    <cellStyle name="40% - Accent4 3 3 6 2" xfId="48019"/>
    <cellStyle name="40% - Accent4 3 3 7" xfId="28770"/>
    <cellStyle name="40% - Accent4 3 4" xfId="3210"/>
    <cellStyle name="40% - Accent4 3 4 2" xfId="6920"/>
    <cellStyle name="40% - Accent4 3 4 2 2" xfId="10252"/>
    <cellStyle name="40% - Accent4 3 4 2 2 2" xfId="16956"/>
    <cellStyle name="40% - Accent4 3 4 2 2 2 2" xfId="27147"/>
    <cellStyle name="40% - Accent4 3 4 2 2 2 2 2" xfId="49392"/>
    <cellStyle name="40% - Accent4 3 4 2 2 2 3" xfId="24934"/>
    <cellStyle name="40% - Accent4 3 4 2 2 2 3 2" xfId="47179"/>
    <cellStyle name="40% - Accent4 3 4 2 2 2 4" xfId="40377"/>
    <cellStyle name="40% - Accent4 3 4 2 2 3" xfId="25512"/>
    <cellStyle name="40% - Accent4 3 4 2 2 3 2" xfId="27817"/>
    <cellStyle name="40% - Accent4 3 4 2 2 3 2 2" xfId="50062"/>
    <cellStyle name="40% - Accent4 3 4 2 2 3 3" xfId="47757"/>
    <cellStyle name="40% - Accent4 3 4 2 2 4" xfId="26474"/>
    <cellStyle name="40% - Accent4 3 4 2 2 4 2" xfId="48719"/>
    <cellStyle name="40% - Accent4 3 4 2 2 5" xfId="24270"/>
    <cellStyle name="40% - Accent4 3 4 2 2 5 2" xfId="46516"/>
    <cellStyle name="40% - Accent4 3 4 2 2 6" xfId="33745"/>
    <cellStyle name="40% - Accent4 3 4 2 3" xfId="13640"/>
    <cellStyle name="40% - Accent4 3 4 2 3 2" xfId="26815"/>
    <cellStyle name="40% - Accent4 3 4 2 3 2 2" xfId="49060"/>
    <cellStyle name="40% - Accent4 3 4 2 3 3" xfId="24602"/>
    <cellStyle name="40% - Accent4 3 4 2 3 3 2" xfId="46847"/>
    <cellStyle name="40% - Accent4 3 4 2 3 4" xfId="37061"/>
    <cellStyle name="40% - Accent4 3 4 2 4" xfId="25176"/>
    <cellStyle name="40% - Accent4 3 4 2 4 2" xfId="27481"/>
    <cellStyle name="40% - Accent4 3 4 2 4 2 2" xfId="49726"/>
    <cellStyle name="40% - Accent4 3 4 2 4 3" xfId="47421"/>
    <cellStyle name="40% - Accent4 3 4 2 5" xfId="26146"/>
    <cellStyle name="40% - Accent4 3 4 2 5 2" xfId="48391"/>
    <cellStyle name="40% - Accent4 3 4 2 6" xfId="23955"/>
    <cellStyle name="40% - Accent4 3 4 2 6 2" xfId="46201"/>
    <cellStyle name="40% - Accent4 3 4 2 7" xfId="30429"/>
    <cellStyle name="40% - Accent4 3 4 3" xfId="8586"/>
    <cellStyle name="40% - Accent4 3 4 3 2" xfId="15298"/>
    <cellStyle name="40% - Accent4 3 4 3 2 2" xfId="26981"/>
    <cellStyle name="40% - Accent4 3 4 3 2 2 2" xfId="49226"/>
    <cellStyle name="40% - Accent4 3 4 3 2 3" xfId="24768"/>
    <cellStyle name="40% - Accent4 3 4 3 2 3 2" xfId="47013"/>
    <cellStyle name="40% - Accent4 3 4 3 2 4" xfId="38719"/>
    <cellStyle name="40% - Accent4 3 4 3 3" xfId="25344"/>
    <cellStyle name="40% - Accent4 3 4 3 3 2" xfId="27649"/>
    <cellStyle name="40% - Accent4 3 4 3 3 2 2" xfId="49894"/>
    <cellStyle name="40% - Accent4 3 4 3 3 3" xfId="47589"/>
    <cellStyle name="40% - Accent4 3 4 3 4" xfId="26309"/>
    <cellStyle name="40% - Accent4 3 4 3 4 2" xfId="48554"/>
    <cellStyle name="40% - Accent4 3 4 3 5" xfId="24105"/>
    <cellStyle name="40% - Accent4 3 4 3 5 2" xfId="46351"/>
    <cellStyle name="40% - Accent4 3 4 3 6" xfId="32087"/>
    <cellStyle name="40% - Accent4 3 4 4" xfId="11980"/>
    <cellStyle name="40% - Accent4 3 4 4 2" xfId="26649"/>
    <cellStyle name="40% - Accent4 3 4 4 2 2" xfId="48894"/>
    <cellStyle name="40% - Accent4 3 4 4 3" xfId="24436"/>
    <cellStyle name="40% - Accent4 3 4 4 3 2" xfId="46681"/>
    <cellStyle name="40% - Accent4 3 4 4 4" xfId="35403"/>
    <cellStyle name="40% - Accent4 3 4 5" xfId="23304"/>
    <cellStyle name="40% - Accent4 3 4 5 2" xfId="27313"/>
    <cellStyle name="40% - Accent4 3 4 5 2 2" xfId="49558"/>
    <cellStyle name="40% - Accent4 3 4 5 3" xfId="45696"/>
    <cellStyle name="40% - Accent4 3 4 6" xfId="25775"/>
    <cellStyle name="40% - Accent4 3 4 6 2" xfId="48020"/>
    <cellStyle name="40% - Accent4 3 4 7" xfId="28771"/>
    <cellStyle name="40% - Accent4 3 5" xfId="3211"/>
    <cellStyle name="40% - Accent4 3 5 2" xfId="24035"/>
    <cellStyle name="40% - Accent4 3 5 2 2" xfId="24351"/>
    <cellStyle name="40% - Accent4 3 5 2 2 2" xfId="25016"/>
    <cellStyle name="40% - Accent4 3 5 2 2 2 2" xfId="27229"/>
    <cellStyle name="40% - Accent4 3 5 2 2 2 2 2" xfId="49474"/>
    <cellStyle name="40% - Accent4 3 5 2 2 2 3" xfId="47261"/>
    <cellStyle name="40% - Accent4 3 5 2 2 3" xfId="25596"/>
    <cellStyle name="40% - Accent4 3 5 2 2 3 2" xfId="27901"/>
    <cellStyle name="40% - Accent4 3 5 2 2 3 2 2" xfId="50146"/>
    <cellStyle name="40% - Accent4 3 5 2 2 3 3" xfId="47841"/>
    <cellStyle name="40% - Accent4 3 5 2 2 4" xfId="26555"/>
    <cellStyle name="40% - Accent4 3 5 2 2 4 2" xfId="48800"/>
    <cellStyle name="40% - Accent4 3 5 2 2 5" xfId="46597"/>
    <cellStyle name="40% - Accent4 3 5 2 3" xfId="24684"/>
    <cellStyle name="40% - Accent4 3 5 2 3 2" xfId="26897"/>
    <cellStyle name="40% - Accent4 3 5 2 3 2 2" xfId="49142"/>
    <cellStyle name="40% - Accent4 3 5 2 3 3" xfId="46929"/>
    <cellStyle name="40% - Accent4 3 5 2 4" xfId="25260"/>
    <cellStyle name="40% - Accent4 3 5 2 4 2" xfId="27565"/>
    <cellStyle name="40% - Accent4 3 5 2 4 2 2" xfId="49810"/>
    <cellStyle name="40% - Accent4 3 5 2 4 3" xfId="47505"/>
    <cellStyle name="40% - Accent4 3 5 2 5" xfId="26226"/>
    <cellStyle name="40% - Accent4 3 5 2 5 2" xfId="48471"/>
    <cellStyle name="40% - Accent4 3 5 2 6" xfId="46281"/>
    <cellStyle name="40% - Accent4 3 5 3" xfId="24186"/>
    <cellStyle name="40% - Accent4 3 5 3 2" xfId="24850"/>
    <cellStyle name="40% - Accent4 3 5 3 2 2" xfId="27063"/>
    <cellStyle name="40% - Accent4 3 5 3 2 2 2" xfId="49308"/>
    <cellStyle name="40% - Accent4 3 5 3 2 3" xfId="47095"/>
    <cellStyle name="40% - Accent4 3 5 3 3" xfId="25428"/>
    <cellStyle name="40% - Accent4 3 5 3 3 2" xfId="27733"/>
    <cellStyle name="40% - Accent4 3 5 3 3 2 2" xfId="49978"/>
    <cellStyle name="40% - Accent4 3 5 3 3 3" xfId="47673"/>
    <cellStyle name="40% - Accent4 3 5 3 4" xfId="26390"/>
    <cellStyle name="40% - Accent4 3 5 3 4 2" xfId="48635"/>
    <cellStyle name="40% - Accent4 3 5 3 5" xfId="46432"/>
    <cellStyle name="40% - Accent4 3 5 4" xfId="24518"/>
    <cellStyle name="40% - Accent4 3 5 4 2" xfId="26731"/>
    <cellStyle name="40% - Accent4 3 5 4 2 2" xfId="48976"/>
    <cellStyle name="40% - Accent4 3 5 4 3" xfId="46763"/>
    <cellStyle name="40% - Accent4 3 5 5" xfId="25098"/>
    <cellStyle name="40% - Accent4 3 5 5 2" xfId="27397"/>
    <cellStyle name="40% - Accent4 3 5 5 2 2" xfId="49642"/>
    <cellStyle name="40% - Accent4 3 5 5 3" xfId="47343"/>
    <cellStyle name="40% - Accent4 3 5 6" xfId="23888"/>
    <cellStyle name="40% - Accent4 3 5 6 2" xfId="26079"/>
    <cellStyle name="40% - Accent4 3 5 6 2 2" xfId="48324"/>
    <cellStyle name="40% - Accent4 3 5 6 3" xfId="46134"/>
    <cellStyle name="40% - Accent4 3 6" xfId="3205"/>
    <cellStyle name="40% - Accent4 3 6 2" xfId="6915"/>
    <cellStyle name="40% - Accent4 3 6 2 2" xfId="10247"/>
    <cellStyle name="40% - Accent4 3 6 2 2 2" xfId="16951"/>
    <cellStyle name="40% - Accent4 3 6 2 2 2 2" xfId="27105"/>
    <cellStyle name="40% - Accent4 3 6 2 2 2 2 2" xfId="49350"/>
    <cellStyle name="40% - Accent4 3 6 2 2 2 3" xfId="40372"/>
    <cellStyle name="40% - Accent4 3 6 2 2 3" xfId="24892"/>
    <cellStyle name="40% - Accent4 3 6 2 2 3 2" xfId="47137"/>
    <cellStyle name="40% - Accent4 3 6 2 2 4" xfId="33740"/>
    <cellStyle name="40% - Accent4 3 6 2 3" xfId="13635"/>
    <cellStyle name="40% - Accent4 3 6 2 3 2" xfId="27775"/>
    <cellStyle name="40% - Accent4 3 6 2 3 2 2" xfId="50020"/>
    <cellStyle name="40% - Accent4 3 6 2 3 3" xfId="25470"/>
    <cellStyle name="40% - Accent4 3 6 2 3 3 2" xfId="47715"/>
    <cellStyle name="40% - Accent4 3 6 2 3 4" xfId="37056"/>
    <cellStyle name="40% - Accent4 3 6 2 4" xfId="26432"/>
    <cellStyle name="40% - Accent4 3 6 2 4 2" xfId="48677"/>
    <cellStyle name="40% - Accent4 3 6 2 5" xfId="24228"/>
    <cellStyle name="40% - Accent4 3 6 2 5 2" xfId="46474"/>
    <cellStyle name="40% - Accent4 3 6 2 6" xfId="30424"/>
    <cellStyle name="40% - Accent4 3 6 3" xfId="8581"/>
    <cellStyle name="40% - Accent4 3 6 3 2" xfId="15293"/>
    <cellStyle name="40% - Accent4 3 6 3 2 2" xfId="26773"/>
    <cellStyle name="40% - Accent4 3 6 3 2 2 2" xfId="49018"/>
    <cellStyle name="40% - Accent4 3 6 3 2 3" xfId="38714"/>
    <cellStyle name="40% - Accent4 3 6 3 3" xfId="24560"/>
    <cellStyle name="40% - Accent4 3 6 3 3 2" xfId="46805"/>
    <cellStyle name="40% - Accent4 3 6 3 4" xfId="32082"/>
    <cellStyle name="40% - Accent4 3 6 4" xfId="11975"/>
    <cellStyle name="40% - Accent4 3 6 4 2" xfId="27439"/>
    <cellStyle name="40% - Accent4 3 6 4 2 2" xfId="49684"/>
    <cellStyle name="40% - Accent4 3 6 4 3" xfId="25134"/>
    <cellStyle name="40% - Accent4 3 6 4 3 2" xfId="47379"/>
    <cellStyle name="40% - Accent4 3 6 4 4" xfId="35398"/>
    <cellStyle name="40% - Accent4 3 6 5" xfId="25770"/>
    <cellStyle name="40% - Accent4 3 6 5 2" xfId="48015"/>
    <cellStyle name="40% - Accent4 3 6 6" xfId="23843"/>
    <cellStyle name="40% - Accent4 3 6 6 2" xfId="46108"/>
    <cellStyle name="40% - Accent4 3 6 7" xfId="28766"/>
    <cellStyle name="40% - Accent4 3 7" xfId="23424"/>
    <cellStyle name="40% - Accent4 3 7 2" xfId="24726"/>
    <cellStyle name="40% - Accent4 3 7 2 2" xfId="26939"/>
    <cellStyle name="40% - Accent4 3 7 2 2 2" xfId="49184"/>
    <cellStyle name="40% - Accent4 3 7 2 3" xfId="46971"/>
    <cellStyle name="40% - Accent4 3 7 3" xfId="25302"/>
    <cellStyle name="40% - Accent4 3 7 3 2" xfId="27607"/>
    <cellStyle name="40% - Accent4 3 7 3 2 2" xfId="49852"/>
    <cellStyle name="40% - Accent4 3 7 3 3" xfId="47547"/>
    <cellStyle name="40% - Accent4 3 7 4" xfId="26267"/>
    <cellStyle name="40% - Accent4 3 7 4 2" xfId="48512"/>
    <cellStyle name="40% - Accent4 3 7 5" xfId="45769"/>
    <cellStyle name="40% - Accent4 3 8" xfId="24404"/>
    <cellStyle name="40% - Accent4 3 8 2" xfId="26607"/>
    <cellStyle name="40% - Accent4 3 8 2 2" xfId="48852"/>
    <cellStyle name="40% - Accent4 3 8 3" xfId="46649"/>
    <cellStyle name="40% - Accent4 3 9" xfId="25058"/>
    <cellStyle name="40% - Accent4 3 9 2" xfId="27271"/>
    <cellStyle name="40% - Accent4 3 9 2 2" xfId="49516"/>
    <cellStyle name="40% - Accent4 3 9 3" xfId="47303"/>
    <cellStyle name="40% - Accent4 4" xfId="3203"/>
    <cellStyle name="40% - Accent4 4 2" xfId="25711"/>
    <cellStyle name="40% - Accent4 4 2 2" xfId="47956"/>
    <cellStyle name="40% - Accent4 5" xfId="7768"/>
    <cellStyle name="40% - Accent4 5 2" xfId="11097"/>
    <cellStyle name="40% - Accent4 5 2 2" xfId="17801"/>
    <cellStyle name="40% - Accent4 5 2 2 2" xfId="41222"/>
    <cellStyle name="40% - Accent4 5 2 3" xfId="34590"/>
    <cellStyle name="40% - Accent4 5 3" xfId="14485"/>
    <cellStyle name="40% - Accent4 5 3 2" xfId="37906"/>
    <cellStyle name="40% - Accent4 5 4" xfId="31274"/>
    <cellStyle name="40% - Accent4 6" xfId="9439"/>
    <cellStyle name="40% - Accent4 6 2" xfId="16143"/>
    <cellStyle name="40% - Accent4 6 2 2" xfId="39564"/>
    <cellStyle name="40% - Accent4 6 3" xfId="32932"/>
    <cellStyle name="40% - Accent4 7" xfId="12827"/>
    <cellStyle name="40% - Accent4 7 2" xfId="36248"/>
    <cellStyle name="40% - Accent4 8" xfId="23335"/>
    <cellStyle name="40% - Accent4 8 2" xfId="45707"/>
    <cellStyle name="40% - Accent4 9" xfId="6098"/>
    <cellStyle name="40% - Accent4 9 2" xfId="29616"/>
    <cellStyle name="40% - Accent5" xfId="17" builtinId="47" customBuiltin="1"/>
    <cellStyle name="40% - Accent5 2" xfId="277"/>
    <cellStyle name="40% - Accent5 2 2" xfId="278"/>
    <cellStyle name="40% - Accent5 2 3" xfId="5120"/>
    <cellStyle name="40% - Accent5 2 4" xfId="3213"/>
    <cellStyle name="40% - Accent5 3" xfId="1083"/>
    <cellStyle name="40% - Accent5 3 10" xfId="25776"/>
    <cellStyle name="40% - Accent5 3 10 2" xfId="48021"/>
    <cellStyle name="40% - Accent5 3 2" xfId="3215"/>
    <cellStyle name="40% - Accent5 3 2 10" xfId="28773"/>
    <cellStyle name="40% - Accent5 3 2 2" xfId="3216"/>
    <cellStyle name="40% - Accent5 3 2 2 2" xfId="6923"/>
    <cellStyle name="40% - Accent5 3 2 2 2 2" xfId="10255"/>
    <cellStyle name="40% - Accent5 3 2 2 2 2 2" xfId="16959"/>
    <cellStyle name="40% - Accent5 3 2 2 2 2 2 2" xfId="27210"/>
    <cellStyle name="40% - Accent5 3 2 2 2 2 2 2 2" xfId="49455"/>
    <cellStyle name="40% - Accent5 3 2 2 2 2 2 3" xfId="24997"/>
    <cellStyle name="40% - Accent5 3 2 2 2 2 2 3 2" xfId="47242"/>
    <cellStyle name="40% - Accent5 3 2 2 2 2 2 4" xfId="40380"/>
    <cellStyle name="40% - Accent5 3 2 2 2 2 3" xfId="25576"/>
    <cellStyle name="40% - Accent5 3 2 2 2 2 3 2" xfId="27881"/>
    <cellStyle name="40% - Accent5 3 2 2 2 2 3 2 2" xfId="50126"/>
    <cellStyle name="40% - Accent5 3 2 2 2 2 3 3" xfId="47821"/>
    <cellStyle name="40% - Accent5 3 2 2 2 2 4" xfId="26536"/>
    <cellStyle name="40% - Accent5 3 2 2 2 2 4 2" xfId="48781"/>
    <cellStyle name="40% - Accent5 3 2 2 2 2 5" xfId="24332"/>
    <cellStyle name="40% - Accent5 3 2 2 2 2 5 2" xfId="46578"/>
    <cellStyle name="40% - Accent5 3 2 2 2 2 6" xfId="33748"/>
    <cellStyle name="40% - Accent5 3 2 2 2 3" xfId="13643"/>
    <cellStyle name="40% - Accent5 3 2 2 2 3 2" xfId="26878"/>
    <cellStyle name="40% - Accent5 3 2 2 2 3 2 2" xfId="49123"/>
    <cellStyle name="40% - Accent5 3 2 2 2 3 3" xfId="24665"/>
    <cellStyle name="40% - Accent5 3 2 2 2 3 3 2" xfId="46910"/>
    <cellStyle name="40% - Accent5 3 2 2 2 3 4" xfId="37064"/>
    <cellStyle name="40% - Accent5 3 2 2 2 4" xfId="25240"/>
    <cellStyle name="40% - Accent5 3 2 2 2 4 2" xfId="27545"/>
    <cellStyle name="40% - Accent5 3 2 2 2 4 2 2" xfId="49790"/>
    <cellStyle name="40% - Accent5 3 2 2 2 4 3" xfId="47485"/>
    <cellStyle name="40% - Accent5 3 2 2 2 5" xfId="26207"/>
    <cellStyle name="40% - Accent5 3 2 2 2 5 2" xfId="48452"/>
    <cellStyle name="40% - Accent5 3 2 2 2 6" xfId="24016"/>
    <cellStyle name="40% - Accent5 3 2 2 2 6 2" xfId="46262"/>
    <cellStyle name="40% - Accent5 3 2 2 2 7" xfId="30432"/>
    <cellStyle name="40% - Accent5 3 2 2 3" xfId="8589"/>
    <cellStyle name="40% - Accent5 3 2 2 3 2" xfId="15301"/>
    <cellStyle name="40% - Accent5 3 2 2 3 2 2" xfId="27044"/>
    <cellStyle name="40% - Accent5 3 2 2 3 2 2 2" xfId="49289"/>
    <cellStyle name="40% - Accent5 3 2 2 3 2 3" xfId="24831"/>
    <cellStyle name="40% - Accent5 3 2 2 3 2 3 2" xfId="47076"/>
    <cellStyle name="40% - Accent5 3 2 2 3 2 4" xfId="38722"/>
    <cellStyle name="40% - Accent5 3 2 2 3 3" xfId="25408"/>
    <cellStyle name="40% - Accent5 3 2 2 3 3 2" xfId="27713"/>
    <cellStyle name="40% - Accent5 3 2 2 3 3 2 2" xfId="49958"/>
    <cellStyle name="40% - Accent5 3 2 2 3 3 3" xfId="47653"/>
    <cellStyle name="40% - Accent5 3 2 2 3 4" xfId="26371"/>
    <cellStyle name="40% - Accent5 3 2 2 3 4 2" xfId="48616"/>
    <cellStyle name="40% - Accent5 3 2 2 3 5" xfId="24167"/>
    <cellStyle name="40% - Accent5 3 2 2 3 5 2" xfId="46413"/>
    <cellStyle name="40% - Accent5 3 2 2 3 6" xfId="32090"/>
    <cellStyle name="40% - Accent5 3 2 2 4" xfId="11983"/>
    <cellStyle name="40% - Accent5 3 2 2 4 2" xfId="26712"/>
    <cellStyle name="40% - Accent5 3 2 2 4 2 2" xfId="48957"/>
    <cellStyle name="40% - Accent5 3 2 2 4 3" xfId="24499"/>
    <cellStyle name="40% - Accent5 3 2 2 4 3 2" xfId="46744"/>
    <cellStyle name="40% - Accent5 3 2 2 4 4" xfId="35406"/>
    <cellStyle name="40% - Accent5 3 2 2 5" xfId="23279"/>
    <cellStyle name="40% - Accent5 3 2 2 5 2" xfId="27377"/>
    <cellStyle name="40% - Accent5 3 2 2 5 2 2" xfId="49622"/>
    <cellStyle name="40% - Accent5 3 2 2 5 3" xfId="45679"/>
    <cellStyle name="40% - Accent5 3 2 2 6" xfId="25778"/>
    <cellStyle name="40% - Accent5 3 2 2 6 2" xfId="48023"/>
    <cellStyle name="40% - Accent5 3 2 2 7" xfId="28774"/>
    <cellStyle name="40% - Accent5 3 2 3" xfId="3217"/>
    <cellStyle name="40% - Accent5 3 2 3 2" xfId="6924"/>
    <cellStyle name="40% - Accent5 3 2 3 2 2" xfId="10256"/>
    <cellStyle name="40% - Accent5 3 2 3 2 2 2" xfId="16960"/>
    <cellStyle name="40% - Accent5 3 2 3 2 2 2 2" xfId="27169"/>
    <cellStyle name="40% - Accent5 3 2 3 2 2 2 2 2" xfId="49414"/>
    <cellStyle name="40% - Accent5 3 2 3 2 2 2 3" xfId="24956"/>
    <cellStyle name="40% - Accent5 3 2 3 2 2 2 3 2" xfId="47201"/>
    <cellStyle name="40% - Accent5 3 2 3 2 2 2 4" xfId="40381"/>
    <cellStyle name="40% - Accent5 3 2 3 2 2 3" xfId="25534"/>
    <cellStyle name="40% - Accent5 3 2 3 2 2 3 2" xfId="27839"/>
    <cellStyle name="40% - Accent5 3 2 3 2 2 3 2 2" xfId="50084"/>
    <cellStyle name="40% - Accent5 3 2 3 2 2 3 3" xfId="47779"/>
    <cellStyle name="40% - Accent5 3 2 3 2 2 4" xfId="26496"/>
    <cellStyle name="40% - Accent5 3 2 3 2 2 4 2" xfId="48741"/>
    <cellStyle name="40% - Accent5 3 2 3 2 2 5" xfId="24292"/>
    <cellStyle name="40% - Accent5 3 2 3 2 2 5 2" xfId="46538"/>
    <cellStyle name="40% - Accent5 3 2 3 2 2 6" xfId="33749"/>
    <cellStyle name="40% - Accent5 3 2 3 2 3" xfId="13644"/>
    <cellStyle name="40% - Accent5 3 2 3 2 3 2" xfId="26837"/>
    <cellStyle name="40% - Accent5 3 2 3 2 3 2 2" xfId="49082"/>
    <cellStyle name="40% - Accent5 3 2 3 2 3 3" xfId="24624"/>
    <cellStyle name="40% - Accent5 3 2 3 2 3 3 2" xfId="46869"/>
    <cellStyle name="40% - Accent5 3 2 3 2 3 4" xfId="37065"/>
    <cellStyle name="40% - Accent5 3 2 3 2 4" xfId="25198"/>
    <cellStyle name="40% - Accent5 3 2 3 2 4 2" xfId="27503"/>
    <cellStyle name="40% - Accent5 3 2 3 2 4 2 2" xfId="49748"/>
    <cellStyle name="40% - Accent5 3 2 3 2 4 3" xfId="47443"/>
    <cellStyle name="40% - Accent5 3 2 3 2 5" xfId="26167"/>
    <cellStyle name="40% - Accent5 3 2 3 2 5 2" xfId="48412"/>
    <cellStyle name="40% - Accent5 3 2 3 2 6" xfId="23976"/>
    <cellStyle name="40% - Accent5 3 2 3 2 6 2" xfId="46222"/>
    <cellStyle name="40% - Accent5 3 2 3 2 7" xfId="30433"/>
    <cellStyle name="40% - Accent5 3 2 3 3" xfId="8590"/>
    <cellStyle name="40% - Accent5 3 2 3 3 2" xfId="15302"/>
    <cellStyle name="40% - Accent5 3 2 3 3 2 2" xfId="27003"/>
    <cellStyle name="40% - Accent5 3 2 3 3 2 2 2" xfId="49248"/>
    <cellStyle name="40% - Accent5 3 2 3 3 2 3" xfId="24790"/>
    <cellStyle name="40% - Accent5 3 2 3 3 2 3 2" xfId="47035"/>
    <cellStyle name="40% - Accent5 3 2 3 3 2 4" xfId="38723"/>
    <cellStyle name="40% - Accent5 3 2 3 3 3" xfId="25366"/>
    <cellStyle name="40% - Accent5 3 2 3 3 3 2" xfId="27671"/>
    <cellStyle name="40% - Accent5 3 2 3 3 3 2 2" xfId="49916"/>
    <cellStyle name="40% - Accent5 3 2 3 3 3 3" xfId="47611"/>
    <cellStyle name="40% - Accent5 3 2 3 3 4" xfId="26331"/>
    <cellStyle name="40% - Accent5 3 2 3 3 4 2" xfId="48576"/>
    <cellStyle name="40% - Accent5 3 2 3 3 5" xfId="24127"/>
    <cellStyle name="40% - Accent5 3 2 3 3 5 2" xfId="46373"/>
    <cellStyle name="40% - Accent5 3 2 3 3 6" xfId="32091"/>
    <cellStyle name="40% - Accent5 3 2 3 4" xfId="11984"/>
    <cellStyle name="40% - Accent5 3 2 3 4 2" xfId="26671"/>
    <cellStyle name="40% - Accent5 3 2 3 4 2 2" xfId="48916"/>
    <cellStyle name="40% - Accent5 3 2 3 4 3" xfId="24458"/>
    <cellStyle name="40% - Accent5 3 2 3 4 3 2" xfId="46703"/>
    <cellStyle name="40% - Accent5 3 2 3 4 4" xfId="35407"/>
    <cellStyle name="40% - Accent5 3 2 3 5" xfId="23278"/>
    <cellStyle name="40% - Accent5 3 2 3 5 2" xfId="27335"/>
    <cellStyle name="40% - Accent5 3 2 3 5 2 2" xfId="49580"/>
    <cellStyle name="40% - Accent5 3 2 3 5 3" xfId="45678"/>
    <cellStyle name="40% - Accent5 3 2 3 6" xfId="25779"/>
    <cellStyle name="40% - Accent5 3 2 3 6 2" xfId="48024"/>
    <cellStyle name="40% - Accent5 3 2 3 7" xfId="28775"/>
    <cellStyle name="40% - Accent5 3 2 4" xfId="6922"/>
    <cellStyle name="40% - Accent5 3 2 4 2" xfId="10254"/>
    <cellStyle name="40% - Accent5 3 2 4 2 2" xfId="16958"/>
    <cellStyle name="40% - Accent5 3 2 4 2 2 2" xfId="25038"/>
    <cellStyle name="40% - Accent5 3 2 4 2 2 2 2" xfId="27251"/>
    <cellStyle name="40% - Accent5 3 2 4 2 2 2 2 2" xfId="49496"/>
    <cellStyle name="40% - Accent5 3 2 4 2 2 2 3" xfId="47283"/>
    <cellStyle name="40% - Accent5 3 2 4 2 2 3" xfId="25618"/>
    <cellStyle name="40% - Accent5 3 2 4 2 2 3 2" xfId="27923"/>
    <cellStyle name="40% - Accent5 3 2 4 2 2 3 2 2" xfId="50168"/>
    <cellStyle name="40% - Accent5 3 2 4 2 2 3 3" xfId="47863"/>
    <cellStyle name="40% - Accent5 3 2 4 2 2 4" xfId="26577"/>
    <cellStyle name="40% - Accent5 3 2 4 2 2 4 2" xfId="48822"/>
    <cellStyle name="40% - Accent5 3 2 4 2 2 5" xfId="24373"/>
    <cellStyle name="40% - Accent5 3 2 4 2 2 5 2" xfId="46619"/>
    <cellStyle name="40% - Accent5 3 2 4 2 2 6" xfId="40379"/>
    <cellStyle name="40% - Accent5 3 2 4 2 3" xfId="24706"/>
    <cellStyle name="40% - Accent5 3 2 4 2 3 2" xfId="26919"/>
    <cellStyle name="40% - Accent5 3 2 4 2 3 2 2" xfId="49164"/>
    <cellStyle name="40% - Accent5 3 2 4 2 3 3" xfId="46951"/>
    <cellStyle name="40% - Accent5 3 2 4 2 4" xfId="25282"/>
    <cellStyle name="40% - Accent5 3 2 4 2 4 2" xfId="27587"/>
    <cellStyle name="40% - Accent5 3 2 4 2 4 2 2" xfId="49832"/>
    <cellStyle name="40% - Accent5 3 2 4 2 4 3" xfId="47527"/>
    <cellStyle name="40% - Accent5 3 2 4 2 5" xfId="26248"/>
    <cellStyle name="40% - Accent5 3 2 4 2 5 2" xfId="48493"/>
    <cellStyle name="40% - Accent5 3 2 4 2 6" xfId="24057"/>
    <cellStyle name="40% - Accent5 3 2 4 2 6 2" xfId="46303"/>
    <cellStyle name="40% - Accent5 3 2 4 2 7" xfId="33747"/>
    <cellStyle name="40% - Accent5 3 2 4 3" xfId="13642"/>
    <cellStyle name="40% - Accent5 3 2 4 3 2" xfId="24872"/>
    <cellStyle name="40% - Accent5 3 2 4 3 2 2" xfId="27085"/>
    <cellStyle name="40% - Accent5 3 2 4 3 2 2 2" xfId="49330"/>
    <cellStyle name="40% - Accent5 3 2 4 3 2 3" xfId="47117"/>
    <cellStyle name="40% - Accent5 3 2 4 3 3" xfId="25450"/>
    <cellStyle name="40% - Accent5 3 2 4 3 3 2" xfId="27755"/>
    <cellStyle name="40% - Accent5 3 2 4 3 3 2 2" xfId="50000"/>
    <cellStyle name="40% - Accent5 3 2 4 3 3 3" xfId="47695"/>
    <cellStyle name="40% - Accent5 3 2 4 3 4" xfId="26412"/>
    <cellStyle name="40% - Accent5 3 2 4 3 4 2" xfId="48657"/>
    <cellStyle name="40% - Accent5 3 2 4 3 5" xfId="24208"/>
    <cellStyle name="40% - Accent5 3 2 4 3 5 2" xfId="46454"/>
    <cellStyle name="40% - Accent5 3 2 4 3 6" xfId="37063"/>
    <cellStyle name="40% - Accent5 3 2 4 4" xfId="24540"/>
    <cellStyle name="40% - Accent5 3 2 4 4 2" xfId="26753"/>
    <cellStyle name="40% - Accent5 3 2 4 4 2 2" xfId="48998"/>
    <cellStyle name="40% - Accent5 3 2 4 4 3" xfId="46785"/>
    <cellStyle name="40% - Accent5 3 2 4 5" xfId="25114"/>
    <cellStyle name="40% - Accent5 3 2 4 5 2" xfId="27419"/>
    <cellStyle name="40% - Accent5 3 2 4 5 2 2" xfId="49664"/>
    <cellStyle name="40% - Accent5 3 2 4 5 3" xfId="47359"/>
    <cellStyle name="40% - Accent5 3 2 4 6" xfId="26095"/>
    <cellStyle name="40% - Accent5 3 2 4 6 2" xfId="48340"/>
    <cellStyle name="40% - Accent5 3 2 4 7" xfId="23904"/>
    <cellStyle name="40% - Accent5 3 2 4 7 2" xfId="46150"/>
    <cellStyle name="40% - Accent5 3 2 4 8" xfId="30431"/>
    <cellStyle name="40% - Accent5 3 2 5" xfId="8588"/>
    <cellStyle name="40% - Accent5 3 2 5 2" xfId="15300"/>
    <cellStyle name="40% - Accent5 3 2 5 2 2" xfId="24914"/>
    <cellStyle name="40% - Accent5 3 2 5 2 2 2" xfId="27127"/>
    <cellStyle name="40% - Accent5 3 2 5 2 2 2 2" xfId="49372"/>
    <cellStyle name="40% - Accent5 3 2 5 2 2 3" xfId="47159"/>
    <cellStyle name="40% - Accent5 3 2 5 2 3" xfId="25492"/>
    <cellStyle name="40% - Accent5 3 2 5 2 3 2" xfId="27797"/>
    <cellStyle name="40% - Accent5 3 2 5 2 3 2 2" xfId="50042"/>
    <cellStyle name="40% - Accent5 3 2 5 2 3 3" xfId="47737"/>
    <cellStyle name="40% - Accent5 3 2 5 2 4" xfId="26454"/>
    <cellStyle name="40% - Accent5 3 2 5 2 4 2" xfId="48699"/>
    <cellStyle name="40% - Accent5 3 2 5 2 5" xfId="24250"/>
    <cellStyle name="40% - Accent5 3 2 5 2 5 2" xfId="46496"/>
    <cellStyle name="40% - Accent5 3 2 5 2 6" xfId="38721"/>
    <cellStyle name="40% - Accent5 3 2 5 3" xfId="24582"/>
    <cellStyle name="40% - Accent5 3 2 5 3 2" xfId="26795"/>
    <cellStyle name="40% - Accent5 3 2 5 3 2 2" xfId="49040"/>
    <cellStyle name="40% - Accent5 3 2 5 3 3" xfId="46827"/>
    <cellStyle name="40% - Accent5 3 2 5 4" xfId="25156"/>
    <cellStyle name="40% - Accent5 3 2 5 4 2" xfId="27461"/>
    <cellStyle name="40% - Accent5 3 2 5 4 2 2" xfId="49706"/>
    <cellStyle name="40% - Accent5 3 2 5 4 3" xfId="47401"/>
    <cellStyle name="40% - Accent5 3 2 5 5" xfId="26127"/>
    <cellStyle name="40% - Accent5 3 2 5 5 2" xfId="48372"/>
    <cellStyle name="40% - Accent5 3 2 5 6" xfId="23936"/>
    <cellStyle name="40% - Accent5 3 2 5 6 2" xfId="46182"/>
    <cellStyle name="40% - Accent5 3 2 5 7" xfId="32089"/>
    <cellStyle name="40% - Accent5 3 2 6" xfId="11982"/>
    <cellStyle name="40% - Accent5 3 2 6 2" xfId="24748"/>
    <cellStyle name="40% - Accent5 3 2 6 2 2" xfId="26961"/>
    <cellStyle name="40% - Accent5 3 2 6 2 2 2" xfId="49206"/>
    <cellStyle name="40% - Accent5 3 2 6 2 3" xfId="46993"/>
    <cellStyle name="40% - Accent5 3 2 6 3" xfId="25324"/>
    <cellStyle name="40% - Accent5 3 2 6 3 2" xfId="27629"/>
    <cellStyle name="40% - Accent5 3 2 6 3 2 2" xfId="49874"/>
    <cellStyle name="40% - Accent5 3 2 6 3 3" xfId="47569"/>
    <cellStyle name="40% - Accent5 3 2 6 4" xfId="26289"/>
    <cellStyle name="40% - Accent5 3 2 6 4 2" xfId="48534"/>
    <cellStyle name="40% - Accent5 3 2 6 5" xfId="24085"/>
    <cellStyle name="40% - Accent5 3 2 6 5 2" xfId="46331"/>
    <cellStyle name="40% - Accent5 3 2 6 6" xfId="35405"/>
    <cellStyle name="40% - Accent5 3 2 7" xfId="23420"/>
    <cellStyle name="40% - Accent5 3 2 7 2" xfId="26629"/>
    <cellStyle name="40% - Accent5 3 2 7 2 2" xfId="48874"/>
    <cellStyle name="40% - Accent5 3 2 7 3" xfId="45765"/>
    <cellStyle name="40% - Accent5 3 2 8" xfId="25080"/>
    <cellStyle name="40% - Accent5 3 2 8 2" xfId="27293"/>
    <cellStyle name="40% - Accent5 3 2 8 2 2" xfId="49538"/>
    <cellStyle name="40% - Accent5 3 2 8 3" xfId="47325"/>
    <cellStyle name="40% - Accent5 3 2 9" xfId="25777"/>
    <cellStyle name="40% - Accent5 3 2 9 2" xfId="48022"/>
    <cellStyle name="40% - Accent5 3 3" xfId="3218"/>
    <cellStyle name="40% - Accent5 3 3 2" xfId="6925"/>
    <cellStyle name="40% - Accent5 3 3 2 2" xfId="10257"/>
    <cellStyle name="40% - Accent5 3 3 2 2 2" xfId="16961"/>
    <cellStyle name="40% - Accent5 3 3 2 2 2 2" xfId="27190"/>
    <cellStyle name="40% - Accent5 3 3 2 2 2 2 2" xfId="49435"/>
    <cellStyle name="40% - Accent5 3 3 2 2 2 3" xfId="24977"/>
    <cellStyle name="40% - Accent5 3 3 2 2 2 3 2" xfId="47222"/>
    <cellStyle name="40% - Accent5 3 3 2 2 2 4" xfId="40382"/>
    <cellStyle name="40% - Accent5 3 3 2 2 3" xfId="25555"/>
    <cellStyle name="40% - Accent5 3 3 2 2 3 2" xfId="27860"/>
    <cellStyle name="40% - Accent5 3 3 2 2 3 2 2" xfId="50105"/>
    <cellStyle name="40% - Accent5 3 3 2 2 3 3" xfId="47800"/>
    <cellStyle name="40% - Accent5 3 3 2 2 4" xfId="26516"/>
    <cellStyle name="40% - Accent5 3 3 2 2 4 2" xfId="48761"/>
    <cellStyle name="40% - Accent5 3 3 2 2 5" xfId="24312"/>
    <cellStyle name="40% - Accent5 3 3 2 2 5 2" xfId="46558"/>
    <cellStyle name="40% - Accent5 3 3 2 2 6" xfId="33750"/>
    <cellStyle name="40% - Accent5 3 3 2 3" xfId="13645"/>
    <cellStyle name="40% - Accent5 3 3 2 3 2" xfId="26858"/>
    <cellStyle name="40% - Accent5 3 3 2 3 2 2" xfId="49103"/>
    <cellStyle name="40% - Accent5 3 3 2 3 3" xfId="24645"/>
    <cellStyle name="40% - Accent5 3 3 2 3 3 2" xfId="46890"/>
    <cellStyle name="40% - Accent5 3 3 2 3 4" xfId="37066"/>
    <cellStyle name="40% - Accent5 3 3 2 4" xfId="25219"/>
    <cellStyle name="40% - Accent5 3 3 2 4 2" xfId="27524"/>
    <cellStyle name="40% - Accent5 3 3 2 4 2 2" xfId="49769"/>
    <cellStyle name="40% - Accent5 3 3 2 4 3" xfId="47464"/>
    <cellStyle name="40% - Accent5 3 3 2 5" xfId="26187"/>
    <cellStyle name="40% - Accent5 3 3 2 5 2" xfId="48432"/>
    <cellStyle name="40% - Accent5 3 3 2 6" xfId="23996"/>
    <cellStyle name="40% - Accent5 3 3 2 6 2" xfId="46242"/>
    <cellStyle name="40% - Accent5 3 3 2 7" xfId="30434"/>
    <cellStyle name="40% - Accent5 3 3 3" xfId="8591"/>
    <cellStyle name="40% - Accent5 3 3 3 2" xfId="15303"/>
    <cellStyle name="40% - Accent5 3 3 3 2 2" xfId="27024"/>
    <cellStyle name="40% - Accent5 3 3 3 2 2 2" xfId="49269"/>
    <cellStyle name="40% - Accent5 3 3 3 2 3" xfId="24811"/>
    <cellStyle name="40% - Accent5 3 3 3 2 3 2" xfId="47056"/>
    <cellStyle name="40% - Accent5 3 3 3 2 4" xfId="38724"/>
    <cellStyle name="40% - Accent5 3 3 3 3" xfId="25387"/>
    <cellStyle name="40% - Accent5 3 3 3 3 2" xfId="27692"/>
    <cellStyle name="40% - Accent5 3 3 3 3 2 2" xfId="49937"/>
    <cellStyle name="40% - Accent5 3 3 3 3 3" xfId="47632"/>
    <cellStyle name="40% - Accent5 3 3 3 4" xfId="26351"/>
    <cellStyle name="40% - Accent5 3 3 3 4 2" xfId="48596"/>
    <cellStyle name="40% - Accent5 3 3 3 5" xfId="24147"/>
    <cellStyle name="40% - Accent5 3 3 3 5 2" xfId="46393"/>
    <cellStyle name="40% - Accent5 3 3 3 6" xfId="32092"/>
    <cellStyle name="40% - Accent5 3 3 4" xfId="11985"/>
    <cellStyle name="40% - Accent5 3 3 4 2" xfId="26692"/>
    <cellStyle name="40% - Accent5 3 3 4 2 2" xfId="48937"/>
    <cellStyle name="40% - Accent5 3 3 4 3" xfId="24479"/>
    <cellStyle name="40% - Accent5 3 3 4 3 2" xfId="46724"/>
    <cellStyle name="40% - Accent5 3 3 4 4" xfId="35408"/>
    <cellStyle name="40% - Accent5 3 3 5" xfId="23418"/>
    <cellStyle name="40% - Accent5 3 3 5 2" xfId="27356"/>
    <cellStyle name="40% - Accent5 3 3 5 2 2" xfId="49601"/>
    <cellStyle name="40% - Accent5 3 3 5 3" xfId="45763"/>
    <cellStyle name="40% - Accent5 3 3 6" xfId="25780"/>
    <cellStyle name="40% - Accent5 3 3 6 2" xfId="48025"/>
    <cellStyle name="40% - Accent5 3 3 7" xfId="28776"/>
    <cellStyle name="40% - Accent5 3 4" xfId="3219"/>
    <cellStyle name="40% - Accent5 3 4 2" xfId="6926"/>
    <cellStyle name="40% - Accent5 3 4 2 2" xfId="10258"/>
    <cellStyle name="40% - Accent5 3 4 2 2 2" xfId="16962"/>
    <cellStyle name="40% - Accent5 3 4 2 2 2 2" xfId="27148"/>
    <cellStyle name="40% - Accent5 3 4 2 2 2 2 2" xfId="49393"/>
    <cellStyle name="40% - Accent5 3 4 2 2 2 3" xfId="24935"/>
    <cellStyle name="40% - Accent5 3 4 2 2 2 3 2" xfId="47180"/>
    <cellStyle name="40% - Accent5 3 4 2 2 2 4" xfId="40383"/>
    <cellStyle name="40% - Accent5 3 4 2 2 3" xfId="25513"/>
    <cellStyle name="40% - Accent5 3 4 2 2 3 2" xfId="27818"/>
    <cellStyle name="40% - Accent5 3 4 2 2 3 2 2" xfId="50063"/>
    <cellStyle name="40% - Accent5 3 4 2 2 3 3" xfId="47758"/>
    <cellStyle name="40% - Accent5 3 4 2 2 4" xfId="26475"/>
    <cellStyle name="40% - Accent5 3 4 2 2 4 2" xfId="48720"/>
    <cellStyle name="40% - Accent5 3 4 2 2 5" xfId="24271"/>
    <cellStyle name="40% - Accent5 3 4 2 2 5 2" xfId="46517"/>
    <cellStyle name="40% - Accent5 3 4 2 2 6" xfId="33751"/>
    <cellStyle name="40% - Accent5 3 4 2 3" xfId="13646"/>
    <cellStyle name="40% - Accent5 3 4 2 3 2" xfId="26816"/>
    <cellStyle name="40% - Accent5 3 4 2 3 2 2" xfId="49061"/>
    <cellStyle name="40% - Accent5 3 4 2 3 3" xfId="24603"/>
    <cellStyle name="40% - Accent5 3 4 2 3 3 2" xfId="46848"/>
    <cellStyle name="40% - Accent5 3 4 2 3 4" xfId="37067"/>
    <cellStyle name="40% - Accent5 3 4 2 4" xfId="25177"/>
    <cellStyle name="40% - Accent5 3 4 2 4 2" xfId="27482"/>
    <cellStyle name="40% - Accent5 3 4 2 4 2 2" xfId="49727"/>
    <cellStyle name="40% - Accent5 3 4 2 4 3" xfId="47422"/>
    <cellStyle name="40% - Accent5 3 4 2 5" xfId="26147"/>
    <cellStyle name="40% - Accent5 3 4 2 5 2" xfId="48392"/>
    <cellStyle name="40% - Accent5 3 4 2 6" xfId="23956"/>
    <cellStyle name="40% - Accent5 3 4 2 6 2" xfId="46202"/>
    <cellStyle name="40% - Accent5 3 4 2 7" xfId="30435"/>
    <cellStyle name="40% - Accent5 3 4 3" xfId="8592"/>
    <cellStyle name="40% - Accent5 3 4 3 2" xfId="15304"/>
    <cellStyle name="40% - Accent5 3 4 3 2 2" xfId="26982"/>
    <cellStyle name="40% - Accent5 3 4 3 2 2 2" xfId="49227"/>
    <cellStyle name="40% - Accent5 3 4 3 2 3" xfId="24769"/>
    <cellStyle name="40% - Accent5 3 4 3 2 3 2" xfId="47014"/>
    <cellStyle name="40% - Accent5 3 4 3 2 4" xfId="38725"/>
    <cellStyle name="40% - Accent5 3 4 3 3" xfId="25345"/>
    <cellStyle name="40% - Accent5 3 4 3 3 2" xfId="27650"/>
    <cellStyle name="40% - Accent5 3 4 3 3 2 2" xfId="49895"/>
    <cellStyle name="40% - Accent5 3 4 3 3 3" xfId="47590"/>
    <cellStyle name="40% - Accent5 3 4 3 4" xfId="26310"/>
    <cellStyle name="40% - Accent5 3 4 3 4 2" xfId="48555"/>
    <cellStyle name="40% - Accent5 3 4 3 5" xfId="24106"/>
    <cellStyle name="40% - Accent5 3 4 3 5 2" xfId="46352"/>
    <cellStyle name="40% - Accent5 3 4 3 6" xfId="32093"/>
    <cellStyle name="40% - Accent5 3 4 4" xfId="11986"/>
    <cellStyle name="40% - Accent5 3 4 4 2" xfId="26650"/>
    <cellStyle name="40% - Accent5 3 4 4 2 2" xfId="48895"/>
    <cellStyle name="40% - Accent5 3 4 4 3" xfId="24437"/>
    <cellStyle name="40% - Accent5 3 4 4 3 2" xfId="46682"/>
    <cellStyle name="40% - Accent5 3 4 4 4" xfId="35409"/>
    <cellStyle name="40% - Accent5 3 4 5" xfId="23419"/>
    <cellStyle name="40% - Accent5 3 4 5 2" xfId="27314"/>
    <cellStyle name="40% - Accent5 3 4 5 2 2" xfId="49559"/>
    <cellStyle name="40% - Accent5 3 4 5 3" xfId="45764"/>
    <cellStyle name="40% - Accent5 3 4 6" xfId="25781"/>
    <cellStyle name="40% - Accent5 3 4 6 2" xfId="48026"/>
    <cellStyle name="40% - Accent5 3 4 7" xfId="28777"/>
    <cellStyle name="40% - Accent5 3 5" xfId="3220"/>
    <cellStyle name="40% - Accent5 3 5 2" xfId="24036"/>
    <cellStyle name="40% - Accent5 3 5 2 2" xfId="24352"/>
    <cellStyle name="40% - Accent5 3 5 2 2 2" xfId="25017"/>
    <cellStyle name="40% - Accent5 3 5 2 2 2 2" xfId="27230"/>
    <cellStyle name="40% - Accent5 3 5 2 2 2 2 2" xfId="49475"/>
    <cellStyle name="40% - Accent5 3 5 2 2 2 3" xfId="47262"/>
    <cellStyle name="40% - Accent5 3 5 2 2 3" xfId="25597"/>
    <cellStyle name="40% - Accent5 3 5 2 2 3 2" xfId="27902"/>
    <cellStyle name="40% - Accent5 3 5 2 2 3 2 2" xfId="50147"/>
    <cellStyle name="40% - Accent5 3 5 2 2 3 3" xfId="47842"/>
    <cellStyle name="40% - Accent5 3 5 2 2 4" xfId="26556"/>
    <cellStyle name="40% - Accent5 3 5 2 2 4 2" xfId="48801"/>
    <cellStyle name="40% - Accent5 3 5 2 2 5" xfId="46598"/>
    <cellStyle name="40% - Accent5 3 5 2 3" xfId="24685"/>
    <cellStyle name="40% - Accent5 3 5 2 3 2" xfId="26898"/>
    <cellStyle name="40% - Accent5 3 5 2 3 2 2" xfId="49143"/>
    <cellStyle name="40% - Accent5 3 5 2 3 3" xfId="46930"/>
    <cellStyle name="40% - Accent5 3 5 2 4" xfId="25261"/>
    <cellStyle name="40% - Accent5 3 5 2 4 2" xfId="27566"/>
    <cellStyle name="40% - Accent5 3 5 2 4 2 2" xfId="49811"/>
    <cellStyle name="40% - Accent5 3 5 2 4 3" xfId="47506"/>
    <cellStyle name="40% - Accent5 3 5 2 5" xfId="26227"/>
    <cellStyle name="40% - Accent5 3 5 2 5 2" xfId="48472"/>
    <cellStyle name="40% - Accent5 3 5 2 6" xfId="46282"/>
    <cellStyle name="40% - Accent5 3 5 3" xfId="24187"/>
    <cellStyle name="40% - Accent5 3 5 3 2" xfId="24851"/>
    <cellStyle name="40% - Accent5 3 5 3 2 2" xfId="27064"/>
    <cellStyle name="40% - Accent5 3 5 3 2 2 2" xfId="49309"/>
    <cellStyle name="40% - Accent5 3 5 3 2 3" xfId="47096"/>
    <cellStyle name="40% - Accent5 3 5 3 3" xfId="25429"/>
    <cellStyle name="40% - Accent5 3 5 3 3 2" xfId="27734"/>
    <cellStyle name="40% - Accent5 3 5 3 3 2 2" xfId="49979"/>
    <cellStyle name="40% - Accent5 3 5 3 3 3" xfId="47674"/>
    <cellStyle name="40% - Accent5 3 5 3 4" xfId="26391"/>
    <cellStyle name="40% - Accent5 3 5 3 4 2" xfId="48636"/>
    <cellStyle name="40% - Accent5 3 5 3 5" xfId="46433"/>
    <cellStyle name="40% - Accent5 3 5 4" xfId="24519"/>
    <cellStyle name="40% - Accent5 3 5 4 2" xfId="26732"/>
    <cellStyle name="40% - Accent5 3 5 4 2 2" xfId="48977"/>
    <cellStyle name="40% - Accent5 3 5 4 3" xfId="46764"/>
    <cellStyle name="40% - Accent5 3 5 5" xfId="25099"/>
    <cellStyle name="40% - Accent5 3 5 5 2" xfId="27398"/>
    <cellStyle name="40% - Accent5 3 5 5 2 2" xfId="49643"/>
    <cellStyle name="40% - Accent5 3 5 5 3" xfId="47344"/>
    <cellStyle name="40% - Accent5 3 5 6" xfId="23889"/>
    <cellStyle name="40% - Accent5 3 5 6 2" xfId="26080"/>
    <cellStyle name="40% - Accent5 3 5 6 2 2" xfId="48325"/>
    <cellStyle name="40% - Accent5 3 5 6 3" xfId="46135"/>
    <cellStyle name="40% - Accent5 3 6" xfId="3214"/>
    <cellStyle name="40% - Accent5 3 6 2" xfId="6921"/>
    <cellStyle name="40% - Accent5 3 6 2 2" xfId="10253"/>
    <cellStyle name="40% - Accent5 3 6 2 2 2" xfId="16957"/>
    <cellStyle name="40% - Accent5 3 6 2 2 2 2" xfId="27106"/>
    <cellStyle name="40% - Accent5 3 6 2 2 2 2 2" xfId="49351"/>
    <cellStyle name="40% - Accent5 3 6 2 2 2 3" xfId="40378"/>
    <cellStyle name="40% - Accent5 3 6 2 2 3" xfId="24893"/>
    <cellStyle name="40% - Accent5 3 6 2 2 3 2" xfId="47138"/>
    <cellStyle name="40% - Accent5 3 6 2 2 4" xfId="33746"/>
    <cellStyle name="40% - Accent5 3 6 2 3" xfId="13641"/>
    <cellStyle name="40% - Accent5 3 6 2 3 2" xfId="27776"/>
    <cellStyle name="40% - Accent5 3 6 2 3 2 2" xfId="50021"/>
    <cellStyle name="40% - Accent5 3 6 2 3 3" xfId="25471"/>
    <cellStyle name="40% - Accent5 3 6 2 3 3 2" xfId="47716"/>
    <cellStyle name="40% - Accent5 3 6 2 3 4" xfId="37062"/>
    <cellStyle name="40% - Accent5 3 6 2 4" xfId="26433"/>
    <cellStyle name="40% - Accent5 3 6 2 4 2" xfId="48678"/>
    <cellStyle name="40% - Accent5 3 6 2 5" xfId="24229"/>
    <cellStyle name="40% - Accent5 3 6 2 5 2" xfId="46475"/>
    <cellStyle name="40% - Accent5 3 6 2 6" xfId="30430"/>
    <cellStyle name="40% - Accent5 3 6 3" xfId="8587"/>
    <cellStyle name="40% - Accent5 3 6 3 2" xfId="15299"/>
    <cellStyle name="40% - Accent5 3 6 3 2 2" xfId="26774"/>
    <cellStyle name="40% - Accent5 3 6 3 2 2 2" xfId="49019"/>
    <cellStyle name="40% - Accent5 3 6 3 2 3" xfId="38720"/>
    <cellStyle name="40% - Accent5 3 6 3 3" xfId="24561"/>
    <cellStyle name="40% - Accent5 3 6 3 3 2" xfId="46806"/>
    <cellStyle name="40% - Accent5 3 6 3 4" xfId="32088"/>
    <cellStyle name="40% - Accent5 3 6 4" xfId="11981"/>
    <cellStyle name="40% - Accent5 3 6 4 2" xfId="27440"/>
    <cellStyle name="40% - Accent5 3 6 4 2 2" xfId="49685"/>
    <cellStyle name="40% - Accent5 3 6 4 3" xfId="25135"/>
    <cellStyle name="40% - Accent5 3 6 4 3 2" xfId="47380"/>
    <cellStyle name="40% - Accent5 3 6 4 4" xfId="35404"/>
    <cellStyle name="40% - Accent5 3 6 5" xfId="26109"/>
    <cellStyle name="40% - Accent5 3 6 5 2" xfId="48354"/>
    <cellStyle name="40% - Accent5 3 6 6" xfId="23918"/>
    <cellStyle name="40% - Accent5 3 6 6 2" xfId="46164"/>
    <cellStyle name="40% - Accent5 3 6 7" xfId="28772"/>
    <cellStyle name="40% - Accent5 3 7" xfId="23337"/>
    <cellStyle name="40% - Accent5 3 7 2" xfId="24727"/>
    <cellStyle name="40% - Accent5 3 7 2 2" xfId="26940"/>
    <cellStyle name="40% - Accent5 3 7 2 2 2" xfId="49185"/>
    <cellStyle name="40% - Accent5 3 7 2 3" xfId="46972"/>
    <cellStyle name="40% - Accent5 3 7 3" xfId="25303"/>
    <cellStyle name="40% - Accent5 3 7 3 2" xfId="27608"/>
    <cellStyle name="40% - Accent5 3 7 3 2 2" xfId="49853"/>
    <cellStyle name="40% - Accent5 3 7 3 3" xfId="47548"/>
    <cellStyle name="40% - Accent5 3 7 4" xfId="26268"/>
    <cellStyle name="40% - Accent5 3 7 4 2" xfId="48513"/>
    <cellStyle name="40% - Accent5 3 7 5" xfId="45708"/>
    <cellStyle name="40% - Accent5 3 8" xfId="24405"/>
    <cellStyle name="40% - Accent5 3 8 2" xfId="26608"/>
    <cellStyle name="40% - Accent5 3 8 2 2" xfId="48853"/>
    <cellStyle name="40% - Accent5 3 8 3" xfId="46650"/>
    <cellStyle name="40% - Accent5 3 9" xfId="25059"/>
    <cellStyle name="40% - Accent5 3 9 2" xfId="27272"/>
    <cellStyle name="40% - Accent5 3 9 2 2" xfId="49517"/>
    <cellStyle name="40% - Accent5 3 9 3" xfId="47304"/>
    <cellStyle name="40% - Accent5 4" xfId="3212"/>
    <cellStyle name="40% - Accent5 4 2" xfId="25713"/>
    <cellStyle name="40% - Accent5 4 2 2" xfId="47958"/>
    <cellStyle name="40% - Accent5 5" xfId="7770"/>
    <cellStyle name="40% - Accent5 5 2" xfId="11099"/>
    <cellStyle name="40% - Accent5 5 2 2" xfId="17803"/>
    <cellStyle name="40% - Accent5 5 2 2 2" xfId="41224"/>
    <cellStyle name="40% - Accent5 5 2 3" xfId="34592"/>
    <cellStyle name="40% - Accent5 5 3" xfId="14487"/>
    <cellStyle name="40% - Accent5 5 3 2" xfId="37908"/>
    <cellStyle name="40% - Accent5 5 4" xfId="31276"/>
    <cellStyle name="40% - Accent5 6" xfId="9441"/>
    <cellStyle name="40% - Accent5 6 2" xfId="16145"/>
    <cellStyle name="40% - Accent5 6 2 2" xfId="39566"/>
    <cellStyle name="40% - Accent5 6 3" xfId="32934"/>
    <cellStyle name="40% - Accent5 7" xfId="12829"/>
    <cellStyle name="40% - Accent5 7 2" xfId="36250"/>
    <cellStyle name="40% - Accent5 8" xfId="23261"/>
    <cellStyle name="40% - Accent5 8 2" xfId="45670"/>
    <cellStyle name="40% - Accent5 9" xfId="6102"/>
    <cellStyle name="40% - Accent5 9 2" xfId="29618"/>
    <cellStyle name="40% - Accent6" xfId="18" builtinId="51" customBuiltin="1"/>
    <cellStyle name="40% - Accent6 2" xfId="279"/>
    <cellStyle name="40% - Accent6 2 2" xfId="280"/>
    <cellStyle name="40% - Accent6 2 3" xfId="5121"/>
    <cellStyle name="40% - Accent6 2 4" xfId="3222"/>
    <cellStyle name="40% - Accent6 3" xfId="1084"/>
    <cellStyle name="40% - Accent6 3 10" xfId="23637"/>
    <cellStyle name="40% - Accent6 3 2" xfId="3224"/>
    <cellStyle name="40% - Accent6 3 2 10" xfId="28779"/>
    <cellStyle name="40% - Accent6 3 2 2" xfId="3225"/>
    <cellStyle name="40% - Accent6 3 2 2 2" xfId="6929"/>
    <cellStyle name="40% - Accent6 3 2 2 2 2" xfId="10261"/>
    <cellStyle name="40% - Accent6 3 2 2 2 2 2" xfId="16965"/>
    <cellStyle name="40% - Accent6 3 2 2 2 2 2 2" xfId="27211"/>
    <cellStyle name="40% - Accent6 3 2 2 2 2 2 2 2" xfId="49456"/>
    <cellStyle name="40% - Accent6 3 2 2 2 2 2 3" xfId="24998"/>
    <cellStyle name="40% - Accent6 3 2 2 2 2 2 3 2" xfId="47243"/>
    <cellStyle name="40% - Accent6 3 2 2 2 2 2 4" xfId="40386"/>
    <cellStyle name="40% - Accent6 3 2 2 2 2 3" xfId="25577"/>
    <cellStyle name="40% - Accent6 3 2 2 2 2 3 2" xfId="27882"/>
    <cellStyle name="40% - Accent6 3 2 2 2 2 3 2 2" xfId="50127"/>
    <cellStyle name="40% - Accent6 3 2 2 2 2 3 3" xfId="47822"/>
    <cellStyle name="40% - Accent6 3 2 2 2 2 4" xfId="26537"/>
    <cellStyle name="40% - Accent6 3 2 2 2 2 4 2" xfId="48782"/>
    <cellStyle name="40% - Accent6 3 2 2 2 2 5" xfId="24333"/>
    <cellStyle name="40% - Accent6 3 2 2 2 2 5 2" xfId="46579"/>
    <cellStyle name="40% - Accent6 3 2 2 2 2 6" xfId="33754"/>
    <cellStyle name="40% - Accent6 3 2 2 2 3" xfId="13649"/>
    <cellStyle name="40% - Accent6 3 2 2 2 3 2" xfId="26879"/>
    <cellStyle name="40% - Accent6 3 2 2 2 3 2 2" xfId="49124"/>
    <cellStyle name="40% - Accent6 3 2 2 2 3 3" xfId="24666"/>
    <cellStyle name="40% - Accent6 3 2 2 2 3 3 2" xfId="46911"/>
    <cellStyle name="40% - Accent6 3 2 2 2 3 4" xfId="37070"/>
    <cellStyle name="40% - Accent6 3 2 2 2 4" xfId="25241"/>
    <cellStyle name="40% - Accent6 3 2 2 2 4 2" xfId="27546"/>
    <cellStyle name="40% - Accent6 3 2 2 2 4 2 2" xfId="49791"/>
    <cellStyle name="40% - Accent6 3 2 2 2 4 3" xfId="47486"/>
    <cellStyle name="40% - Accent6 3 2 2 2 5" xfId="26208"/>
    <cellStyle name="40% - Accent6 3 2 2 2 5 2" xfId="48453"/>
    <cellStyle name="40% - Accent6 3 2 2 2 6" xfId="24017"/>
    <cellStyle name="40% - Accent6 3 2 2 2 6 2" xfId="46263"/>
    <cellStyle name="40% - Accent6 3 2 2 2 7" xfId="30438"/>
    <cellStyle name="40% - Accent6 3 2 2 3" xfId="8595"/>
    <cellStyle name="40% - Accent6 3 2 2 3 2" xfId="15307"/>
    <cellStyle name="40% - Accent6 3 2 2 3 2 2" xfId="27045"/>
    <cellStyle name="40% - Accent6 3 2 2 3 2 2 2" xfId="49290"/>
    <cellStyle name="40% - Accent6 3 2 2 3 2 3" xfId="24832"/>
    <cellStyle name="40% - Accent6 3 2 2 3 2 3 2" xfId="47077"/>
    <cellStyle name="40% - Accent6 3 2 2 3 2 4" xfId="38728"/>
    <cellStyle name="40% - Accent6 3 2 2 3 3" xfId="25409"/>
    <cellStyle name="40% - Accent6 3 2 2 3 3 2" xfId="27714"/>
    <cellStyle name="40% - Accent6 3 2 2 3 3 2 2" xfId="49959"/>
    <cellStyle name="40% - Accent6 3 2 2 3 3 3" xfId="47654"/>
    <cellStyle name="40% - Accent6 3 2 2 3 4" xfId="26372"/>
    <cellStyle name="40% - Accent6 3 2 2 3 4 2" xfId="48617"/>
    <cellStyle name="40% - Accent6 3 2 2 3 5" xfId="24168"/>
    <cellStyle name="40% - Accent6 3 2 2 3 5 2" xfId="46414"/>
    <cellStyle name="40% - Accent6 3 2 2 3 6" xfId="32096"/>
    <cellStyle name="40% - Accent6 3 2 2 4" xfId="11989"/>
    <cellStyle name="40% - Accent6 3 2 2 4 2" xfId="26713"/>
    <cellStyle name="40% - Accent6 3 2 2 4 2 2" xfId="48958"/>
    <cellStyle name="40% - Accent6 3 2 2 4 3" xfId="24500"/>
    <cellStyle name="40% - Accent6 3 2 2 4 3 2" xfId="46745"/>
    <cellStyle name="40% - Accent6 3 2 2 4 4" xfId="35412"/>
    <cellStyle name="40% - Accent6 3 2 2 5" xfId="23416"/>
    <cellStyle name="40% - Accent6 3 2 2 5 2" xfId="27378"/>
    <cellStyle name="40% - Accent6 3 2 2 5 2 2" xfId="49623"/>
    <cellStyle name="40% - Accent6 3 2 2 5 3" xfId="45761"/>
    <cellStyle name="40% - Accent6 3 2 2 6" xfId="25784"/>
    <cellStyle name="40% - Accent6 3 2 2 6 2" xfId="48029"/>
    <cellStyle name="40% - Accent6 3 2 2 7" xfId="28780"/>
    <cellStyle name="40% - Accent6 3 2 3" xfId="3226"/>
    <cellStyle name="40% - Accent6 3 2 3 2" xfId="6930"/>
    <cellStyle name="40% - Accent6 3 2 3 2 2" xfId="10262"/>
    <cellStyle name="40% - Accent6 3 2 3 2 2 2" xfId="16966"/>
    <cellStyle name="40% - Accent6 3 2 3 2 2 2 2" xfId="27170"/>
    <cellStyle name="40% - Accent6 3 2 3 2 2 2 2 2" xfId="49415"/>
    <cellStyle name="40% - Accent6 3 2 3 2 2 2 3" xfId="24957"/>
    <cellStyle name="40% - Accent6 3 2 3 2 2 2 3 2" xfId="47202"/>
    <cellStyle name="40% - Accent6 3 2 3 2 2 2 4" xfId="40387"/>
    <cellStyle name="40% - Accent6 3 2 3 2 2 3" xfId="25535"/>
    <cellStyle name="40% - Accent6 3 2 3 2 2 3 2" xfId="27840"/>
    <cellStyle name="40% - Accent6 3 2 3 2 2 3 2 2" xfId="50085"/>
    <cellStyle name="40% - Accent6 3 2 3 2 2 3 3" xfId="47780"/>
    <cellStyle name="40% - Accent6 3 2 3 2 2 4" xfId="26497"/>
    <cellStyle name="40% - Accent6 3 2 3 2 2 4 2" xfId="48742"/>
    <cellStyle name="40% - Accent6 3 2 3 2 2 5" xfId="24293"/>
    <cellStyle name="40% - Accent6 3 2 3 2 2 5 2" xfId="46539"/>
    <cellStyle name="40% - Accent6 3 2 3 2 2 6" xfId="33755"/>
    <cellStyle name="40% - Accent6 3 2 3 2 3" xfId="13650"/>
    <cellStyle name="40% - Accent6 3 2 3 2 3 2" xfId="26838"/>
    <cellStyle name="40% - Accent6 3 2 3 2 3 2 2" xfId="49083"/>
    <cellStyle name="40% - Accent6 3 2 3 2 3 3" xfId="24625"/>
    <cellStyle name="40% - Accent6 3 2 3 2 3 3 2" xfId="46870"/>
    <cellStyle name="40% - Accent6 3 2 3 2 3 4" xfId="37071"/>
    <cellStyle name="40% - Accent6 3 2 3 2 4" xfId="25199"/>
    <cellStyle name="40% - Accent6 3 2 3 2 4 2" xfId="27504"/>
    <cellStyle name="40% - Accent6 3 2 3 2 4 2 2" xfId="49749"/>
    <cellStyle name="40% - Accent6 3 2 3 2 4 3" xfId="47444"/>
    <cellStyle name="40% - Accent6 3 2 3 2 5" xfId="26168"/>
    <cellStyle name="40% - Accent6 3 2 3 2 5 2" xfId="48413"/>
    <cellStyle name="40% - Accent6 3 2 3 2 6" xfId="23977"/>
    <cellStyle name="40% - Accent6 3 2 3 2 6 2" xfId="46223"/>
    <cellStyle name="40% - Accent6 3 2 3 2 7" xfId="30439"/>
    <cellStyle name="40% - Accent6 3 2 3 3" xfId="8596"/>
    <cellStyle name="40% - Accent6 3 2 3 3 2" xfId="15308"/>
    <cellStyle name="40% - Accent6 3 2 3 3 2 2" xfId="27004"/>
    <cellStyle name="40% - Accent6 3 2 3 3 2 2 2" xfId="49249"/>
    <cellStyle name="40% - Accent6 3 2 3 3 2 3" xfId="24791"/>
    <cellStyle name="40% - Accent6 3 2 3 3 2 3 2" xfId="47036"/>
    <cellStyle name="40% - Accent6 3 2 3 3 2 4" xfId="38729"/>
    <cellStyle name="40% - Accent6 3 2 3 3 3" xfId="25367"/>
    <cellStyle name="40% - Accent6 3 2 3 3 3 2" xfId="27672"/>
    <cellStyle name="40% - Accent6 3 2 3 3 3 2 2" xfId="49917"/>
    <cellStyle name="40% - Accent6 3 2 3 3 3 3" xfId="47612"/>
    <cellStyle name="40% - Accent6 3 2 3 3 4" xfId="26332"/>
    <cellStyle name="40% - Accent6 3 2 3 3 4 2" xfId="48577"/>
    <cellStyle name="40% - Accent6 3 2 3 3 5" xfId="24128"/>
    <cellStyle name="40% - Accent6 3 2 3 3 5 2" xfId="46374"/>
    <cellStyle name="40% - Accent6 3 2 3 3 6" xfId="32097"/>
    <cellStyle name="40% - Accent6 3 2 3 4" xfId="11990"/>
    <cellStyle name="40% - Accent6 3 2 3 4 2" xfId="26672"/>
    <cellStyle name="40% - Accent6 3 2 3 4 2 2" xfId="48917"/>
    <cellStyle name="40% - Accent6 3 2 3 4 3" xfId="24459"/>
    <cellStyle name="40% - Accent6 3 2 3 4 3 2" xfId="46704"/>
    <cellStyle name="40% - Accent6 3 2 3 4 4" xfId="35413"/>
    <cellStyle name="40% - Accent6 3 2 3 5" xfId="23415"/>
    <cellStyle name="40% - Accent6 3 2 3 5 2" xfId="27336"/>
    <cellStyle name="40% - Accent6 3 2 3 5 2 2" xfId="49581"/>
    <cellStyle name="40% - Accent6 3 2 3 5 3" xfId="45760"/>
    <cellStyle name="40% - Accent6 3 2 3 6" xfId="25785"/>
    <cellStyle name="40% - Accent6 3 2 3 6 2" xfId="48030"/>
    <cellStyle name="40% - Accent6 3 2 3 7" xfId="28781"/>
    <cellStyle name="40% - Accent6 3 2 4" xfId="6928"/>
    <cellStyle name="40% - Accent6 3 2 4 2" xfId="10260"/>
    <cellStyle name="40% - Accent6 3 2 4 2 2" xfId="16964"/>
    <cellStyle name="40% - Accent6 3 2 4 2 2 2" xfId="25039"/>
    <cellStyle name="40% - Accent6 3 2 4 2 2 2 2" xfId="27252"/>
    <cellStyle name="40% - Accent6 3 2 4 2 2 2 2 2" xfId="49497"/>
    <cellStyle name="40% - Accent6 3 2 4 2 2 2 3" xfId="47284"/>
    <cellStyle name="40% - Accent6 3 2 4 2 2 3" xfId="25619"/>
    <cellStyle name="40% - Accent6 3 2 4 2 2 3 2" xfId="27924"/>
    <cellStyle name="40% - Accent6 3 2 4 2 2 3 2 2" xfId="50169"/>
    <cellStyle name="40% - Accent6 3 2 4 2 2 3 3" xfId="47864"/>
    <cellStyle name="40% - Accent6 3 2 4 2 2 4" xfId="26578"/>
    <cellStyle name="40% - Accent6 3 2 4 2 2 4 2" xfId="48823"/>
    <cellStyle name="40% - Accent6 3 2 4 2 2 5" xfId="24374"/>
    <cellStyle name="40% - Accent6 3 2 4 2 2 5 2" xfId="46620"/>
    <cellStyle name="40% - Accent6 3 2 4 2 2 6" xfId="40385"/>
    <cellStyle name="40% - Accent6 3 2 4 2 3" xfId="24707"/>
    <cellStyle name="40% - Accent6 3 2 4 2 3 2" xfId="26920"/>
    <cellStyle name="40% - Accent6 3 2 4 2 3 2 2" xfId="49165"/>
    <cellStyle name="40% - Accent6 3 2 4 2 3 3" xfId="46952"/>
    <cellStyle name="40% - Accent6 3 2 4 2 4" xfId="25283"/>
    <cellStyle name="40% - Accent6 3 2 4 2 4 2" xfId="27588"/>
    <cellStyle name="40% - Accent6 3 2 4 2 4 2 2" xfId="49833"/>
    <cellStyle name="40% - Accent6 3 2 4 2 4 3" xfId="47528"/>
    <cellStyle name="40% - Accent6 3 2 4 2 5" xfId="26249"/>
    <cellStyle name="40% - Accent6 3 2 4 2 5 2" xfId="48494"/>
    <cellStyle name="40% - Accent6 3 2 4 2 6" xfId="24058"/>
    <cellStyle name="40% - Accent6 3 2 4 2 6 2" xfId="46304"/>
    <cellStyle name="40% - Accent6 3 2 4 2 7" xfId="33753"/>
    <cellStyle name="40% - Accent6 3 2 4 3" xfId="13648"/>
    <cellStyle name="40% - Accent6 3 2 4 3 2" xfId="24873"/>
    <cellStyle name="40% - Accent6 3 2 4 3 2 2" xfId="27086"/>
    <cellStyle name="40% - Accent6 3 2 4 3 2 2 2" xfId="49331"/>
    <cellStyle name="40% - Accent6 3 2 4 3 2 3" xfId="47118"/>
    <cellStyle name="40% - Accent6 3 2 4 3 3" xfId="25451"/>
    <cellStyle name="40% - Accent6 3 2 4 3 3 2" xfId="27756"/>
    <cellStyle name="40% - Accent6 3 2 4 3 3 2 2" xfId="50001"/>
    <cellStyle name="40% - Accent6 3 2 4 3 3 3" xfId="47696"/>
    <cellStyle name="40% - Accent6 3 2 4 3 4" xfId="26413"/>
    <cellStyle name="40% - Accent6 3 2 4 3 4 2" xfId="48658"/>
    <cellStyle name="40% - Accent6 3 2 4 3 5" xfId="24209"/>
    <cellStyle name="40% - Accent6 3 2 4 3 5 2" xfId="46455"/>
    <cellStyle name="40% - Accent6 3 2 4 3 6" xfId="37069"/>
    <cellStyle name="40% - Accent6 3 2 4 4" xfId="24541"/>
    <cellStyle name="40% - Accent6 3 2 4 4 2" xfId="26754"/>
    <cellStyle name="40% - Accent6 3 2 4 4 2 2" xfId="48999"/>
    <cellStyle name="40% - Accent6 3 2 4 4 3" xfId="46786"/>
    <cellStyle name="40% - Accent6 3 2 4 5" xfId="25115"/>
    <cellStyle name="40% - Accent6 3 2 4 5 2" xfId="27420"/>
    <cellStyle name="40% - Accent6 3 2 4 5 2 2" xfId="49665"/>
    <cellStyle name="40% - Accent6 3 2 4 5 3" xfId="47360"/>
    <cellStyle name="40% - Accent6 3 2 4 6" xfId="26096"/>
    <cellStyle name="40% - Accent6 3 2 4 6 2" xfId="48341"/>
    <cellStyle name="40% - Accent6 3 2 4 7" xfId="23905"/>
    <cellStyle name="40% - Accent6 3 2 4 7 2" xfId="46151"/>
    <cellStyle name="40% - Accent6 3 2 4 8" xfId="30437"/>
    <cellStyle name="40% - Accent6 3 2 5" xfId="8594"/>
    <cellStyle name="40% - Accent6 3 2 5 2" xfId="15306"/>
    <cellStyle name="40% - Accent6 3 2 5 2 2" xfId="24915"/>
    <cellStyle name="40% - Accent6 3 2 5 2 2 2" xfId="27128"/>
    <cellStyle name="40% - Accent6 3 2 5 2 2 2 2" xfId="49373"/>
    <cellStyle name="40% - Accent6 3 2 5 2 2 3" xfId="47160"/>
    <cellStyle name="40% - Accent6 3 2 5 2 3" xfId="25493"/>
    <cellStyle name="40% - Accent6 3 2 5 2 3 2" xfId="27798"/>
    <cellStyle name="40% - Accent6 3 2 5 2 3 2 2" xfId="50043"/>
    <cellStyle name="40% - Accent6 3 2 5 2 3 3" xfId="47738"/>
    <cellStyle name="40% - Accent6 3 2 5 2 4" xfId="26455"/>
    <cellStyle name="40% - Accent6 3 2 5 2 4 2" xfId="48700"/>
    <cellStyle name="40% - Accent6 3 2 5 2 5" xfId="24251"/>
    <cellStyle name="40% - Accent6 3 2 5 2 5 2" xfId="46497"/>
    <cellStyle name="40% - Accent6 3 2 5 2 6" xfId="38727"/>
    <cellStyle name="40% - Accent6 3 2 5 3" xfId="24583"/>
    <cellStyle name="40% - Accent6 3 2 5 3 2" xfId="26796"/>
    <cellStyle name="40% - Accent6 3 2 5 3 2 2" xfId="49041"/>
    <cellStyle name="40% - Accent6 3 2 5 3 3" xfId="46828"/>
    <cellStyle name="40% - Accent6 3 2 5 4" xfId="25157"/>
    <cellStyle name="40% - Accent6 3 2 5 4 2" xfId="27462"/>
    <cellStyle name="40% - Accent6 3 2 5 4 2 2" xfId="49707"/>
    <cellStyle name="40% - Accent6 3 2 5 4 3" xfId="47402"/>
    <cellStyle name="40% - Accent6 3 2 5 5" xfId="26128"/>
    <cellStyle name="40% - Accent6 3 2 5 5 2" xfId="48373"/>
    <cellStyle name="40% - Accent6 3 2 5 6" xfId="23937"/>
    <cellStyle name="40% - Accent6 3 2 5 6 2" xfId="46183"/>
    <cellStyle name="40% - Accent6 3 2 5 7" xfId="32095"/>
    <cellStyle name="40% - Accent6 3 2 6" xfId="11988"/>
    <cellStyle name="40% - Accent6 3 2 6 2" xfId="24749"/>
    <cellStyle name="40% - Accent6 3 2 6 2 2" xfId="26962"/>
    <cellStyle name="40% - Accent6 3 2 6 2 2 2" xfId="49207"/>
    <cellStyle name="40% - Accent6 3 2 6 2 3" xfId="46994"/>
    <cellStyle name="40% - Accent6 3 2 6 3" xfId="25325"/>
    <cellStyle name="40% - Accent6 3 2 6 3 2" xfId="27630"/>
    <cellStyle name="40% - Accent6 3 2 6 3 2 2" xfId="49875"/>
    <cellStyle name="40% - Accent6 3 2 6 3 3" xfId="47570"/>
    <cellStyle name="40% - Accent6 3 2 6 4" xfId="26290"/>
    <cellStyle name="40% - Accent6 3 2 6 4 2" xfId="48535"/>
    <cellStyle name="40% - Accent6 3 2 6 5" xfId="24086"/>
    <cellStyle name="40% - Accent6 3 2 6 5 2" xfId="46332"/>
    <cellStyle name="40% - Accent6 3 2 6 6" xfId="35411"/>
    <cellStyle name="40% - Accent6 3 2 7" xfId="23303"/>
    <cellStyle name="40% - Accent6 3 2 7 2" xfId="26630"/>
    <cellStyle name="40% - Accent6 3 2 7 2 2" xfId="48875"/>
    <cellStyle name="40% - Accent6 3 2 7 3" xfId="45695"/>
    <cellStyle name="40% - Accent6 3 2 8" xfId="25081"/>
    <cellStyle name="40% - Accent6 3 2 8 2" xfId="27294"/>
    <cellStyle name="40% - Accent6 3 2 8 2 2" xfId="49539"/>
    <cellStyle name="40% - Accent6 3 2 8 3" xfId="47326"/>
    <cellStyle name="40% - Accent6 3 2 9" xfId="25783"/>
    <cellStyle name="40% - Accent6 3 2 9 2" xfId="48028"/>
    <cellStyle name="40% - Accent6 3 3" xfId="3227"/>
    <cellStyle name="40% - Accent6 3 3 2" xfId="6931"/>
    <cellStyle name="40% - Accent6 3 3 2 2" xfId="10263"/>
    <cellStyle name="40% - Accent6 3 3 2 2 2" xfId="16967"/>
    <cellStyle name="40% - Accent6 3 3 2 2 2 2" xfId="27191"/>
    <cellStyle name="40% - Accent6 3 3 2 2 2 2 2" xfId="49436"/>
    <cellStyle name="40% - Accent6 3 3 2 2 2 3" xfId="24978"/>
    <cellStyle name="40% - Accent6 3 3 2 2 2 3 2" xfId="47223"/>
    <cellStyle name="40% - Accent6 3 3 2 2 2 4" xfId="40388"/>
    <cellStyle name="40% - Accent6 3 3 2 2 3" xfId="25556"/>
    <cellStyle name="40% - Accent6 3 3 2 2 3 2" xfId="27861"/>
    <cellStyle name="40% - Accent6 3 3 2 2 3 2 2" xfId="50106"/>
    <cellStyle name="40% - Accent6 3 3 2 2 3 3" xfId="47801"/>
    <cellStyle name="40% - Accent6 3 3 2 2 4" xfId="26517"/>
    <cellStyle name="40% - Accent6 3 3 2 2 4 2" xfId="48762"/>
    <cellStyle name="40% - Accent6 3 3 2 2 5" xfId="24313"/>
    <cellStyle name="40% - Accent6 3 3 2 2 5 2" xfId="46559"/>
    <cellStyle name="40% - Accent6 3 3 2 2 6" xfId="33756"/>
    <cellStyle name="40% - Accent6 3 3 2 3" xfId="13651"/>
    <cellStyle name="40% - Accent6 3 3 2 3 2" xfId="26859"/>
    <cellStyle name="40% - Accent6 3 3 2 3 2 2" xfId="49104"/>
    <cellStyle name="40% - Accent6 3 3 2 3 3" xfId="24646"/>
    <cellStyle name="40% - Accent6 3 3 2 3 3 2" xfId="46891"/>
    <cellStyle name="40% - Accent6 3 3 2 3 4" xfId="37072"/>
    <cellStyle name="40% - Accent6 3 3 2 4" xfId="25220"/>
    <cellStyle name="40% - Accent6 3 3 2 4 2" xfId="27525"/>
    <cellStyle name="40% - Accent6 3 3 2 4 2 2" xfId="49770"/>
    <cellStyle name="40% - Accent6 3 3 2 4 3" xfId="47465"/>
    <cellStyle name="40% - Accent6 3 3 2 5" xfId="26188"/>
    <cellStyle name="40% - Accent6 3 3 2 5 2" xfId="48433"/>
    <cellStyle name="40% - Accent6 3 3 2 6" xfId="23997"/>
    <cellStyle name="40% - Accent6 3 3 2 6 2" xfId="46243"/>
    <cellStyle name="40% - Accent6 3 3 2 7" xfId="30440"/>
    <cellStyle name="40% - Accent6 3 3 3" xfId="8597"/>
    <cellStyle name="40% - Accent6 3 3 3 2" xfId="15309"/>
    <cellStyle name="40% - Accent6 3 3 3 2 2" xfId="27025"/>
    <cellStyle name="40% - Accent6 3 3 3 2 2 2" xfId="49270"/>
    <cellStyle name="40% - Accent6 3 3 3 2 3" xfId="24812"/>
    <cellStyle name="40% - Accent6 3 3 3 2 3 2" xfId="47057"/>
    <cellStyle name="40% - Accent6 3 3 3 2 4" xfId="38730"/>
    <cellStyle name="40% - Accent6 3 3 3 3" xfId="25388"/>
    <cellStyle name="40% - Accent6 3 3 3 3 2" xfId="27693"/>
    <cellStyle name="40% - Accent6 3 3 3 3 2 2" xfId="49938"/>
    <cellStyle name="40% - Accent6 3 3 3 3 3" xfId="47633"/>
    <cellStyle name="40% - Accent6 3 3 3 4" xfId="26352"/>
    <cellStyle name="40% - Accent6 3 3 3 4 2" xfId="48597"/>
    <cellStyle name="40% - Accent6 3 3 3 5" xfId="24148"/>
    <cellStyle name="40% - Accent6 3 3 3 5 2" xfId="46394"/>
    <cellStyle name="40% - Accent6 3 3 3 6" xfId="32098"/>
    <cellStyle name="40% - Accent6 3 3 4" xfId="11991"/>
    <cellStyle name="40% - Accent6 3 3 4 2" xfId="26693"/>
    <cellStyle name="40% - Accent6 3 3 4 2 2" xfId="48938"/>
    <cellStyle name="40% - Accent6 3 3 4 3" xfId="24480"/>
    <cellStyle name="40% - Accent6 3 3 4 3 2" xfId="46725"/>
    <cellStyle name="40% - Accent6 3 3 4 4" xfId="35414"/>
    <cellStyle name="40% - Accent6 3 3 5" xfId="23301"/>
    <cellStyle name="40% - Accent6 3 3 5 2" xfId="27357"/>
    <cellStyle name="40% - Accent6 3 3 5 2 2" xfId="49602"/>
    <cellStyle name="40% - Accent6 3 3 5 3" xfId="45693"/>
    <cellStyle name="40% - Accent6 3 3 6" xfId="25786"/>
    <cellStyle name="40% - Accent6 3 3 6 2" xfId="48031"/>
    <cellStyle name="40% - Accent6 3 3 7" xfId="28782"/>
    <cellStyle name="40% - Accent6 3 4" xfId="3228"/>
    <cellStyle name="40% - Accent6 3 4 2" xfId="6932"/>
    <cellStyle name="40% - Accent6 3 4 2 2" xfId="10264"/>
    <cellStyle name="40% - Accent6 3 4 2 2 2" xfId="16968"/>
    <cellStyle name="40% - Accent6 3 4 2 2 2 2" xfId="27149"/>
    <cellStyle name="40% - Accent6 3 4 2 2 2 2 2" xfId="49394"/>
    <cellStyle name="40% - Accent6 3 4 2 2 2 3" xfId="24936"/>
    <cellStyle name="40% - Accent6 3 4 2 2 2 3 2" xfId="47181"/>
    <cellStyle name="40% - Accent6 3 4 2 2 2 4" xfId="40389"/>
    <cellStyle name="40% - Accent6 3 4 2 2 3" xfId="25514"/>
    <cellStyle name="40% - Accent6 3 4 2 2 3 2" xfId="27819"/>
    <cellStyle name="40% - Accent6 3 4 2 2 3 2 2" xfId="50064"/>
    <cellStyle name="40% - Accent6 3 4 2 2 3 3" xfId="47759"/>
    <cellStyle name="40% - Accent6 3 4 2 2 4" xfId="26476"/>
    <cellStyle name="40% - Accent6 3 4 2 2 4 2" xfId="48721"/>
    <cellStyle name="40% - Accent6 3 4 2 2 5" xfId="24272"/>
    <cellStyle name="40% - Accent6 3 4 2 2 5 2" xfId="46518"/>
    <cellStyle name="40% - Accent6 3 4 2 2 6" xfId="33757"/>
    <cellStyle name="40% - Accent6 3 4 2 3" xfId="13652"/>
    <cellStyle name="40% - Accent6 3 4 2 3 2" xfId="26817"/>
    <cellStyle name="40% - Accent6 3 4 2 3 2 2" xfId="49062"/>
    <cellStyle name="40% - Accent6 3 4 2 3 3" xfId="24604"/>
    <cellStyle name="40% - Accent6 3 4 2 3 3 2" xfId="46849"/>
    <cellStyle name="40% - Accent6 3 4 2 3 4" xfId="37073"/>
    <cellStyle name="40% - Accent6 3 4 2 4" xfId="25178"/>
    <cellStyle name="40% - Accent6 3 4 2 4 2" xfId="27483"/>
    <cellStyle name="40% - Accent6 3 4 2 4 2 2" xfId="49728"/>
    <cellStyle name="40% - Accent6 3 4 2 4 3" xfId="47423"/>
    <cellStyle name="40% - Accent6 3 4 2 5" xfId="26148"/>
    <cellStyle name="40% - Accent6 3 4 2 5 2" xfId="48393"/>
    <cellStyle name="40% - Accent6 3 4 2 6" xfId="23957"/>
    <cellStyle name="40% - Accent6 3 4 2 6 2" xfId="46203"/>
    <cellStyle name="40% - Accent6 3 4 2 7" xfId="30441"/>
    <cellStyle name="40% - Accent6 3 4 3" xfId="8598"/>
    <cellStyle name="40% - Accent6 3 4 3 2" xfId="15310"/>
    <cellStyle name="40% - Accent6 3 4 3 2 2" xfId="26983"/>
    <cellStyle name="40% - Accent6 3 4 3 2 2 2" xfId="49228"/>
    <cellStyle name="40% - Accent6 3 4 3 2 3" xfId="24770"/>
    <cellStyle name="40% - Accent6 3 4 3 2 3 2" xfId="47015"/>
    <cellStyle name="40% - Accent6 3 4 3 2 4" xfId="38731"/>
    <cellStyle name="40% - Accent6 3 4 3 3" xfId="25346"/>
    <cellStyle name="40% - Accent6 3 4 3 3 2" xfId="27651"/>
    <cellStyle name="40% - Accent6 3 4 3 3 2 2" xfId="49896"/>
    <cellStyle name="40% - Accent6 3 4 3 3 3" xfId="47591"/>
    <cellStyle name="40% - Accent6 3 4 3 4" xfId="26311"/>
    <cellStyle name="40% - Accent6 3 4 3 4 2" xfId="48556"/>
    <cellStyle name="40% - Accent6 3 4 3 5" xfId="24107"/>
    <cellStyle name="40% - Accent6 3 4 3 5 2" xfId="46353"/>
    <cellStyle name="40% - Accent6 3 4 3 6" xfId="32099"/>
    <cellStyle name="40% - Accent6 3 4 4" xfId="11992"/>
    <cellStyle name="40% - Accent6 3 4 4 2" xfId="26651"/>
    <cellStyle name="40% - Accent6 3 4 4 2 2" xfId="48896"/>
    <cellStyle name="40% - Accent6 3 4 4 3" xfId="24438"/>
    <cellStyle name="40% - Accent6 3 4 4 3 2" xfId="46683"/>
    <cellStyle name="40% - Accent6 3 4 4 4" xfId="35415"/>
    <cellStyle name="40% - Accent6 3 4 5" xfId="23414"/>
    <cellStyle name="40% - Accent6 3 4 5 2" xfId="27315"/>
    <cellStyle name="40% - Accent6 3 4 5 2 2" xfId="49560"/>
    <cellStyle name="40% - Accent6 3 4 5 3" xfId="45759"/>
    <cellStyle name="40% - Accent6 3 4 6" xfId="25787"/>
    <cellStyle name="40% - Accent6 3 4 6 2" xfId="48032"/>
    <cellStyle name="40% - Accent6 3 4 7" xfId="28783"/>
    <cellStyle name="40% - Accent6 3 5" xfId="3229"/>
    <cellStyle name="40% - Accent6 3 5 2" xfId="24037"/>
    <cellStyle name="40% - Accent6 3 5 2 2" xfId="24353"/>
    <cellStyle name="40% - Accent6 3 5 2 2 2" xfId="25018"/>
    <cellStyle name="40% - Accent6 3 5 2 2 2 2" xfId="27231"/>
    <cellStyle name="40% - Accent6 3 5 2 2 2 2 2" xfId="49476"/>
    <cellStyle name="40% - Accent6 3 5 2 2 2 3" xfId="47263"/>
    <cellStyle name="40% - Accent6 3 5 2 2 3" xfId="25598"/>
    <cellStyle name="40% - Accent6 3 5 2 2 3 2" xfId="27903"/>
    <cellStyle name="40% - Accent6 3 5 2 2 3 2 2" xfId="50148"/>
    <cellStyle name="40% - Accent6 3 5 2 2 3 3" xfId="47843"/>
    <cellStyle name="40% - Accent6 3 5 2 2 4" xfId="26557"/>
    <cellStyle name="40% - Accent6 3 5 2 2 4 2" xfId="48802"/>
    <cellStyle name="40% - Accent6 3 5 2 2 5" xfId="46599"/>
    <cellStyle name="40% - Accent6 3 5 2 3" xfId="24686"/>
    <cellStyle name="40% - Accent6 3 5 2 3 2" xfId="26899"/>
    <cellStyle name="40% - Accent6 3 5 2 3 2 2" xfId="49144"/>
    <cellStyle name="40% - Accent6 3 5 2 3 3" xfId="46931"/>
    <cellStyle name="40% - Accent6 3 5 2 4" xfId="25262"/>
    <cellStyle name="40% - Accent6 3 5 2 4 2" xfId="27567"/>
    <cellStyle name="40% - Accent6 3 5 2 4 2 2" xfId="49812"/>
    <cellStyle name="40% - Accent6 3 5 2 4 3" xfId="47507"/>
    <cellStyle name="40% - Accent6 3 5 2 5" xfId="26228"/>
    <cellStyle name="40% - Accent6 3 5 2 5 2" xfId="48473"/>
    <cellStyle name="40% - Accent6 3 5 2 6" xfId="46283"/>
    <cellStyle name="40% - Accent6 3 5 3" xfId="24188"/>
    <cellStyle name="40% - Accent6 3 5 3 2" xfId="24852"/>
    <cellStyle name="40% - Accent6 3 5 3 2 2" xfId="27065"/>
    <cellStyle name="40% - Accent6 3 5 3 2 2 2" xfId="49310"/>
    <cellStyle name="40% - Accent6 3 5 3 2 3" xfId="47097"/>
    <cellStyle name="40% - Accent6 3 5 3 3" xfId="25430"/>
    <cellStyle name="40% - Accent6 3 5 3 3 2" xfId="27735"/>
    <cellStyle name="40% - Accent6 3 5 3 3 2 2" xfId="49980"/>
    <cellStyle name="40% - Accent6 3 5 3 3 3" xfId="47675"/>
    <cellStyle name="40% - Accent6 3 5 3 4" xfId="26392"/>
    <cellStyle name="40% - Accent6 3 5 3 4 2" xfId="48637"/>
    <cellStyle name="40% - Accent6 3 5 3 5" xfId="46434"/>
    <cellStyle name="40% - Accent6 3 5 4" xfId="24520"/>
    <cellStyle name="40% - Accent6 3 5 4 2" xfId="26733"/>
    <cellStyle name="40% - Accent6 3 5 4 2 2" xfId="48978"/>
    <cellStyle name="40% - Accent6 3 5 4 3" xfId="46765"/>
    <cellStyle name="40% - Accent6 3 5 5" xfId="25100"/>
    <cellStyle name="40% - Accent6 3 5 5 2" xfId="27399"/>
    <cellStyle name="40% - Accent6 3 5 5 2 2" xfId="49644"/>
    <cellStyle name="40% - Accent6 3 5 5 3" xfId="47345"/>
    <cellStyle name="40% - Accent6 3 5 6" xfId="23890"/>
    <cellStyle name="40% - Accent6 3 5 6 2" xfId="26081"/>
    <cellStyle name="40% - Accent6 3 5 6 2 2" xfId="48326"/>
    <cellStyle name="40% - Accent6 3 5 6 3" xfId="46136"/>
    <cellStyle name="40% - Accent6 3 6" xfId="3223"/>
    <cellStyle name="40% - Accent6 3 6 2" xfId="6927"/>
    <cellStyle name="40% - Accent6 3 6 2 2" xfId="10259"/>
    <cellStyle name="40% - Accent6 3 6 2 2 2" xfId="16963"/>
    <cellStyle name="40% - Accent6 3 6 2 2 2 2" xfId="27107"/>
    <cellStyle name="40% - Accent6 3 6 2 2 2 2 2" xfId="49352"/>
    <cellStyle name="40% - Accent6 3 6 2 2 2 3" xfId="40384"/>
    <cellStyle name="40% - Accent6 3 6 2 2 3" xfId="24894"/>
    <cellStyle name="40% - Accent6 3 6 2 2 3 2" xfId="47139"/>
    <cellStyle name="40% - Accent6 3 6 2 2 4" xfId="33752"/>
    <cellStyle name="40% - Accent6 3 6 2 3" xfId="13647"/>
    <cellStyle name="40% - Accent6 3 6 2 3 2" xfId="27777"/>
    <cellStyle name="40% - Accent6 3 6 2 3 2 2" xfId="50022"/>
    <cellStyle name="40% - Accent6 3 6 2 3 3" xfId="25472"/>
    <cellStyle name="40% - Accent6 3 6 2 3 3 2" xfId="47717"/>
    <cellStyle name="40% - Accent6 3 6 2 3 4" xfId="37068"/>
    <cellStyle name="40% - Accent6 3 6 2 4" xfId="26434"/>
    <cellStyle name="40% - Accent6 3 6 2 4 2" xfId="48679"/>
    <cellStyle name="40% - Accent6 3 6 2 5" xfId="24230"/>
    <cellStyle name="40% - Accent6 3 6 2 5 2" xfId="46476"/>
    <cellStyle name="40% - Accent6 3 6 2 6" xfId="30436"/>
    <cellStyle name="40% - Accent6 3 6 3" xfId="8593"/>
    <cellStyle name="40% - Accent6 3 6 3 2" xfId="15305"/>
    <cellStyle name="40% - Accent6 3 6 3 2 2" xfId="26775"/>
    <cellStyle name="40% - Accent6 3 6 3 2 2 2" xfId="49020"/>
    <cellStyle name="40% - Accent6 3 6 3 2 3" xfId="38726"/>
    <cellStyle name="40% - Accent6 3 6 3 3" xfId="24562"/>
    <cellStyle name="40% - Accent6 3 6 3 3 2" xfId="46807"/>
    <cellStyle name="40% - Accent6 3 6 3 4" xfId="32094"/>
    <cellStyle name="40% - Accent6 3 6 4" xfId="11987"/>
    <cellStyle name="40% - Accent6 3 6 4 2" xfId="27441"/>
    <cellStyle name="40% - Accent6 3 6 4 2 2" xfId="49686"/>
    <cellStyle name="40% - Accent6 3 6 4 3" xfId="25136"/>
    <cellStyle name="40% - Accent6 3 6 4 3 2" xfId="47381"/>
    <cellStyle name="40% - Accent6 3 6 4 4" xfId="35410"/>
    <cellStyle name="40% - Accent6 3 6 5" xfId="25782"/>
    <cellStyle name="40% - Accent6 3 6 5 2" xfId="48027"/>
    <cellStyle name="40% - Accent6 3 6 6" xfId="23406"/>
    <cellStyle name="40% - Accent6 3 6 6 2" xfId="45751"/>
    <cellStyle name="40% - Accent6 3 6 7" xfId="28778"/>
    <cellStyle name="40% - Accent6 3 7" xfId="23417"/>
    <cellStyle name="40% - Accent6 3 7 2" xfId="24728"/>
    <cellStyle name="40% - Accent6 3 7 2 2" xfId="26941"/>
    <cellStyle name="40% - Accent6 3 7 2 2 2" xfId="49186"/>
    <cellStyle name="40% - Accent6 3 7 2 3" xfId="46973"/>
    <cellStyle name="40% - Accent6 3 7 3" xfId="25304"/>
    <cellStyle name="40% - Accent6 3 7 3 2" xfId="27609"/>
    <cellStyle name="40% - Accent6 3 7 3 2 2" xfId="49854"/>
    <cellStyle name="40% - Accent6 3 7 3 3" xfId="47549"/>
    <cellStyle name="40% - Accent6 3 7 4" xfId="26269"/>
    <cellStyle name="40% - Accent6 3 7 4 2" xfId="48514"/>
    <cellStyle name="40% - Accent6 3 7 5" xfId="45762"/>
    <cellStyle name="40% - Accent6 3 8" xfId="24406"/>
    <cellStyle name="40% - Accent6 3 8 2" xfId="26609"/>
    <cellStyle name="40% - Accent6 3 8 2 2" xfId="48854"/>
    <cellStyle name="40% - Accent6 3 8 3" xfId="46651"/>
    <cellStyle name="40% - Accent6 3 9" xfId="25060"/>
    <cellStyle name="40% - Accent6 3 9 2" xfId="27273"/>
    <cellStyle name="40% - Accent6 3 9 2 2" xfId="49518"/>
    <cellStyle name="40% - Accent6 3 9 3" xfId="47305"/>
    <cellStyle name="40% - Accent6 4" xfId="3221"/>
    <cellStyle name="40% - Accent6 4 2" xfId="25715"/>
    <cellStyle name="40% - Accent6 4 2 2" xfId="47960"/>
    <cellStyle name="40% - Accent6 5" xfId="7771"/>
    <cellStyle name="40% - Accent6 5 2" xfId="11100"/>
    <cellStyle name="40% - Accent6 5 2 2" xfId="17804"/>
    <cellStyle name="40% - Accent6 5 2 2 2" xfId="41225"/>
    <cellStyle name="40% - Accent6 5 2 3" xfId="34593"/>
    <cellStyle name="40% - Accent6 5 3" xfId="14488"/>
    <cellStyle name="40% - Accent6 5 3 2" xfId="37909"/>
    <cellStyle name="40% - Accent6 5 4" xfId="31277"/>
    <cellStyle name="40% - Accent6 6" xfId="9442"/>
    <cellStyle name="40% - Accent6 6 2" xfId="16146"/>
    <cellStyle name="40% - Accent6 6 2 2" xfId="39567"/>
    <cellStyle name="40% - Accent6 6 3" xfId="32935"/>
    <cellStyle name="40% - Accent6 7" xfId="12830"/>
    <cellStyle name="40% - Accent6 7 2" xfId="36251"/>
    <cellStyle name="40% - Accent6 8" xfId="23294"/>
    <cellStyle name="40% - Accent6 8 2" xfId="45689"/>
    <cellStyle name="40% - Accent6 9" xfId="6104"/>
    <cellStyle name="40% - Accent6 9 2" xfId="29619"/>
    <cellStyle name="60% - Accent1" xfId="19" builtinId="32" customBuiltin="1"/>
    <cellStyle name="60% - Accent1 2" xfId="281"/>
    <cellStyle name="60% - Accent1 2 2" xfId="3232"/>
    <cellStyle name="60% - Accent1 2 3" xfId="5122"/>
    <cellStyle name="60% - Accent1 2 4" xfId="3231"/>
    <cellStyle name="60% - Accent1 3" xfId="1085"/>
    <cellStyle name="60% - Accent1 3 2" xfId="3234"/>
    <cellStyle name="60% - Accent1 3 3" xfId="3233"/>
    <cellStyle name="60% - Accent1 3 4" xfId="23636"/>
    <cellStyle name="60% - Accent1 4" xfId="3230"/>
    <cellStyle name="60% - Accent1 5" xfId="6088"/>
    <cellStyle name="60% - Accent2" xfId="20" builtinId="36" customBuiltin="1"/>
    <cellStyle name="60% - Accent2 2" xfId="282"/>
    <cellStyle name="60% - Accent2 2 2" xfId="3237"/>
    <cellStyle name="60% - Accent2 2 3" xfId="5123"/>
    <cellStyle name="60% - Accent2 2 4" xfId="3236"/>
    <cellStyle name="60% - Accent2 3" xfId="1086"/>
    <cellStyle name="60% - Accent2 3 2" xfId="3239"/>
    <cellStyle name="60% - Accent2 3 3" xfId="3238"/>
    <cellStyle name="60% - Accent2 4" xfId="3235"/>
    <cellStyle name="60% - Accent2 5" xfId="6092"/>
    <cellStyle name="60% - Accent3" xfId="21" builtinId="40" customBuiltin="1"/>
    <cellStyle name="60% - Accent3 2" xfId="283"/>
    <cellStyle name="60% - Accent3 2 2" xfId="3242"/>
    <cellStyle name="60% - Accent3 2 3" xfId="5124"/>
    <cellStyle name="60% - Accent3 2 4" xfId="3241"/>
    <cellStyle name="60% - Accent3 3" xfId="1087"/>
    <cellStyle name="60% - Accent3 3 2" xfId="3244"/>
    <cellStyle name="60% - Accent3 3 3" xfId="3243"/>
    <cellStyle name="60% - Accent3 3 4" xfId="23635"/>
    <cellStyle name="60% - Accent3 4" xfId="3240"/>
    <cellStyle name="60% - Accent3 5" xfId="6095"/>
    <cellStyle name="60% - Accent4" xfId="22" builtinId="44" customBuiltin="1"/>
    <cellStyle name="60% - Accent4 2" xfId="284"/>
    <cellStyle name="60% - Accent4 2 2" xfId="3247"/>
    <cellStyle name="60% - Accent4 2 3" xfId="5125"/>
    <cellStyle name="60% - Accent4 2 4" xfId="3246"/>
    <cellStyle name="60% - Accent4 3" xfId="1088"/>
    <cellStyle name="60% - Accent4 3 2" xfId="3249"/>
    <cellStyle name="60% - Accent4 3 3" xfId="3248"/>
    <cellStyle name="60% - Accent4 3 4" xfId="23634"/>
    <cellStyle name="60% - Accent4 4" xfId="3245"/>
    <cellStyle name="60% - Accent4 5" xfId="6099"/>
    <cellStyle name="60% - Accent5" xfId="23" builtinId="48" customBuiltin="1"/>
    <cellStyle name="60% - Accent5 2" xfId="285"/>
    <cellStyle name="60% - Accent5 2 2" xfId="3252"/>
    <cellStyle name="60% - Accent5 2 3" xfId="5126"/>
    <cellStyle name="60% - Accent5 2 4" xfId="3251"/>
    <cellStyle name="60% - Accent5 3" xfId="1089"/>
    <cellStyle name="60% - Accent5 3 2" xfId="3254"/>
    <cellStyle name="60% - Accent5 3 3" xfId="3253"/>
    <cellStyle name="60% - Accent5 4" xfId="3250"/>
    <cellStyle name="60% - Accent5 5" xfId="6103"/>
    <cellStyle name="60% - Accent6" xfId="24" builtinId="52" customBuiltin="1"/>
    <cellStyle name="60% - Accent6 2" xfId="286"/>
    <cellStyle name="60% - Accent6 2 2" xfId="3257"/>
    <cellStyle name="60% - Accent6 2 3" xfId="5127"/>
    <cellStyle name="60% - Accent6 2 4" xfId="3256"/>
    <cellStyle name="60% - Accent6 3" xfId="1090"/>
    <cellStyle name="60% - Accent6 3 2" xfId="3259"/>
    <cellStyle name="60% - Accent6 3 3" xfId="3258"/>
    <cellStyle name="60% - Accent6 3 4" xfId="23633"/>
    <cellStyle name="60% - Accent6 4" xfId="3255"/>
    <cellStyle name="60% - Accent6 5" xfId="6105"/>
    <cellStyle name="752131" xfId="287"/>
    <cellStyle name="752131 2" xfId="2037"/>
    <cellStyle name="752131 2 2" xfId="5452"/>
    <cellStyle name="752131 2 3" xfId="3260"/>
    <cellStyle name="A¨­￠￢￠O [0]_¨oCAuCoEⓒ÷ " xfId="3261"/>
    <cellStyle name="A¨­￠￢￠O_¨oCAuCoEⓒ÷ " xfId="3262"/>
    <cellStyle name="Accent1" xfId="25" builtinId="29" customBuiltin="1"/>
    <cellStyle name="Accent1 2" xfId="288"/>
    <cellStyle name="Accent1 2 2" xfId="3265"/>
    <cellStyle name="Accent1 2 3" xfId="5128"/>
    <cellStyle name="Accent1 2 4" xfId="3264"/>
    <cellStyle name="Accent1 3" xfId="1091"/>
    <cellStyle name="Accent1 3 2" xfId="3267"/>
    <cellStyle name="Accent1 3 3" xfId="3266"/>
    <cellStyle name="Accent1 3 4" xfId="23632"/>
    <cellStyle name="Accent1 4" xfId="3263"/>
    <cellStyle name="Accent1 5" xfId="6085"/>
    <cellStyle name="Accent2" xfId="26" builtinId="33" customBuiltin="1"/>
    <cellStyle name="Accent2 2" xfId="289"/>
    <cellStyle name="Accent2 2 2" xfId="3270"/>
    <cellStyle name="Accent2 2 3" xfId="5129"/>
    <cellStyle name="Accent2 2 4" xfId="3269"/>
    <cellStyle name="Accent2 3" xfId="1092"/>
    <cellStyle name="Accent2 3 2" xfId="3272"/>
    <cellStyle name="Accent2 3 3" xfId="3271"/>
    <cellStyle name="Accent2 3 4" xfId="23631"/>
    <cellStyle name="Accent2 4" xfId="3268"/>
    <cellStyle name="Accent2 5" xfId="6089"/>
    <cellStyle name="Accent3" xfId="27" builtinId="37" customBuiltin="1"/>
    <cellStyle name="Accent3 2" xfId="290"/>
    <cellStyle name="Accent3 2 2" xfId="3275"/>
    <cellStyle name="Accent3 2 3" xfId="5130"/>
    <cellStyle name="Accent3 2 4" xfId="3274"/>
    <cellStyle name="Accent3 3" xfId="1093"/>
    <cellStyle name="Accent3 3 2" xfId="3277"/>
    <cellStyle name="Accent3 3 3" xfId="3276"/>
    <cellStyle name="Accent3 3 4" xfId="23630"/>
    <cellStyle name="Accent3 4" xfId="3273"/>
    <cellStyle name="Accent3 5" xfId="6093"/>
    <cellStyle name="Accent4" xfId="28" builtinId="41" customBuiltin="1"/>
    <cellStyle name="Accent4 2" xfId="291"/>
    <cellStyle name="Accent4 3" xfId="1094"/>
    <cellStyle name="Accent4 3 2" xfId="3280"/>
    <cellStyle name="Accent4 3 3" xfId="3279"/>
    <cellStyle name="Accent4 3 4" xfId="23629"/>
    <cellStyle name="Accent4 4" xfId="3278"/>
    <cellStyle name="Accent4 5" xfId="6096"/>
    <cellStyle name="Accent5" xfId="29" builtinId="45" customBuiltin="1"/>
    <cellStyle name="Accent5 2" xfId="292"/>
    <cellStyle name="Accent5 3" xfId="1095"/>
    <cellStyle name="Accent5 3 2" xfId="3283"/>
    <cellStyle name="Accent5 3 3" xfId="3282"/>
    <cellStyle name="Accent5 4" xfId="3281"/>
    <cellStyle name="Accent5 5" xfId="6100"/>
    <cellStyle name="Accent6" xfId="30" builtinId="49" customBuiltin="1"/>
    <cellStyle name="Accent6 2" xfId="293"/>
    <cellStyle name="Accent6 2 2" xfId="3286"/>
    <cellStyle name="Accent6 2 3" xfId="5131"/>
    <cellStyle name="Accent6 2 4" xfId="3285"/>
    <cellStyle name="Accent6 3" xfId="1096"/>
    <cellStyle name="Accent6 3 2" xfId="3288"/>
    <cellStyle name="Accent6 3 3" xfId="3287"/>
    <cellStyle name="Accent6 3 4" xfId="23628"/>
    <cellStyle name="Accent6 4" xfId="3284"/>
    <cellStyle name="Accent6 5" xfId="2884"/>
    <cellStyle name="Acctg" xfId="294"/>
    <cellStyle name="ActgNumber" xfId="1242"/>
    <cellStyle name="ActgNumber 2" xfId="1569"/>
    <cellStyle name="ActgNumber 3" xfId="2038"/>
    <cellStyle name="ActgNumber 3 2" xfId="17903"/>
    <cellStyle name="AeE­ [0]_¼oAa½CAu " xfId="3289"/>
    <cellStyle name="ÅëÈ­ [0]_cover " xfId="3290"/>
    <cellStyle name="AeE­ [0]_INQUIRY ¿μ¾÷AßAø " xfId="3291"/>
    <cellStyle name="AeE­_¼oAa½CAu " xfId="3292"/>
    <cellStyle name="ÅëÈ­_cover " xfId="3293"/>
    <cellStyle name="AeE­_INQUIRY ¿μ¾÷AßAø " xfId="3294"/>
    <cellStyle name="AeE¡ⓒ [0]_¨oCAuCoEⓒ÷ " xfId="3295"/>
    <cellStyle name="AeE¡ⓒ_¨oCAuCoEⓒ÷ " xfId="3296"/>
    <cellStyle name="AFE" xfId="3297"/>
    <cellStyle name="ales" xfId="295"/>
    <cellStyle name="Analyst Name" xfId="4998"/>
    <cellStyle name="AÞ¸¶ [0]_¼oAa½CAu " xfId="3298"/>
    <cellStyle name="ÄÞ¸¶ [0]_cover " xfId="3299"/>
    <cellStyle name="AÞ¸¶ [0]_INQUIRY ¿μ¾÷AßAø " xfId="3300"/>
    <cellStyle name="AÞ¸¶_¼oAa½CAu " xfId="3301"/>
    <cellStyle name="ÄÞ¸¶_cover " xfId="3302"/>
    <cellStyle name="AÞ¸¶_INQUIRY ¿μ¾÷AßAø " xfId="3303"/>
    <cellStyle name="AttributeFloatStyle" xfId="23627"/>
    <cellStyle name="Availability" xfId="4999"/>
    <cellStyle name="_x0001_b" xfId="1097"/>
    <cellStyle name="Background" xfId="5000"/>
    <cellStyle name="Bad" xfId="31" builtinId="27" customBuiltin="1"/>
    <cellStyle name="Bad 2" xfId="296"/>
    <cellStyle name="Bad 2 2" xfId="3306"/>
    <cellStyle name="Bad 2 3" xfId="5132"/>
    <cellStyle name="Bad 2 4" xfId="3305"/>
    <cellStyle name="Bad 3" xfId="1098"/>
    <cellStyle name="Bad 3 2" xfId="3308"/>
    <cellStyle name="Bad 3 3" xfId="3309"/>
    <cellStyle name="Bad 3 4" xfId="3307"/>
    <cellStyle name="Bad 4" xfId="3304"/>
    <cellStyle name="Bad 5" xfId="6078"/>
    <cellStyle name="Balance Sheet" xfId="3310"/>
    <cellStyle name="BalanceSheet" xfId="3311"/>
    <cellStyle name="Band 2" xfId="297"/>
    <cellStyle name="Band 2 2" xfId="3312"/>
    <cellStyle name="Band 2 3" xfId="4820"/>
    <cellStyle name="big-font" xfId="3313"/>
    <cellStyle name="Blue" xfId="298"/>
    <cellStyle name="Blue 2" xfId="3314"/>
    <cellStyle name="Blue_CLS" xfId="11152"/>
    <cellStyle name="BLuedashZero" xfId="5001"/>
    <cellStyle name="Body" xfId="3315"/>
    <cellStyle name="Bold/Border" xfId="299"/>
    <cellStyle name="Border, Bottom" xfId="3316"/>
    <cellStyle name="Border, Left" xfId="3317"/>
    <cellStyle name="Border, Left 2" xfId="3318"/>
    <cellStyle name="Border, Left 3" xfId="5176"/>
    <cellStyle name="Border, Right" xfId="3319"/>
    <cellStyle name="Border, Right 2" xfId="23501"/>
    <cellStyle name="Border, Right 3" xfId="23295"/>
    <cellStyle name="Border, Top" xfId="3320"/>
    <cellStyle name="bottom-title" xfId="3321"/>
    <cellStyle name="Bullet" xfId="300"/>
    <cellStyle name="Bullet 2" xfId="3322"/>
    <cellStyle name="C?AØ_laroux_1ON" xfId="5002"/>
    <cellStyle name="c_HardInc" xfId="3323"/>
    <cellStyle name="c_HardInc " xfId="32"/>
    <cellStyle name="c_HardInc  2" xfId="301"/>
    <cellStyle name="c_HardInc  2 2" xfId="302"/>
    <cellStyle name="c_HardInc _Catalog" xfId="3324"/>
    <cellStyle name="c_HardInc _JapaneseCatalog" xfId="3325"/>
    <cellStyle name="c_HardInc _RRST1" xfId="303"/>
    <cellStyle name="c_HardInc _RRST1 2" xfId="304"/>
    <cellStyle name="c_HardInc _RRST12" xfId="1318"/>
    <cellStyle name="c_HardInc _RRST12 2" xfId="2039"/>
    <cellStyle name="c_HardInc _RRST15" xfId="2040"/>
    <cellStyle name="c_HardInc _RRST15 2" xfId="2041"/>
    <cellStyle name="c_HardInc _RRST19" xfId="1099"/>
    <cellStyle name="c_HardInc _RRST19 2" xfId="1100"/>
    <cellStyle name="c_HardInc _RRST20" xfId="305"/>
    <cellStyle name="c_HardInc _RRST20 2" xfId="306"/>
    <cellStyle name="c_HardInc _RRST25" xfId="3326"/>
    <cellStyle name="c_HardInc _RRST25 2" xfId="3327"/>
    <cellStyle name="c_HardInc _RRST3" xfId="1319"/>
    <cellStyle name="c_HardInc _RRST6" xfId="873"/>
    <cellStyle name="c_HardInc _RRST6 2" xfId="874"/>
    <cellStyle name="c_HardInc _RRST9" xfId="875"/>
    <cellStyle name="c_HardInc _RRST9 2" xfId="876"/>
    <cellStyle name="C¡IA¨ª_¡ic¨u¡A¨￢I¨￢¡Æ AN¡Æe " xfId="3328"/>
    <cellStyle name="C￥AØ_  FAB AIA¤  " xfId="3329"/>
    <cellStyle name="Ç¥ÁØ_»ç¾÷ºÎº° ÃÑ°è " xfId="3330"/>
    <cellStyle name="C￥AØ_≫c¾÷ºIº° AN°e " xfId="3331"/>
    <cellStyle name="Ç¥ÁØ_0N-HANDLING " xfId="3332"/>
    <cellStyle name="C￥AØ_¼±AoAc°i_1_³≫ºI°eE¹´e AßA¤A÷AI " xfId="3333"/>
    <cellStyle name="Ç¥ÁØ_5-1±¤°í " xfId="3334"/>
    <cellStyle name="C￥AØ_5-1±¤°i _6RCB1 " xfId="3335"/>
    <cellStyle name="Ç¥ÁØ_Áý°èÇ¥(2¿ù) " xfId="3336"/>
    <cellStyle name="C￥AØ_CoAo¹yAI °A¾×¿ⓒ½A " xfId="3337"/>
    <cellStyle name="Ç¥ÁØ_cover " xfId="3338"/>
    <cellStyle name="C05_Style E Text" xfId="307"/>
    <cellStyle name="Calc Currency (0)" xfId="3339"/>
    <cellStyle name="Calculation" xfId="33" builtinId="22" customBuiltin="1"/>
    <cellStyle name="Calculation 2" xfId="308"/>
    <cellStyle name="Calculation 2 2" xfId="3342"/>
    <cellStyle name="Calculation 2 3" xfId="5133"/>
    <cellStyle name="Calculation 2 4" xfId="3341"/>
    <cellStyle name="Calculation 3" xfId="1101"/>
    <cellStyle name="Calculation 3 2" xfId="3344"/>
    <cellStyle name="Calculation 3 3" xfId="3343"/>
    <cellStyle name="Calculation 3 4" xfId="23624"/>
    <cellStyle name="Calculation 4" xfId="3340"/>
    <cellStyle name="Calculation 5" xfId="6082"/>
    <cellStyle name="CashFlow" xfId="3345"/>
    <cellStyle name="Cents" xfId="309"/>
    <cellStyle name="Cents 2" xfId="3346"/>
    <cellStyle name="Cents 3" xfId="5003"/>
    <cellStyle name="Change" xfId="3347"/>
    <cellStyle name="Changeable" xfId="310"/>
    <cellStyle name="ChartingText" xfId="3348"/>
    <cellStyle name="Check Cell" xfId="34" builtinId="23" customBuiltin="1"/>
    <cellStyle name="Check Cell 2" xfId="311"/>
    <cellStyle name="Check Cell 3" xfId="1102"/>
    <cellStyle name="Check Cell 3 2" xfId="3351"/>
    <cellStyle name="Check Cell 3 3" xfId="3350"/>
    <cellStyle name="Check Cell 4" xfId="3349"/>
    <cellStyle name="Check Cell 5" xfId="2880"/>
    <cellStyle name="CHPAboveAverage" xfId="3352"/>
    <cellStyle name="CHPBelowAverage" xfId="3353"/>
    <cellStyle name="CHPBottom" xfId="3354"/>
    <cellStyle name="CHPTop" xfId="3355"/>
    <cellStyle name="Colhead_left" xfId="312"/>
    <cellStyle name="ColHeading" xfId="5004"/>
    <cellStyle name="ColumnHeaderNormal" xfId="3356"/>
    <cellStyle name="ColumnHeadings" xfId="313"/>
    <cellStyle name="ColumnHeadings 2" xfId="2043"/>
    <cellStyle name="ColumnHeadings 3" xfId="2044"/>
    <cellStyle name="ColumnHeadings2" xfId="314"/>
    <cellStyle name="ColumnHeadings2 2" xfId="2045"/>
    <cellStyle name="ColumnHeadings2 3" xfId="2046"/>
    <cellStyle name="Comma" xfId="35" builtinId="3"/>
    <cellStyle name="Comma  - Style1" xfId="315"/>
    <cellStyle name="Comma  - Style1 2" xfId="5005"/>
    <cellStyle name="Comma  - Style2" xfId="316"/>
    <cellStyle name="Comma  - Style2 2" xfId="3358"/>
    <cellStyle name="Comma  - Style2 3" xfId="5006"/>
    <cellStyle name="Comma  - Style3" xfId="317"/>
    <cellStyle name="Comma  - Style3 2" xfId="3359"/>
    <cellStyle name="Comma  - Style3 3" xfId="5007"/>
    <cellStyle name="Comma  - Style4" xfId="318"/>
    <cellStyle name="Comma  - Style4 2" xfId="3360"/>
    <cellStyle name="Comma  - Style4 3" xfId="5008"/>
    <cellStyle name="Comma  - Style5" xfId="319"/>
    <cellStyle name="Comma  - Style5 2" xfId="3361"/>
    <cellStyle name="Comma  - Style5 3" xfId="5009"/>
    <cellStyle name="Comma  - Style6" xfId="320"/>
    <cellStyle name="Comma  - Style6 2" xfId="3362"/>
    <cellStyle name="Comma  - Style6 3" xfId="5010"/>
    <cellStyle name="Comma  - Style7" xfId="321"/>
    <cellStyle name="Comma  - Style7 2" xfId="3363"/>
    <cellStyle name="Comma  - Style7 3" xfId="5011"/>
    <cellStyle name="Comma  - Style8" xfId="322"/>
    <cellStyle name="Comma  - Style8 2" xfId="3364"/>
    <cellStyle name="Comma  - Style8 3" xfId="5012"/>
    <cellStyle name="Comma (1)" xfId="3365"/>
    <cellStyle name="Comma [0] 2" xfId="11138"/>
    <cellStyle name="Comma [0] 2 2" xfId="23623"/>
    <cellStyle name="Comma [0] 3" xfId="23622"/>
    <cellStyle name="Comma [1]" xfId="3366"/>
    <cellStyle name="Comma [2]" xfId="3367"/>
    <cellStyle name="Comma 10" xfId="73"/>
    <cellStyle name="Comma 10 2" xfId="323"/>
    <cellStyle name="Comma 10 2 2" xfId="324"/>
    <cellStyle name="Comma 10 2 2 2" xfId="3368"/>
    <cellStyle name="Comma 10 2 3" xfId="1104"/>
    <cellStyle name="Comma 10 2 3 2" xfId="3369"/>
    <cellStyle name="Comma 10 2 4" xfId="18441"/>
    <cellStyle name="Comma 10 3" xfId="325"/>
    <cellStyle name="Comma 10 3 2" xfId="326"/>
    <cellStyle name="Comma 10 3 2 2" xfId="3370"/>
    <cellStyle name="Comma 10 3 3" xfId="3371"/>
    <cellStyle name="Comma 10 4" xfId="327"/>
    <cellStyle name="Comma 10 4 2" xfId="3373"/>
    <cellStyle name="Comma 10 4 3" xfId="3374"/>
    <cellStyle name="Comma 10 4 4" xfId="3372"/>
    <cellStyle name="Comma 10 5" xfId="1103"/>
    <cellStyle name="Comma 10 5 2" xfId="3375"/>
    <cellStyle name="Comma 10 5 2 2" xfId="23520"/>
    <cellStyle name="Comma 10 5 2 2 2" xfId="45854"/>
    <cellStyle name="Comma 10 5 3" xfId="3376"/>
    <cellStyle name="Comma 10 5 4" xfId="3377"/>
    <cellStyle name="Comma 10 5 5" xfId="5134"/>
    <cellStyle name="Comma 10 5 5 2" xfId="7219"/>
    <cellStyle name="Comma 10 5 5 2 2" xfId="10550"/>
    <cellStyle name="Comma 10 5 5 2 2 2" xfId="17254"/>
    <cellStyle name="Comma 10 5 5 2 2 2 2" xfId="40675"/>
    <cellStyle name="Comma 10 5 5 2 2 3" xfId="34043"/>
    <cellStyle name="Comma 10 5 5 2 3" xfId="13938"/>
    <cellStyle name="Comma 10 5 5 2 3 2" xfId="37359"/>
    <cellStyle name="Comma 10 5 5 2 4" xfId="26061"/>
    <cellStyle name="Comma 10 5 5 2 4 2" xfId="48306"/>
    <cellStyle name="Comma 10 5 5 2 5" xfId="30727"/>
    <cellStyle name="Comma 10 5 5 3" xfId="8890"/>
    <cellStyle name="Comma 10 5 5 3 2" xfId="15596"/>
    <cellStyle name="Comma 10 5 5 3 2 2" xfId="39017"/>
    <cellStyle name="Comma 10 5 5 3 3" xfId="32385"/>
    <cellStyle name="Comma 10 5 5 4" xfId="12279"/>
    <cellStyle name="Comma 10 5 5 4 2" xfId="35701"/>
    <cellStyle name="Comma 10 5 5 5" xfId="23848"/>
    <cellStyle name="Comma 10 5 5 5 2" xfId="46113"/>
    <cellStyle name="Comma 10 5 5 6" xfId="29069"/>
    <cellStyle name="Comma 10 5 6" xfId="23399"/>
    <cellStyle name="Comma 10 5 6 2" xfId="45744"/>
    <cellStyle name="Comma 10 6" xfId="18440"/>
    <cellStyle name="Comma 100" xfId="3378"/>
    <cellStyle name="Comma 100 2" xfId="18442"/>
    <cellStyle name="Comma 101" xfId="3379"/>
    <cellStyle name="Comma 101 2" xfId="18443"/>
    <cellStyle name="Comma 102" xfId="3380"/>
    <cellStyle name="Comma 102 2" xfId="18444"/>
    <cellStyle name="Comma 103" xfId="3381"/>
    <cellStyle name="Comma 103 2" xfId="18445"/>
    <cellStyle name="Comma 104" xfId="3382"/>
    <cellStyle name="Comma 104 2" xfId="18446"/>
    <cellStyle name="Comma 105" xfId="3383"/>
    <cellStyle name="Comma 105 2" xfId="19143"/>
    <cellStyle name="Comma 106" xfId="3384"/>
    <cellStyle name="Comma 106 2" xfId="19144"/>
    <cellStyle name="Comma 107" xfId="3385"/>
    <cellStyle name="Comma 107 2" xfId="19145"/>
    <cellStyle name="Comma 108" xfId="3386"/>
    <cellStyle name="Comma 108 2" xfId="19146"/>
    <cellStyle name="Comma 109" xfId="3387"/>
    <cellStyle name="Comma 109 2" xfId="19147"/>
    <cellStyle name="Comma 11" xfId="328"/>
    <cellStyle name="Comma 11 2" xfId="329"/>
    <cellStyle name="Comma 11 2 2" xfId="330"/>
    <cellStyle name="Comma 11 2 2 2" xfId="3388"/>
    <cellStyle name="Comma 11 2 3" xfId="3389"/>
    <cellStyle name="Comma 11 3" xfId="331"/>
    <cellStyle name="Comma 11 3 2" xfId="332"/>
    <cellStyle name="Comma 11 3 2 2" xfId="3390"/>
    <cellStyle name="Comma 11 3 3" xfId="3391"/>
    <cellStyle name="Comma 11 4" xfId="333"/>
    <cellStyle name="Comma 11 4 2" xfId="3392"/>
    <cellStyle name="Comma 11 5" xfId="3393"/>
    <cellStyle name="Comma 110" xfId="3394"/>
    <cellStyle name="Comma 111" xfId="3395"/>
    <cellStyle name="Comma 112" xfId="3396"/>
    <cellStyle name="Comma 113" xfId="3397"/>
    <cellStyle name="Comma 114" xfId="3398"/>
    <cellStyle name="Comma 115" xfId="3399"/>
    <cellStyle name="Comma 116" xfId="3400"/>
    <cellStyle name="Comma 117" xfId="3401"/>
    <cellStyle name="Comma 118" xfId="3402"/>
    <cellStyle name="Comma 119" xfId="3403"/>
    <cellStyle name="Comma 12" xfId="334"/>
    <cellStyle name="Comma 12 2" xfId="335"/>
    <cellStyle name="Comma 12 2 2" xfId="3404"/>
    <cellStyle name="Comma 12 3" xfId="877"/>
    <cellStyle name="Comma 12 3 2" xfId="18448"/>
    <cellStyle name="Comma 12 4" xfId="18447"/>
    <cellStyle name="Comma 120" xfId="3405"/>
    <cellStyle name="Comma 121" xfId="3406"/>
    <cellStyle name="Comma 122" xfId="3407"/>
    <cellStyle name="Comma 123" xfId="4810"/>
    <cellStyle name="Comma 124" xfId="5185"/>
    <cellStyle name="Comma 125" xfId="3357"/>
    <cellStyle name="Comma 126" xfId="5213"/>
    <cellStyle name="Comma 127" xfId="5257"/>
    <cellStyle name="Comma 128" xfId="5394"/>
    <cellStyle name="Comma 129" xfId="5190"/>
    <cellStyle name="Comma 13" xfId="336"/>
    <cellStyle name="Comma 13 2" xfId="337"/>
    <cellStyle name="Comma 13 2 2" xfId="3408"/>
    <cellStyle name="Comma 13 3" xfId="878"/>
    <cellStyle name="Comma 13 3 2" xfId="18450"/>
    <cellStyle name="Comma 13 4" xfId="18449"/>
    <cellStyle name="Comma 130" xfId="5284"/>
    <cellStyle name="Comma 131" xfId="6058"/>
    <cellStyle name="Comma 132" xfId="5702"/>
    <cellStyle name="Comma 133" xfId="5269"/>
    <cellStyle name="Comma 134" xfId="5395"/>
    <cellStyle name="Comma 135" xfId="5984"/>
    <cellStyle name="Comma 136" xfId="6054"/>
    <cellStyle name="Comma 137" xfId="5249"/>
    <cellStyle name="Comma 138" xfId="5384"/>
    <cellStyle name="Comma 139" xfId="5988"/>
    <cellStyle name="Comma 14" xfId="338"/>
    <cellStyle name="Comma 14 2" xfId="339"/>
    <cellStyle name="Comma 14 2 2" xfId="3409"/>
    <cellStyle name="Comma 14 3" xfId="879"/>
    <cellStyle name="Comma 14 3 2" xfId="18452"/>
    <cellStyle name="Comma 14 4" xfId="18451"/>
    <cellStyle name="Comma 140" xfId="5200"/>
    <cellStyle name="Comma 141" xfId="6041"/>
    <cellStyle name="Comma 142" xfId="6055"/>
    <cellStyle name="Comma 143" xfId="5264"/>
    <cellStyle name="Comma 144" xfId="5241"/>
    <cellStyle name="Comma 145" xfId="5706"/>
    <cellStyle name="Comma 146" xfId="2887"/>
    <cellStyle name="Comma 146 2" xfId="6858"/>
    <cellStyle name="Comma 146 2 2" xfId="10190"/>
    <cellStyle name="Comma 146 2 2 2" xfId="16894"/>
    <cellStyle name="Comma 146 2 2 2 2" xfId="40315"/>
    <cellStyle name="Comma 146 2 2 3" xfId="33683"/>
    <cellStyle name="Comma 146 2 3" xfId="13578"/>
    <cellStyle name="Comma 146 2 3 2" xfId="36999"/>
    <cellStyle name="Comma 146 2 4" xfId="30367"/>
    <cellStyle name="Comma 146 3" xfId="8524"/>
    <cellStyle name="Comma 146 3 2" xfId="15236"/>
    <cellStyle name="Comma 146 3 2 2" xfId="38657"/>
    <cellStyle name="Comma 146 3 3" xfId="32025"/>
    <cellStyle name="Comma 146 4" xfId="11918"/>
    <cellStyle name="Comma 146 4 2" xfId="35341"/>
    <cellStyle name="Comma 146 5" xfId="28709"/>
    <cellStyle name="Comma 147" xfId="4805"/>
    <cellStyle name="Comma 147 2" xfId="7196"/>
    <cellStyle name="Comma 147 2 2" xfId="10528"/>
    <cellStyle name="Comma 147 2 2 2" xfId="17232"/>
    <cellStyle name="Comma 147 2 2 2 2" xfId="40653"/>
    <cellStyle name="Comma 147 2 2 3" xfId="34021"/>
    <cellStyle name="Comma 147 2 3" xfId="13916"/>
    <cellStyle name="Comma 147 2 3 2" xfId="37337"/>
    <cellStyle name="Comma 147 2 4" xfId="30705"/>
    <cellStyle name="Comma 147 3" xfId="8865"/>
    <cellStyle name="Comma 147 3 2" xfId="15574"/>
    <cellStyle name="Comma 147 3 2 2" xfId="38995"/>
    <cellStyle name="Comma 147 3 3" xfId="32363"/>
    <cellStyle name="Comma 147 4" xfId="12256"/>
    <cellStyle name="Comma 147 4 2" xfId="35679"/>
    <cellStyle name="Comma 147 5" xfId="29047"/>
    <cellStyle name="Comma 148" xfId="6067"/>
    <cellStyle name="Comma 148 2" xfId="7760"/>
    <cellStyle name="Comma 148 2 2" xfId="11089"/>
    <cellStyle name="Comma 148 2 2 2" xfId="17793"/>
    <cellStyle name="Comma 148 2 2 2 2" xfId="41214"/>
    <cellStyle name="Comma 148 2 2 3" xfId="34582"/>
    <cellStyle name="Comma 148 2 3" xfId="14477"/>
    <cellStyle name="Comma 148 2 3 2" xfId="37898"/>
    <cellStyle name="Comma 148 2 4" xfId="31266"/>
    <cellStyle name="Comma 148 3" xfId="9431"/>
    <cellStyle name="Comma 148 3 2" xfId="16135"/>
    <cellStyle name="Comma 148 3 2 2" xfId="39556"/>
    <cellStyle name="Comma 148 3 3" xfId="32924"/>
    <cellStyle name="Comma 148 4" xfId="12819"/>
    <cellStyle name="Comma 148 4 2" xfId="36240"/>
    <cellStyle name="Comma 148 5" xfId="29608"/>
    <cellStyle name="Comma 149" xfId="6064"/>
    <cellStyle name="Comma 149 2" xfId="7757"/>
    <cellStyle name="Comma 149 2 2" xfId="11086"/>
    <cellStyle name="Comma 149 2 2 2" xfId="17790"/>
    <cellStyle name="Comma 149 2 2 2 2" xfId="41211"/>
    <cellStyle name="Comma 149 2 2 3" xfId="34579"/>
    <cellStyle name="Comma 149 2 3" xfId="14474"/>
    <cellStyle name="Comma 149 2 3 2" xfId="37895"/>
    <cellStyle name="Comma 149 2 4" xfId="31263"/>
    <cellStyle name="Comma 149 3" xfId="9428"/>
    <cellStyle name="Comma 149 3 2" xfId="16132"/>
    <cellStyle name="Comma 149 3 2 2" xfId="39553"/>
    <cellStyle name="Comma 149 3 3" xfId="32921"/>
    <cellStyle name="Comma 149 4" xfId="12816"/>
    <cellStyle name="Comma 149 4 2" xfId="36237"/>
    <cellStyle name="Comma 149 5" xfId="29605"/>
    <cellStyle name="Comma 15" xfId="340"/>
    <cellStyle name="Comma 15 2" xfId="341"/>
    <cellStyle name="Comma 15 2 2" xfId="3410"/>
    <cellStyle name="Comma 15 3" xfId="3411"/>
    <cellStyle name="Comma 150" xfId="3752"/>
    <cellStyle name="Comma 150 2" xfId="6933"/>
    <cellStyle name="Comma 150 2 2" xfId="10265"/>
    <cellStyle name="Comma 150 2 2 2" xfId="16969"/>
    <cellStyle name="Comma 150 2 2 2 2" xfId="40390"/>
    <cellStyle name="Comma 150 2 2 3" xfId="33758"/>
    <cellStyle name="Comma 150 2 3" xfId="13653"/>
    <cellStyle name="Comma 150 2 3 2" xfId="37074"/>
    <cellStyle name="Comma 150 2 4" xfId="30442"/>
    <cellStyle name="Comma 150 3" xfId="8600"/>
    <cellStyle name="Comma 150 3 2" xfId="15311"/>
    <cellStyle name="Comma 150 3 2 2" xfId="38732"/>
    <cellStyle name="Comma 150 3 3" xfId="32100"/>
    <cellStyle name="Comma 150 4" xfId="11993"/>
    <cellStyle name="Comma 150 4 2" xfId="35416"/>
    <cellStyle name="Comma 150 5" xfId="28784"/>
    <cellStyle name="Comma 151" xfId="6111"/>
    <cellStyle name="Comma 151 2" xfId="7777"/>
    <cellStyle name="Comma 151 2 2" xfId="11106"/>
    <cellStyle name="Comma 151 2 2 2" xfId="17810"/>
    <cellStyle name="Comma 151 2 2 2 2" xfId="41231"/>
    <cellStyle name="Comma 151 2 2 3" xfId="34599"/>
    <cellStyle name="Comma 151 2 3" xfId="14494"/>
    <cellStyle name="Comma 151 2 3 2" xfId="37915"/>
    <cellStyle name="Comma 151 2 4" xfId="31283"/>
    <cellStyle name="Comma 151 3" xfId="9448"/>
    <cellStyle name="Comma 151 3 2" xfId="16152"/>
    <cellStyle name="Comma 151 3 2 2" xfId="39573"/>
    <cellStyle name="Comma 151 3 3" xfId="32941"/>
    <cellStyle name="Comma 151 4" xfId="12836"/>
    <cellStyle name="Comma 151 4 2" xfId="36257"/>
    <cellStyle name="Comma 151 5" xfId="29625"/>
    <cellStyle name="Comma 16" xfId="342"/>
    <cellStyle name="Comma 16 2" xfId="343"/>
    <cellStyle name="Comma 16 2 2" xfId="3412"/>
    <cellStyle name="Comma 16 3" xfId="3413"/>
    <cellStyle name="Comma 17" xfId="344"/>
    <cellStyle name="Comma 17 2" xfId="345"/>
    <cellStyle name="Comma 17 2 2" xfId="346"/>
    <cellStyle name="Comma 17 2 2 2" xfId="3414"/>
    <cellStyle name="Comma 17 2 3" xfId="3415"/>
    <cellStyle name="Comma 17 3" xfId="347"/>
    <cellStyle name="Comma 17 3 2" xfId="3416"/>
    <cellStyle name="Comma 17 4" xfId="3417"/>
    <cellStyle name="Comma 18" xfId="348"/>
    <cellStyle name="Comma 18 2" xfId="349"/>
    <cellStyle name="Comma 18 2 2" xfId="350"/>
    <cellStyle name="Comma 18 2 2 2" xfId="3418"/>
    <cellStyle name="Comma 18 2 3" xfId="3419"/>
    <cellStyle name="Comma 18 3" xfId="351"/>
    <cellStyle name="Comma 18 3 2" xfId="3420"/>
    <cellStyle name="Comma 18 4" xfId="3421"/>
    <cellStyle name="Comma 19" xfId="352"/>
    <cellStyle name="Comma 19 2" xfId="353"/>
    <cellStyle name="Comma 19 2 2" xfId="354"/>
    <cellStyle name="Comma 19 2 2 2" xfId="3422"/>
    <cellStyle name="Comma 19 2 3" xfId="3423"/>
    <cellStyle name="Comma 19 3" xfId="355"/>
    <cellStyle name="Comma 19 3 2" xfId="3424"/>
    <cellStyle name="Comma 19 4" xfId="1105"/>
    <cellStyle name="Comma 19 4 10" xfId="6121"/>
    <cellStyle name="Comma 19 4 10 2" xfId="9455"/>
    <cellStyle name="Comma 19 4 10 2 2" xfId="16159"/>
    <cellStyle name="Comma 19 4 10 2 2 2" xfId="39580"/>
    <cellStyle name="Comma 19 4 10 2 3" xfId="32948"/>
    <cellStyle name="Comma 19 4 10 3" xfId="12843"/>
    <cellStyle name="Comma 19 4 10 3 2" xfId="36264"/>
    <cellStyle name="Comma 19 4 10 4" xfId="29632"/>
    <cellStyle name="Comma 19 4 11" xfId="7786"/>
    <cellStyle name="Comma 19 4 11 2" xfId="14501"/>
    <cellStyle name="Comma 19 4 11 2 2" xfId="37922"/>
    <cellStyle name="Comma 19 4 11 3" xfId="31290"/>
    <cellStyle name="Comma 19 4 12" xfId="11183"/>
    <cellStyle name="Comma 19 4 12 2" xfId="34606"/>
    <cellStyle name="Comma 19 4 13" xfId="27974"/>
    <cellStyle name="Comma 19 4 2" xfId="1462"/>
    <cellStyle name="Comma 19 4 2 10" xfId="11211"/>
    <cellStyle name="Comma 19 4 2 10 2" xfId="34634"/>
    <cellStyle name="Comma 19 4 2 11" xfId="28002"/>
    <cellStyle name="Comma 19 4 2 2" xfId="1502"/>
    <cellStyle name="Comma 19 4 2 2 10" xfId="28038"/>
    <cellStyle name="Comma 19 4 2 2 2" xfId="1573"/>
    <cellStyle name="Comma 19 4 2 2 3" xfId="1817"/>
    <cellStyle name="Comma 19 4 2 2 3 2" xfId="2048"/>
    <cellStyle name="Comma 19 4 2 2 3 3" xfId="2814"/>
    <cellStyle name="Comma 19 4 2 2 3 3 2" xfId="5906"/>
    <cellStyle name="Comma 19 4 2 2 3 3 2 2" xfId="7688"/>
    <cellStyle name="Comma 19 4 2 2 3 3 2 2 2" xfId="11017"/>
    <cellStyle name="Comma 19 4 2 2 3 3 2 2 2 2" xfId="17721"/>
    <cellStyle name="Comma 19 4 2 2 3 3 2 2 2 2 2" xfId="41142"/>
    <cellStyle name="Comma 19 4 2 2 3 3 2 2 2 3" xfId="34510"/>
    <cellStyle name="Comma 19 4 2 2 3 3 2 2 3" xfId="14405"/>
    <cellStyle name="Comma 19 4 2 2 3 3 2 2 3 2" xfId="37826"/>
    <cellStyle name="Comma 19 4 2 2 3 3 2 2 4" xfId="31194"/>
    <cellStyle name="Comma 19 4 2 2 3 3 2 3" xfId="9359"/>
    <cellStyle name="Comma 19 4 2 2 3 3 2 3 2" xfId="16063"/>
    <cellStyle name="Comma 19 4 2 2 3 3 2 3 2 2" xfId="39484"/>
    <cellStyle name="Comma 19 4 2 2 3 3 2 3 3" xfId="32852"/>
    <cellStyle name="Comma 19 4 2 2 3 3 2 4" xfId="12747"/>
    <cellStyle name="Comma 19 4 2 2 3 3 2 4 2" xfId="36168"/>
    <cellStyle name="Comma 19 4 2 2 3 3 2 5" xfId="29536"/>
    <cellStyle name="Comma 19 4 2 2 3 3 3" xfId="6789"/>
    <cellStyle name="Comma 19 4 2 2 3 3 3 2" xfId="10121"/>
    <cellStyle name="Comma 19 4 2 2 3 3 3 2 2" xfId="16825"/>
    <cellStyle name="Comma 19 4 2 2 3 3 3 2 2 2" xfId="40246"/>
    <cellStyle name="Comma 19 4 2 2 3 3 3 2 3" xfId="33614"/>
    <cellStyle name="Comma 19 4 2 2 3 3 3 3" xfId="13509"/>
    <cellStyle name="Comma 19 4 2 2 3 3 3 3 2" xfId="36930"/>
    <cellStyle name="Comma 19 4 2 2 3 3 3 4" xfId="30298"/>
    <cellStyle name="Comma 19 4 2 2 3 3 4" xfId="8455"/>
    <cellStyle name="Comma 19 4 2 2 3 3 4 2" xfId="15167"/>
    <cellStyle name="Comma 19 4 2 2 3 3 4 2 2" xfId="38588"/>
    <cellStyle name="Comma 19 4 2 2 3 3 4 3" xfId="31956"/>
    <cellStyle name="Comma 19 4 2 2 3 3 5" xfId="11849"/>
    <cellStyle name="Comma 19 4 2 2 3 3 5 2" xfId="35272"/>
    <cellStyle name="Comma 19 4 2 2 3 3 6" xfId="28640"/>
    <cellStyle name="Comma 19 4 2 2 3 4" xfId="5432"/>
    <cellStyle name="Comma 19 4 2 2 3 4 2" xfId="7285"/>
    <cellStyle name="Comma 19 4 2 2 3 4 2 2" xfId="10616"/>
    <cellStyle name="Comma 19 4 2 2 3 4 2 2 2" xfId="17320"/>
    <cellStyle name="Comma 19 4 2 2 3 4 2 2 2 2" xfId="40741"/>
    <cellStyle name="Comma 19 4 2 2 3 4 2 2 3" xfId="34109"/>
    <cellStyle name="Comma 19 4 2 2 3 4 2 3" xfId="14004"/>
    <cellStyle name="Comma 19 4 2 2 3 4 2 3 2" xfId="37425"/>
    <cellStyle name="Comma 19 4 2 2 3 4 2 4" xfId="30793"/>
    <cellStyle name="Comma 19 4 2 2 3 4 3" xfId="8958"/>
    <cellStyle name="Comma 19 4 2 2 3 4 3 2" xfId="15662"/>
    <cellStyle name="Comma 19 4 2 2 3 4 3 2 2" xfId="39083"/>
    <cellStyle name="Comma 19 4 2 2 3 4 3 3" xfId="32451"/>
    <cellStyle name="Comma 19 4 2 2 3 4 4" xfId="12345"/>
    <cellStyle name="Comma 19 4 2 2 3 4 4 2" xfId="35767"/>
    <cellStyle name="Comma 19 4 2 2 3 4 5" xfId="29135"/>
    <cellStyle name="Comma 19 4 2 2 3 5" xfId="6316"/>
    <cellStyle name="Comma 19 4 2 2 3 5 2" xfId="9650"/>
    <cellStyle name="Comma 19 4 2 2 3 5 2 2" xfId="16354"/>
    <cellStyle name="Comma 19 4 2 2 3 5 2 2 2" xfId="39775"/>
    <cellStyle name="Comma 19 4 2 2 3 5 2 3" xfId="33143"/>
    <cellStyle name="Comma 19 4 2 2 3 5 3" xfId="13038"/>
    <cellStyle name="Comma 19 4 2 2 3 5 3 2" xfId="36459"/>
    <cellStyle name="Comma 19 4 2 2 3 5 4" xfId="29827"/>
    <cellStyle name="Comma 19 4 2 2 3 6" xfId="7982"/>
    <cellStyle name="Comma 19 4 2 2 3 6 2" xfId="14696"/>
    <cellStyle name="Comma 19 4 2 2 3 6 2 2" xfId="38117"/>
    <cellStyle name="Comma 19 4 2 2 3 6 3" xfId="31485"/>
    <cellStyle name="Comma 19 4 2 2 3 7" xfId="11378"/>
    <cellStyle name="Comma 19 4 2 2 3 7 2" xfId="34801"/>
    <cellStyle name="Comma 19 4 2 2 3 8" xfId="28169"/>
    <cellStyle name="Comma 19 4 2 2 4" xfId="2049"/>
    <cellStyle name="Comma 19 4 2 2 4 2" xfId="17904"/>
    <cellStyle name="Comma 19 4 2 2 5" xfId="2682"/>
    <cellStyle name="Comma 19 4 2 2 5 2" xfId="5775"/>
    <cellStyle name="Comma 19 4 2 2 5 2 2" xfId="7557"/>
    <cellStyle name="Comma 19 4 2 2 5 2 2 2" xfId="10886"/>
    <cellStyle name="Comma 19 4 2 2 5 2 2 2 2" xfId="17590"/>
    <cellStyle name="Comma 19 4 2 2 5 2 2 2 2 2" xfId="41011"/>
    <cellStyle name="Comma 19 4 2 2 5 2 2 2 3" xfId="34379"/>
    <cellStyle name="Comma 19 4 2 2 5 2 2 3" xfId="14274"/>
    <cellStyle name="Comma 19 4 2 2 5 2 2 3 2" xfId="37695"/>
    <cellStyle name="Comma 19 4 2 2 5 2 2 4" xfId="31063"/>
    <cellStyle name="Comma 19 4 2 2 5 2 3" xfId="9228"/>
    <cellStyle name="Comma 19 4 2 2 5 2 3 2" xfId="15932"/>
    <cellStyle name="Comma 19 4 2 2 5 2 3 2 2" xfId="39353"/>
    <cellStyle name="Comma 19 4 2 2 5 2 3 3" xfId="32721"/>
    <cellStyle name="Comma 19 4 2 2 5 2 4" xfId="12616"/>
    <cellStyle name="Comma 19 4 2 2 5 2 4 2" xfId="36037"/>
    <cellStyle name="Comma 19 4 2 2 5 2 5" xfId="18251"/>
    <cellStyle name="Comma 19 4 2 2 5 2 6" xfId="29405"/>
    <cellStyle name="Comma 19 4 2 2 5 3" xfId="6658"/>
    <cellStyle name="Comma 19 4 2 2 5 3 2" xfId="9990"/>
    <cellStyle name="Comma 19 4 2 2 5 3 2 2" xfId="16694"/>
    <cellStyle name="Comma 19 4 2 2 5 3 2 2 2" xfId="40115"/>
    <cellStyle name="Comma 19 4 2 2 5 3 2 3" xfId="33483"/>
    <cellStyle name="Comma 19 4 2 2 5 3 3" xfId="13378"/>
    <cellStyle name="Comma 19 4 2 2 5 3 3 2" xfId="36799"/>
    <cellStyle name="Comma 19 4 2 2 5 3 4" xfId="30167"/>
    <cellStyle name="Comma 19 4 2 2 5 4" xfId="8324"/>
    <cellStyle name="Comma 19 4 2 2 5 4 2" xfId="15036"/>
    <cellStyle name="Comma 19 4 2 2 5 4 2 2" xfId="38457"/>
    <cellStyle name="Comma 19 4 2 2 5 4 3" xfId="31825"/>
    <cellStyle name="Comma 19 4 2 2 5 5" xfId="11718"/>
    <cellStyle name="Comma 19 4 2 2 5 5 2" xfId="35141"/>
    <cellStyle name="Comma 19 4 2 2 5 6" xfId="18471"/>
    <cellStyle name="Comma 19 4 2 2 5 7" xfId="28509"/>
    <cellStyle name="Comma 19 4 2 2 6" xfId="5366"/>
    <cellStyle name="Comma 19 4 2 2 6 2" xfId="7254"/>
    <cellStyle name="Comma 19 4 2 2 6 2 2" xfId="10585"/>
    <cellStyle name="Comma 19 4 2 2 6 2 2 2" xfId="17289"/>
    <cellStyle name="Comma 19 4 2 2 6 2 2 2 2" xfId="40710"/>
    <cellStyle name="Comma 19 4 2 2 6 2 2 3" xfId="34078"/>
    <cellStyle name="Comma 19 4 2 2 6 2 3" xfId="13973"/>
    <cellStyle name="Comma 19 4 2 2 6 2 3 2" xfId="37394"/>
    <cellStyle name="Comma 19 4 2 2 6 2 4" xfId="30762"/>
    <cellStyle name="Comma 19 4 2 2 6 3" xfId="8927"/>
    <cellStyle name="Comma 19 4 2 2 6 3 2" xfId="15631"/>
    <cellStyle name="Comma 19 4 2 2 6 3 2 2" xfId="39052"/>
    <cellStyle name="Comma 19 4 2 2 6 3 3" xfId="32420"/>
    <cellStyle name="Comma 19 4 2 2 6 4" xfId="12314"/>
    <cellStyle name="Comma 19 4 2 2 6 4 2" xfId="35736"/>
    <cellStyle name="Comma 19 4 2 2 6 5" xfId="29104"/>
    <cellStyle name="Comma 19 4 2 2 7" xfId="6185"/>
    <cellStyle name="Comma 19 4 2 2 7 2" xfId="9519"/>
    <cellStyle name="Comma 19 4 2 2 7 2 2" xfId="16223"/>
    <cellStyle name="Comma 19 4 2 2 7 2 2 2" xfId="39644"/>
    <cellStyle name="Comma 19 4 2 2 7 2 3" xfId="33012"/>
    <cellStyle name="Comma 19 4 2 2 7 3" xfId="12907"/>
    <cellStyle name="Comma 19 4 2 2 7 3 2" xfId="36328"/>
    <cellStyle name="Comma 19 4 2 2 7 4" xfId="29696"/>
    <cellStyle name="Comma 19 4 2 2 8" xfId="7851"/>
    <cellStyle name="Comma 19 4 2 2 8 2" xfId="14565"/>
    <cellStyle name="Comma 19 4 2 2 8 2 2" xfId="37986"/>
    <cellStyle name="Comma 19 4 2 2 8 3" xfId="31354"/>
    <cellStyle name="Comma 19 4 2 2 9" xfId="11247"/>
    <cellStyle name="Comma 19 4 2 2 9 2" xfId="34670"/>
    <cellStyle name="Comma 19 4 2 3" xfId="1572"/>
    <cellStyle name="Comma 19 4 2 4" xfId="1781"/>
    <cellStyle name="Comma 19 4 2 4 2" xfId="2050"/>
    <cellStyle name="Comma 19 4 2 4 3" xfId="2778"/>
    <cellStyle name="Comma 19 4 2 4 3 2" xfId="5870"/>
    <cellStyle name="Comma 19 4 2 4 3 2 2" xfId="7652"/>
    <cellStyle name="Comma 19 4 2 4 3 2 2 2" xfId="10981"/>
    <cellStyle name="Comma 19 4 2 4 3 2 2 2 2" xfId="17685"/>
    <cellStyle name="Comma 19 4 2 4 3 2 2 2 2 2" xfId="41106"/>
    <cellStyle name="Comma 19 4 2 4 3 2 2 2 3" xfId="34474"/>
    <cellStyle name="Comma 19 4 2 4 3 2 2 3" xfId="14369"/>
    <cellStyle name="Comma 19 4 2 4 3 2 2 3 2" xfId="37790"/>
    <cellStyle name="Comma 19 4 2 4 3 2 2 4" xfId="31158"/>
    <cellStyle name="Comma 19 4 2 4 3 2 3" xfId="9323"/>
    <cellStyle name="Comma 19 4 2 4 3 2 3 2" xfId="16027"/>
    <cellStyle name="Comma 19 4 2 4 3 2 3 2 2" xfId="39448"/>
    <cellStyle name="Comma 19 4 2 4 3 2 3 3" xfId="32816"/>
    <cellStyle name="Comma 19 4 2 4 3 2 4" xfId="12711"/>
    <cellStyle name="Comma 19 4 2 4 3 2 4 2" xfId="36132"/>
    <cellStyle name="Comma 19 4 2 4 3 2 5" xfId="29500"/>
    <cellStyle name="Comma 19 4 2 4 3 3" xfId="6753"/>
    <cellStyle name="Comma 19 4 2 4 3 3 2" xfId="10085"/>
    <cellStyle name="Comma 19 4 2 4 3 3 2 2" xfId="16789"/>
    <cellStyle name="Comma 19 4 2 4 3 3 2 2 2" xfId="40210"/>
    <cellStyle name="Comma 19 4 2 4 3 3 2 3" xfId="33578"/>
    <cellStyle name="Comma 19 4 2 4 3 3 3" xfId="13473"/>
    <cellStyle name="Comma 19 4 2 4 3 3 3 2" xfId="36894"/>
    <cellStyle name="Comma 19 4 2 4 3 3 4" xfId="30262"/>
    <cellStyle name="Comma 19 4 2 4 3 4" xfId="8419"/>
    <cellStyle name="Comma 19 4 2 4 3 4 2" xfId="15131"/>
    <cellStyle name="Comma 19 4 2 4 3 4 2 2" xfId="38552"/>
    <cellStyle name="Comma 19 4 2 4 3 4 3" xfId="31920"/>
    <cellStyle name="Comma 19 4 2 4 3 5" xfId="11813"/>
    <cellStyle name="Comma 19 4 2 4 3 5 2" xfId="35236"/>
    <cellStyle name="Comma 19 4 2 4 3 6" xfId="28604"/>
    <cellStyle name="Comma 19 4 2 4 4" xfId="5418"/>
    <cellStyle name="Comma 19 4 2 4 4 2" xfId="7272"/>
    <cellStyle name="Comma 19 4 2 4 4 2 2" xfId="10603"/>
    <cellStyle name="Comma 19 4 2 4 4 2 2 2" xfId="17307"/>
    <cellStyle name="Comma 19 4 2 4 4 2 2 2 2" xfId="40728"/>
    <cellStyle name="Comma 19 4 2 4 4 2 2 3" xfId="34096"/>
    <cellStyle name="Comma 19 4 2 4 4 2 3" xfId="13991"/>
    <cellStyle name="Comma 19 4 2 4 4 2 3 2" xfId="37412"/>
    <cellStyle name="Comma 19 4 2 4 4 2 4" xfId="30780"/>
    <cellStyle name="Comma 19 4 2 4 4 3" xfId="8945"/>
    <cellStyle name="Comma 19 4 2 4 4 3 2" xfId="15649"/>
    <cellStyle name="Comma 19 4 2 4 4 3 2 2" xfId="39070"/>
    <cellStyle name="Comma 19 4 2 4 4 3 3" xfId="32438"/>
    <cellStyle name="Comma 19 4 2 4 4 4" xfId="12332"/>
    <cellStyle name="Comma 19 4 2 4 4 4 2" xfId="35754"/>
    <cellStyle name="Comma 19 4 2 4 4 5" xfId="29122"/>
    <cellStyle name="Comma 19 4 2 4 5" xfId="6280"/>
    <cellStyle name="Comma 19 4 2 4 5 2" xfId="9614"/>
    <cellStyle name="Comma 19 4 2 4 5 2 2" xfId="16318"/>
    <cellStyle name="Comma 19 4 2 4 5 2 2 2" xfId="39739"/>
    <cellStyle name="Comma 19 4 2 4 5 2 3" xfId="33107"/>
    <cellStyle name="Comma 19 4 2 4 5 3" xfId="13002"/>
    <cellStyle name="Comma 19 4 2 4 5 3 2" xfId="36423"/>
    <cellStyle name="Comma 19 4 2 4 5 4" xfId="29791"/>
    <cellStyle name="Comma 19 4 2 4 6" xfId="7946"/>
    <cellStyle name="Comma 19 4 2 4 6 2" xfId="14660"/>
    <cellStyle name="Comma 19 4 2 4 6 2 2" xfId="38081"/>
    <cellStyle name="Comma 19 4 2 4 6 3" xfId="31449"/>
    <cellStyle name="Comma 19 4 2 4 7" xfId="11342"/>
    <cellStyle name="Comma 19 4 2 4 7 2" xfId="34765"/>
    <cellStyle name="Comma 19 4 2 4 8" xfId="28133"/>
    <cellStyle name="Comma 19 4 2 5" xfId="2051"/>
    <cellStyle name="Comma 19 4 2 5 2" xfId="17905"/>
    <cellStyle name="Comma 19 4 2 6" xfId="2646"/>
    <cellStyle name="Comma 19 4 2 6 2" xfId="5739"/>
    <cellStyle name="Comma 19 4 2 6 2 2" xfId="7521"/>
    <cellStyle name="Comma 19 4 2 6 2 2 2" xfId="10850"/>
    <cellStyle name="Comma 19 4 2 6 2 2 2 2" xfId="17554"/>
    <cellStyle name="Comma 19 4 2 6 2 2 2 2 2" xfId="40975"/>
    <cellStyle name="Comma 19 4 2 6 2 2 2 3" xfId="34343"/>
    <cellStyle name="Comma 19 4 2 6 2 2 3" xfId="14238"/>
    <cellStyle name="Comma 19 4 2 6 2 2 3 2" xfId="37659"/>
    <cellStyle name="Comma 19 4 2 6 2 2 4" xfId="31027"/>
    <cellStyle name="Comma 19 4 2 6 2 3" xfId="9192"/>
    <cellStyle name="Comma 19 4 2 6 2 3 2" xfId="15896"/>
    <cellStyle name="Comma 19 4 2 6 2 3 2 2" xfId="39317"/>
    <cellStyle name="Comma 19 4 2 6 2 3 3" xfId="32685"/>
    <cellStyle name="Comma 19 4 2 6 2 4" xfId="12580"/>
    <cellStyle name="Comma 19 4 2 6 2 4 2" xfId="36001"/>
    <cellStyle name="Comma 19 4 2 6 2 5" xfId="18252"/>
    <cellStyle name="Comma 19 4 2 6 2 6" xfId="29369"/>
    <cellStyle name="Comma 19 4 2 6 3" xfId="6622"/>
    <cellStyle name="Comma 19 4 2 6 3 2" xfId="9954"/>
    <cellStyle name="Comma 19 4 2 6 3 2 2" xfId="16658"/>
    <cellStyle name="Comma 19 4 2 6 3 2 2 2" xfId="40079"/>
    <cellStyle name="Comma 19 4 2 6 3 2 3" xfId="33447"/>
    <cellStyle name="Comma 19 4 2 6 3 3" xfId="13342"/>
    <cellStyle name="Comma 19 4 2 6 3 3 2" xfId="36763"/>
    <cellStyle name="Comma 19 4 2 6 3 4" xfId="30131"/>
    <cellStyle name="Comma 19 4 2 6 4" xfId="8288"/>
    <cellStyle name="Comma 19 4 2 6 4 2" xfId="15000"/>
    <cellStyle name="Comma 19 4 2 6 4 2 2" xfId="38421"/>
    <cellStyle name="Comma 19 4 2 6 4 3" xfId="31789"/>
    <cellStyle name="Comma 19 4 2 6 5" xfId="11682"/>
    <cellStyle name="Comma 19 4 2 6 5 2" xfId="35105"/>
    <cellStyle name="Comma 19 4 2 6 6" xfId="18472"/>
    <cellStyle name="Comma 19 4 2 6 7" xfId="28473"/>
    <cellStyle name="Comma 19 4 2 7" xfId="5350"/>
    <cellStyle name="Comma 19 4 2 7 2" xfId="7241"/>
    <cellStyle name="Comma 19 4 2 7 2 2" xfId="10572"/>
    <cellStyle name="Comma 19 4 2 7 2 2 2" xfId="17276"/>
    <cellStyle name="Comma 19 4 2 7 2 2 2 2" xfId="40697"/>
    <cellStyle name="Comma 19 4 2 7 2 2 3" xfId="34065"/>
    <cellStyle name="Comma 19 4 2 7 2 3" xfId="13960"/>
    <cellStyle name="Comma 19 4 2 7 2 3 2" xfId="37381"/>
    <cellStyle name="Comma 19 4 2 7 2 4" xfId="30749"/>
    <cellStyle name="Comma 19 4 2 7 3" xfId="8914"/>
    <cellStyle name="Comma 19 4 2 7 3 2" xfId="15618"/>
    <cellStyle name="Comma 19 4 2 7 3 2 2" xfId="39039"/>
    <cellStyle name="Comma 19 4 2 7 3 3" xfId="32407"/>
    <cellStyle name="Comma 19 4 2 7 4" xfId="12301"/>
    <cellStyle name="Comma 19 4 2 7 4 2" xfId="35723"/>
    <cellStyle name="Comma 19 4 2 7 5" xfId="29091"/>
    <cellStyle name="Comma 19 4 2 8" xfId="6149"/>
    <cellStyle name="Comma 19 4 2 8 2" xfId="9483"/>
    <cellStyle name="Comma 19 4 2 8 2 2" xfId="16187"/>
    <cellStyle name="Comma 19 4 2 8 2 2 2" xfId="39608"/>
    <cellStyle name="Comma 19 4 2 8 2 3" xfId="32976"/>
    <cellStyle name="Comma 19 4 2 8 3" xfId="12871"/>
    <cellStyle name="Comma 19 4 2 8 3 2" xfId="36292"/>
    <cellStyle name="Comma 19 4 2 8 4" xfId="29660"/>
    <cellStyle name="Comma 19 4 2 9" xfId="7815"/>
    <cellStyle name="Comma 19 4 2 9 2" xfId="14529"/>
    <cellStyle name="Comma 19 4 2 9 2 2" xfId="37950"/>
    <cellStyle name="Comma 19 4 2 9 3" xfId="31318"/>
    <cellStyle name="Comma 19 4 3" xfId="1474"/>
    <cellStyle name="Comma 19 4 3 10" xfId="28010"/>
    <cellStyle name="Comma 19 4 3 2" xfId="1574"/>
    <cellStyle name="Comma 19 4 3 3" xfId="1789"/>
    <cellStyle name="Comma 19 4 3 3 2" xfId="2052"/>
    <cellStyle name="Comma 19 4 3 3 3" xfId="2786"/>
    <cellStyle name="Comma 19 4 3 3 3 2" xfId="5878"/>
    <cellStyle name="Comma 19 4 3 3 3 2 2" xfId="7660"/>
    <cellStyle name="Comma 19 4 3 3 3 2 2 2" xfId="10989"/>
    <cellStyle name="Comma 19 4 3 3 3 2 2 2 2" xfId="17693"/>
    <cellStyle name="Comma 19 4 3 3 3 2 2 2 2 2" xfId="41114"/>
    <cellStyle name="Comma 19 4 3 3 3 2 2 2 3" xfId="34482"/>
    <cellStyle name="Comma 19 4 3 3 3 2 2 3" xfId="14377"/>
    <cellStyle name="Comma 19 4 3 3 3 2 2 3 2" xfId="37798"/>
    <cellStyle name="Comma 19 4 3 3 3 2 2 4" xfId="31166"/>
    <cellStyle name="Comma 19 4 3 3 3 2 3" xfId="9331"/>
    <cellStyle name="Comma 19 4 3 3 3 2 3 2" xfId="16035"/>
    <cellStyle name="Comma 19 4 3 3 3 2 3 2 2" xfId="39456"/>
    <cellStyle name="Comma 19 4 3 3 3 2 3 3" xfId="32824"/>
    <cellStyle name="Comma 19 4 3 3 3 2 4" xfId="12719"/>
    <cellStyle name="Comma 19 4 3 3 3 2 4 2" xfId="36140"/>
    <cellStyle name="Comma 19 4 3 3 3 2 5" xfId="29508"/>
    <cellStyle name="Comma 19 4 3 3 3 3" xfId="6761"/>
    <cellStyle name="Comma 19 4 3 3 3 3 2" xfId="10093"/>
    <cellStyle name="Comma 19 4 3 3 3 3 2 2" xfId="16797"/>
    <cellStyle name="Comma 19 4 3 3 3 3 2 2 2" xfId="40218"/>
    <cellStyle name="Comma 19 4 3 3 3 3 2 3" xfId="33586"/>
    <cellStyle name="Comma 19 4 3 3 3 3 3" xfId="13481"/>
    <cellStyle name="Comma 19 4 3 3 3 3 3 2" xfId="36902"/>
    <cellStyle name="Comma 19 4 3 3 3 3 4" xfId="30270"/>
    <cellStyle name="Comma 19 4 3 3 3 4" xfId="8427"/>
    <cellStyle name="Comma 19 4 3 3 3 4 2" xfId="15139"/>
    <cellStyle name="Comma 19 4 3 3 3 4 2 2" xfId="38560"/>
    <cellStyle name="Comma 19 4 3 3 3 4 3" xfId="31928"/>
    <cellStyle name="Comma 19 4 3 3 3 5" xfId="11821"/>
    <cellStyle name="Comma 19 4 3 3 3 5 2" xfId="35244"/>
    <cellStyle name="Comma 19 4 3 3 3 6" xfId="28612"/>
    <cellStyle name="Comma 19 4 3 3 4" xfId="5420"/>
    <cellStyle name="Comma 19 4 3 3 4 2" xfId="7274"/>
    <cellStyle name="Comma 19 4 3 3 4 2 2" xfId="10605"/>
    <cellStyle name="Comma 19 4 3 3 4 2 2 2" xfId="17309"/>
    <cellStyle name="Comma 19 4 3 3 4 2 2 2 2" xfId="40730"/>
    <cellStyle name="Comma 19 4 3 3 4 2 2 3" xfId="34098"/>
    <cellStyle name="Comma 19 4 3 3 4 2 3" xfId="13993"/>
    <cellStyle name="Comma 19 4 3 3 4 2 3 2" xfId="37414"/>
    <cellStyle name="Comma 19 4 3 3 4 2 4" xfId="30782"/>
    <cellStyle name="Comma 19 4 3 3 4 3" xfId="8947"/>
    <cellStyle name="Comma 19 4 3 3 4 3 2" xfId="15651"/>
    <cellStyle name="Comma 19 4 3 3 4 3 2 2" xfId="39072"/>
    <cellStyle name="Comma 19 4 3 3 4 3 3" xfId="32440"/>
    <cellStyle name="Comma 19 4 3 3 4 4" xfId="12334"/>
    <cellStyle name="Comma 19 4 3 3 4 4 2" xfId="35756"/>
    <cellStyle name="Comma 19 4 3 3 4 5" xfId="29124"/>
    <cellStyle name="Comma 19 4 3 3 5" xfId="6288"/>
    <cellStyle name="Comma 19 4 3 3 5 2" xfId="9622"/>
    <cellStyle name="Comma 19 4 3 3 5 2 2" xfId="16326"/>
    <cellStyle name="Comma 19 4 3 3 5 2 2 2" xfId="39747"/>
    <cellStyle name="Comma 19 4 3 3 5 2 3" xfId="33115"/>
    <cellStyle name="Comma 19 4 3 3 5 3" xfId="13010"/>
    <cellStyle name="Comma 19 4 3 3 5 3 2" xfId="36431"/>
    <cellStyle name="Comma 19 4 3 3 5 4" xfId="29799"/>
    <cellStyle name="Comma 19 4 3 3 6" xfId="7954"/>
    <cellStyle name="Comma 19 4 3 3 6 2" xfId="14668"/>
    <cellStyle name="Comma 19 4 3 3 6 2 2" xfId="38089"/>
    <cellStyle name="Comma 19 4 3 3 6 3" xfId="31457"/>
    <cellStyle name="Comma 19 4 3 3 7" xfId="11350"/>
    <cellStyle name="Comma 19 4 3 3 7 2" xfId="34773"/>
    <cellStyle name="Comma 19 4 3 3 8" xfId="28141"/>
    <cellStyle name="Comma 19 4 3 4" xfId="2053"/>
    <cellStyle name="Comma 19 4 3 4 2" xfId="17906"/>
    <cellStyle name="Comma 19 4 3 5" xfId="2654"/>
    <cellStyle name="Comma 19 4 3 5 2" xfId="5747"/>
    <cellStyle name="Comma 19 4 3 5 2 2" xfId="7529"/>
    <cellStyle name="Comma 19 4 3 5 2 2 2" xfId="10858"/>
    <cellStyle name="Comma 19 4 3 5 2 2 2 2" xfId="17562"/>
    <cellStyle name="Comma 19 4 3 5 2 2 2 2 2" xfId="40983"/>
    <cellStyle name="Comma 19 4 3 5 2 2 2 3" xfId="34351"/>
    <cellStyle name="Comma 19 4 3 5 2 2 3" xfId="14246"/>
    <cellStyle name="Comma 19 4 3 5 2 2 3 2" xfId="37667"/>
    <cellStyle name="Comma 19 4 3 5 2 2 4" xfId="31035"/>
    <cellStyle name="Comma 19 4 3 5 2 3" xfId="9200"/>
    <cellStyle name="Comma 19 4 3 5 2 3 2" xfId="15904"/>
    <cellStyle name="Comma 19 4 3 5 2 3 2 2" xfId="39325"/>
    <cellStyle name="Comma 19 4 3 5 2 3 3" xfId="32693"/>
    <cellStyle name="Comma 19 4 3 5 2 4" xfId="12588"/>
    <cellStyle name="Comma 19 4 3 5 2 4 2" xfId="36009"/>
    <cellStyle name="Comma 19 4 3 5 2 5" xfId="18253"/>
    <cellStyle name="Comma 19 4 3 5 2 6" xfId="29377"/>
    <cellStyle name="Comma 19 4 3 5 3" xfId="6630"/>
    <cellStyle name="Comma 19 4 3 5 3 2" xfId="9962"/>
    <cellStyle name="Comma 19 4 3 5 3 2 2" xfId="16666"/>
    <cellStyle name="Comma 19 4 3 5 3 2 2 2" xfId="40087"/>
    <cellStyle name="Comma 19 4 3 5 3 2 3" xfId="33455"/>
    <cellStyle name="Comma 19 4 3 5 3 3" xfId="13350"/>
    <cellStyle name="Comma 19 4 3 5 3 3 2" xfId="36771"/>
    <cellStyle name="Comma 19 4 3 5 3 4" xfId="30139"/>
    <cellStyle name="Comma 19 4 3 5 4" xfId="8296"/>
    <cellStyle name="Comma 19 4 3 5 4 2" xfId="15008"/>
    <cellStyle name="Comma 19 4 3 5 4 2 2" xfId="38429"/>
    <cellStyle name="Comma 19 4 3 5 4 3" xfId="31797"/>
    <cellStyle name="Comma 19 4 3 5 5" xfId="11690"/>
    <cellStyle name="Comma 19 4 3 5 5 2" xfId="35113"/>
    <cellStyle name="Comma 19 4 3 5 6" xfId="20455"/>
    <cellStyle name="Comma 19 4 3 5 7" xfId="28481"/>
    <cellStyle name="Comma 19 4 3 6" xfId="5352"/>
    <cellStyle name="Comma 19 4 3 6 2" xfId="7243"/>
    <cellStyle name="Comma 19 4 3 6 2 2" xfId="10574"/>
    <cellStyle name="Comma 19 4 3 6 2 2 2" xfId="17278"/>
    <cellStyle name="Comma 19 4 3 6 2 2 2 2" xfId="40699"/>
    <cellStyle name="Comma 19 4 3 6 2 2 3" xfId="34067"/>
    <cellStyle name="Comma 19 4 3 6 2 3" xfId="13962"/>
    <cellStyle name="Comma 19 4 3 6 2 3 2" xfId="37383"/>
    <cellStyle name="Comma 19 4 3 6 2 4" xfId="30751"/>
    <cellStyle name="Comma 19 4 3 6 3" xfId="8916"/>
    <cellStyle name="Comma 19 4 3 6 3 2" xfId="15620"/>
    <cellStyle name="Comma 19 4 3 6 3 2 2" xfId="39041"/>
    <cellStyle name="Comma 19 4 3 6 3 3" xfId="32409"/>
    <cellStyle name="Comma 19 4 3 6 4" xfId="12303"/>
    <cellStyle name="Comma 19 4 3 6 4 2" xfId="35725"/>
    <cellStyle name="Comma 19 4 3 6 5" xfId="29093"/>
    <cellStyle name="Comma 19 4 3 7" xfId="6157"/>
    <cellStyle name="Comma 19 4 3 7 2" xfId="9491"/>
    <cellStyle name="Comma 19 4 3 7 2 2" xfId="16195"/>
    <cellStyle name="Comma 19 4 3 7 2 2 2" xfId="39616"/>
    <cellStyle name="Comma 19 4 3 7 2 3" xfId="32984"/>
    <cellStyle name="Comma 19 4 3 7 3" xfId="12879"/>
    <cellStyle name="Comma 19 4 3 7 3 2" xfId="36300"/>
    <cellStyle name="Comma 19 4 3 7 4" xfId="29668"/>
    <cellStyle name="Comma 19 4 3 8" xfId="7823"/>
    <cellStyle name="Comma 19 4 3 8 2" xfId="14537"/>
    <cellStyle name="Comma 19 4 3 8 2 2" xfId="37958"/>
    <cellStyle name="Comma 19 4 3 8 3" xfId="31326"/>
    <cellStyle name="Comma 19 4 3 9" xfId="11219"/>
    <cellStyle name="Comma 19 4 3 9 2" xfId="34642"/>
    <cellStyle name="Comma 19 4 4" xfId="1571"/>
    <cellStyle name="Comma 19 4 5" xfId="1752"/>
    <cellStyle name="Comma 19 4 5 2" xfId="2054"/>
    <cellStyle name="Comma 19 4 5 3" xfId="2750"/>
    <cellStyle name="Comma 19 4 5 3 2" xfId="5842"/>
    <cellStyle name="Comma 19 4 5 3 2 2" xfId="7624"/>
    <cellStyle name="Comma 19 4 5 3 2 2 2" xfId="10953"/>
    <cellStyle name="Comma 19 4 5 3 2 2 2 2" xfId="17657"/>
    <cellStyle name="Comma 19 4 5 3 2 2 2 2 2" xfId="41078"/>
    <cellStyle name="Comma 19 4 5 3 2 2 2 3" xfId="34446"/>
    <cellStyle name="Comma 19 4 5 3 2 2 3" xfId="14341"/>
    <cellStyle name="Comma 19 4 5 3 2 2 3 2" xfId="37762"/>
    <cellStyle name="Comma 19 4 5 3 2 2 4" xfId="31130"/>
    <cellStyle name="Comma 19 4 5 3 2 3" xfId="9295"/>
    <cellStyle name="Comma 19 4 5 3 2 3 2" xfId="15999"/>
    <cellStyle name="Comma 19 4 5 3 2 3 2 2" xfId="39420"/>
    <cellStyle name="Comma 19 4 5 3 2 3 3" xfId="32788"/>
    <cellStyle name="Comma 19 4 5 3 2 4" xfId="12683"/>
    <cellStyle name="Comma 19 4 5 3 2 4 2" xfId="36104"/>
    <cellStyle name="Comma 19 4 5 3 2 5" xfId="29472"/>
    <cellStyle name="Comma 19 4 5 3 3" xfId="6725"/>
    <cellStyle name="Comma 19 4 5 3 3 2" xfId="10057"/>
    <cellStyle name="Comma 19 4 5 3 3 2 2" xfId="16761"/>
    <cellStyle name="Comma 19 4 5 3 3 2 2 2" xfId="40182"/>
    <cellStyle name="Comma 19 4 5 3 3 2 3" xfId="33550"/>
    <cellStyle name="Comma 19 4 5 3 3 3" xfId="13445"/>
    <cellStyle name="Comma 19 4 5 3 3 3 2" xfId="36866"/>
    <cellStyle name="Comma 19 4 5 3 3 4" xfId="30234"/>
    <cellStyle name="Comma 19 4 5 3 4" xfId="8391"/>
    <cellStyle name="Comma 19 4 5 3 4 2" xfId="15103"/>
    <cellStyle name="Comma 19 4 5 3 4 2 2" xfId="38524"/>
    <cellStyle name="Comma 19 4 5 3 4 3" xfId="31892"/>
    <cellStyle name="Comma 19 4 5 3 5" xfId="11785"/>
    <cellStyle name="Comma 19 4 5 3 5 2" xfId="35208"/>
    <cellStyle name="Comma 19 4 5 3 6" xfId="28576"/>
    <cellStyle name="Comma 19 4 5 4" xfId="5407"/>
    <cellStyle name="Comma 19 4 5 4 2" xfId="7261"/>
    <cellStyle name="Comma 19 4 5 4 2 2" xfId="10592"/>
    <cellStyle name="Comma 19 4 5 4 2 2 2" xfId="17296"/>
    <cellStyle name="Comma 19 4 5 4 2 2 2 2" xfId="40717"/>
    <cellStyle name="Comma 19 4 5 4 2 2 3" xfId="34085"/>
    <cellStyle name="Comma 19 4 5 4 2 3" xfId="13980"/>
    <cellStyle name="Comma 19 4 5 4 2 3 2" xfId="37401"/>
    <cellStyle name="Comma 19 4 5 4 2 4" xfId="30769"/>
    <cellStyle name="Comma 19 4 5 4 3" xfId="8934"/>
    <cellStyle name="Comma 19 4 5 4 3 2" xfId="15638"/>
    <cellStyle name="Comma 19 4 5 4 3 2 2" xfId="39059"/>
    <cellStyle name="Comma 19 4 5 4 3 3" xfId="32427"/>
    <cellStyle name="Comma 19 4 5 4 4" xfId="12321"/>
    <cellStyle name="Comma 19 4 5 4 4 2" xfId="35743"/>
    <cellStyle name="Comma 19 4 5 4 5" xfId="29111"/>
    <cellStyle name="Comma 19 4 5 5" xfId="6252"/>
    <cellStyle name="Comma 19 4 5 5 2" xfId="9586"/>
    <cellStyle name="Comma 19 4 5 5 2 2" xfId="16290"/>
    <cellStyle name="Comma 19 4 5 5 2 2 2" xfId="39711"/>
    <cellStyle name="Comma 19 4 5 5 2 3" xfId="33079"/>
    <cellStyle name="Comma 19 4 5 5 3" xfId="12974"/>
    <cellStyle name="Comma 19 4 5 5 3 2" xfId="36395"/>
    <cellStyle name="Comma 19 4 5 5 4" xfId="29763"/>
    <cellStyle name="Comma 19 4 5 6" xfId="7918"/>
    <cellStyle name="Comma 19 4 5 6 2" xfId="14632"/>
    <cellStyle name="Comma 19 4 5 6 2 2" xfId="38053"/>
    <cellStyle name="Comma 19 4 5 6 3" xfId="31421"/>
    <cellStyle name="Comma 19 4 5 7" xfId="11314"/>
    <cellStyle name="Comma 19 4 5 7 2" xfId="34737"/>
    <cellStyle name="Comma 19 4 5 8" xfId="28105"/>
    <cellStyle name="Comma 19 4 6" xfId="2055"/>
    <cellStyle name="Comma 19 4 6 2" xfId="17907"/>
    <cellStyle name="Comma 19 4 7" xfId="2617"/>
    <cellStyle name="Comma 19 4 7 2" xfId="5711"/>
    <cellStyle name="Comma 19 4 7 2 2" xfId="7494"/>
    <cellStyle name="Comma 19 4 7 2 2 2" xfId="10823"/>
    <cellStyle name="Comma 19 4 7 2 2 2 2" xfId="17527"/>
    <cellStyle name="Comma 19 4 7 2 2 2 2 2" xfId="40948"/>
    <cellStyle name="Comma 19 4 7 2 2 2 3" xfId="34316"/>
    <cellStyle name="Comma 19 4 7 2 2 3" xfId="14211"/>
    <cellStyle name="Comma 19 4 7 2 2 3 2" xfId="37632"/>
    <cellStyle name="Comma 19 4 7 2 2 4" xfId="31000"/>
    <cellStyle name="Comma 19 4 7 2 3" xfId="9165"/>
    <cellStyle name="Comma 19 4 7 2 3 2" xfId="15869"/>
    <cellStyle name="Comma 19 4 7 2 3 2 2" xfId="39290"/>
    <cellStyle name="Comma 19 4 7 2 3 3" xfId="32658"/>
    <cellStyle name="Comma 19 4 7 2 4" xfId="12553"/>
    <cellStyle name="Comma 19 4 7 2 4 2" xfId="35974"/>
    <cellStyle name="Comma 19 4 7 2 5" xfId="18254"/>
    <cellStyle name="Comma 19 4 7 2 6" xfId="29342"/>
    <cellStyle name="Comma 19 4 7 3" xfId="6594"/>
    <cellStyle name="Comma 19 4 7 3 2" xfId="9926"/>
    <cellStyle name="Comma 19 4 7 3 2 2" xfId="16630"/>
    <cellStyle name="Comma 19 4 7 3 2 2 2" xfId="40051"/>
    <cellStyle name="Comma 19 4 7 3 2 3" xfId="33419"/>
    <cellStyle name="Comma 19 4 7 3 3" xfId="13314"/>
    <cellStyle name="Comma 19 4 7 3 3 2" xfId="36735"/>
    <cellStyle name="Comma 19 4 7 3 4" xfId="30103"/>
    <cellStyle name="Comma 19 4 7 4" xfId="8260"/>
    <cellStyle name="Comma 19 4 7 4 2" xfId="14972"/>
    <cellStyle name="Comma 19 4 7 4 2 2" xfId="38393"/>
    <cellStyle name="Comma 19 4 7 4 3" xfId="31761"/>
    <cellStyle name="Comma 19 4 7 5" xfId="11654"/>
    <cellStyle name="Comma 19 4 7 5 2" xfId="35077"/>
    <cellStyle name="Comma 19 4 7 6" xfId="20454"/>
    <cellStyle name="Comma 19 4 7 7" xfId="28445"/>
    <cellStyle name="Comma 19 4 8" xfId="5308"/>
    <cellStyle name="Comma 19 4 8 2" xfId="7230"/>
    <cellStyle name="Comma 19 4 8 2 2" xfId="10561"/>
    <cellStyle name="Comma 19 4 8 2 2 2" xfId="17265"/>
    <cellStyle name="Comma 19 4 8 2 2 2 2" xfId="40686"/>
    <cellStyle name="Comma 19 4 8 2 2 3" xfId="34054"/>
    <cellStyle name="Comma 19 4 8 2 3" xfId="13949"/>
    <cellStyle name="Comma 19 4 8 2 3 2" xfId="37370"/>
    <cellStyle name="Comma 19 4 8 2 4" xfId="30738"/>
    <cellStyle name="Comma 19 4 8 3" xfId="8902"/>
    <cellStyle name="Comma 19 4 8 3 2" xfId="15607"/>
    <cellStyle name="Comma 19 4 8 3 2 2" xfId="39028"/>
    <cellStyle name="Comma 19 4 8 3 3" xfId="32396"/>
    <cellStyle name="Comma 19 4 8 4" xfId="12290"/>
    <cellStyle name="Comma 19 4 8 4 2" xfId="35712"/>
    <cellStyle name="Comma 19 4 8 5" xfId="29080"/>
    <cellStyle name="Comma 19 4 9" xfId="3425"/>
    <cellStyle name="Comma 19 5" xfId="1289"/>
    <cellStyle name="Comma 19 5 10" xfId="11190"/>
    <cellStyle name="Comma 19 5 10 2" xfId="34613"/>
    <cellStyle name="Comma 19 5 11" xfId="27981"/>
    <cellStyle name="Comma 19 5 2" xfId="1481"/>
    <cellStyle name="Comma 19 5 2 10" xfId="28017"/>
    <cellStyle name="Comma 19 5 2 2" xfId="1576"/>
    <cellStyle name="Comma 19 5 2 3" xfId="1796"/>
    <cellStyle name="Comma 19 5 2 3 2" xfId="2057"/>
    <cellStyle name="Comma 19 5 2 3 3" xfId="2793"/>
    <cellStyle name="Comma 19 5 2 3 3 2" xfId="5885"/>
    <cellStyle name="Comma 19 5 2 3 3 2 2" xfId="7667"/>
    <cellStyle name="Comma 19 5 2 3 3 2 2 2" xfId="10996"/>
    <cellStyle name="Comma 19 5 2 3 3 2 2 2 2" xfId="17700"/>
    <cellStyle name="Comma 19 5 2 3 3 2 2 2 2 2" xfId="41121"/>
    <cellStyle name="Comma 19 5 2 3 3 2 2 2 3" xfId="34489"/>
    <cellStyle name="Comma 19 5 2 3 3 2 2 3" xfId="14384"/>
    <cellStyle name="Comma 19 5 2 3 3 2 2 3 2" xfId="37805"/>
    <cellStyle name="Comma 19 5 2 3 3 2 2 4" xfId="31173"/>
    <cellStyle name="Comma 19 5 2 3 3 2 3" xfId="9338"/>
    <cellStyle name="Comma 19 5 2 3 3 2 3 2" xfId="16042"/>
    <cellStyle name="Comma 19 5 2 3 3 2 3 2 2" xfId="39463"/>
    <cellStyle name="Comma 19 5 2 3 3 2 3 3" xfId="32831"/>
    <cellStyle name="Comma 19 5 2 3 3 2 4" xfId="12726"/>
    <cellStyle name="Comma 19 5 2 3 3 2 4 2" xfId="36147"/>
    <cellStyle name="Comma 19 5 2 3 3 2 5" xfId="29515"/>
    <cellStyle name="Comma 19 5 2 3 3 3" xfId="6768"/>
    <cellStyle name="Comma 19 5 2 3 3 3 2" xfId="10100"/>
    <cellStyle name="Comma 19 5 2 3 3 3 2 2" xfId="16804"/>
    <cellStyle name="Comma 19 5 2 3 3 3 2 2 2" xfId="40225"/>
    <cellStyle name="Comma 19 5 2 3 3 3 2 3" xfId="33593"/>
    <cellStyle name="Comma 19 5 2 3 3 3 3" xfId="13488"/>
    <cellStyle name="Comma 19 5 2 3 3 3 3 2" xfId="36909"/>
    <cellStyle name="Comma 19 5 2 3 3 3 4" xfId="30277"/>
    <cellStyle name="Comma 19 5 2 3 3 4" xfId="8434"/>
    <cellStyle name="Comma 19 5 2 3 3 4 2" xfId="15146"/>
    <cellStyle name="Comma 19 5 2 3 3 4 2 2" xfId="38567"/>
    <cellStyle name="Comma 19 5 2 3 3 4 3" xfId="31935"/>
    <cellStyle name="Comma 19 5 2 3 3 5" xfId="11828"/>
    <cellStyle name="Comma 19 5 2 3 3 5 2" xfId="35251"/>
    <cellStyle name="Comma 19 5 2 3 3 6" xfId="28619"/>
    <cellStyle name="Comma 19 5 2 3 4" xfId="5423"/>
    <cellStyle name="Comma 19 5 2 3 4 2" xfId="7276"/>
    <cellStyle name="Comma 19 5 2 3 4 2 2" xfId="10607"/>
    <cellStyle name="Comma 19 5 2 3 4 2 2 2" xfId="17311"/>
    <cellStyle name="Comma 19 5 2 3 4 2 2 2 2" xfId="40732"/>
    <cellStyle name="Comma 19 5 2 3 4 2 2 3" xfId="34100"/>
    <cellStyle name="Comma 19 5 2 3 4 2 3" xfId="13995"/>
    <cellStyle name="Comma 19 5 2 3 4 2 3 2" xfId="37416"/>
    <cellStyle name="Comma 19 5 2 3 4 2 4" xfId="30784"/>
    <cellStyle name="Comma 19 5 2 3 4 3" xfId="8949"/>
    <cellStyle name="Comma 19 5 2 3 4 3 2" xfId="15653"/>
    <cellStyle name="Comma 19 5 2 3 4 3 2 2" xfId="39074"/>
    <cellStyle name="Comma 19 5 2 3 4 3 3" xfId="32442"/>
    <cellStyle name="Comma 19 5 2 3 4 4" xfId="12336"/>
    <cellStyle name="Comma 19 5 2 3 4 4 2" xfId="35758"/>
    <cellStyle name="Comma 19 5 2 3 4 5" xfId="29126"/>
    <cellStyle name="Comma 19 5 2 3 5" xfId="6295"/>
    <cellStyle name="Comma 19 5 2 3 5 2" xfId="9629"/>
    <cellStyle name="Comma 19 5 2 3 5 2 2" xfId="16333"/>
    <cellStyle name="Comma 19 5 2 3 5 2 2 2" xfId="39754"/>
    <cellStyle name="Comma 19 5 2 3 5 2 3" xfId="33122"/>
    <cellStyle name="Comma 19 5 2 3 5 3" xfId="13017"/>
    <cellStyle name="Comma 19 5 2 3 5 3 2" xfId="36438"/>
    <cellStyle name="Comma 19 5 2 3 5 4" xfId="29806"/>
    <cellStyle name="Comma 19 5 2 3 6" xfId="7961"/>
    <cellStyle name="Comma 19 5 2 3 6 2" xfId="14675"/>
    <cellStyle name="Comma 19 5 2 3 6 2 2" xfId="38096"/>
    <cellStyle name="Comma 19 5 2 3 6 3" xfId="31464"/>
    <cellStyle name="Comma 19 5 2 3 7" xfId="11357"/>
    <cellStyle name="Comma 19 5 2 3 7 2" xfId="34780"/>
    <cellStyle name="Comma 19 5 2 3 8" xfId="28148"/>
    <cellStyle name="Comma 19 5 2 4" xfId="2058"/>
    <cellStyle name="Comma 19 5 2 4 2" xfId="17908"/>
    <cellStyle name="Comma 19 5 2 5" xfId="2661"/>
    <cellStyle name="Comma 19 5 2 5 2" xfId="5754"/>
    <cellStyle name="Comma 19 5 2 5 2 2" xfId="7536"/>
    <cellStyle name="Comma 19 5 2 5 2 2 2" xfId="10865"/>
    <cellStyle name="Comma 19 5 2 5 2 2 2 2" xfId="17569"/>
    <cellStyle name="Comma 19 5 2 5 2 2 2 2 2" xfId="40990"/>
    <cellStyle name="Comma 19 5 2 5 2 2 2 3" xfId="34358"/>
    <cellStyle name="Comma 19 5 2 5 2 2 3" xfId="14253"/>
    <cellStyle name="Comma 19 5 2 5 2 2 3 2" xfId="37674"/>
    <cellStyle name="Comma 19 5 2 5 2 2 4" xfId="31042"/>
    <cellStyle name="Comma 19 5 2 5 2 3" xfId="9207"/>
    <cellStyle name="Comma 19 5 2 5 2 3 2" xfId="15911"/>
    <cellStyle name="Comma 19 5 2 5 2 3 2 2" xfId="39332"/>
    <cellStyle name="Comma 19 5 2 5 2 3 3" xfId="32700"/>
    <cellStyle name="Comma 19 5 2 5 2 4" xfId="12595"/>
    <cellStyle name="Comma 19 5 2 5 2 4 2" xfId="36016"/>
    <cellStyle name="Comma 19 5 2 5 2 5" xfId="18255"/>
    <cellStyle name="Comma 19 5 2 5 2 6" xfId="29384"/>
    <cellStyle name="Comma 19 5 2 5 3" xfId="6637"/>
    <cellStyle name="Comma 19 5 2 5 3 2" xfId="9969"/>
    <cellStyle name="Comma 19 5 2 5 3 2 2" xfId="16673"/>
    <cellStyle name="Comma 19 5 2 5 3 2 2 2" xfId="40094"/>
    <cellStyle name="Comma 19 5 2 5 3 2 3" xfId="33462"/>
    <cellStyle name="Comma 19 5 2 5 3 3" xfId="13357"/>
    <cellStyle name="Comma 19 5 2 5 3 3 2" xfId="36778"/>
    <cellStyle name="Comma 19 5 2 5 3 4" xfId="30146"/>
    <cellStyle name="Comma 19 5 2 5 4" xfId="8303"/>
    <cellStyle name="Comma 19 5 2 5 4 2" xfId="15015"/>
    <cellStyle name="Comma 19 5 2 5 4 2 2" xfId="38436"/>
    <cellStyle name="Comma 19 5 2 5 4 3" xfId="31804"/>
    <cellStyle name="Comma 19 5 2 5 5" xfId="11697"/>
    <cellStyle name="Comma 19 5 2 5 5 2" xfId="35120"/>
    <cellStyle name="Comma 19 5 2 5 6" xfId="20453"/>
    <cellStyle name="Comma 19 5 2 5 7" xfId="28488"/>
    <cellStyle name="Comma 19 5 2 6" xfId="5354"/>
    <cellStyle name="Comma 19 5 2 6 2" xfId="7245"/>
    <cellStyle name="Comma 19 5 2 6 2 2" xfId="10576"/>
    <cellStyle name="Comma 19 5 2 6 2 2 2" xfId="17280"/>
    <cellStyle name="Comma 19 5 2 6 2 2 2 2" xfId="40701"/>
    <cellStyle name="Comma 19 5 2 6 2 2 3" xfId="34069"/>
    <cellStyle name="Comma 19 5 2 6 2 3" xfId="13964"/>
    <cellStyle name="Comma 19 5 2 6 2 3 2" xfId="37385"/>
    <cellStyle name="Comma 19 5 2 6 2 4" xfId="30753"/>
    <cellStyle name="Comma 19 5 2 6 3" xfId="8918"/>
    <cellStyle name="Comma 19 5 2 6 3 2" xfId="15622"/>
    <cellStyle name="Comma 19 5 2 6 3 2 2" xfId="39043"/>
    <cellStyle name="Comma 19 5 2 6 3 3" xfId="32411"/>
    <cellStyle name="Comma 19 5 2 6 4" xfId="12305"/>
    <cellStyle name="Comma 19 5 2 6 4 2" xfId="35727"/>
    <cellStyle name="Comma 19 5 2 6 5" xfId="29095"/>
    <cellStyle name="Comma 19 5 2 7" xfId="6164"/>
    <cellStyle name="Comma 19 5 2 7 2" xfId="9498"/>
    <cellStyle name="Comma 19 5 2 7 2 2" xfId="16202"/>
    <cellStyle name="Comma 19 5 2 7 2 2 2" xfId="39623"/>
    <cellStyle name="Comma 19 5 2 7 2 3" xfId="32991"/>
    <cellStyle name="Comma 19 5 2 7 3" xfId="12886"/>
    <cellStyle name="Comma 19 5 2 7 3 2" xfId="36307"/>
    <cellStyle name="Comma 19 5 2 7 4" xfId="29675"/>
    <cellStyle name="Comma 19 5 2 8" xfId="7830"/>
    <cellStyle name="Comma 19 5 2 8 2" xfId="14544"/>
    <cellStyle name="Comma 19 5 2 8 2 2" xfId="37965"/>
    <cellStyle name="Comma 19 5 2 8 3" xfId="31333"/>
    <cellStyle name="Comma 19 5 2 9" xfId="11226"/>
    <cellStyle name="Comma 19 5 2 9 2" xfId="34649"/>
    <cellStyle name="Comma 19 5 3" xfId="1575"/>
    <cellStyle name="Comma 19 5 4" xfId="1759"/>
    <cellStyle name="Comma 19 5 4 2" xfId="2059"/>
    <cellStyle name="Comma 19 5 4 3" xfId="2757"/>
    <cellStyle name="Comma 19 5 4 3 2" xfId="5849"/>
    <cellStyle name="Comma 19 5 4 3 2 2" xfId="7631"/>
    <cellStyle name="Comma 19 5 4 3 2 2 2" xfId="10960"/>
    <cellStyle name="Comma 19 5 4 3 2 2 2 2" xfId="17664"/>
    <cellStyle name="Comma 19 5 4 3 2 2 2 2 2" xfId="41085"/>
    <cellStyle name="Comma 19 5 4 3 2 2 2 3" xfId="34453"/>
    <cellStyle name="Comma 19 5 4 3 2 2 3" xfId="14348"/>
    <cellStyle name="Comma 19 5 4 3 2 2 3 2" xfId="37769"/>
    <cellStyle name="Comma 19 5 4 3 2 2 4" xfId="31137"/>
    <cellStyle name="Comma 19 5 4 3 2 3" xfId="9302"/>
    <cellStyle name="Comma 19 5 4 3 2 3 2" xfId="16006"/>
    <cellStyle name="Comma 19 5 4 3 2 3 2 2" xfId="39427"/>
    <cellStyle name="Comma 19 5 4 3 2 3 3" xfId="32795"/>
    <cellStyle name="Comma 19 5 4 3 2 4" xfId="12690"/>
    <cellStyle name="Comma 19 5 4 3 2 4 2" xfId="36111"/>
    <cellStyle name="Comma 19 5 4 3 2 5" xfId="29479"/>
    <cellStyle name="Comma 19 5 4 3 3" xfId="6732"/>
    <cellStyle name="Comma 19 5 4 3 3 2" xfId="10064"/>
    <cellStyle name="Comma 19 5 4 3 3 2 2" xfId="16768"/>
    <cellStyle name="Comma 19 5 4 3 3 2 2 2" xfId="40189"/>
    <cellStyle name="Comma 19 5 4 3 3 2 3" xfId="33557"/>
    <cellStyle name="Comma 19 5 4 3 3 3" xfId="13452"/>
    <cellStyle name="Comma 19 5 4 3 3 3 2" xfId="36873"/>
    <cellStyle name="Comma 19 5 4 3 3 4" xfId="30241"/>
    <cellStyle name="Comma 19 5 4 3 4" xfId="8398"/>
    <cellStyle name="Comma 19 5 4 3 4 2" xfId="15110"/>
    <cellStyle name="Comma 19 5 4 3 4 2 2" xfId="38531"/>
    <cellStyle name="Comma 19 5 4 3 4 3" xfId="31899"/>
    <cellStyle name="Comma 19 5 4 3 5" xfId="11792"/>
    <cellStyle name="Comma 19 5 4 3 5 2" xfId="35215"/>
    <cellStyle name="Comma 19 5 4 3 6" xfId="28583"/>
    <cellStyle name="Comma 19 5 4 4" xfId="5409"/>
    <cellStyle name="Comma 19 5 4 4 2" xfId="7263"/>
    <cellStyle name="Comma 19 5 4 4 2 2" xfId="10594"/>
    <cellStyle name="Comma 19 5 4 4 2 2 2" xfId="17298"/>
    <cellStyle name="Comma 19 5 4 4 2 2 2 2" xfId="40719"/>
    <cellStyle name="Comma 19 5 4 4 2 2 3" xfId="34087"/>
    <cellStyle name="Comma 19 5 4 4 2 3" xfId="13982"/>
    <cellStyle name="Comma 19 5 4 4 2 3 2" xfId="37403"/>
    <cellStyle name="Comma 19 5 4 4 2 4" xfId="30771"/>
    <cellStyle name="Comma 19 5 4 4 3" xfId="8936"/>
    <cellStyle name="Comma 19 5 4 4 3 2" xfId="15640"/>
    <cellStyle name="Comma 19 5 4 4 3 2 2" xfId="39061"/>
    <cellStyle name="Comma 19 5 4 4 3 3" xfId="32429"/>
    <cellStyle name="Comma 19 5 4 4 4" xfId="12323"/>
    <cellStyle name="Comma 19 5 4 4 4 2" xfId="35745"/>
    <cellStyle name="Comma 19 5 4 4 5" xfId="29113"/>
    <cellStyle name="Comma 19 5 4 5" xfId="6259"/>
    <cellStyle name="Comma 19 5 4 5 2" xfId="9593"/>
    <cellStyle name="Comma 19 5 4 5 2 2" xfId="16297"/>
    <cellStyle name="Comma 19 5 4 5 2 2 2" xfId="39718"/>
    <cellStyle name="Comma 19 5 4 5 2 3" xfId="33086"/>
    <cellStyle name="Comma 19 5 4 5 3" xfId="12981"/>
    <cellStyle name="Comma 19 5 4 5 3 2" xfId="36402"/>
    <cellStyle name="Comma 19 5 4 5 4" xfId="29770"/>
    <cellStyle name="Comma 19 5 4 6" xfId="7925"/>
    <cellStyle name="Comma 19 5 4 6 2" xfId="14639"/>
    <cellStyle name="Comma 19 5 4 6 2 2" xfId="38060"/>
    <cellStyle name="Comma 19 5 4 6 3" xfId="31428"/>
    <cellStyle name="Comma 19 5 4 7" xfId="11321"/>
    <cellStyle name="Comma 19 5 4 7 2" xfId="34744"/>
    <cellStyle name="Comma 19 5 4 8" xfId="28112"/>
    <cellStyle name="Comma 19 5 5" xfId="2060"/>
    <cellStyle name="Comma 19 5 5 2" xfId="17909"/>
    <cellStyle name="Comma 19 5 6" xfId="2624"/>
    <cellStyle name="Comma 19 5 6 2" xfId="5718"/>
    <cellStyle name="Comma 19 5 6 2 2" xfId="7501"/>
    <cellStyle name="Comma 19 5 6 2 2 2" xfId="10830"/>
    <cellStyle name="Comma 19 5 6 2 2 2 2" xfId="17534"/>
    <cellStyle name="Comma 19 5 6 2 2 2 2 2" xfId="40955"/>
    <cellStyle name="Comma 19 5 6 2 2 2 3" xfId="34323"/>
    <cellStyle name="Comma 19 5 6 2 2 3" xfId="14218"/>
    <cellStyle name="Comma 19 5 6 2 2 3 2" xfId="37639"/>
    <cellStyle name="Comma 19 5 6 2 2 4" xfId="31007"/>
    <cellStyle name="Comma 19 5 6 2 3" xfId="9172"/>
    <cellStyle name="Comma 19 5 6 2 3 2" xfId="15876"/>
    <cellStyle name="Comma 19 5 6 2 3 2 2" xfId="39297"/>
    <cellStyle name="Comma 19 5 6 2 3 3" xfId="32665"/>
    <cellStyle name="Comma 19 5 6 2 4" xfId="12560"/>
    <cellStyle name="Comma 19 5 6 2 4 2" xfId="35981"/>
    <cellStyle name="Comma 19 5 6 2 5" xfId="17862"/>
    <cellStyle name="Comma 19 5 6 2 6" xfId="29349"/>
    <cellStyle name="Comma 19 5 6 3" xfId="6601"/>
    <cellStyle name="Comma 19 5 6 3 2" xfId="9933"/>
    <cellStyle name="Comma 19 5 6 3 2 2" xfId="16637"/>
    <cellStyle name="Comma 19 5 6 3 2 2 2" xfId="40058"/>
    <cellStyle name="Comma 19 5 6 3 2 3" xfId="33426"/>
    <cellStyle name="Comma 19 5 6 3 3" xfId="13321"/>
    <cellStyle name="Comma 19 5 6 3 3 2" xfId="36742"/>
    <cellStyle name="Comma 19 5 6 3 4" xfId="30110"/>
    <cellStyle name="Comma 19 5 6 4" xfId="8267"/>
    <cellStyle name="Comma 19 5 6 4 2" xfId="14979"/>
    <cellStyle name="Comma 19 5 6 4 2 2" xfId="38400"/>
    <cellStyle name="Comma 19 5 6 4 3" xfId="31768"/>
    <cellStyle name="Comma 19 5 6 5" xfId="11661"/>
    <cellStyle name="Comma 19 5 6 5 2" xfId="35084"/>
    <cellStyle name="Comma 19 5 6 6" xfId="17911"/>
    <cellStyle name="Comma 19 5 6 7" xfId="28452"/>
    <cellStyle name="Comma 19 5 7" xfId="5323"/>
    <cellStyle name="Comma 19 5 7 2" xfId="7232"/>
    <cellStyle name="Comma 19 5 7 2 2" xfId="10563"/>
    <cellStyle name="Comma 19 5 7 2 2 2" xfId="17267"/>
    <cellStyle name="Comma 19 5 7 2 2 2 2" xfId="40688"/>
    <cellStyle name="Comma 19 5 7 2 2 3" xfId="34056"/>
    <cellStyle name="Comma 19 5 7 2 3" xfId="13951"/>
    <cellStyle name="Comma 19 5 7 2 3 2" xfId="37372"/>
    <cellStyle name="Comma 19 5 7 2 4" xfId="30740"/>
    <cellStyle name="Comma 19 5 7 3" xfId="8904"/>
    <cellStyle name="Comma 19 5 7 3 2" xfId="15609"/>
    <cellStyle name="Comma 19 5 7 3 2 2" xfId="39030"/>
    <cellStyle name="Comma 19 5 7 3 3" xfId="32398"/>
    <cellStyle name="Comma 19 5 7 4" xfId="12292"/>
    <cellStyle name="Comma 19 5 7 4 2" xfId="35714"/>
    <cellStyle name="Comma 19 5 7 5" xfId="29082"/>
    <cellStyle name="Comma 19 5 8" xfId="6128"/>
    <cellStyle name="Comma 19 5 8 2" xfId="9462"/>
    <cellStyle name="Comma 19 5 8 2 2" xfId="16166"/>
    <cellStyle name="Comma 19 5 8 2 2 2" xfId="39587"/>
    <cellStyle name="Comma 19 5 8 2 3" xfId="32955"/>
    <cellStyle name="Comma 19 5 8 3" xfId="12850"/>
    <cellStyle name="Comma 19 5 8 3 2" xfId="36271"/>
    <cellStyle name="Comma 19 5 8 4" xfId="29639"/>
    <cellStyle name="Comma 19 5 9" xfId="7793"/>
    <cellStyle name="Comma 19 5 9 2" xfId="14508"/>
    <cellStyle name="Comma 19 5 9 2 2" xfId="37929"/>
    <cellStyle name="Comma 19 5 9 3" xfId="31297"/>
    <cellStyle name="Comma 19 6" xfId="1515"/>
    <cellStyle name="Comma 19 6 10" xfId="28046"/>
    <cellStyle name="Comma 19 6 2" xfId="1577"/>
    <cellStyle name="Comma 19 6 2 2" xfId="18454"/>
    <cellStyle name="Comma 19 6 3" xfId="1825"/>
    <cellStyle name="Comma 19 6 3 2" xfId="2063"/>
    <cellStyle name="Comma 19 6 3 3" xfId="2822"/>
    <cellStyle name="Comma 19 6 3 3 2" xfId="5914"/>
    <cellStyle name="Comma 19 6 3 3 2 2" xfId="7696"/>
    <cellStyle name="Comma 19 6 3 3 2 2 2" xfId="11025"/>
    <cellStyle name="Comma 19 6 3 3 2 2 2 2" xfId="17729"/>
    <cellStyle name="Comma 19 6 3 3 2 2 2 2 2" xfId="41150"/>
    <cellStyle name="Comma 19 6 3 3 2 2 2 3" xfId="34518"/>
    <cellStyle name="Comma 19 6 3 3 2 2 3" xfId="14413"/>
    <cellStyle name="Comma 19 6 3 3 2 2 3 2" xfId="37834"/>
    <cellStyle name="Comma 19 6 3 3 2 2 4" xfId="31202"/>
    <cellStyle name="Comma 19 6 3 3 2 3" xfId="9367"/>
    <cellStyle name="Comma 19 6 3 3 2 3 2" xfId="16071"/>
    <cellStyle name="Comma 19 6 3 3 2 3 2 2" xfId="39492"/>
    <cellStyle name="Comma 19 6 3 3 2 3 3" xfId="32860"/>
    <cellStyle name="Comma 19 6 3 3 2 4" xfId="12755"/>
    <cellStyle name="Comma 19 6 3 3 2 4 2" xfId="36176"/>
    <cellStyle name="Comma 19 6 3 3 2 5" xfId="29544"/>
    <cellStyle name="Comma 19 6 3 3 3" xfId="6797"/>
    <cellStyle name="Comma 19 6 3 3 3 2" xfId="10129"/>
    <cellStyle name="Comma 19 6 3 3 3 2 2" xfId="16833"/>
    <cellStyle name="Comma 19 6 3 3 3 2 2 2" xfId="40254"/>
    <cellStyle name="Comma 19 6 3 3 3 2 3" xfId="33622"/>
    <cellStyle name="Comma 19 6 3 3 3 3" xfId="13517"/>
    <cellStyle name="Comma 19 6 3 3 3 3 2" xfId="36938"/>
    <cellStyle name="Comma 19 6 3 3 3 4" xfId="30306"/>
    <cellStyle name="Comma 19 6 3 3 4" xfId="8463"/>
    <cellStyle name="Comma 19 6 3 3 4 2" xfId="15175"/>
    <cellStyle name="Comma 19 6 3 3 4 2 2" xfId="38596"/>
    <cellStyle name="Comma 19 6 3 3 4 3" xfId="31964"/>
    <cellStyle name="Comma 19 6 3 3 5" xfId="11857"/>
    <cellStyle name="Comma 19 6 3 3 5 2" xfId="35280"/>
    <cellStyle name="Comma 19 6 3 3 6" xfId="28648"/>
    <cellStyle name="Comma 19 6 3 4" xfId="5435"/>
    <cellStyle name="Comma 19 6 3 4 2" xfId="7287"/>
    <cellStyle name="Comma 19 6 3 4 2 2" xfId="10618"/>
    <cellStyle name="Comma 19 6 3 4 2 2 2" xfId="17322"/>
    <cellStyle name="Comma 19 6 3 4 2 2 2 2" xfId="40743"/>
    <cellStyle name="Comma 19 6 3 4 2 2 3" xfId="34111"/>
    <cellStyle name="Comma 19 6 3 4 2 3" xfId="14006"/>
    <cellStyle name="Comma 19 6 3 4 2 3 2" xfId="37427"/>
    <cellStyle name="Comma 19 6 3 4 2 4" xfId="30795"/>
    <cellStyle name="Comma 19 6 3 4 3" xfId="8960"/>
    <cellStyle name="Comma 19 6 3 4 3 2" xfId="15664"/>
    <cellStyle name="Comma 19 6 3 4 3 2 2" xfId="39085"/>
    <cellStyle name="Comma 19 6 3 4 3 3" xfId="32453"/>
    <cellStyle name="Comma 19 6 3 4 4" xfId="12348"/>
    <cellStyle name="Comma 19 6 3 4 4 2" xfId="35769"/>
    <cellStyle name="Comma 19 6 3 4 5" xfId="29137"/>
    <cellStyle name="Comma 19 6 3 5" xfId="6324"/>
    <cellStyle name="Comma 19 6 3 5 2" xfId="9658"/>
    <cellStyle name="Comma 19 6 3 5 2 2" xfId="16362"/>
    <cellStyle name="Comma 19 6 3 5 2 2 2" xfId="39783"/>
    <cellStyle name="Comma 19 6 3 5 2 3" xfId="33151"/>
    <cellStyle name="Comma 19 6 3 5 3" xfId="13046"/>
    <cellStyle name="Comma 19 6 3 5 3 2" xfId="36467"/>
    <cellStyle name="Comma 19 6 3 5 4" xfId="29835"/>
    <cellStyle name="Comma 19 6 3 6" xfId="7990"/>
    <cellStyle name="Comma 19 6 3 6 2" xfId="14704"/>
    <cellStyle name="Comma 19 6 3 6 2 2" xfId="38125"/>
    <cellStyle name="Comma 19 6 3 6 3" xfId="31493"/>
    <cellStyle name="Comma 19 6 3 7" xfId="11386"/>
    <cellStyle name="Comma 19 6 3 7 2" xfId="34809"/>
    <cellStyle name="Comma 19 6 3 8" xfId="28177"/>
    <cellStyle name="Comma 19 6 4" xfId="2064"/>
    <cellStyle name="Comma 19 6 4 2" xfId="17910"/>
    <cellStyle name="Comma 19 6 5" xfId="2690"/>
    <cellStyle name="Comma 19 6 5 2" xfId="5783"/>
    <cellStyle name="Comma 19 6 5 2 2" xfId="7565"/>
    <cellStyle name="Comma 19 6 5 2 2 2" xfId="10894"/>
    <cellStyle name="Comma 19 6 5 2 2 2 2" xfId="17598"/>
    <cellStyle name="Comma 19 6 5 2 2 2 2 2" xfId="41019"/>
    <cellStyle name="Comma 19 6 5 2 2 2 3" xfId="34387"/>
    <cellStyle name="Comma 19 6 5 2 2 3" xfId="14282"/>
    <cellStyle name="Comma 19 6 5 2 2 3 2" xfId="37703"/>
    <cellStyle name="Comma 19 6 5 2 2 4" xfId="31071"/>
    <cellStyle name="Comma 19 6 5 2 3" xfId="9236"/>
    <cellStyle name="Comma 19 6 5 2 3 2" xfId="15940"/>
    <cellStyle name="Comma 19 6 5 2 3 2 2" xfId="39361"/>
    <cellStyle name="Comma 19 6 5 2 3 3" xfId="32729"/>
    <cellStyle name="Comma 19 6 5 2 4" xfId="12624"/>
    <cellStyle name="Comma 19 6 5 2 4 2" xfId="36045"/>
    <cellStyle name="Comma 19 6 5 2 5" xfId="17863"/>
    <cellStyle name="Comma 19 6 5 2 6" xfId="29413"/>
    <cellStyle name="Comma 19 6 5 3" xfId="6666"/>
    <cellStyle name="Comma 19 6 5 3 2" xfId="9998"/>
    <cellStyle name="Comma 19 6 5 3 2 2" xfId="16702"/>
    <cellStyle name="Comma 19 6 5 3 2 2 2" xfId="40123"/>
    <cellStyle name="Comma 19 6 5 3 2 3" xfId="33491"/>
    <cellStyle name="Comma 19 6 5 3 3" xfId="13386"/>
    <cellStyle name="Comma 19 6 5 3 3 2" xfId="36807"/>
    <cellStyle name="Comma 19 6 5 3 4" xfId="21785"/>
    <cellStyle name="Comma 19 6 5 3 5" xfId="30175"/>
    <cellStyle name="Comma 19 6 5 4" xfId="8332"/>
    <cellStyle name="Comma 19 6 5 4 2" xfId="15044"/>
    <cellStyle name="Comma 19 6 5 4 2 2" xfId="38465"/>
    <cellStyle name="Comma 19 6 5 4 3" xfId="31833"/>
    <cellStyle name="Comma 19 6 5 5" xfId="11726"/>
    <cellStyle name="Comma 19 6 5 5 2" xfId="35149"/>
    <cellStyle name="Comma 19 6 5 6" xfId="18453"/>
    <cellStyle name="Comma 19 6 5 7" xfId="17912"/>
    <cellStyle name="Comma 19 6 5 8" xfId="28517"/>
    <cellStyle name="Comma 19 6 6" xfId="5369"/>
    <cellStyle name="Comma 19 6 6 2" xfId="7256"/>
    <cellStyle name="Comma 19 6 6 2 2" xfId="10587"/>
    <cellStyle name="Comma 19 6 6 2 2 2" xfId="17291"/>
    <cellStyle name="Comma 19 6 6 2 2 2 2" xfId="40712"/>
    <cellStyle name="Comma 19 6 6 2 2 3" xfId="34080"/>
    <cellStyle name="Comma 19 6 6 2 3" xfId="13975"/>
    <cellStyle name="Comma 19 6 6 2 3 2" xfId="37396"/>
    <cellStyle name="Comma 19 6 6 2 4" xfId="30764"/>
    <cellStyle name="Comma 19 6 6 3" xfId="8929"/>
    <cellStyle name="Comma 19 6 6 3 2" xfId="15633"/>
    <cellStyle name="Comma 19 6 6 3 2 2" xfId="39054"/>
    <cellStyle name="Comma 19 6 6 3 3" xfId="32422"/>
    <cellStyle name="Comma 19 6 6 4" xfId="12316"/>
    <cellStyle name="Comma 19 6 6 4 2" xfId="35738"/>
    <cellStyle name="Comma 19 6 6 5" xfId="20499"/>
    <cellStyle name="Comma 19 6 6 6" xfId="29106"/>
    <cellStyle name="Comma 19 6 7" xfId="6193"/>
    <cellStyle name="Comma 19 6 7 2" xfId="9527"/>
    <cellStyle name="Comma 19 6 7 2 2" xfId="16231"/>
    <cellStyle name="Comma 19 6 7 2 2 2" xfId="39652"/>
    <cellStyle name="Comma 19 6 7 2 3" xfId="33020"/>
    <cellStyle name="Comma 19 6 7 3" xfId="12915"/>
    <cellStyle name="Comma 19 6 7 3 2" xfId="36336"/>
    <cellStyle name="Comma 19 6 7 4" xfId="29704"/>
    <cellStyle name="Comma 19 6 8" xfId="7859"/>
    <cellStyle name="Comma 19 6 8 2" xfId="14573"/>
    <cellStyle name="Comma 19 6 8 2 2" xfId="37994"/>
    <cellStyle name="Comma 19 6 8 3" xfId="31362"/>
    <cellStyle name="Comma 19 6 9" xfId="11255"/>
    <cellStyle name="Comma 19 6 9 2" xfId="34678"/>
    <cellStyle name="Comma 19 7" xfId="1570"/>
    <cellStyle name="Comma 19 7 2" xfId="1832"/>
    <cellStyle name="Comma 19 7 2 2" xfId="2066"/>
    <cellStyle name="Comma 19 7 2 3" xfId="2829"/>
    <cellStyle name="Comma 19 7 2 3 2" xfId="5921"/>
    <cellStyle name="Comma 19 7 2 3 2 2" xfId="7703"/>
    <cellStyle name="Comma 19 7 2 3 2 2 2" xfId="11032"/>
    <cellStyle name="Comma 19 7 2 3 2 2 2 2" xfId="17736"/>
    <cellStyle name="Comma 19 7 2 3 2 2 2 2 2" xfId="41157"/>
    <cellStyle name="Comma 19 7 2 3 2 2 2 3" xfId="34525"/>
    <cellStyle name="Comma 19 7 2 3 2 2 3" xfId="14420"/>
    <cellStyle name="Comma 19 7 2 3 2 2 3 2" xfId="37841"/>
    <cellStyle name="Comma 19 7 2 3 2 2 4" xfId="31209"/>
    <cellStyle name="Comma 19 7 2 3 2 3" xfId="9374"/>
    <cellStyle name="Comma 19 7 2 3 2 3 2" xfId="16078"/>
    <cellStyle name="Comma 19 7 2 3 2 3 2 2" xfId="39499"/>
    <cellStyle name="Comma 19 7 2 3 2 3 3" xfId="32867"/>
    <cellStyle name="Comma 19 7 2 3 2 4" xfId="12762"/>
    <cellStyle name="Comma 19 7 2 3 2 4 2" xfId="36183"/>
    <cellStyle name="Comma 19 7 2 3 2 5" xfId="29551"/>
    <cellStyle name="Comma 19 7 2 3 3" xfId="6804"/>
    <cellStyle name="Comma 19 7 2 3 3 2" xfId="10136"/>
    <cellStyle name="Comma 19 7 2 3 3 2 2" xfId="16840"/>
    <cellStyle name="Comma 19 7 2 3 3 2 2 2" xfId="40261"/>
    <cellStyle name="Comma 19 7 2 3 3 2 3" xfId="33629"/>
    <cellStyle name="Comma 19 7 2 3 3 3" xfId="13524"/>
    <cellStyle name="Comma 19 7 2 3 3 3 2" xfId="36945"/>
    <cellStyle name="Comma 19 7 2 3 3 4" xfId="30313"/>
    <cellStyle name="Comma 19 7 2 3 4" xfId="8470"/>
    <cellStyle name="Comma 19 7 2 3 4 2" xfId="15182"/>
    <cellStyle name="Comma 19 7 2 3 4 2 2" xfId="38603"/>
    <cellStyle name="Comma 19 7 2 3 4 3" xfId="31971"/>
    <cellStyle name="Comma 19 7 2 3 5" xfId="11864"/>
    <cellStyle name="Comma 19 7 2 3 5 2" xfId="35287"/>
    <cellStyle name="Comma 19 7 2 3 6" xfId="28655"/>
    <cellStyle name="Comma 19 7 2 4" xfId="5438"/>
    <cellStyle name="Comma 19 7 2 4 2" xfId="7289"/>
    <cellStyle name="Comma 19 7 2 4 2 2" xfId="10620"/>
    <cellStyle name="Comma 19 7 2 4 2 2 2" xfId="17324"/>
    <cellStyle name="Comma 19 7 2 4 2 2 2 2" xfId="40745"/>
    <cellStyle name="Comma 19 7 2 4 2 2 3" xfId="34113"/>
    <cellStyle name="Comma 19 7 2 4 2 3" xfId="14008"/>
    <cellStyle name="Comma 19 7 2 4 2 3 2" xfId="37429"/>
    <cellStyle name="Comma 19 7 2 4 2 4" xfId="30797"/>
    <cellStyle name="Comma 19 7 2 4 3" xfId="8962"/>
    <cellStyle name="Comma 19 7 2 4 3 2" xfId="15666"/>
    <cellStyle name="Comma 19 7 2 4 3 2 2" xfId="39087"/>
    <cellStyle name="Comma 19 7 2 4 3 3" xfId="32455"/>
    <cellStyle name="Comma 19 7 2 4 4" xfId="12350"/>
    <cellStyle name="Comma 19 7 2 4 4 2" xfId="35771"/>
    <cellStyle name="Comma 19 7 2 4 5" xfId="29139"/>
    <cellStyle name="Comma 19 7 2 5" xfId="6331"/>
    <cellStyle name="Comma 19 7 2 5 2" xfId="9665"/>
    <cellStyle name="Comma 19 7 2 5 2 2" xfId="16369"/>
    <cellStyle name="Comma 19 7 2 5 2 2 2" xfId="39790"/>
    <cellStyle name="Comma 19 7 2 5 2 3" xfId="33158"/>
    <cellStyle name="Comma 19 7 2 5 3" xfId="13053"/>
    <cellStyle name="Comma 19 7 2 5 3 2" xfId="36474"/>
    <cellStyle name="Comma 19 7 2 5 4" xfId="29842"/>
    <cellStyle name="Comma 19 7 2 6" xfId="7997"/>
    <cellStyle name="Comma 19 7 2 6 2" xfId="14711"/>
    <cellStyle name="Comma 19 7 2 6 2 2" xfId="38132"/>
    <cellStyle name="Comma 19 7 2 6 3" xfId="31500"/>
    <cellStyle name="Comma 19 7 2 7" xfId="11393"/>
    <cellStyle name="Comma 19 7 2 7 2" xfId="34816"/>
    <cellStyle name="Comma 19 7 2 8" xfId="28184"/>
    <cellStyle name="Comma 19 7 3" xfId="2065"/>
    <cellStyle name="Comma 19 7 4" xfId="2697"/>
    <cellStyle name="Comma 19 7 4 2" xfId="5790"/>
    <cellStyle name="Comma 19 7 4 2 2" xfId="7572"/>
    <cellStyle name="Comma 19 7 4 2 2 2" xfId="10901"/>
    <cellStyle name="Comma 19 7 4 2 2 2 2" xfId="17605"/>
    <cellStyle name="Comma 19 7 4 2 2 2 2 2" xfId="41026"/>
    <cellStyle name="Comma 19 7 4 2 2 2 3" xfId="34394"/>
    <cellStyle name="Comma 19 7 4 2 2 3" xfId="14289"/>
    <cellStyle name="Comma 19 7 4 2 2 3 2" xfId="37710"/>
    <cellStyle name="Comma 19 7 4 2 2 4" xfId="31078"/>
    <cellStyle name="Comma 19 7 4 2 3" xfId="9243"/>
    <cellStyle name="Comma 19 7 4 2 3 2" xfId="15947"/>
    <cellStyle name="Comma 19 7 4 2 3 2 2" xfId="39368"/>
    <cellStyle name="Comma 19 7 4 2 3 3" xfId="32736"/>
    <cellStyle name="Comma 19 7 4 2 4" xfId="12631"/>
    <cellStyle name="Comma 19 7 4 2 4 2" xfId="36052"/>
    <cellStyle name="Comma 19 7 4 2 5" xfId="29420"/>
    <cellStyle name="Comma 19 7 4 3" xfId="6673"/>
    <cellStyle name="Comma 19 7 4 3 2" xfId="10005"/>
    <cellStyle name="Comma 19 7 4 3 2 2" xfId="16709"/>
    <cellStyle name="Comma 19 7 4 3 2 2 2" xfId="40130"/>
    <cellStyle name="Comma 19 7 4 3 2 3" xfId="33498"/>
    <cellStyle name="Comma 19 7 4 3 3" xfId="13393"/>
    <cellStyle name="Comma 19 7 4 3 3 2" xfId="36814"/>
    <cellStyle name="Comma 19 7 4 3 4" xfId="30182"/>
    <cellStyle name="Comma 19 7 4 4" xfId="8339"/>
    <cellStyle name="Comma 19 7 4 4 2" xfId="15051"/>
    <cellStyle name="Comma 19 7 4 4 2 2" xfId="38472"/>
    <cellStyle name="Comma 19 7 4 4 3" xfId="31840"/>
    <cellStyle name="Comma 19 7 4 5" xfId="11733"/>
    <cellStyle name="Comma 19 7 4 5 2" xfId="35156"/>
    <cellStyle name="Comma 19 7 4 6" xfId="28524"/>
    <cellStyle name="Comma 19 7 5" xfId="5380"/>
    <cellStyle name="Comma 19 7 5 2" xfId="7258"/>
    <cellStyle name="Comma 19 7 5 2 2" xfId="10589"/>
    <cellStyle name="Comma 19 7 5 2 2 2" xfId="17293"/>
    <cellStyle name="Comma 19 7 5 2 2 2 2" xfId="40714"/>
    <cellStyle name="Comma 19 7 5 2 2 3" xfId="34082"/>
    <cellStyle name="Comma 19 7 5 2 3" xfId="13977"/>
    <cellStyle name="Comma 19 7 5 2 3 2" xfId="37398"/>
    <cellStyle name="Comma 19 7 5 2 4" xfId="30766"/>
    <cellStyle name="Comma 19 7 5 3" xfId="8931"/>
    <cellStyle name="Comma 19 7 5 3 2" xfId="15635"/>
    <cellStyle name="Comma 19 7 5 3 2 2" xfId="39056"/>
    <cellStyle name="Comma 19 7 5 3 3" xfId="32424"/>
    <cellStyle name="Comma 19 7 5 4" xfId="12318"/>
    <cellStyle name="Comma 19 7 5 4 2" xfId="35740"/>
    <cellStyle name="Comma 19 7 5 5" xfId="29108"/>
    <cellStyle name="Comma 19 7 6" xfId="6200"/>
    <cellStyle name="Comma 19 7 6 2" xfId="9534"/>
    <cellStyle name="Comma 19 7 6 2 2" xfId="16238"/>
    <cellStyle name="Comma 19 7 6 2 2 2" xfId="39659"/>
    <cellStyle name="Comma 19 7 6 2 3" xfId="33027"/>
    <cellStyle name="Comma 19 7 6 3" xfId="12922"/>
    <cellStyle name="Comma 19 7 6 3 2" xfId="36343"/>
    <cellStyle name="Comma 19 7 6 4" xfId="29711"/>
    <cellStyle name="Comma 19 7 7" xfId="7866"/>
    <cellStyle name="Comma 19 7 7 2" xfId="14580"/>
    <cellStyle name="Comma 19 7 7 2 2" xfId="38001"/>
    <cellStyle name="Comma 19 7 7 3" xfId="31369"/>
    <cellStyle name="Comma 19 7 8" xfId="11262"/>
    <cellStyle name="Comma 19 7 8 2" xfId="34685"/>
    <cellStyle name="Comma 19 7 9" xfId="28053"/>
    <cellStyle name="Comma 2" xfId="356"/>
    <cellStyle name="Comma 2 2" xfId="357"/>
    <cellStyle name="Comma 2 2 2" xfId="856"/>
    <cellStyle name="Comma 2 2 2 2" xfId="18456"/>
    <cellStyle name="Comma 2 2 3" xfId="3426"/>
    <cellStyle name="Comma 2 2 3 2" xfId="5135"/>
    <cellStyle name="Comma 2 2 4" xfId="4813"/>
    <cellStyle name="Comma 2 2 4 2" xfId="7198"/>
    <cellStyle name="Comma 2 2 4 2 2" xfId="10530"/>
    <cellStyle name="Comma 2 2 4 2 2 2" xfId="17234"/>
    <cellStyle name="Comma 2 2 4 2 2 2 2" xfId="40655"/>
    <cellStyle name="Comma 2 2 4 2 2 3" xfId="34023"/>
    <cellStyle name="Comma 2 2 4 2 3" xfId="13918"/>
    <cellStyle name="Comma 2 2 4 2 3 2" xfId="37339"/>
    <cellStyle name="Comma 2 2 4 2 4" xfId="26041"/>
    <cellStyle name="Comma 2 2 4 2 4 2" xfId="48286"/>
    <cellStyle name="Comma 2 2 4 2 5" xfId="30707"/>
    <cellStyle name="Comma 2 2 4 3" xfId="8867"/>
    <cellStyle name="Comma 2 2 4 3 2" xfId="15576"/>
    <cellStyle name="Comma 2 2 4 3 2 2" xfId="38997"/>
    <cellStyle name="Comma 2 2 4 3 3" xfId="32365"/>
    <cellStyle name="Comma 2 2 4 4" xfId="12258"/>
    <cellStyle name="Comma 2 2 4 4 2" xfId="35681"/>
    <cellStyle name="Comma 2 2 4 5" xfId="23495"/>
    <cellStyle name="Comma 2 2 4 5 2" xfId="45834"/>
    <cellStyle name="Comma 2 2 4 6" xfId="29049"/>
    <cellStyle name="Comma 2 2 5" xfId="23275"/>
    <cellStyle name="Comma 2 2 5 2" xfId="45677"/>
    <cellStyle name="Comma 2 3" xfId="880"/>
    <cellStyle name="Comma 2 3 2" xfId="1579"/>
    <cellStyle name="Comma 2 3 2 2" xfId="3427"/>
    <cellStyle name="Comma 2 3 3" xfId="1578"/>
    <cellStyle name="Comma 2 3 3 2" xfId="23509"/>
    <cellStyle name="Comma 2 3 3 2 2" xfId="45844"/>
    <cellStyle name="Comma 2 3 4" xfId="5095"/>
    <cellStyle name="Comma 2 3 4 2" xfId="7209"/>
    <cellStyle name="Comma 2 3 4 2 2" xfId="10540"/>
    <cellStyle name="Comma 2 3 4 2 2 2" xfId="17244"/>
    <cellStyle name="Comma 2 3 4 2 2 2 2" xfId="40665"/>
    <cellStyle name="Comma 2 3 4 2 2 3" xfId="34033"/>
    <cellStyle name="Comma 2 3 4 2 3" xfId="13928"/>
    <cellStyle name="Comma 2 3 4 2 3 2" xfId="37349"/>
    <cellStyle name="Comma 2 3 4 2 4" xfId="26051"/>
    <cellStyle name="Comma 2 3 4 2 4 2" xfId="48296"/>
    <cellStyle name="Comma 2 3 4 2 5" xfId="30717"/>
    <cellStyle name="Comma 2 3 4 3" xfId="8879"/>
    <cellStyle name="Comma 2 3 4 3 2" xfId="15586"/>
    <cellStyle name="Comma 2 3 4 3 2 2" xfId="39007"/>
    <cellStyle name="Comma 2 3 4 3 3" xfId="32375"/>
    <cellStyle name="Comma 2 3 4 4" xfId="12269"/>
    <cellStyle name="Comma 2 3 4 4 2" xfId="35691"/>
    <cellStyle name="Comma 2 3 4 5" xfId="23842"/>
    <cellStyle name="Comma 2 3 4 5 2" xfId="46107"/>
    <cellStyle name="Comma 2 3 4 6" xfId="29059"/>
    <cellStyle name="Comma 2 3 5" xfId="23345"/>
    <cellStyle name="Comma 2 3 5 2" xfId="45712"/>
    <cellStyle name="Comma 2 4" xfId="1446"/>
    <cellStyle name="Comma 2 4 2" xfId="3429"/>
    <cellStyle name="Comma 2 4 3" xfId="3428"/>
    <cellStyle name="Comma 2 5" xfId="18455"/>
    <cellStyle name="Comma 2_Exhibits" xfId="1031"/>
    <cellStyle name="Comma 20" xfId="358"/>
    <cellStyle name="Comma 20 2" xfId="359"/>
    <cellStyle name="Comma 20 2 2" xfId="1320"/>
    <cellStyle name="Comma 20 2 2 2" xfId="5296"/>
    <cellStyle name="Comma 20 2 3" xfId="5403"/>
    <cellStyle name="Comma 20 3" xfId="1321"/>
    <cellStyle name="Comma 20 3 2" xfId="5217"/>
    <cellStyle name="Comma 20 4" xfId="5993"/>
    <cellStyle name="Comma 21" xfId="360"/>
    <cellStyle name="Comma 21 2" xfId="361"/>
    <cellStyle name="Comma 21 2 2" xfId="1322"/>
    <cellStyle name="Comma 21 2 2 2" xfId="5377"/>
    <cellStyle name="Comma 21 2 3" xfId="5250"/>
    <cellStyle name="Comma 21 3" xfId="1323"/>
    <cellStyle name="Comma 21 3 2" xfId="5440"/>
    <cellStyle name="Comma 21 4" xfId="5421"/>
    <cellStyle name="Comma 22" xfId="362"/>
    <cellStyle name="Comma 22 2" xfId="363"/>
    <cellStyle name="Comma 22 2 2" xfId="3430"/>
    <cellStyle name="Comma 22 3" xfId="3431"/>
    <cellStyle name="Comma 23" xfId="364"/>
    <cellStyle name="Comma 23 2" xfId="365"/>
    <cellStyle name="Comma 23 2 2" xfId="3432"/>
    <cellStyle name="Comma 23 3" xfId="3433"/>
    <cellStyle name="Comma 24" xfId="366"/>
    <cellStyle name="Comma 24 2" xfId="367"/>
    <cellStyle name="Comma 24 2 2" xfId="3434"/>
    <cellStyle name="Comma 24 3" xfId="3435"/>
    <cellStyle name="Comma 24 4" xfId="5093"/>
    <cellStyle name="Comma 25" xfId="368"/>
    <cellStyle name="Comma 25 2" xfId="369"/>
    <cellStyle name="Comma 25 2 2" xfId="3436"/>
    <cellStyle name="Comma 25 3" xfId="1175"/>
    <cellStyle name="Comma 25 3 2" xfId="18458"/>
    <cellStyle name="Comma 25 4" xfId="2056"/>
    <cellStyle name="Comma 25 4 2" xfId="5453"/>
    <cellStyle name="Comma 25 4 2 2" xfId="21786"/>
    <cellStyle name="Comma 25 4 3" xfId="5100"/>
    <cellStyle name="Comma 25 4 4" xfId="18457"/>
    <cellStyle name="Comma 25 5" xfId="18068"/>
    <cellStyle name="Comma 26" xfId="370"/>
    <cellStyle name="Comma 26 2" xfId="371"/>
    <cellStyle name="Comma 26 2 2" xfId="2067"/>
    <cellStyle name="Comma 26 2 2 2" xfId="18256"/>
    <cellStyle name="Comma 26 2 3" xfId="2062"/>
    <cellStyle name="Comma 26 2 4" xfId="20495"/>
    <cellStyle name="Comma 26 3" xfId="1176"/>
    <cellStyle name="Comma 26 3 2" xfId="18460"/>
    <cellStyle name="Comma 26 4" xfId="2061"/>
    <cellStyle name="Comma 26 4 2" xfId="5454"/>
    <cellStyle name="Comma 26 4 2 2" xfId="21787"/>
    <cellStyle name="Comma 26 4 3" xfId="5092"/>
    <cellStyle name="Comma 26 4 4" xfId="18459"/>
    <cellStyle name="Comma 26 5" xfId="20481"/>
    <cellStyle name="Comma 27" xfId="372"/>
    <cellStyle name="Comma 27 2" xfId="373"/>
    <cellStyle name="Comma 27 2 2" xfId="3437"/>
    <cellStyle name="Comma 27 3" xfId="1177"/>
    <cellStyle name="Comma 27 3 2" xfId="18462"/>
    <cellStyle name="Comma 27 4" xfId="5101"/>
    <cellStyle name="Comma 27 4 2" xfId="7213"/>
    <cellStyle name="Comma 27 4 2 2" xfId="10544"/>
    <cellStyle name="Comma 27 4 2 2 2" xfId="17248"/>
    <cellStyle name="Comma 27 4 2 2 2 2" xfId="40669"/>
    <cellStyle name="Comma 27 4 2 2 3" xfId="34037"/>
    <cellStyle name="Comma 27 4 2 3" xfId="13932"/>
    <cellStyle name="Comma 27 4 2 3 2" xfId="37353"/>
    <cellStyle name="Comma 27 4 2 4" xfId="26055"/>
    <cellStyle name="Comma 27 4 2 4 2" xfId="48300"/>
    <cellStyle name="Comma 27 4 2 5" xfId="30721"/>
    <cellStyle name="Comma 27 4 3" xfId="8883"/>
    <cellStyle name="Comma 27 4 3 2" xfId="15590"/>
    <cellStyle name="Comma 27 4 3 2 2" xfId="39011"/>
    <cellStyle name="Comma 27 4 3 3" xfId="32379"/>
    <cellStyle name="Comma 27 4 4" xfId="12273"/>
    <cellStyle name="Comma 27 4 4 2" xfId="35695"/>
    <cellStyle name="Comma 27 4 5" xfId="18461"/>
    <cellStyle name="Comma 27 4 6" xfId="23514"/>
    <cellStyle name="Comma 27 4 6 2" xfId="45848"/>
    <cellStyle name="Comma 27 4 7" xfId="29063"/>
    <cellStyle name="Comma 27 5" xfId="23350"/>
    <cellStyle name="Comma 27 5 2" xfId="45716"/>
    <cellStyle name="Comma 28" xfId="374"/>
    <cellStyle name="Comma 28 2" xfId="375"/>
    <cellStyle name="Comma 28 2 2" xfId="3438"/>
    <cellStyle name="Comma 28 3" xfId="1178"/>
    <cellStyle name="Comma 28 3 2" xfId="18464"/>
    <cellStyle name="Comma 28 4" xfId="5098"/>
    <cellStyle name="Comma 28 4 2" xfId="7211"/>
    <cellStyle name="Comma 28 4 2 2" xfId="10542"/>
    <cellStyle name="Comma 28 4 2 2 2" xfId="17246"/>
    <cellStyle name="Comma 28 4 2 2 2 2" xfId="40667"/>
    <cellStyle name="Comma 28 4 2 2 3" xfId="34035"/>
    <cellStyle name="Comma 28 4 2 3" xfId="13930"/>
    <cellStyle name="Comma 28 4 2 3 2" xfId="37351"/>
    <cellStyle name="Comma 28 4 2 4" xfId="26053"/>
    <cellStyle name="Comma 28 4 2 4 2" xfId="48298"/>
    <cellStyle name="Comma 28 4 2 5" xfId="30719"/>
    <cellStyle name="Comma 28 4 3" xfId="8881"/>
    <cellStyle name="Comma 28 4 3 2" xfId="15588"/>
    <cellStyle name="Comma 28 4 3 2 2" xfId="39009"/>
    <cellStyle name="Comma 28 4 3 3" xfId="32377"/>
    <cellStyle name="Comma 28 4 4" xfId="12271"/>
    <cellStyle name="Comma 28 4 4 2" xfId="35693"/>
    <cellStyle name="Comma 28 4 5" xfId="18463"/>
    <cellStyle name="Comma 28 4 6" xfId="23512"/>
    <cellStyle name="Comma 28 4 6 2" xfId="45846"/>
    <cellStyle name="Comma 28 4 7" xfId="29061"/>
    <cellStyle name="Comma 28 5" xfId="23348"/>
    <cellStyle name="Comma 28 5 2" xfId="45714"/>
    <cellStyle name="Comma 29" xfId="376"/>
    <cellStyle name="Comma 29 2" xfId="1179"/>
    <cellStyle name="Comma 29 2 2" xfId="3439"/>
    <cellStyle name="Comma 29 3" xfId="3440"/>
    <cellStyle name="Comma 29 4" xfId="5097"/>
    <cellStyle name="Comma 29 4 2" xfId="7210"/>
    <cellStyle name="Comma 29 4 2 2" xfId="10541"/>
    <cellStyle name="Comma 29 4 2 2 2" xfId="17245"/>
    <cellStyle name="Comma 29 4 2 2 2 2" xfId="40666"/>
    <cellStyle name="Comma 29 4 2 2 3" xfId="34034"/>
    <cellStyle name="Comma 29 4 2 3" xfId="13929"/>
    <cellStyle name="Comma 29 4 2 3 2" xfId="37350"/>
    <cellStyle name="Comma 29 4 2 4" xfId="26052"/>
    <cellStyle name="Comma 29 4 2 4 2" xfId="48297"/>
    <cellStyle name="Comma 29 4 2 5" xfId="30718"/>
    <cellStyle name="Comma 29 4 3" xfId="8880"/>
    <cellStyle name="Comma 29 4 3 2" xfId="15587"/>
    <cellStyle name="Comma 29 4 3 2 2" xfId="39008"/>
    <cellStyle name="Comma 29 4 3 3" xfId="32376"/>
    <cellStyle name="Comma 29 4 4" xfId="12270"/>
    <cellStyle name="Comma 29 4 4 2" xfId="35692"/>
    <cellStyle name="Comma 29 4 5" xfId="23511"/>
    <cellStyle name="Comma 29 4 5 2" xfId="45845"/>
    <cellStyle name="Comma 29 4 6" xfId="29060"/>
    <cellStyle name="Comma 29 5" xfId="23347"/>
    <cellStyle name="Comma 29 5 2" xfId="45713"/>
    <cellStyle name="Comma 3" xfId="377"/>
    <cellStyle name="Comma 3 2" xfId="378"/>
    <cellStyle name="Comma 3 2 2" xfId="379"/>
    <cellStyle name="Comma 3 2 2 2" xfId="881"/>
    <cellStyle name="Comma 3 2 2 2 2" xfId="18466"/>
    <cellStyle name="Comma 3 2 2 3" xfId="18465"/>
    <cellStyle name="Comma 3 2 3" xfId="882"/>
    <cellStyle name="Comma 3 2 3 2" xfId="18467"/>
    <cellStyle name="Comma 3 2 4" xfId="3441"/>
    <cellStyle name="Comma 3 2 4 2" xfId="5136"/>
    <cellStyle name="Comma 3 3" xfId="380"/>
    <cellStyle name="Comma 3 3 2" xfId="883"/>
    <cellStyle name="Comma 3 3 2 2" xfId="18469"/>
    <cellStyle name="Comma 3 3 3" xfId="18468"/>
    <cellStyle name="Comma 3 4" xfId="884"/>
    <cellStyle name="Comma 3 4 2" xfId="3442"/>
    <cellStyle name="Comma 3 4 2 2" xfId="18470"/>
    <cellStyle name="Comma 3 4 3" xfId="3443"/>
    <cellStyle name="Comma 3 5" xfId="1580"/>
    <cellStyle name="Comma 3 5 2" xfId="3445"/>
    <cellStyle name="Comma 3 5 3" xfId="3446"/>
    <cellStyle name="Comma 3 5 4" xfId="3444"/>
    <cellStyle name="Comma 3 6" xfId="4814"/>
    <cellStyle name="Comma 3 6 2" xfId="24394"/>
    <cellStyle name="Comma 3 6 2 2" xfId="26597"/>
    <cellStyle name="Comma 3 6 2 2 2" xfId="48842"/>
    <cellStyle name="Comma 3 6 2 3" xfId="46639"/>
    <cellStyle name="Comma 3 7" xfId="6117"/>
    <cellStyle name="Comma 3 7 2" xfId="7782"/>
    <cellStyle name="Comma 3 7 2 2" xfId="11111"/>
    <cellStyle name="Comma 3 7 2 2 2" xfId="17815"/>
    <cellStyle name="Comma 3 7 2 2 2 2" xfId="41236"/>
    <cellStyle name="Comma 3 7 2 2 3" xfId="34604"/>
    <cellStyle name="Comma 3 7 2 3" xfId="14499"/>
    <cellStyle name="Comma 3 7 2 3 2" xfId="37920"/>
    <cellStyle name="Comma 3 7 2 4" xfId="31288"/>
    <cellStyle name="Comma 3 7 3" xfId="9453"/>
    <cellStyle name="Comma 3 7 3 2" xfId="16157"/>
    <cellStyle name="Comma 3 7 3 2 2" xfId="39578"/>
    <cellStyle name="Comma 3 7 3 3" xfId="32946"/>
    <cellStyle name="Comma 3 7 4" xfId="12841"/>
    <cellStyle name="Comma 3 7 4 2" xfId="36262"/>
    <cellStyle name="Comma 3 7 5" xfId="29630"/>
    <cellStyle name="Comma 30" xfId="381"/>
    <cellStyle name="Comma 30 2" xfId="1180"/>
    <cellStyle name="Comma 30 2 2" xfId="6034"/>
    <cellStyle name="Comma 30 3" xfId="5383"/>
    <cellStyle name="Comma 31" xfId="382"/>
    <cellStyle name="Comma 31 2" xfId="1181"/>
    <cellStyle name="Comma 31 2 2" xfId="6040"/>
    <cellStyle name="Comma 31 3" xfId="5304"/>
    <cellStyle name="Comma 32" xfId="383"/>
    <cellStyle name="Comma 32 2" xfId="1324"/>
    <cellStyle name="Comma 32 2 2" xfId="5245"/>
    <cellStyle name="Comma 32 3" xfId="5210"/>
    <cellStyle name="Comma 33" xfId="384"/>
    <cellStyle name="Comma 33 2" xfId="1325"/>
    <cellStyle name="Comma 33 2 2" xfId="5307"/>
    <cellStyle name="Comma 33 3" xfId="5283"/>
    <cellStyle name="Comma 34" xfId="385"/>
    <cellStyle name="Comma 34 2" xfId="1326"/>
    <cellStyle name="Comma 34 2 2" xfId="5462"/>
    <cellStyle name="Comma 34 3" xfId="5376"/>
    <cellStyle name="Comma 35" xfId="386"/>
    <cellStyle name="Comma 35 2" xfId="1327"/>
    <cellStyle name="Comma 35 2 2" xfId="5696"/>
    <cellStyle name="Comma 35 3" xfId="5673"/>
    <cellStyle name="Comma 36" xfId="387"/>
    <cellStyle name="Comma 36 2" xfId="1328"/>
    <cellStyle name="Comma 36 2 2" xfId="5222"/>
    <cellStyle name="Comma 36 3" xfId="5981"/>
    <cellStyle name="Comma 37" xfId="388"/>
    <cellStyle name="Comma 37 2" xfId="796"/>
    <cellStyle name="Comma 37 2 2" xfId="5700"/>
    <cellStyle name="Comma 37 3" xfId="5240"/>
    <cellStyle name="Comma 38" xfId="998"/>
    <cellStyle name="Comma 38 2" xfId="1329"/>
    <cellStyle name="Comma 38 2 2" xfId="3447"/>
    <cellStyle name="Comma 38 3" xfId="3448"/>
    <cellStyle name="Comma 39" xfId="1170"/>
    <cellStyle name="Comma 39 2" xfId="1330"/>
    <cellStyle name="Comma 39 2 2" xfId="3449"/>
    <cellStyle name="Comma 39 3" xfId="3450"/>
    <cellStyle name="Comma 4" xfId="389"/>
    <cellStyle name="Comma 4 2" xfId="390"/>
    <cellStyle name="Comma 4 2 2" xfId="391"/>
    <cellStyle name="Comma 4 2 2 2" xfId="3451"/>
    <cellStyle name="Comma 4 2 3" xfId="1582"/>
    <cellStyle name="Comma 4 2 3 2" xfId="18474"/>
    <cellStyle name="Comma 4 2 4" xfId="1581"/>
    <cellStyle name="Comma 4 2 4 2" xfId="18475"/>
    <cellStyle name="Comma 4 2 5" xfId="18473"/>
    <cellStyle name="Comma 4 3" xfId="392"/>
    <cellStyle name="Comma 4 3 2" xfId="3452"/>
    <cellStyle name="Comma 4 4" xfId="3453"/>
    <cellStyle name="Comma 4 4 2" xfId="3454"/>
    <cellStyle name="Comma 4 5" xfId="4815"/>
    <cellStyle name="Comma 40" xfId="1209"/>
    <cellStyle name="Comma 40 2" xfId="1331"/>
    <cellStyle name="Comma 40 2 2" xfId="3455"/>
    <cellStyle name="Comma 40 3" xfId="3456"/>
    <cellStyle name="Comma 41" xfId="1219"/>
    <cellStyle name="Comma 41 2" xfId="1332"/>
    <cellStyle name="Comma 41 2 2" xfId="6011"/>
    <cellStyle name="Comma 41 3" xfId="5199"/>
    <cellStyle name="Comma 42" xfId="1303"/>
    <cellStyle name="Comma 42 10" xfId="6135"/>
    <cellStyle name="Comma 42 10 2" xfId="9469"/>
    <cellStyle name="Comma 42 10 2 2" xfId="16173"/>
    <cellStyle name="Comma 42 10 2 2 2" xfId="39594"/>
    <cellStyle name="Comma 42 10 2 3" xfId="32962"/>
    <cellStyle name="Comma 42 10 3" xfId="12857"/>
    <cellStyle name="Comma 42 10 3 2" xfId="36278"/>
    <cellStyle name="Comma 42 10 4" xfId="29646"/>
    <cellStyle name="Comma 42 11" xfId="7800"/>
    <cellStyle name="Comma 42 11 2" xfId="14515"/>
    <cellStyle name="Comma 42 11 2 2" xfId="37936"/>
    <cellStyle name="Comma 42 11 3" xfId="31304"/>
    <cellStyle name="Comma 42 12" xfId="11197"/>
    <cellStyle name="Comma 42 12 2" xfId="34620"/>
    <cellStyle name="Comma 42 13" xfId="27988"/>
    <cellStyle name="Comma 42 2" xfId="1334"/>
    <cellStyle name="Comma 42 2 2" xfId="5299"/>
    <cellStyle name="Comma 42 3" xfId="1333"/>
    <cellStyle name="Comma 42 3 2" xfId="18476"/>
    <cellStyle name="Comma 42 4" xfId="1488"/>
    <cellStyle name="Comma 42 4 10" xfId="28024"/>
    <cellStyle name="Comma 42 4 2" xfId="1584"/>
    <cellStyle name="Comma 42 4 3" xfId="1803"/>
    <cellStyle name="Comma 42 4 3 2" xfId="2071"/>
    <cellStyle name="Comma 42 4 3 3" xfId="2800"/>
    <cellStyle name="Comma 42 4 3 3 2" xfId="5892"/>
    <cellStyle name="Comma 42 4 3 3 2 2" xfId="7674"/>
    <cellStyle name="Comma 42 4 3 3 2 2 2" xfId="11003"/>
    <cellStyle name="Comma 42 4 3 3 2 2 2 2" xfId="17707"/>
    <cellStyle name="Comma 42 4 3 3 2 2 2 2 2" xfId="41128"/>
    <cellStyle name="Comma 42 4 3 3 2 2 2 3" xfId="34496"/>
    <cellStyle name="Comma 42 4 3 3 2 2 3" xfId="14391"/>
    <cellStyle name="Comma 42 4 3 3 2 2 3 2" xfId="37812"/>
    <cellStyle name="Comma 42 4 3 3 2 2 4" xfId="31180"/>
    <cellStyle name="Comma 42 4 3 3 2 3" xfId="9345"/>
    <cellStyle name="Comma 42 4 3 3 2 3 2" xfId="16049"/>
    <cellStyle name="Comma 42 4 3 3 2 3 2 2" xfId="39470"/>
    <cellStyle name="Comma 42 4 3 3 2 3 3" xfId="32838"/>
    <cellStyle name="Comma 42 4 3 3 2 4" xfId="12733"/>
    <cellStyle name="Comma 42 4 3 3 2 4 2" xfId="36154"/>
    <cellStyle name="Comma 42 4 3 3 2 5" xfId="29522"/>
    <cellStyle name="Comma 42 4 3 3 3" xfId="6775"/>
    <cellStyle name="Comma 42 4 3 3 3 2" xfId="10107"/>
    <cellStyle name="Comma 42 4 3 3 3 2 2" xfId="16811"/>
    <cellStyle name="Comma 42 4 3 3 3 2 2 2" xfId="40232"/>
    <cellStyle name="Comma 42 4 3 3 3 2 3" xfId="33600"/>
    <cellStyle name="Comma 42 4 3 3 3 3" xfId="13495"/>
    <cellStyle name="Comma 42 4 3 3 3 3 2" xfId="36916"/>
    <cellStyle name="Comma 42 4 3 3 3 4" xfId="30284"/>
    <cellStyle name="Comma 42 4 3 3 4" xfId="8441"/>
    <cellStyle name="Comma 42 4 3 3 4 2" xfId="15153"/>
    <cellStyle name="Comma 42 4 3 3 4 2 2" xfId="38574"/>
    <cellStyle name="Comma 42 4 3 3 4 3" xfId="31942"/>
    <cellStyle name="Comma 42 4 3 3 5" xfId="11835"/>
    <cellStyle name="Comma 42 4 3 3 5 2" xfId="35258"/>
    <cellStyle name="Comma 42 4 3 3 6" xfId="28626"/>
    <cellStyle name="Comma 42 4 3 4" xfId="5425"/>
    <cellStyle name="Comma 42 4 3 4 2" xfId="7278"/>
    <cellStyle name="Comma 42 4 3 4 2 2" xfId="10609"/>
    <cellStyle name="Comma 42 4 3 4 2 2 2" xfId="17313"/>
    <cellStyle name="Comma 42 4 3 4 2 2 2 2" xfId="40734"/>
    <cellStyle name="Comma 42 4 3 4 2 2 3" xfId="34102"/>
    <cellStyle name="Comma 42 4 3 4 2 3" xfId="13997"/>
    <cellStyle name="Comma 42 4 3 4 2 3 2" xfId="37418"/>
    <cellStyle name="Comma 42 4 3 4 2 4" xfId="30786"/>
    <cellStyle name="Comma 42 4 3 4 3" xfId="8951"/>
    <cellStyle name="Comma 42 4 3 4 3 2" xfId="15655"/>
    <cellStyle name="Comma 42 4 3 4 3 2 2" xfId="39076"/>
    <cellStyle name="Comma 42 4 3 4 3 3" xfId="32444"/>
    <cellStyle name="Comma 42 4 3 4 4" xfId="12338"/>
    <cellStyle name="Comma 42 4 3 4 4 2" xfId="35760"/>
    <cellStyle name="Comma 42 4 3 4 5" xfId="29128"/>
    <cellStyle name="Comma 42 4 3 5" xfId="6302"/>
    <cellStyle name="Comma 42 4 3 5 2" xfId="9636"/>
    <cellStyle name="Comma 42 4 3 5 2 2" xfId="16340"/>
    <cellStyle name="Comma 42 4 3 5 2 2 2" xfId="39761"/>
    <cellStyle name="Comma 42 4 3 5 2 3" xfId="33129"/>
    <cellStyle name="Comma 42 4 3 5 3" xfId="13024"/>
    <cellStyle name="Comma 42 4 3 5 3 2" xfId="36445"/>
    <cellStyle name="Comma 42 4 3 5 4" xfId="29813"/>
    <cellStyle name="Comma 42 4 3 6" xfId="7968"/>
    <cellStyle name="Comma 42 4 3 6 2" xfId="14682"/>
    <cellStyle name="Comma 42 4 3 6 2 2" xfId="38103"/>
    <cellStyle name="Comma 42 4 3 6 3" xfId="31471"/>
    <cellStyle name="Comma 42 4 3 7" xfId="11364"/>
    <cellStyle name="Comma 42 4 3 7 2" xfId="34787"/>
    <cellStyle name="Comma 42 4 3 8" xfId="28155"/>
    <cellStyle name="Comma 42 4 4" xfId="2072"/>
    <cellStyle name="Comma 42 4 4 2" xfId="17913"/>
    <cellStyle name="Comma 42 4 5" xfId="2668"/>
    <cellStyle name="Comma 42 4 5 2" xfId="5761"/>
    <cellStyle name="Comma 42 4 5 2 2" xfId="7543"/>
    <cellStyle name="Comma 42 4 5 2 2 2" xfId="10872"/>
    <cellStyle name="Comma 42 4 5 2 2 2 2" xfId="17576"/>
    <cellStyle name="Comma 42 4 5 2 2 2 2 2" xfId="40997"/>
    <cellStyle name="Comma 42 4 5 2 2 2 3" xfId="34365"/>
    <cellStyle name="Comma 42 4 5 2 2 3" xfId="14260"/>
    <cellStyle name="Comma 42 4 5 2 2 3 2" xfId="37681"/>
    <cellStyle name="Comma 42 4 5 2 2 4" xfId="31049"/>
    <cellStyle name="Comma 42 4 5 2 3" xfId="9214"/>
    <cellStyle name="Comma 42 4 5 2 3 2" xfId="15918"/>
    <cellStyle name="Comma 42 4 5 2 3 2 2" xfId="39339"/>
    <cellStyle name="Comma 42 4 5 2 3 3" xfId="32707"/>
    <cellStyle name="Comma 42 4 5 2 4" xfId="12602"/>
    <cellStyle name="Comma 42 4 5 2 4 2" xfId="36023"/>
    <cellStyle name="Comma 42 4 5 2 5" xfId="18258"/>
    <cellStyle name="Comma 42 4 5 2 6" xfId="29391"/>
    <cellStyle name="Comma 42 4 5 3" xfId="6644"/>
    <cellStyle name="Comma 42 4 5 3 2" xfId="9976"/>
    <cellStyle name="Comma 42 4 5 3 2 2" xfId="16680"/>
    <cellStyle name="Comma 42 4 5 3 2 2 2" xfId="40101"/>
    <cellStyle name="Comma 42 4 5 3 2 3" xfId="33469"/>
    <cellStyle name="Comma 42 4 5 3 3" xfId="13364"/>
    <cellStyle name="Comma 42 4 5 3 3 2" xfId="36785"/>
    <cellStyle name="Comma 42 4 5 3 4" xfId="30153"/>
    <cellStyle name="Comma 42 4 5 4" xfId="8310"/>
    <cellStyle name="Comma 42 4 5 4 2" xfId="15022"/>
    <cellStyle name="Comma 42 4 5 4 2 2" xfId="38443"/>
    <cellStyle name="Comma 42 4 5 4 3" xfId="31811"/>
    <cellStyle name="Comma 42 4 5 5" xfId="11704"/>
    <cellStyle name="Comma 42 4 5 5 2" xfId="35127"/>
    <cellStyle name="Comma 42 4 5 6" xfId="17918"/>
    <cellStyle name="Comma 42 4 5 7" xfId="28495"/>
    <cellStyle name="Comma 42 4 6" xfId="5358"/>
    <cellStyle name="Comma 42 4 6 2" xfId="7247"/>
    <cellStyle name="Comma 42 4 6 2 2" xfId="10578"/>
    <cellStyle name="Comma 42 4 6 2 2 2" xfId="17282"/>
    <cellStyle name="Comma 42 4 6 2 2 2 2" xfId="40703"/>
    <cellStyle name="Comma 42 4 6 2 2 3" xfId="34071"/>
    <cellStyle name="Comma 42 4 6 2 3" xfId="13966"/>
    <cellStyle name="Comma 42 4 6 2 3 2" xfId="37387"/>
    <cellStyle name="Comma 42 4 6 2 4" xfId="30755"/>
    <cellStyle name="Comma 42 4 6 3" xfId="8920"/>
    <cellStyle name="Comma 42 4 6 3 2" xfId="15624"/>
    <cellStyle name="Comma 42 4 6 3 2 2" xfId="39045"/>
    <cellStyle name="Comma 42 4 6 3 3" xfId="32413"/>
    <cellStyle name="Comma 42 4 6 4" xfId="12307"/>
    <cellStyle name="Comma 42 4 6 4 2" xfId="35729"/>
    <cellStyle name="Comma 42 4 6 5" xfId="29097"/>
    <cellStyle name="Comma 42 4 7" xfId="6171"/>
    <cellStyle name="Comma 42 4 7 2" xfId="9505"/>
    <cellStyle name="Comma 42 4 7 2 2" xfId="16209"/>
    <cellStyle name="Comma 42 4 7 2 2 2" xfId="39630"/>
    <cellStyle name="Comma 42 4 7 2 3" xfId="32998"/>
    <cellStyle name="Comma 42 4 7 3" xfId="12893"/>
    <cellStyle name="Comma 42 4 7 3 2" xfId="36314"/>
    <cellStyle name="Comma 42 4 7 4" xfId="29682"/>
    <cellStyle name="Comma 42 4 8" xfId="7837"/>
    <cellStyle name="Comma 42 4 8 2" xfId="14551"/>
    <cellStyle name="Comma 42 4 8 2 2" xfId="37972"/>
    <cellStyle name="Comma 42 4 8 3" xfId="31340"/>
    <cellStyle name="Comma 42 4 9" xfId="11233"/>
    <cellStyle name="Comma 42 4 9 2" xfId="34656"/>
    <cellStyle name="Comma 42 5" xfId="1583"/>
    <cellStyle name="Comma 42 6" xfId="1766"/>
    <cellStyle name="Comma 42 6 2" xfId="2073"/>
    <cellStyle name="Comma 42 6 3" xfId="2764"/>
    <cellStyle name="Comma 42 6 3 2" xfId="5856"/>
    <cellStyle name="Comma 42 6 3 2 2" xfId="7638"/>
    <cellStyle name="Comma 42 6 3 2 2 2" xfId="10967"/>
    <cellStyle name="Comma 42 6 3 2 2 2 2" xfId="17671"/>
    <cellStyle name="Comma 42 6 3 2 2 2 2 2" xfId="41092"/>
    <cellStyle name="Comma 42 6 3 2 2 2 3" xfId="34460"/>
    <cellStyle name="Comma 42 6 3 2 2 3" xfId="14355"/>
    <cellStyle name="Comma 42 6 3 2 2 3 2" xfId="37776"/>
    <cellStyle name="Comma 42 6 3 2 2 4" xfId="31144"/>
    <cellStyle name="Comma 42 6 3 2 3" xfId="9309"/>
    <cellStyle name="Comma 42 6 3 2 3 2" xfId="16013"/>
    <cellStyle name="Comma 42 6 3 2 3 2 2" xfId="39434"/>
    <cellStyle name="Comma 42 6 3 2 3 3" xfId="32802"/>
    <cellStyle name="Comma 42 6 3 2 4" xfId="12697"/>
    <cellStyle name="Comma 42 6 3 2 4 2" xfId="36118"/>
    <cellStyle name="Comma 42 6 3 2 5" xfId="29486"/>
    <cellStyle name="Comma 42 6 3 3" xfId="6739"/>
    <cellStyle name="Comma 42 6 3 3 2" xfId="10071"/>
    <cellStyle name="Comma 42 6 3 3 2 2" xfId="16775"/>
    <cellStyle name="Comma 42 6 3 3 2 2 2" xfId="40196"/>
    <cellStyle name="Comma 42 6 3 3 2 3" xfId="33564"/>
    <cellStyle name="Comma 42 6 3 3 3" xfId="13459"/>
    <cellStyle name="Comma 42 6 3 3 3 2" xfId="36880"/>
    <cellStyle name="Comma 42 6 3 3 4" xfId="30248"/>
    <cellStyle name="Comma 42 6 3 4" xfId="8405"/>
    <cellStyle name="Comma 42 6 3 4 2" xfId="15117"/>
    <cellStyle name="Comma 42 6 3 4 2 2" xfId="38538"/>
    <cellStyle name="Comma 42 6 3 4 3" xfId="31906"/>
    <cellStyle name="Comma 42 6 3 5" xfId="11799"/>
    <cellStyle name="Comma 42 6 3 5 2" xfId="35222"/>
    <cellStyle name="Comma 42 6 3 6" xfId="28590"/>
    <cellStyle name="Comma 42 6 4" xfId="5411"/>
    <cellStyle name="Comma 42 6 4 2" xfId="7265"/>
    <cellStyle name="Comma 42 6 4 2 2" xfId="10596"/>
    <cellStyle name="Comma 42 6 4 2 2 2" xfId="17300"/>
    <cellStyle name="Comma 42 6 4 2 2 2 2" xfId="40721"/>
    <cellStyle name="Comma 42 6 4 2 2 3" xfId="34089"/>
    <cellStyle name="Comma 42 6 4 2 3" xfId="13984"/>
    <cellStyle name="Comma 42 6 4 2 3 2" xfId="37405"/>
    <cellStyle name="Comma 42 6 4 2 4" xfId="30773"/>
    <cellStyle name="Comma 42 6 4 3" xfId="8938"/>
    <cellStyle name="Comma 42 6 4 3 2" xfId="15642"/>
    <cellStyle name="Comma 42 6 4 3 2 2" xfId="39063"/>
    <cellStyle name="Comma 42 6 4 3 3" xfId="32431"/>
    <cellStyle name="Comma 42 6 4 4" xfId="12325"/>
    <cellStyle name="Comma 42 6 4 4 2" xfId="35747"/>
    <cellStyle name="Comma 42 6 4 5" xfId="29115"/>
    <cellStyle name="Comma 42 6 5" xfId="6266"/>
    <cellStyle name="Comma 42 6 5 2" xfId="9600"/>
    <cellStyle name="Comma 42 6 5 2 2" xfId="16304"/>
    <cellStyle name="Comma 42 6 5 2 2 2" xfId="39725"/>
    <cellStyle name="Comma 42 6 5 2 3" xfId="33093"/>
    <cellStyle name="Comma 42 6 5 3" xfId="12988"/>
    <cellStyle name="Comma 42 6 5 3 2" xfId="36409"/>
    <cellStyle name="Comma 42 6 5 4" xfId="29777"/>
    <cellStyle name="Comma 42 6 6" xfId="7932"/>
    <cellStyle name="Comma 42 6 6 2" xfId="14646"/>
    <cellStyle name="Comma 42 6 6 2 2" xfId="38067"/>
    <cellStyle name="Comma 42 6 6 3" xfId="31435"/>
    <cellStyle name="Comma 42 6 7" xfId="11328"/>
    <cellStyle name="Comma 42 6 7 2" xfId="34751"/>
    <cellStyle name="Comma 42 6 8" xfId="28119"/>
    <cellStyle name="Comma 42 7" xfId="2074"/>
    <cellStyle name="Comma 42 7 2" xfId="17914"/>
    <cellStyle name="Comma 42 8" xfId="2631"/>
    <cellStyle name="Comma 42 8 2" xfId="5725"/>
    <cellStyle name="Comma 42 8 2 2" xfId="7508"/>
    <cellStyle name="Comma 42 8 2 2 2" xfId="10837"/>
    <cellStyle name="Comma 42 8 2 2 2 2" xfId="17541"/>
    <cellStyle name="Comma 42 8 2 2 2 2 2" xfId="40962"/>
    <cellStyle name="Comma 42 8 2 2 2 3" xfId="34330"/>
    <cellStyle name="Comma 42 8 2 2 3" xfId="14225"/>
    <cellStyle name="Comma 42 8 2 2 3 2" xfId="37646"/>
    <cellStyle name="Comma 42 8 2 2 4" xfId="31014"/>
    <cellStyle name="Comma 42 8 2 3" xfId="9179"/>
    <cellStyle name="Comma 42 8 2 3 2" xfId="15883"/>
    <cellStyle name="Comma 42 8 2 3 2 2" xfId="39304"/>
    <cellStyle name="Comma 42 8 2 3 3" xfId="32672"/>
    <cellStyle name="Comma 42 8 2 4" xfId="12567"/>
    <cellStyle name="Comma 42 8 2 4 2" xfId="35988"/>
    <cellStyle name="Comma 42 8 2 5" xfId="18991"/>
    <cellStyle name="Comma 42 8 2 6" xfId="29356"/>
    <cellStyle name="Comma 42 8 3" xfId="6608"/>
    <cellStyle name="Comma 42 8 3 2" xfId="9940"/>
    <cellStyle name="Comma 42 8 3 2 2" xfId="16644"/>
    <cellStyle name="Comma 42 8 3 2 2 2" xfId="40065"/>
    <cellStyle name="Comma 42 8 3 2 3" xfId="33433"/>
    <cellStyle name="Comma 42 8 3 3" xfId="13328"/>
    <cellStyle name="Comma 42 8 3 3 2" xfId="36749"/>
    <cellStyle name="Comma 42 8 3 4" xfId="30117"/>
    <cellStyle name="Comma 42 8 4" xfId="8274"/>
    <cellStyle name="Comma 42 8 4 2" xfId="14986"/>
    <cellStyle name="Comma 42 8 4 2 2" xfId="38407"/>
    <cellStyle name="Comma 42 8 4 3" xfId="31775"/>
    <cellStyle name="Comma 42 8 5" xfId="11668"/>
    <cellStyle name="Comma 42 8 5 2" xfId="35091"/>
    <cellStyle name="Comma 42 8 6" xfId="18478"/>
    <cellStyle name="Comma 42 8 7" xfId="28459"/>
    <cellStyle name="Comma 42 9" xfId="5327"/>
    <cellStyle name="Comma 42 9 2" xfId="7234"/>
    <cellStyle name="Comma 42 9 2 2" xfId="10565"/>
    <cellStyle name="Comma 42 9 2 2 2" xfId="17269"/>
    <cellStyle name="Comma 42 9 2 2 2 2" xfId="40690"/>
    <cellStyle name="Comma 42 9 2 2 3" xfId="34058"/>
    <cellStyle name="Comma 42 9 2 3" xfId="13953"/>
    <cellStyle name="Comma 42 9 2 3 2" xfId="37374"/>
    <cellStyle name="Comma 42 9 2 4" xfId="30742"/>
    <cellStyle name="Comma 42 9 3" xfId="8906"/>
    <cellStyle name="Comma 42 9 3 2" xfId="15611"/>
    <cellStyle name="Comma 42 9 3 2 2" xfId="39032"/>
    <cellStyle name="Comma 42 9 3 3" xfId="32400"/>
    <cellStyle name="Comma 42 9 4" xfId="12294"/>
    <cellStyle name="Comma 42 9 4 2" xfId="35716"/>
    <cellStyle name="Comma 42 9 5" xfId="29084"/>
    <cellStyle name="Comma 43" xfId="1307"/>
    <cellStyle name="Comma 43 10" xfId="6138"/>
    <cellStyle name="Comma 43 10 2" xfId="9472"/>
    <cellStyle name="Comma 43 10 2 2" xfId="16176"/>
    <cellStyle name="Comma 43 10 2 2 2" xfId="39597"/>
    <cellStyle name="Comma 43 10 2 3" xfId="32965"/>
    <cellStyle name="Comma 43 10 3" xfId="12860"/>
    <cellStyle name="Comma 43 10 3 2" xfId="36281"/>
    <cellStyle name="Comma 43 10 4" xfId="29649"/>
    <cellStyle name="Comma 43 11" xfId="7803"/>
    <cellStyle name="Comma 43 11 2" xfId="14518"/>
    <cellStyle name="Comma 43 11 2 2" xfId="37939"/>
    <cellStyle name="Comma 43 11 3" xfId="31307"/>
    <cellStyle name="Comma 43 12" xfId="11200"/>
    <cellStyle name="Comma 43 12 2" xfId="34623"/>
    <cellStyle name="Comma 43 13" xfId="27991"/>
    <cellStyle name="Comma 43 2" xfId="1336"/>
    <cellStyle name="Comma 43 2 2" xfId="5457"/>
    <cellStyle name="Comma 43 3" xfId="1335"/>
    <cellStyle name="Comma 43 3 2" xfId="18477"/>
    <cellStyle name="Comma 43 4" xfId="1491"/>
    <cellStyle name="Comma 43 4 10" xfId="28027"/>
    <cellStyle name="Comma 43 4 2" xfId="1586"/>
    <cellStyle name="Comma 43 4 3" xfId="1806"/>
    <cellStyle name="Comma 43 4 3 2" xfId="2075"/>
    <cellStyle name="Comma 43 4 3 3" xfId="2803"/>
    <cellStyle name="Comma 43 4 3 3 2" xfId="5895"/>
    <cellStyle name="Comma 43 4 3 3 2 2" xfId="7677"/>
    <cellStyle name="Comma 43 4 3 3 2 2 2" xfId="11006"/>
    <cellStyle name="Comma 43 4 3 3 2 2 2 2" xfId="17710"/>
    <cellStyle name="Comma 43 4 3 3 2 2 2 2 2" xfId="41131"/>
    <cellStyle name="Comma 43 4 3 3 2 2 2 3" xfId="34499"/>
    <cellStyle name="Comma 43 4 3 3 2 2 3" xfId="14394"/>
    <cellStyle name="Comma 43 4 3 3 2 2 3 2" xfId="37815"/>
    <cellStyle name="Comma 43 4 3 3 2 2 4" xfId="31183"/>
    <cellStyle name="Comma 43 4 3 3 2 3" xfId="9348"/>
    <cellStyle name="Comma 43 4 3 3 2 3 2" xfId="16052"/>
    <cellStyle name="Comma 43 4 3 3 2 3 2 2" xfId="39473"/>
    <cellStyle name="Comma 43 4 3 3 2 3 3" xfId="32841"/>
    <cellStyle name="Comma 43 4 3 3 2 4" xfId="12736"/>
    <cellStyle name="Comma 43 4 3 3 2 4 2" xfId="36157"/>
    <cellStyle name="Comma 43 4 3 3 2 5" xfId="29525"/>
    <cellStyle name="Comma 43 4 3 3 3" xfId="6778"/>
    <cellStyle name="Comma 43 4 3 3 3 2" xfId="10110"/>
    <cellStyle name="Comma 43 4 3 3 3 2 2" xfId="16814"/>
    <cellStyle name="Comma 43 4 3 3 3 2 2 2" xfId="40235"/>
    <cellStyle name="Comma 43 4 3 3 3 2 3" xfId="33603"/>
    <cellStyle name="Comma 43 4 3 3 3 3" xfId="13498"/>
    <cellStyle name="Comma 43 4 3 3 3 3 2" xfId="36919"/>
    <cellStyle name="Comma 43 4 3 3 3 4" xfId="30287"/>
    <cellStyle name="Comma 43 4 3 3 4" xfId="8444"/>
    <cellStyle name="Comma 43 4 3 3 4 2" xfId="15156"/>
    <cellStyle name="Comma 43 4 3 3 4 2 2" xfId="38577"/>
    <cellStyle name="Comma 43 4 3 3 4 3" xfId="31945"/>
    <cellStyle name="Comma 43 4 3 3 5" xfId="11838"/>
    <cellStyle name="Comma 43 4 3 3 5 2" xfId="35261"/>
    <cellStyle name="Comma 43 4 3 3 6" xfId="28629"/>
    <cellStyle name="Comma 43 4 3 4" xfId="5427"/>
    <cellStyle name="Comma 43 4 3 4 2" xfId="7280"/>
    <cellStyle name="Comma 43 4 3 4 2 2" xfId="10611"/>
    <cellStyle name="Comma 43 4 3 4 2 2 2" xfId="17315"/>
    <cellStyle name="Comma 43 4 3 4 2 2 2 2" xfId="40736"/>
    <cellStyle name="Comma 43 4 3 4 2 2 3" xfId="34104"/>
    <cellStyle name="Comma 43 4 3 4 2 3" xfId="13999"/>
    <cellStyle name="Comma 43 4 3 4 2 3 2" xfId="37420"/>
    <cellStyle name="Comma 43 4 3 4 2 4" xfId="30788"/>
    <cellStyle name="Comma 43 4 3 4 3" xfId="8953"/>
    <cellStyle name="Comma 43 4 3 4 3 2" xfId="15657"/>
    <cellStyle name="Comma 43 4 3 4 3 2 2" xfId="39078"/>
    <cellStyle name="Comma 43 4 3 4 3 3" xfId="32446"/>
    <cellStyle name="Comma 43 4 3 4 4" xfId="12340"/>
    <cellStyle name="Comma 43 4 3 4 4 2" xfId="35762"/>
    <cellStyle name="Comma 43 4 3 4 5" xfId="29130"/>
    <cellStyle name="Comma 43 4 3 5" xfId="6305"/>
    <cellStyle name="Comma 43 4 3 5 2" xfId="9639"/>
    <cellStyle name="Comma 43 4 3 5 2 2" xfId="16343"/>
    <cellStyle name="Comma 43 4 3 5 2 2 2" xfId="39764"/>
    <cellStyle name="Comma 43 4 3 5 2 3" xfId="33132"/>
    <cellStyle name="Comma 43 4 3 5 3" xfId="13027"/>
    <cellStyle name="Comma 43 4 3 5 3 2" xfId="36448"/>
    <cellStyle name="Comma 43 4 3 5 4" xfId="29816"/>
    <cellStyle name="Comma 43 4 3 6" xfId="7971"/>
    <cellStyle name="Comma 43 4 3 6 2" xfId="14685"/>
    <cellStyle name="Comma 43 4 3 6 2 2" xfId="38106"/>
    <cellStyle name="Comma 43 4 3 6 3" xfId="31474"/>
    <cellStyle name="Comma 43 4 3 7" xfId="11367"/>
    <cellStyle name="Comma 43 4 3 7 2" xfId="34790"/>
    <cellStyle name="Comma 43 4 3 8" xfId="28158"/>
    <cellStyle name="Comma 43 4 4" xfId="2076"/>
    <cellStyle name="Comma 43 4 4 2" xfId="17915"/>
    <cellStyle name="Comma 43 4 5" xfId="2671"/>
    <cellStyle name="Comma 43 4 5 2" xfId="5764"/>
    <cellStyle name="Comma 43 4 5 2 2" xfId="7546"/>
    <cellStyle name="Comma 43 4 5 2 2 2" xfId="10875"/>
    <cellStyle name="Comma 43 4 5 2 2 2 2" xfId="17579"/>
    <cellStyle name="Comma 43 4 5 2 2 2 2 2" xfId="41000"/>
    <cellStyle name="Comma 43 4 5 2 2 2 3" xfId="34368"/>
    <cellStyle name="Comma 43 4 5 2 2 3" xfId="14263"/>
    <cellStyle name="Comma 43 4 5 2 2 3 2" xfId="37684"/>
    <cellStyle name="Comma 43 4 5 2 2 4" xfId="31052"/>
    <cellStyle name="Comma 43 4 5 2 3" xfId="9217"/>
    <cellStyle name="Comma 43 4 5 2 3 2" xfId="15921"/>
    <cellStyle name="Comma 43 4 5 2 3 2 2" xfId="39342"/>
    <cellStyle name="Comma 43 4 5 2 3 3" xfId="32710"/>
    <cellStyle name="Comma 43 4 5 2 4" xfId="12605"/>
    <cellStyle name="Comma 43 4 5 2 4 2" xfId="36026"/>
    <cellStyle name="Comma 43 4 5 2 5" xfId="18990"/>
    <cellStyle name="Comma 43 4 5 2 6" xfId="29394"/>
    <cellStyle name="Comma 43 4 5 3" xfId="6647"/>
    <cellStyle name="Comma 43 4 5 3 2" xfId="9979"/>
    <cellStyle name="Comma 43 4 5 3 2 2" xfId="16683"/>
    <cellStyle name="Comma 43 4 5 3 2 2 2" xfId="40104"/>
    <cellStyle name="Comma 43 4 5 3 2 3" xfId="33472"/>
    <cellStyle name="Comma 43 4 5 3 3" xfId="13367"/>
    <cellStyle name="Comma 43 4 5 3 3 2" xfId="36788"/>
    <cellStyle name="Comma 43 4 5 3 4" xfId="30156"/>
    <cellStyle name="Comma 43 4 5 4" xfId="8313"/>
    <cellStyle name="Comma 43 4 5 4 2" xfId="15025"/>
    <cellStyle name="Comma 43 4 5 4 2 2" xfId="38446"/>
    <cellStyle name="Comma 43 4 5 4 3" xfId="31814"/>
    <cellStyle name="Comma 43 4 5 5" xfId="11707"/>
    <cellStyle name="Comma 43 4 5 5 2" xfId="35130"/>
    <cellStyle name="Comma 43 4 5 6" xfId="20452"/>
    <cellStyle name="Comma 43 4 5 7" xfId="28498"/>
    <cellStyle name="Comma 43 4 6" xfId="5360"/>
    <cellStyle name="Comma 43 4 6 2" xfId="7249"/>
    <cellStyle name="Comma 43 4 6 2 2" xfId="10580"/>
    <cellStyle name="Comma 43 4 6 2 2 2" xfId="17284"/>
    <cellStyle name="Comma 43 4 6 2 2 2 2" xfId="40705"/>
    <cellStyle name="Comma 43 4 6 2 2 3" xfId="34073"/>
    <cellStyle name="Comma 43 4 6 2 3" xfId="13968"/>
    <cellStyle name="Comma 43 4 6 2 3 2" xfId="37389"/>
    <cellStyle name="Comma 43 4 6 2 4" xfId="30757"/>
    <cellStyle name="Comma 43 4 6 3" xfId="8922"/>
    <cellStyle name="Comma 43 4 6 3 2" xfId="15626"/>
    <cellStyle name="Comma 43 4 6 3 2 2" xfId="39047"/>
    <cellStyle name="Comma 43 4 6 3 3" xfId="32415"/>
    <cellStyle name="Comma 43 4 6 4" xfId="12309"/>
    <cellStyle name="Comma 43 4 6 4 2" xfId="35731"/>
    <cellStyle name="Comma 43 4 6 5" xfId="29099"/>
    <cellStyle name="Comma 43 4 7" xfId="6174"/>
    <cellStyle name="Comma 43 4 7 2" xfId="9508"/>
    <cellStyle name="Comma 43 4 7 2 2" xfId="16212"/>
    <cellStyle name="Comma 43 4 7 2 2 2" xfId="39633"/>
    <cellStyle name="Comma 43 4 7 2 3" xfId="33001"/>
    <cellStyle name="Comma 43 4 7 3" xfId="12896"/>
    <cellStyle name="Comma 43 4 7 3 2" xfId="36317"/>
    <cellStyle name="Comma 43 4 7 4" xfId="29685"/>
    <cellStyle name="Comma 43 4 8" xfId="7840"/>
    <cellStyle name="Comma 43 4 8 2" xfId="14554"/>
    <cellStyle name="Comma 43 4 8 2 2" xfId="37975"/>
    <cellStyle name="Comma 43 4 8 3" xfId="31343"/>
    <cellStyle name="Comma 43 4 9" xfId="11236"/>
    <cellStyle name="Comma 43 4 9 2" xfId="34659"/>
    <cellStyle name="Comma 43 5" xfId="1585"/>
    <cellStyle name="Comma 43 6" xfId="1769"/>
    <cellStyle name="Comma 43 6 2" xfId="2077"/>
    <cellStyle name="Comma 43 6 3" xfId="2767"/>
    <cellStyle name="Comma 43 6 3 2" xfId="5859"/>
    <cellStyle name="Comma 43 6 3 2 2" xfId="7641"/>
    <cellStyle name="Comma 43 6 3 2 2 2" xfId="10970"/>
    <cellStyle name="Comma 43 6 3 2 2 2 2" xfId="17674"/>
    <cellStyle name="Comma 43 6 3 2 2 2 2 2" xfId="41095"/>
    <cellStyle name="Comma 43 6 3 2 2 2 3" xfId="34463"/>
    <cellStyle name="Comma 43 6 3 2 2 3" xfId="14358"/>
    <cellStyle name="Comma 43 6 3 2 2 3 2" xfId="37779"/>
    <cellStyle name="Comma 43 6 3 2 2 4" xfId="31147"/>
    <cellStyle name="Comma 43 6 3 2 3" xfId="9312"/>
    <cellStyle name="Comma 43 6 3 2 3 2" xfId="16016"/>
    <cellStyle name="Comma 43 6 3 2 3 2 2" xfId="39437"/>
    <cellStyle name="Comma 43 6 3 2 3 3" xfId="32805"/>
    <cellStyle name="Comma 43 6 3 2 4" xfId="12700"/>
    <cellStyle name="Comma 43 6 3 2 4 2" xfId="36121"/>
    <cellStyle name="Comma 43 6 3 2 5" xfId="29489"/>
    <cellStyle name="Comma 43 6 3 3" xfId="6742"/>
    <cellStyle name="Comma 43 6 3 3 2" xfId="10074"/>
    <cellStyle name="Comma 43 6 3 3 2 2" xfId="16778"/>
    <cellStyle name="Comma 43 6 3 3 2 2 2" xfId="40199"/>
    <cellStyle name="Comma 43 6 3 3 2 3" xfId="33567"/>
    <cellStyle name="Comma 43 6 3 3 3" xfId="13462"/>
    <cellStyle name="Comma 43 6 3 3 3 2" xfId="36883"/>
    <cellStyle name="Comma 43 6 3 3 4" xfId="30251"/>
    <cellStyle name="Comma 43 6 3 4" xfId="8408"/>
    <cellStyle name="Comma 43 6 3 4 2" xfId="15120"/>
    <cellStyle name="Comma 43 6 3 4 2 2" xfId="38541"/>
    <cellStyle name="Comma 43 6 3 4 3" xfId="31909"/>
    <cellStyle name="Comma 43 6 3 5" xfId="11802"/>
    <cellStyle name="Comma 43 6 3 5 2" xfId="35225"/>
    <cellStyle name="Comma 43 6 3 6" xfId="28593"/>
    <cellStyle name="Comma 43 6 4" xfId="5413"/>
    <cellStyle name="Comma 43 6 4 2" xfId="7267"/>
    <cellStyle name="Comma 43 6 4 2 2" xfId="10598"/>
    <cellStyle name="Comma 43 6 4 2 2 2" xfId="17302"/>
    <cellStyle name="Comma 43 6 4 2 2 2 2" xfId="40723"/>
    <cellStyle name="Comma 43 6 4 2 2 3" xfId="34091"/>
    <cellStyle name="Comma 43 6 4 2 3" xfId="13986"/>
    <cellStyle name="Comma 43 6 4 2 3 2" xfId="37407"/>
    <cellStyle name="Comma 43 6 4 2 4" xfId="30775"/>
    <cellStyle name="Comma 43 6 4 3" xfId="8940"/>
    <cellStyle name="Comma 43 6 4 3 2" xfId="15644"/>
    <cellStyle name="Comma 43 6 4 3 2 2" xfId="39065"/>
    <cellStyle name="Comma 43 6 4 3 3" xfId="32433"/>
    <cellStyle name="Comma 43 6 4 4" xfId="12327"/>
    <cellStyle name="Comma 43 6 4 4 2" xfId="35749"/>
    <cellStyle name="Comma 43 6 4 5" xfId="29117"/>
    <cellStyle name="Comma 43 6 5" xfId="6269"/>
    <cellStyle name="Comma 43 6 5 2" xfId="9603"/>
    <cellStyle name="Comma 43 6 5 2 2" xfId="16307"/>
    <cellStyle name="Comma 43 6 5 2 2 2" xfId="39728"/>
    <cellStyle name="Comma 43 6 5 2 3" xfId="33096"/>
    <cellStyle name="Comma 43 6 5 3" xfId="12991"/>
    <cellStyle name="Comma 43 6 5 3 2" xfId="36412"/>
    <cellStyle name="Comma 43 6 5 4" xfId="29780"/>
    <cellStyle name="Comma 43 6 6" xfId="7935"/>
    <cellStyle name="Comma 43 6 6 2" xfId="14649"/>
    <cellStyle name="Comma 43 6 6 2 2" xfId="38070"/>
    <cellStyle name="Comma 43 6 6 3" xfId="31438"/>
    <cellStyle name="Comma 43 6 7" xfId="11331"/>
    <cellStyle name="Comma 43 6 7 2" xfId="34754"/>
    <cellStyle name="Comma 43 6 8" xfId="28122"/>
    <cellStyle name="Comma 43 7" xfId="2078"/>
    <cellStyle name="Comma 43 7 2" xfId="17917"/>
    <cellStyle name="Comma 43 8" xfId="2634"/>
    <cellStyle name="Comma 43 8 2" xfId="5728"/>
    <cellStyle name="Comma 43 8 2 2" xfId="7511"/>
    <cellStyle name="Comma 43 8 2 2 2" xfId="10840"/>
    <cellStyle name="Comma 43 8 2 2 2 2" xfId="17544"/>
    <cellStyle name="Comma 43 8 2 2 2 2 2" xfId="40965"/>
    <cellStyle name="Comma 43 8 2 2 2 3" xfId="34333"/>
    <cellStyle name="Comma 43 8 2 2 3" xfId="14228"/>
    <cellStyle name="Comma 43 8 2 2 3 2" xfId="37649"/>
    <cellStyle name="Comma 43 8 2 2 4" xfId="31017"/>
    <cellStyle name="Comma 43 8 2 3" xfId="9182"/>
    <cellStyle name="Comma 43 8 2 3 2" xfId="15886"/>
    <cellStyle name="Comma 43 8 2 3 2 2" xfId="39307"/>
    <cellStyle name="Comma 43 8 2 3 3" xfId="32675"/>
    <cellStyle name="Comma 43 8 2 4" xfId="12570"/>
    <cellStyle name="Comma 43 8 2 4 2" xfId="35991"/>
    <cellStyle name="Comma 43 8 2 5" xfId="18259"/>
    <cellStyle name="Comma 43 8 2 6" xfId="29359"/>
    <cellStyle name="Comma 43 8 3" xfId="6611"/>
    <cellStyle name="Comma 43 8 3 2" xfId="9943"/>
    <cellStyle name="Comma 43 8 3 2 2" xfId="16647"/>
    <cellStyle name="Comma 43 8 3 2 2 2" xfId="40068"/>
    <cellStyle name="Comma 43 8 3 2 3" xfId="33436"/>
    <cellStyle name="Comma 43 8 3 3" xfId="13331"/>
    <cellStyle name="Comma 43 8 3 3 2" xfId="36752"/>
    <cellStyle name="Comma 43 8 3 4" xfId="30120"/>
    <cellStyle name="Comma 43 8 4" xfId="8277"/>
    <cellStyle name="Comma 43 8 4 2" xfId="14989"/>
    <cellStyle name="Comma 43 8 4 2 2" xfId="38410"/>
    <cellStyle name="Comma 43 8 4 3" xfId="31778"/>
    <cellStyle name="Comma 43 8 5" xfId="11671"/>
    <cellStyle name="Comma 43 8 5 2" xfId="35094"/>
    <cellStyle name="Comma 43 8 6" xfId="20451"/>
    <cellStyle name="Comma 43 8 7" xfId="28462"/>
    <cellStyle name="Comma 43 9" xfId="5329"/>
    <cellStyle name="Comma 43 9 2" xfId="7236"/>
    <cellStyle name="Comma 43 9 2 2" xfId="10567"/>
    <cellStyle name="Comma 43 9 2 2 2" xfId="17271"/>
    <cellStyle name="Comma 43 9 2 2 2 2" xfId="40692"/>
    <cellStyle name="Comma 43 9 2 2 3" xfId="34060"/>
    <cellStyle name="Comma 43 9 2 3" xfId="13955"/>
    <cellStyle name="Comma 43 9 2 3 2" xfId="37376"/>
    <cellStyle name="Comma 43 9 2 4" xfId="30744"/>
    <cellStyle name="Comma 43 9 3" xfId="8908"/>
    <cellStyle name="Comma 43 9 3 2" xfId="15613"/>
    <cellStyle name="Comma 43 9 3 2 2" xfId="39034"/>
    <cellStyle name="Comma 43 9 3 3" xfId="32402"/>
    <cellStyle name="Comma 43 9 4" xfId="12296"/>
    <cellStyle name="Comma 43 9 4 2" xfId="35718"/>
    <cellStyle name="Comma 43 9 5" xfId="29086"/>
    <cellStyle name="Comma 44" xfId="1337"/>
    <cellStyle name="Comma 44 2" xfId="3457"/>
    <cellStyle name="Comma 45" xfId="1338"/>
    <cellStyle name="Comma 45 2" xfId="3458"/>
    <cellStyle name="Comma 46" xfId="1339"/>
    <cellStyle name="Comma 46 2" xfId="3459"/>
    <cellStyle name="Comma 47" xfId="1340"/>
    <cellStyle name="Comma 47 2" xfId="3460"/>
    <cellStyle name="Comma 48" xfId="1341"/>
    <cellStyle name="Comma 48 2" xfId="3461"/>
    <cellStyle name="Comma 49" xfId="1342"/>
    <cellStyle name="Comma 49 2" xfId="3462"/>
    <cellStyle name="Comma 5" xfId="393"/>
    <cellStyle name="Comma 5 2" xfId="394"/>
    <cellStyle name="Comma 5 2 2" xfId="395"/>
    <cellStyle name="Comma 5 2 2 2" xfId="3463"/>
    <cellStyle name="Comma 5 2 3" xfId="3464"/>
    <cellStyle name="Comma 5 3" xfId="396"/>
    <cellStyle name="Comma 5 3 2" xfId="3465"/>
    <cellStyle name="Comma 5 4" xfId="3466"/>
    <cellStyle name="Comma 5 4 2" xfId="3467"/>
    <cellStyle name="Comma 50" xfId="1343"/>
    <cellStyle name="Comma 50 2" xfId="3468"/>
    <cellStyle name="Comma 51" xfId="1344"/>
    <cellStyle name="Comma 51 2" xfId="3469"/>
    <cellStyle name="Comma 52" xfId="1345"/>
    <cellStyle name="Comma 52 2" xfId="1346"/>
    <cellStyle name="Comma 52 2 2" xfId="5996"/>
    <cellStyle name="Comma 52 2 2 2" xfId="5379"/>
    <cellStyle name="Comma 52 2 3" xfId="5236"/>
    <cellStyle name="Comma 52 3" xfId="3470"/>
    <cellStyle name="Comma 52 3 2" xfId="3471"/>
    <cellStyle name="Comma 52 4" xfId="5695"/>
    <cellStyle name="Comma 53" xfId="1347"/>
    <cellStyle name="Comma 53 2" xfId="1348"/>
    <cellStyle name="Comma 53 2 2" xfId="5230"/>
    <cellStyle name="Comma 53 2 2 2" xfId="5197"/>
    <cellStyle name="Comma 53 2 3" xfId="5433"/>
    <cellStyle name="Comma 53 3" xfId="3472"/>
    <cellStyle name="Comma 53 3 2" xfId="3473"/>
    <cellStyle name="Comma 53 4" xfId="5292"/>
    <cellStyle name="Comma 54" xfId="1349"/>
    <cellStyle name="Comma 54 2" xfId="1350"/>
    <cellStyle name="Comma 54 2 2" xfId="5234"/>
    <cellStyle name="Comma 54 2 2 2" xfId="5693"/>
    <cellStyle name="Comma 54 2 3" xfId="5293"/>
    <cellStyle name="Comma 54 3" xfId="3474"/>
    <cellStyle name="Comma 54 3 2" xfId="3475"/>
    <cellStyle name="Comma 54 4" xfId="5228"/>
    <cellStyle name="Comma 55" xfId="1351"/>
    <cellStyle name="Comma 55 2" xfId="1352"/>
    <cellStyle name="Comma 55 2 2" xfId="5201"/>
    <cellStyle name="Comma 55 2 2 2" xfId="5987"/>
    <cellStyle name="Comma 55 2 3" xfId="5282"/>
    <cellStyle name="Comma 55 3" xfId="3476"/>
    <cellStyle name="Comma 55 3 2" xfId="3477"/>
    <cellStyle name="Comma 55 4" xfId="5694"/>
    <cellStyle name="Comma 56" xfId="1353"/>
    <cellStyle name="Comma 56 2" xfId="1354"/>
    <cellStyle name="Comma 56 2 2" xfId="6000"/>
    <cellStyle name="Comma 56 2 2 2" xfId="5382"/>
    <cellStyle name="Comma 56 2 3" xfId="5220"/>
    <cellStyle name="Comma 56 3" xfId="3478"/>
    <cellStyle name="Comma 56 3 2" xfId="3479"/>
    <cellStyle name="Comma 56 4" xfId="5975"/>
    <cellStyle name="Comma 57" xfId="1355"/>
    <cellStyle name="Comma 57 2" xfId="1356"/>
    <cellStyle name="Comma 57 2 2" xfId="6036"/>
    <cellStyle name="Comma 57 2 2 2" xfId="5268"/>
    <cellStyle name="Comma 57 2 3" xfId="5974"/>
    <cellStyle name="Comma 57 3" xfId="3480"/>
    <cellStyle name="Comma 57 3 2" xfId="3481"/>
    <cellStyle name="Comma 57 4" xfId="5294"/>
    <cellStyle name="Comma 58" xfId="1357"/>
    <cellStyle name="Comma 58 2" xfId="1358"/>
    <cellStyle name="Comma 58 2 2" xfId="5998"/>
    <cellStyle name="Comma 58 2 2 2" xfId="6047"/>
    <cellStyle name="Comma 58 2 3" xfId="5202"/>
    <cellStyle name="Comma 58 3" xfId="3482"/>
    <cellStyle name="Comma 58 3 2" xfId="3483"/>
    <cellStyle name="Comma 58 4" xfId="5252"/>
    <cellStyle name="Comma 59" xfId="1359"/>
    <cellStyle name="Comma 59 2" xfId="3484"/>
    <cellStyle name="Comma 59 2 2" xfId="5978"/>
    <cellStyle name="Comma 59 3" xfId="5297"/>
    <cellStyle name="Comma 6" xfId="397"/>
    <cellStyle name="Comma 6 2" xfId="398"/>
    <cellStyle name="Comma 6 2 2" xfId="399"/>
    <cellStyle name="Comma 6 2 2 2" xfId="3485"/>
    <cellStyle name="Comma 6 2 3" xfId="3486"/>
    <cellStyle name="Comma 6 3" xfId="400"/>
    <cellStyle name="Comma 6 3 2" xfId="3487"/>
    <cellStyle name="Comma 6 4" xfId="3488"/>
    <cellStyle name="Comma 6 4 2" xfId="3489"/>
    <cellStyle name="Comma 6 4 3" xfId="3490"/>
    <cellStyle name="Comma 6 5" xfId="3491"/>
    <cellStyle name="Comma 60" xfId="1360"/>
    <cellStyle name="Comma 60 2" xfId="3492"/>
    <cellStyle name="Comma 60 2 2" xfId="5224"/>
    <cellStyle name="Comma 60 3" xfId="5439"/>
    <cellStyle name="Comma 61" xfId="1361"/>
    <cellStyle name="Comma 61 2" xfId="3493"/>
    <cellStyle name="Comma 61 2 2" xfId="3494"/>
    <cellStyle name="Comma 61 3" xfId="3495"/>
    <cellStyle name="Comma 61 3 2" xfId="5280"/>
    <cellStyle name="Comma 61 3 2 2" xfId="23834"/>
    <cellStyle name="Comma 62" xfId="1362"/>
    <cellStyle name="Comma 62 2" xfId="3496"/>
    <cellStyle name="Comma 62 2 2" xfId="5692"/>
    <cellStyle name="Comma 62 3" xfId="6022"/>
    <cellStyle name="Comma 63" xfId="1363"/>
    <cellStyle name="Comma 63 2" xfId="3497"/>
    <cellStyle name="Comma 63 2 2" xfId="5205"/>
    <cellStyle name="Comma 63 3" xfId="5238"/>
    <cellStyle name="Comma 64" xfId="1452"/>
    <cellStyle name="Comma 64 2" xfId="3498"/>
    <cellStyle name="Comma 65" xfId="1455"/>
    <cellStyle name="Comma 65 10" xfId="7812"/>
    <cellStyle name="Comma 65 10 2" xfId="14526"/>
    <cellStyle name="Comma 65 10 2 2" xfId="37947"/>
    <cellStyle name="Comma 65 10 3" xfId="31315"/>
    <cellStyle name="Comma 65 11" xfId="11208"/>
    <cellStyle name="Comma 65 11 2" xfId="34631"/>
    <cellStyle name="Comma 65 12" xfId="27999"/>
    <cellStyle name="Comma 65 2" xfId="1499"/>
    <cellStyle name="Comma 65 2 10" xfId="11244"/>
    <cellStyle name="Comma 65 2 10 2" xfId="34667"/>
    <cellStyle name="Comma 65 2 11" xfId="28035"/>
    <cellStyle name="Comma 65 2 2" xfId="1589"/>
    <cellStyle name="Comma 65 2 3" xfId="1814"/>
    <cellStyle name="Comma 65 2 3 2" xfId="2091"/>
    <cellStyle name="Comma 65 2 3 3" xfId="2811"/>
    <cellStyle name="Comma 65 2 3 3 2" xfId="5903"/>
    <cellStyle name="Comma 65 2 3 3 2 2" xfId="7685"/>
    <cellStyle name="Comma 65 2 3 3 2 2 2" xfId="11014"/>
    <cellStyle name="Comma 65 2 3 3 2 2 2 2" xfId="17718"/>
    <cellStyle name="Comma 65 2 3 3 2 2 2 2 2" xfId="41139"/>
    <cellStyle name="Comma 65 2 3 3 2 2 2 3" xfId="34507"/>
    <cellStyle name="Comma 65 2 3 3 2 2 3" xfId="14402"/>
    <cellStyle name="Comma 65 2 3 3 2 2 3 2" xfId="37823"/>
    <cellStyle name="Comma 65 2 3 3 2 2 4" xfId="31191"/>
    <cellStyle name="Comma 65 2 3 3 2 3" xfId="9356"/>
    <cellStyle name="Comma 65 2 3 3 2 3 2" xfId="16060"/>
    <cellStyle name="Comma 65 2 3 3 2 3 2 2" xfId="39481"/>
    <cellStyle name="Comma 65 2 3 3 2 3 3" xfId="32849"/>
    <cellStyle name="Comma 65 2 3 3 2 4" xfId="12744"/>
    <cellStyle name="Comma 65 2 3 3 2 4 2" xfId="36165"/>
    <cellStyle name="Comma 65 2 3 3 2 5" xfId="29533"/>
    <cellStyle name="Comma 65 2 3 3 3" xfId="6786"/>
    <cellStyle name="Comma 65 2 3 3 3 2" xfId="10118"/>
    <cellStyle name="Comma 65 2 3 3 3 2 2" xfId="16822"/>
    <cellStyle name="Comma 65 2 3 3 3 2 2 2" xfId="40243"/>
    <cellStyle name="Comma 65 2 3 3 3 2 3" xfId="33611"/>
    <cellStyle name="Comma 65 2 3 3 3 3" xfId="13506"/>
    <cellStyle name="Comma 65 2 3 3 3 3 2" xfId="36927"/>
    <cellStyle name="Comma 65 2 3 3 3 4" xfId="30295"/>
    <cellStyle name="Comma 65 2 3 3 4" xfId="8452"/>
    <cellStyle name="Comma 65 2 3 3 4 2" xfId="15164"/>
    <cellStyle name="Comma 65 2 3 3 4 2 2" xfId="38585"/>
    <cellStyle name="Comma 65 2 3 3 4 3" xfId="31953"/>
    <cellStyle name="Comma 65 2 3 3 5" xfId="11846"/>
    <cellStyle name="Comma 65 2 3 3 5 2" xfId="35269"/>
    <cellStyle name="Comma 65 2 3 3 6" xfId="28637"/>
    <cellStyle name="Comma 65 2 3 4" xfId="5430"/>
    <cellStyle name="Comma 65 2 3 4 2" xfId="7283"/>
    <cellStyle name="Comma 65 2 3 4 2 2" xfId="10614"/>
    <cellStyle name="Comma 65 2 3 4 2 2 2" xfId="17318"/>
    <cellStyle name="Comma 65 2 3 4 2 2 2 2" xfId="40739"/>
    <cellStyle name="Comma 65 2 3 4 2 2 3" xfId="34107"/>
    <cellStyle name="Comma 65 2 3 4 2 3" xfId="14002"/>
    <cellStyle name="Comma 65 2 3 4 2 3 2" xfId="37423"/>
    <cellStyle name="Comma 65 2 3 4 2 4" xfId="30791"/>
    <cellStyle name="Comma 65 2 3 4 3" xfId="8956"/>
    <cellStyle name="Comma 65 2 3 4 3 2" xfId="15660"/>
    <cellStyle name="Comma 65 2 3 4 3 2 2" xfId="39081"/>
    <cellStyle name="Comma 65 2 3 4 3 3" xfId="32449"/>
    <cellStyle name="Comma 65 2 3 4 4" xfId="12343"/>
    <cellStyle name="Comma 65 2 3 4 4 2" xfId="35765"/>
    <cellStyle name="Comma 65 2 3 4 5" xfId="29133"/>
    <cellStyle name="Comma 65 2 3 5" xfId="6313"/>
    <cellStyle name="Comma 65 2 3 5 2" xfId="9647"/>
    <cellStyle name="Comma 65 2 3 5 2 2" xfId="16351"/>
    <cellStyle name="Comma 65 2 3 5 2 2 2" xfId="39772"/>
    <cellStyle name="Comma 65 2 3 5 2 3" xfId="33140"/>
    <cellStyle name="Comma 65 2 3 5 3" xfId="13035"/>
    <cellStyle name="Comma 65 2 3 5 3 2" xfId="36456"/>
    <cellStyle name="Comma 65 2 3 5 4" xfId="29824"/>
    <cellStyle name="Comma 65 2 3 6" xfId="7979"/>
    <cellStyle name="Comma 65 2 3 6 2" xfId="14693"/>
    <cellStyle name="Comma 65 2 3 6 2 2" xfId="38114"/>
    <cellStyle name="Comma 65 2 3 6 3" xfId="31482"/>
    <cellStyle name="Comma 65 2 3 7" xfId="11375"/>
    <cellStyle name="Comma 65 2 3 7 2" xfId="34798"/>
    <cellStyle name="Comma 65 2 3 8" xfId="28166"/>
    <cellStyle name="Comma 65 2 4" xfId="2092"/>
    <cellStyle name="Comma 65 2 4 2" xfId="17920"/>
    <cellStyle name="Comma 65 2 5" xfId="2679"/>
    <cellStyle name="Comma 65 2 5 2" xfId="5772"/>
    <cellStyle name="Comma 65 2 5 2 2" xfId="7554"/>
    <cellStyle name="Comma 65 2 5 2 2 2" xfId="10883"/>
    <cellStyle name="Comma 65 2 5 2 2 2 2" xfId="17587"/>
    <cellStyle name="Comma 65 2 5 2 2 2 2 2" xfId="41008"/>
    <cellStyle name="Comma 65 2 5 2 2 2 3" xfId="34376"/>
    <cellStyle name="Comma 65 2 5 2 2 3" xfId="14271"/>
    <cellStyle name="Comma 65 2 5 2 2 3 2" xfId="37692"/>
    <cellStyle name="Comma 65 2 5 2 2 4" xfId="31060"/>
    <cellStyle name="Comma 65 2 5 2 3" xfId="9225"/>
    <cellStyle name="Comma 65 2 5 2 3 2" xfId="15929"/>
    <cellStyle name="Comma 65 2 5 2 3 2 2" xfId="39350"/>
    <cellStyle name="Comma 65 2 5 2 3 3" xfId="32718"/>
    <cellStyle name="Comma 65 2 5 2 4" xfId="12613"/>
    <cellStyle name="Comma 65 2 5 2 4 2" xfId="36034"/>
    <cellStyle name="Comma 65 2 5 2 5" xfId="18260"/>
    <cellStyle name="Comma 65 2 5 2 6" xfId="29402"/>
    <cellStyle name="Comma 65 2 5 3" xfId="6655"/>
    <cellStyle name="Comma 65 2 5 3 2" xfId="9987"/>
    <cellStyle name="Comma 65 2 5 3 2 2" xfId="16691"/>
    <cellStyle name="Comma 65 2 5 3 2 2 2" xfId="40112"/>
    <cellStyle name="Comma 65 2 5 3 2 3" xfId="33480"/>
    <cellStyle name="Comma 65 2 5 3 3" xfId="13375"/>
    <cellStyle name="Comma 65 2 5 3 3 2" xfId="36796"/>
    <cellStyle name="Comma 65 2 5 3 4" xfId="30164"/>
    <cellStyle name="Comma 65 2 5 4" xfId="8321"/>
    <cellStyle name="Comma 65 2 5 4 2" xfId="15033"/>
    <cellStyle name="Comma 65 2 5 4 2 2" xfId="38454"/>
    <cellStyle name="Comma 65 2 5 4 3" xfId="31822"/>
    <cellStyle name="Comma 65 2 5 5" xfId="11715"/>
    <cellStyle name="Comma 65 2 5 5 2" xfId="35138"/>
    <cellStyle name="Comma 65 2 5 6" xfId="18479"/>
    <cellStyle name="Comma 65 2 5 7" xfId="28506"/>
    <cellStyle name="Comma 65 2 6" xfId="5364"/>
    <cellStyle name="Comma 65 2 6 2" xfId="7252"/>
    <cellStyle name="Comma 65 2 6 2 2" xfId="10583"/>
    <cellStyle name="Comma 65 2 6 2 2 2" xfId="17287"/>
    <cellStyle name="Comma 65 2 6 2 2 2 2" xfId="40708"/>
    <cellStyle name="Comma 65 2 6 2 2 3" xfId="34076"/>
    <cellStyle name="Comma 65 2 6 2 3" xfId="13971"/>
    <cellStyle name="Comma 65 2 6 2 3 2" xfId="37392"/>
    <cellStyle name="Comma 65 2 6 2 4" xfId="30760"/>
    <cellStyle name="Comma 65 2 6 3" xfId="8925"/>
    <cellStyle name="Comma 65 2 6 3 2" xfId="15629"/>
    <cellStyle name="Comma 65 2 6 3 2 2" xfId="39050"/>
    <cellStyle name="Comma 65 2 6 3 3" xfId="32418"/>
    <cellStyle name="Comma 65 2 6 4" xfId="12312"/>
    <cellStyle name="Comma 65 2 6 4 2" xfId="35734"/>
    <cellStyle name="Comma 65 2 6 5" xfId="29102"/>
    <cellStyle name="Comma 65 2 7" xfId="3500"/>
    <cellStyle name="Comma 65 2 8" xfId="6182"/>
    <cellStyle name="Comma 65 2 8 2" xfId="9516"/>
    <cellStyle name="Comma 65 2 8 2 2" xfId="16220"/>
    <cellStyle name="Comma 65 2 8 2 2 2" xfId="39641"/>
    <cellStyle name="Comma 65 2 8 2 3" xfId="33009"/>
    <cellStyle name="Comma 65 2 8 3" xfId="12904"/>
    <cellStyle name="Comma 65 2 8 3 2" xfId="36325"/>
    <cellStyle name="Comma 65 2 8 4" xfId="29693"/>
    <cellStyle name="Comma 65 2 9" xfId="7848"/>
    <cellStyle name="Comma 65 2 9 2" xfId="14562"/>
    <cellStyle name="Comma 65 2 9 2 2" xfId="37983"/>
    <cellStyle name="Comma 65 2 9 3" xfId="31351"/>
    <cellStyle name="Comma 65 3" xfId="1588"/>
    <cellStyle name="Comma 65 4" xfId="1778"/>
    <cellStyle name="Comma 65 4 2" xfId="2093"/>
    <cellStyle name="Comma 65 4 3" xfId="2775"/>
    <cellStyle name="Comma 65 4 3 2" xfId="5867"/>
    <cellStyle name="Comma 65 4 3 2 2" xfId="7649"/>
    <cellStyle name="Comma 65 4 3 2 2 2" xfId="10978"/>
    <cellStyle name="Comma 65 4 3 2 2 2 2" xfId="17682"/>
    <cellStyle name="Comma 65 4 3 2 2 2 2 2" xfId="41103"/>
    <cellStyle name="Comma 65 4 3 2 2 2 3" xfId="34471"/>
    <cellStyle name="Comma 65 4 3 2 2 3" xfId="14366"/>
    <cellStyle name="Comma 65 4 3 2 2 3 2" xfId="37787"/>
    <cellStyle name="Comma 65 4 3 2 2 4" xfId="31155"/>
    <cellStyle name="Comma 65 4 3 2 3" xfId="9320"/>
    <cellStyle name="Comma 65 4 3 2 3 2" xfId="16024"/>
    <cellStyle name="Comma 65 4 3 2 3 2 2" xfId="39445"/>
    <cellStyle name="Comma 65 4 3 2 3 3" xfId="32813"/>
    <cellStyle name="Comma 65 4 3 2 4" xfId="12708"/>
    <cellStyle name="Comma 65 4 3 2 4 2" xfId="36129"/>
    <cellStyle name="Comma 65 4 3 2 5" xfId="29497"/>
    <cellStyle name="Comma 65 4 3 3" xfId="6750"/>
    <cellStyle name="Comma 65 4 3 3 2" xfId="10082"/>
    <cellStyle name="Comma 65 4 3 3 2 2" xfId="16786"/>
    <cellStyle name="Comma 65 4 3 3 2 2 2" xfId="40207"/>
    <cellStyle name="Comma 65 4 3 3 2 3" xfId="33575"/>
    <cellStyle name="Comma 65 4 3 3 3" xfId="13470"/>
    <cellStyle name="Comma 65 4 3 3 3 2" xfId="36891"/>
    <cellStyle name="Comma 65 4 3 3 4" xfId="30259"/>
    <cellStyle name="Comma 65 4 3 4" xfId="8416"/>
    <cellStyle name="Comma 65 4 3 4 2" xfId="15128"/>
    <cellStyle name="Comma 65 4 3 4 2 2" xfId="38549"/>
    <cellStyle name="Comma 65 4 3 4 3" xfId="31917"/>
    <cellStyle name="Comma 65 4 3 5" xfId="11810"/>
    <cellStyle name="Comma 65 4 3 5 2" xfId="35233"/>
    <cellStyle name="Comma 65 4 3 6" xfId="28601"/>
    <cellStyle name="Comma 65 4 4" xfId="5416"/>
    <cellStyle name="Comma 65 4 4 2" xfId="7270"/>
    <cellStyle name="Comma 65 4 4 2 2" xfId="10601"/>
    <cellStyle name="Comma 65 4 4 2 2 2" xfId="17305"/>
    <cellStyle name="Comma 65 4 4 2 2 2 2" xfId="40726"/>
    <cellStyle name="Comma 65 4 4 2 2 3" xfId="34094"/>
    <cellStyle name="Comma 65 4 4 2 3" xfId="13989"/>
    <cellStyle name="Comma 65 4 4 2 3 2" xfId="37410"/>
    <cellStyle name="Comma 65 4 4 2 4" xfId="30778"/>
    <cellStyle name="Comma 65 4 4 3" xfId="8943"/>
    <cellStyle name="Comma 65 4 4 3 2" xfId="15647"/>
    <cellStyle name="Comma 65 4 4 3 2 2" xfId="39068"/>
    <cellStyle name="Comma 65 4 4 3 3" xfId="32436"/>
    <cellStyle name="Comma 65 4 4 4" xfId="12330"/>
    <cellStyle name="Comma 65 4 4 4 2" xfId="35752"/>
    <cellStyle name="Comma 65 4 4 5" xfId="29120"/>
    <cellStyle name="Comma 65 4 5" xfId="6277"/>
    <cellStyle name="Comma 65 4 5 2" xfId="9611"/>
    <cellStyle name="Comma 65 4 5 2 2" xfId="16315"/>
    <cellStyle name="Comma 65 4 5 2 2 2" xfId="39736"/>
    <cellStyle name="Comma 65 4 5 2 3" xfId="33104"/>
    <cellStyle name="Comma 65 4 5 3" xfId="12999"/>
    <cellStyle name="Comma 65 4 5 3 2" xfId="36420"/>
    <cellStyle name="Comma 65 4 5 4" xfId="29788"/>
    <cellStyle name="Comma 65 4 6" xfId="7943"/>
    <cellStyle name="Comma 65 4 6 2" xfId="14657"/>
    <cellStyle name="Comma 65 4 6 2 2" xfId="38078"/>
    <cellStyle name="Comma 65 4 6 3" xfId="31446"/>
    <cellStyle name="Comma 65 4 7" xfId="11339"/>
    <cellStyle name="Comma 65 4 7 2" xfId="34762"/>
    <cellStyle name="Comma 65 4 8" xfId="28130"/>
    <cellStyle name="Comma 65 5" xfId="2094"/>
    <cellStyle name="Comma 65 5 2" xfId="17921"/>
    <cellStyle name="Comma 65 6" xfId="2643"/>
    <cellStyle name="Comma 65 6 2" xfId="5736"/>
    <cellStyle name="Comma 65 6 2 2" xfId="7518"/>
    <cellStyle name="Comma 65 6 2 2 2" xfId="10847"/>
    <cellStyle name="Comma 65 6 2 2 2 2" xfId="17551"/>
    <cellStyle name="Comma 65 6 2 2 2 2 2" xfId="40972"/>
    <cellStyle name="Comma 65 6 2 2 2 3" xfId="34340"/>
    <cellStyle name="Comma 65 6 2 2 3" xfId="14235"/>
    <cellStyle name="Comma 65 6 2 2 3 2" xfId="37656"/>
    <cellStyle name="Comma 65 6 2 2 4" xfId="31024"/>
    <cellStyle name="Comma 65 6 2 3" xfId="9189"/>
    <cellStyle name="Comma 65 6 2 3 2" xfId="15893"/>
    <cellStyle name="Comma 65 6 2 3 2 2" xfId="39314"/>
    <cellStyle name="Comma 65 6 2 3 3" xfId="32682"/>
    <cellStyle name="Comma 65 6 2 4" xfId="12577"/>
    <cellStyle name="Comma 65 6 2 4 2" xfId="35998"/>
    <cellStyle name="Comma 65 6 2 5" xfId="18261"/>
    <cellStyle name="Comma 65 6 2 6" xfId="29366"/>
    <cellStyle name="Comma 65 6 3" xfId="6619"/>
    <cellStyle name="Comma 65 6 3 2" xfId="9951"/>
    <cellStyle name="Comma 65 6 3 2 2" xfId="16655"/>
    <cellStyle name="Comma 65 6 3 2 2 2" xfId="40076"/>
    <cellStyle name="Comma 65 6 3 2 3" xfId="33444"/>
    <cellStyle name="Comma 65 6 3 3" xfId="13339"/>
    <cellStyle name="Comma 65 6 3 3 2" xfId="36760"/>
    <cellStyle name="Comma 65 6 3 4" xfId="30128"/>
    <cellStyle name="Comma 65 6 4" xfId="8285"/>
    <cellStyle name="Comma 65 6 4 2" xfId="14997"/>
    <cellStyle name="Comma 65 6 4 2 2" xfId="38418"/>
    <cellStyle name="Comma 65 6 4 3" xfId="31786"/>
    <cellStyle name="Comma 65 6 5" xfId="11679"/>
    <cellStyle name="Comma 65 6 5 2" xfId="35102"/>
    <cellStyle name="Comma 65 6 6" xfId="20450"/>
    <cellStyle name="Comma 65 6 7" xfId="28470"/>
    <cellStyle name="Comma 65 7" xfId="5348"/>
    <cellStyle name="Comma 65 7 2" xfId="7239"/>
    <cellStyle name="Comma 65 7 2 2" xfId="10570"/>
    <cellStyle name="Comma 65 7 2 2 2" xfId="17274"/>
    <cellStyle name="Comma 65 7 2 2 2 2" xfId="40695"/>
    <cellStyle name="Comma 65 7 2 2 3" xfId="34063"/>
    <cellStyle name="Comma 65 7 2 3" xfId="13958"/>
    <cellStyle name="Comma 65 7 2 3 2" xfId="37379"/>
    <cellStyle name="Comma 65 7 2 4" xfId="30747"/>
    <cellStyle name="Comma 65 7 3" xfId="8912"/>
    <cellStyle name="Comma 65 7 3 2" xfId="15616"/>
    <cellStyle name="Comma 65 7 3 2 2" xfId="39037"/>
    <cellStyle name="Comma 65 7 3 3" xfId="32405"/>
    <cellStyle name="Comma 65 7 4" xfId="12299"/>
    <cellStyle name="Comma 65 7 4 2" xfId="35721"/>
    <cellStyle name="Comma 65 7 5" xfId="29089"/>
    <cellStyle name="Comma 65 8" xfId="3499"/>
    <cellStyle name="Comma 65 9" xfId="6146"/>
    <cellStyle name="Comma 65 9 2" xfId="9480"/>
    <cellStyle name="Comma 65 9 2 2" xfId="16184"/>
    <cellStyle name="Comma 65 9 2 2 2" xfId="39605"/>
    <cellStyle name="Comma 65 9 2 3" xfId="32973"/>
    <cellStyle name="Comma 65 9 3" xfId="12868"/>
    <cellStyle name="Comma 65 9 3 2" xfId="36289"/>
    <cellStyle name="Comma 65 9 4" xfId="29657"/>
    <cellStyle name="Comma 66" xfId="1510"/>
    <cellStyle name="Comma 66 2" xfId="1590"/>
    <cellStyle name="Comma 66 2 2" xfId="18481"/>
    <cellStyle name="Comma 66 3" xfId="2096"/>
    <cellStyle name="Comma 66 4" xfId="18480"/>
    <cellStyle name="Comma 66 4 2" xfId="21788"/>
    <cellStyle name="Comma 66 4 3" xfId="17919"/>
    <cellStyle name="Comma 66 5" xfId="20461"/>
    <cellStyle name="Comma 67" xfId="1591"/>
    <cellStyle name="Comma 67 2" xfId="3501"/>
    <cellStyle name="Comma 67 2 2" xfId="3502"/>
    <cellStyle name="Comma 67 3" xfId="3503"/>
    <cellStyle name="Comma 68" xfId="1592"/>
    <cellStyle name="Comma 68 2" xfId="3504"/>
    <cellStyle name="Comma 68 2 2" xfId="3505"/>
    <cellStyle name="Comma 68 3" xfId="3506"/>
    <cellStyle name="Comma 69" xfId="1593"/>
    <cellStyle name="Comma 69 2" xfId="3507"/>
    <cellStyle name="Comma 7" xfId="401"/>
    <cellStyle name="Comma 7 2" xfId="402"/>
    <cellStyle name="Comma 7 2 2" xfId="3508"/>
    <cellStyle name="Comma 7 3" xfId="3509"/>
    <cellStyle name="Comma 7 3 2" xfId="3510"/>
    <cellStyle name="Comma 7 3 3" xfId="23833"/>
    <cellStyle name="Comma 70" xfId="1594"/>
    <cellStyle name="Comma 70 2" xfId="3511"/>
    <cellStyle name="Comma 71" xfId="2102"/>
    <cellStyle name="Comma 71 2" xfId="2103"/>
    <cellStyle name="Comma 71 2 2" xfId="3512"/>
    <cellStyle name="Comma 71 2 2 2" xfId="18483"/>
    <cellStyle name="Comma 71 2 3" xfId="3513"/>
    <cellStyle name="Comma 71 3" xfId="2104"/>
    <cellStyle name="Comma 71 3 2" xfId="17923"/>
    <cellStyle name="Comma 71 3 2 2" xfId="18485"/>
    <cellStyle name="Comma 71 3 3" xfId="18484"/>
    <cellStyle name="Comma 71 4" xfId="17924"/>
    <cellStyle name="Comma 71 4 2" xfId="18486"/>
    <cellStyle name="Comma 71 5" xfId="18482"/>
    <cellStyle name="Comma 72" xfId="2105"/>
    <cellStyle name="Comma 72 2" xfId="2106"/>
    <cellStyle name="Comma 72 2 2" xfId="3514"/>
    <cellStyle name="Comma 72 2 2 2" xfId="18488"/>
    <cellStyle name="Comma 72 2 3" xfId="3515"/>
    <cellStyle name="Comma 72 3" xfId="2107"/>
    <cellStyle name="Comma 72 3 2" xfId="17925"/>
    <cellStyle name="Comma 72 3 2 2" xfId="18490"/>
    <cellStyle name="Comma 72 3 3" xfId="18489"/>
    <cellStyle name="Comma 72 4" xfId="17926"/>
    <cellStyle name="Comma 72 4 2" xfId="18491"/>
    <cellStyle name="Comma 72 5" xfId="18487"/>
    <cellStyle name="Comma 73" xfId="2108"/>
    <cellStyle name="Comma 73 2" xfId="2109"/>
    <cellStyle name="Comma 73 2 2" xfId="3516"/>
    <cellStyle name="Comma 73 2 2 2" xfId="18493"/>
    <cellStyle name="Comma 73 2 3" xfId="3517"/>
    <cellStyle name="Comma 73 3" xfId="2110"/>
    <cellStyle name="Comma 73 3 2" xfId="17927"/>
    <cellStyle name="Comma 73 3 2 2" xfId="18495"/>
    <cellStyle name="Comma 73 3 3" xfId="18494"/>
    <cellStyle name="Comma 73 4" xfId="17928"/>
    <cellStyle name="Comma 73 4 2" xfId="18496"/>
    <cellStyle name="Comma 73 5" xfId="18492"/>
    <cellStyle name="Comma 74" xfId="2111"/>
    <cellStyle name="Comma 74 2" xfId="2112"/>
    <cellStyle name="Comma 74 2 2" xfId="3518"/>
    <cellStyle name="Comma 74 2 2 2" xfId="18497"/>
    <cellStyle name="Comma 74 2 3" xfId="3519"/>
    <cellStyle name="Comma 74 3" xfId="3520"/>
    <cellStyle name="Comma 75" xfId="2113"/>
    <cellStyle name="Comma 75 2" xfId="2114"/>
    <cellStyle name="Comma 75 2 2" xfId="3523"/>
    <cellStyle name="Comma 75 2 2 2" xfId="18498"/>
    <cellStyle name="Comma 75 2 3" xfId="3524"/>
    <cellStyle name="Comma 75 2 4" xfId="3525"/>
    <cellStyle name="Comma 75 2 5" xfId="3522"/>
    <cellStyle name="Comma 75 3" xfId="3526"/>
    <cellStyle name="Comma 75 4" xfId="3527"/>
    <cellStyle name="Comma 75 5" xfId="3521"/>
    <cellStyle name="Comma 76" xfId="2115"/>
    <cellStyle name="Comma 76 2" xfId="2116"/>
    <cellStyle name="Comma 76 2 2" xfId="3530"/>
    <cellStyle name="Comma 76 2 2 2" xfId="18499"/>
    <cellStyle name="Comma 76 2 3" xfId="3531"/>
    <cellStyle name="Comma 76 2 4" xfId="3532"/>
    <cellStyle name="Comma 76 2 5" xfId="3529"/>
    <cellStyle name="Comma 76 3" xfId="3533"/>
    <cellStyle name="Comma 76 4" xfId="3534"/>
    <cellStyle name="Comma 76 5" xfId="3528"/>
    <cellStyle name="Comma 77" xfId="2117"/>
    <cellStyle name="Comma 77 2" xfId="2118"/>
    <cellStyle name="Comma 77 2 2" xfId="3535"/>
    <cellStyle name="Comma 77 2 2 2" xfId="18500"/>
    <cellStyle name="Comma 77 2 3" xfId="3536"/>
    <cellStyle name="Comma 77 3" xfId="3537"/>
    <cellStyle name="Comma 77 3 2" xfId="20449"/>
    <cellStyle name="Comma 77 4" xfId="5458"/>
    <cellStyle name="Comma 77 4 2" xfId="20470"/>
    <cellStyle name="Comma 78" xfId="2119"/>
    <cellStyle name="Comma 78 2" xfId="2120"/>
    <cellStyle name="Comma 78 2 2" xfId="3538"/>
    <cellStyle name="Comma 78 2 2 2" xfId="18501"/>
    <cellStyle name="Comma 78 2 3" xfId="3539"/>
    <cellStyle name="Comma 78 3" xfId="3540"/>
    <cellStyle name="Comma 78 3 2" xfId="20448"/>
    <cellStyle name="Comma 78 4" xfId="5459"/>
    <cellStyle name="Comma 78 4 2" xfId="18069"/>
    <cellStyle name="Comma 79" xfId="2121"/>
    <cellStyle name="Comma 79 2" xfId="2122"/>
    <cellStyle name="Comma 79 2 2" xfId="3541"/>
    <cellStyle name="Comma 79 2 2 2" xfId="18502"/>
    <cellStyle name="Comma 79 2 3" xfId="3542"/>
    <cellStyle name="Comma 79 3" xfId="3543"/>
    <cellStyle name="Comma 79 3 2" xfId="17922"/>
    <cellStyle name="Comma 79 4" xfId="5460"/>
    <cellStyle name="Comma 79 4 2" xfId="20496"/>
    <cellStyle name="Comma 8" xfId="403"/>
    <cellStyle name="Comma 8 2" xfId="404"/>
    <cellStyle name="Comma 8 2 2" xfId="3544"/>
    <cellStyle name="Comma 8 3" xfId="3545"/>
    <cellStyle name="Comma 8 3 2" xfId="3546"/>
    <cellStyle name="Comma 8 3 2 2" xfId="23521"/>
    <cellStyle name="Comma 8 3 2 2 2" xfId="45855"/>
    <cellStyle name="Comma 8 3 3" xfId="3547"/>
    <cellStyle name="Comma 8 3 4" xfId="5138"/>
    <cellStyle name="Comma 8 3 4 2" xfId="7220"/>
    <cellStyle name="Comma 8 3 4 2 2" xfId="10551"/>
    <cellStyle name="Comma 8 3 4 2 2 2" xfId="17255"/>
    <cellStyle name="Comma 8 3 4 2 2 2 2" xfId="40676"/>
    <cellStyle name="Comma 8 3 4 2 2 3" xfId="34044"/>
    <cellStyle name="Comma 8 3 4 2 3" xfId="13939"/>
    <cellStyle name="Comma 8 3 4 2 3 2" xfId="37360"/>
    <cellStyle name="Comma 8 3 4 2 4" xfId="26062"/>
    <cellStyle name="Comma 8 3 4 2 4 2" xfId="48307"/>
    <cellStyle name="Comma 8 3 4 2 5" xfId="30728"/>
    <cellStyle name="Comma 8 3 4 3" xfId="8891"/>
    <cellStyle name="Comma 8 3 4 3 2" xfId="15597"/>
    <cellStyle name="Comma 8 3 4 3 2 2" xfId="39018"/>
    <cellStyle name="Comma 8 3 4 3 3" xfId="32386"/>
    <cellStyle name="Comma 8 3 4 4" xfId="12280"/>
    <cellStyle name="Comma 8 3 4 4 2" xfId="35702"/>
    <cellStyle name="Comma 8 3 4 5" xfId="23850"/>
    <cellStyle name="Comma 8 3 4 5 2" xfId="46115"/>
    <cellStyle name="Comma 8 3 4 6" xfId="29070"/>
    <cellStyle name="Comma 8 3 5" xfId="23407"/>
    <cellStyle name="Comma 8 3 5 2" xfId="45752"/>
    <cellStyle name="Comma 8 4" xfId="3548"/>
    <cellStyle name="Comma 8 4 2" xfId="5137"/>
    <cellStyle name="Comma 80" xfId="2124"/>
    <cellStyle name="Comma 80 2" xfId="2125"/>
    <cellStyle name="Comma 80 2 2" xfId="3549"/>
    <cellStyle name="Comma 80 2 2 2" xfId="18503"/>
    <cellStyle name="Comma 80 2 3" xfId="3550"/>
    <cellStyle name="Comma 80 3" xfId="3551"/>
    <cellStyle name="Comma 80 3 2" xfId="20447"/>
    <cellStyle name="Comma 80 4" xfId="3552"/>
    <cellStyle name="Comma 80 5" xfId="5461"/>
    <cellStyle name="Comma 81" xfId="2126"/>
    <cellStyle name="Comma 81 2" xfId="2127"/>
    <cellStyle name="Comma 81 2 2" xfId="3553"/>
    <cellStyle name="Comma 81 2 2 2" xfId="18504"/>
    <cellStyle name="Comma 81 2 3" xfId="3554"/>
    <cellStyle name="Comma 81 3" xfId="3555"/>
    <cellStyle name="Comma 81 4" xfId="3556"/>
    <cellStyle name="Comma 82" xfId="2128"/>
    <cellStyle name="Comma 82 2" xfId="2129"/>
    <cellStyle name="Comma 82 2 2" xfId="17929"/>
    <cellStyle name="Comma 82 2 2 2" xfId="18506"/>
    <cellStyle name="Comma 82 2 3" xfId="18505"/>
    <cellStyle name="Comma 82 3" xfId="3557"/>
    <cellStyle name="Comma 82 4" xfId="3558"/>
    <cellStyle name="Comma 83" xfId="2130"/>
    <cellStyle name="Comma 83 2" xfId="2350"/>
    <cellStyle name="Comma 83 2 2" xfId="18507"/>
    <cellStyle name="Comma 83 3" xfId="3559"/>
    <cellStyle name="Comma 83 4" xfId="3560"/>
    <cellStyle name="Comma 84" xfId="2131"/>
    <cellStyle name="Comma 84 2" xfId="2349"/>
    <cellStyle name="Comma 84 2 2" xfId="18508"/>
    <cellStyle name="Comma 84 3" xfId="3561"/>
    <cellStyle name="Comma 85" xfId="2132"/>
    <cellStyle name="Comma 85 2" xfId="2346"/>
    <cellStyle name="Comma 85 2 2" xfId="18509"/>
    <cellStyle name="Comma 85 3" xfId="3562"/>
    <cellStyle name="Comma 86" xfId="2133"/>
    <cellStyle name="Comma 86 2" xfId="2321"/>
    <cellStyle name="Comma 86 2 2" xfId="18510"/>
    <cellStyle name="Comma 86 3" xfId="3563"/>
    <cellStyle name="Comma 87" xfId="2134"/>
    <cellStyle name="Comma 87 2" xfId="3564"/>
    <cellStyle name="Comma 87 2 2" xfId="18511"/>
    <cellStyle name="Comma 87 3" xfId="3565"/>
    <cellStyle name="Comma 88" xfId="2135"/>
    <cellStyle name="Comma 88 2" xfId="3566"/>
    <cellStyle name="Comma 88 2 2" xfId="18512"/>
    <cellStyle name="Comma 88 3" xfId="3567"/>
    <cellStyle name="Comma 89" xfId="2136"/>
    <cellStyle name="Comma 89 2" xfId="3568"/>
    <cellStyle name="Comma 89 2 2" xfId="18513"/>
    <cellStyle name="Comma 89 3" xfId="3569"/>
    <cellStyle name="Comma 9" xfId="405"/>
    <cellStyle name="Comma 9 2" xfId="406"/>
    <cellStyle name="Comma 9 2 2" xfId="407"/>
    <cellStyle name="Comma 9 2 2 2" xfId="3570"/>
    <cellStyle name="Comma 9 2 3" xfId="1107"/>
    <cellStyle name="Comma 9 2 3 2" xfId="3572"/>
    <cellStyle name="Comma 9 2 3 3" xfId="3571"/>
    <cellStyle name="Comma 9 2 4" xfId="18514"/>
    <cellStyle name="Comma 9 3" xfId="408"/>
    <cellStyle name="Comma 9 3 2" xfId="409"/>
    <cellStyle name="Comma 9 3 2 2" xfId="3573"/>
    <cellStyle name="Comma 9 3 3" xfId="3574"/>
    <cellStyle name="Comma 9 4" xfId="410"/>
    <cellStyle name="Comma 9 4 2" xfId="1106"/>
    <cellStyle name="Comma 9 4 2 2" xfId="3576"/>
    <cellStyle name="Comma 9 4 2 3" xfId="3575"/>
    <cellStyle name="Comma 9 4 3" xfId="3577"/>
    <cellStyle name="Comma 9 5" xfId="3578"/>
    <cellStyle name="Comma 9 5 2" xfId="3579"/>
    <cellStyle name="Comma 9 5 2 2" xfId="23522"/>
    <cellStyle name="Comma 9 5 2 2 2" xfId="45856"/>
    <cellStyle name="Comma 9 5 3" xfId="3580"/>
    <cellStyle name="Comma 9 5 4" xfId="5139"/>
    <cellStyle name="Comma 9 5 4 2" xfId="7221"/>
    <cellStyle name="Comma 9 5 4 2 2" xfId="10552"/>
    <cellStyle name="Comma 9 5 4 2 2 2" xfId="17256"/>
    <cellStyle name="Comma 9 5 4 2 2 2 2" xfId="40677"/>
    <cellStyle name="Comma 9 5 4 2 2 3" xfId="34045"/>
    <cellStyle name="Comma 9 5 4 2 3" xfId="13940"/>
    <cellStyle name="Comma 9 5 4 2 3 2" xfId="37361"/>
    <cellStyle name="Comma 9 5 4 2 4" xfId="26063"/>
    <cellStyle name="Comma 9 5 4 2 4 2" xfId="48308"/>
    <cellStyle name="Comma 9 5 4 2 5" xfId="30729"/>
    <cellStyle name="Comma 9 5 4 3" xfId="8892"/>
    <cellStyle name="Comma 9 5 4 3 2" xfId="15598"/>
    <cellStyle name="Comma 9 5 4 3 2 2" xfId="39019"/>
    <cellStyle name="Comma 9 5 4 3 3" xfId="32387"/>
    <cellStyle name="Comma 9 5 4 4" xfId="12281"/>
    <cellStyle name="Comma 9 5 4 4 2" xfId="35703"/>
    <cellStyle name="Comma 9 5 4 5" xfId="23851"/>
    <cellStyle name="Comma 9 5 4 5 2" xfId="46116"/>
    <cellStyle name="Comma 9 5 4 6" xfId="29071"/>
    <cellStyle name="Comma 9 5 5" xfId="23408"/>
    <cellStyle name="Comma 9 5 5 2" xfId="45753"/>
    <cellStyle name="Comma 90" xfId="2140"/>
    <cellStyle name="Comma 90 2" xfId="3581"/>
    <cellStyle name="Comma 90 2 2" xfId="18515"/>
    <cellStyle name="Comma 90 3" xfId="3582"/>
    <cellStyle name="Comma 91" xfId="2141"/>
    <cellStyle name="Comma 91 2" xfId="3583"/>
    <cellStyle name="Comma 91 2 2" xfId="18516"/>
    <cellStyle name="Comma 91 3" xfId="3584"/>
    <cellStyle name="Comma 92" xfId="2142"/>
    <cellStyle name="Comma 92 2" xfId="3585"/>
    <cellStyle name="Comma 92 2 2" xfId="18517"/>
    <cellStyle name="Comma 92 3" xfId="3586"/>
    <cellStyle name="Comma 93" xfId="2143"/>
    <cellStyle name="Comma 93 2" xfId="17930"/>
    <cellStyle name="Comma 93 2 2" xfId="18519"/>
    <cellStyle name="Comma 93 2 2 2" xfId="26594"/>
    <cellStyle name="Comma 93 2 2 2 2" xfId="48839"/>
    <cellStyle name="Comma 93 2 3" xfId="24391"/>
    <cellStyle name="Comma 93 2 3 2" xfId="46636"/>
    <cellStyle name="Comma 93 3" xfId="18518"/>
    <cellStyle name="Comma 94" xfId="2144"/>
    <cellStyle name="Comma 94 2" xfId="17931"/>
    <cellStyle name="Comma 94 2 2" xfId="18521"/>
    <cellStyle name="Comma 94 3" xfId="18520"/>
    <cellStyle name="Comma 95" xfId="3587"/>
    <cellStyle name="Comma 95 2" xfId="18522"/>
    <cellStyle name="Comma 96" xfId="3588"/>
    <cellStyle name="Comma 96 2" xfId="18523"/>
    <cellStyle name="Comma 97" xfId="3589"/>
    <cellStyle name="Comma 97 2" xfId="18524"/>
    <cellStyle name="Comma 98" xfId="3590"/>
    <cellStyle name="Comma 98 2" xfId="18525"/>
    <cellStyle name="Comma 99" xfId="3591"/>
    <cellStyle name="Comma 99 2" xfId="18526"/>
    <cellStyle name="Comma0" xfId="5013"/>
    <cellStyle name="CommaU [0]" xfId="3592"/>
    <cellStyle name="CommaU [1]" xfId="3593"/>
    <cellStyle name="CommaU [2]" xfId="3594"/>
    <cellStyle name="Comment" xfId="411"/>
    <cellStyle name="Comment 2" xfId="5014"/>
    <cellStyle name="Company" xfId="5015"/>
    <cellStyle name="CompanyName" xfId="412"/>
    <cellStyle name="CompanyName 2" xfId="3595"/>
    <cellStyle name="Copied" xfId="3596"/>
    <cellStyle name="CurRatio" xfId="5016"/>
    <cellStyle name="Curren - Style7" xfId="5017"/>
    <cellStyle name="Curren - Style8" xfId="5018"/>
    <cellStyle name="Currency" xfId="36" builtinId="4"/>
    <cellStyle name="Currency (1)" xfId="3598"/>
    <cellStyle name="Currency [1]" xfId="3599"/>
    <cellStyle name="Currency [2]" xfId="3600"/>
    <cellStyle name="Currency 10" xfId="75"/>
    <cellStyle name="Currency 10 2" xfId="1214"/>
    <cellStyle name="Currency 10 2 2" xfId="5402"/>
    <cellStyle name="Currency 10 3" xfId="2068"/>
    <cellStyle name="Currency 10 3 2" xfId="6031"/>
    <cellStyle name="Currency 10 4" xfId="18070"/>
    <cellStyle name="Currency 11" xfId="1364"/>
    <cellStyle name="Currency 11 2" xfId="1365"/>
    <cellStyle name="Currency 11 2 2" xfId="2070"/>
    <cellStyle name="Currency 11 2 2 2" xfId="5393"/>
    <cellStyle name="Currency 11 2 2 3" xfId="5999"/>
    <cellStyle name="Currency 11 2 3" xfId="5216"/>
    <cellStyle name="Currency 11 3" xfId="2069"/>
    <cellStyle name="Currency 11 3 2" xfId="3602"/>
    <cellStyle name="Currency 11 3 3" xfId="5455"/>
    <cellStyle name="Currency 11 3 4" xfId="3601"/>
    <cellStyle name="Currency 11 4" xfId="5367"/>
    <cellStyle name="Currency 12" xfId="1366"/>
    <cellStyle name="Currency 12 2" xfId="3603"/>
    <cellStyle name="Currency 12 2 2" xfId="5311"/>
    <cellStyle name="Currency 12 3" xfId="3604"/>
    <cellStyle name="Currency 13" xfId="1511"/>
    <cellStyle name="Currency 13 2" xfId="2151"/>
    <cellStyle name="Currency 13 2 2" xfId="17932"/>
    <cellStyle name="Currency 13 2 2 2" xfId="18528"/>
    <cellStyle name="Currency 13 2 3" xfId="18527"/>
    <cellStyle name="Currency 13 3" xfId="3605"/>
    <cellStyle name="Currency 13 4" xfId="20425"/>
    <cellStyle name="Currency 14" xfId="2152"/>
    <cellStyle name="Currency 14 2" xfId="3606"/>
    <cellStyle name="Currency 14 2 2" xfId="18530"/>
    <cellStyle name="Currency 14 3" xfId="18529"/>
    <cellStyle name="Currency 15" xfId="2153"/>
    <cellStyle name="Currency 15 2" xfId="3607"/>
    <cellStyle name="Currency 15 2 2" xfId="18532"/>
    <cellStyle name="Currency 15 3" xfId="18531"/>
    <cellStyle name="Currency 16" xfId="3608"/>
    <cellStyle name="Currency 16 2" xfId="3609"/>
    <cellStyle name="Currency 17" xfId="3610"/>
    <cellStyle name="Currency 17 2" xfId="3611"/>
    <cellStyle name="Currency 18" xfId="3612"/>
    <cellStyle name="Currency 19" xfId="3613"/>
    <cellStyle name="Currency 2" xfId="37"/>
    <cellStyle name="Currency 2 2" xfId="69"/>
    <cellStyle name="Currency 2 2 2" xfId="413"/>
    <cellStyle name="Currency 2 2 2 2" xfId="3614"/>
    <cellStyle name="Currency 2 2 3" xfId="3615"/>
    <cellStyle name="Currency 2 2 4" xfId="5019"/>
    <cellStyle name="Currency 2 3" xfId="414"/>
    <cellStyle name="Currency 2 3 2" xfId="3616"/>
    <cellStyle name="Currency 2 4" xfId="3617"/>
    <cellStyle name="Currency 20" xfId="3618"/>
    <cellStyle name="Currency 21" xfId="3619"/>
    <cellStyle name="Currency 22" xfId="3620"/>
    <cellStyle name="Currency 23" xfId="3621"/>
    <cellStyle name="Currency 24" xfId="3622"/>
    <cellStyle name="Currency 25" xfId="3623"/>
    <cellStyle name="Currency 26" xfId="3624"/>
    <cellStyle name="Currency 27" xfId="3625"/>
    <cellStyle name="Currency 28" xfId="3626"/>
    <cellStyle name="Currency 29" xfId="3627"/>
    <cellStyle name="Currency 3" xfId="38"/>
    <cellStyle name="Currency 3 2" xfId="70"/>
    <cellStyle name="Currency 3 2 2" xfId="415"/>
    <cellStyle name="Currency 3 2 2 2" xfId="885"/>
    <cellStyle name="Currency 3 2 2 2 2" xfId="18535"/>
    <cellStyle name="Currency 3 2 2 3" xfId="18534"/>
    <cellStyle name="Currency 3 2 3" xfId="886"/>
    <cellStyle name="Currency 3 2 3 2" xfId="18536"/>
    <cellStyle name="Currency 3 2 4" xfId="18533"/>
    <cellStyle name="Currency 3 3" xfId="416"/>
    <cellStyle name="Currency 3 3 2" xfId="887"/>
    <cellStyle name="Currency 3 3 2 2" xfId="18538"/>
    <cellStyle name="Currency 3 3 3" xfId="18537"/>
    <cellStyle name="Currency 3 4" xfId="888"/>
    <cellStyle name="Currency 3 4 2" xfId="18539"/>
    <cellStyle name="Currency 3 5" xfId="1595"/>
    <cellStyle name="Currency 30" xfId="3628"/>
    <cellStyle name="Currency 31" xfId="3629"/>
    <cellStyle name="Currency 32" xfId="3630"/>
    <cellStyle name="Currency 33" xfId="3631"/>
    <cellStyle name="Currency 34" xfId="3632"/>
    <cellStyle name="Currency 35" xfId="3633"/>
    <cellStyle name="Currency 36" xfId="3634"/>
    <cellStyle name="Currency 37" xfId="3635"/>
    <cellStyle name="Currency 38" xfId="3636"/>
    <cellStyle name="Currency 39" xfId="3637"/>
    <cellStyle name="Currency 4" xfId="39"/>
    <cellStyle name="Currency 4 2" xfId="71"/>
    <cellStyle name="Currency 4 2 2" xfId="417"/>
    <cellStyle name="Currency 4 2 2 2" xfId="3638"/>
    <cellStyle name="Currency 4 2 3" xfId="3639"/>
    <cellStyle name="Currency 4 3" xfId="418"/>
    <cellStyle name="Currency 4 3 2" xfId="419"/>
    <cellStyle name="Currency 4 3 2 2" xfId="3640"/>
    <cellStyle name="Currency 4 3 3" xfId="3641"/>
    <cellStyle name="Currency 4 4" xfId="420"/>
    <cellStyle name="Currency 4 4 2" xfId="3643"/>
    <cellStyle name="Currency 4 4 3" xfId="3644"/>
    <cellStyle name="Currency 4 4 4" xfId="3642"/>
    <cellStyle name="Currency 4 5" xfId="3645"/>
    <cellStyle name="Currency 4 5 2" xfId="3646"/>
    <cellStyle name="Currency 4 6" xfId="3647"/>
    <cellStyle name="Currency 40" xfId="3648"/>
    <cellStyle name="Currency 41" xfId="3649"/>
    <cellStyle name="Currency 42" xfId="3650"/>
    <cellStyle name="Currency 43" xfId="3651"/>
    <cellStyle name="Currency 44" xfId="3652"/>
    <cellStyle name="Currency 45" xfId="3653"/>
    <cellStyle name="Currency 46" xfId="4811"/>
    <cellStyle name="Currency 47" xfId="5184"/>
    <cellStyle name="Currency 48" xfId="3597"/>
    <cellStyle name="Currency 49" xfId="5223"/>
    <cellStyle name="Currency 5" xfId="421"/>
    <cellStyle name="Currency 5 2" xfId="422"/>
    <cellStyle name="Currency 5 2 2" xfId="423"/>
    <cellStyle name="Currency 5 2 2 2" xfId="3654"/>
    <cellStyle name="Currency 5 2 3" xfId="3655"/>
    <cellStyle name="Currency 5 3" xfId="424"/>
    <cellStyle name="Currency 5 3 2" xfId="3656"/>
    <cellStyle name="Currency 5 4" xfId="889"/>
    <cellStyle name="Currency 5 4 2" xfId="3657"/>
    <cellStyle name="Currency 5 5" xfId="18540"/>
    <cellStyle name="Currency 50" xfId="5289"/>
    <cellStyle name="Currency 51" xfId="5334"/>
    <cellStyle name="Currency 52" xfId="5315"/>
    <cellStyle name="Currency 53" xfId="5214"/>
    <cellStyle name="Currency 54" xfId="5287"/>
    <cellStyle name="Currency 55" xfId="5302"/>
    <cellStyle name="Currency 56" xfId="6053"/>
    <cellStyle name="Currency 57" xfId="5226"/>
    <cellStyle name="Currency 58" xfId="5193"/>
    <cellStyle name="Currency 59" xfId="5301"/>
    <cellStyle name="Currency 6" xfId="425"/>
    <cellStyle name="Currency 6 2" xfId="426"/>
    <cellStyle name="Currency 6 2 2" xfId="3658"/>
    <cellStyle name="Currency 6 3" xfId="3659"/>
    <cellStyle name="Currency 60" xfId="6056"/>
    <cellStyle name="Currency 61" xfId="6007"/>
    <cellStyle name="Currency 62" xfId="5972"/>
    <cellStyle name="Currency 63" xfId="5303"/>
    <cellStyle name="Currency 64" xfId="6057"/>
    <cellStyle name="Currency 65" xfId="5191"/>
    <cellStyle name="Currency 66" xfId="5215"/>
    <cellStyle name="Currency 67" xfId="5192"/>
    <cellStyle name="Currency 68" xfId="5973"/>
    <cellStyle name="Currency 69" xfId="2889"/>
    <cellStyle name="Currency 69 2" xfId="6860"/>
    <cellStyle name="Currency 69 2 2" xfId="10192"/>
    <cellStyle name="Currency 69 2 2 2" xfId="16896"/>
    <cellStyle name="Currency 69 2 2 2 2" xfId="40317"/>
    <cellStyle name="Currency 69 2 2 3" xfId="33685"/>
    <cellStyle name="Currency 69 2 3" xfId="13580"/>
    <cellStyle name="Currency 69 2 3 2" xfId="37001"/>
    <cellStyle name="Currency 69 2 4" xfId="30369"/>
    <cellStyle name="Currency 69 3" xfId="8526"/>
    <cellStyle name="Currency 69 3 2" xfId="15238"/>
    <cellStyle name="Currency 69 3 2 2" xfId="38659"/>
    <cellStyle name="Currency 69 3 3" xfId="32027"/>
    <cellStyle name="Currency 69 4" xfId="11920"/>
    <cellStyle name="Currency 69 4 2" xfId="35343"/>
    <cellStyle name="Currency 69 5" xfId="28711"/>
    <cellStyle name="Currency 7" xfId="427"/>
    <cellStyle name="Currency 7 2" xfId="797"/>
    <cellStyle name="Currency 7 2 2" xfId="1367"/>
    <cellStyle name="Currency 7 2 2 2" xfId="5982"/>
    <cellStyle name="Currency 7 2 3" xfId="5320"/>
    <cellStyle name="Currency 7 3" xfId="1368"/>
    <cellStyle name="Currency 7 3 2" xfId="3660"/>
    <cellStyle name="Currency 7 4" xfId="3661"/>
    <cellStyle name="Currency 70" xfId="4803"/>
    <cellStyle name="Currency 70 2" xfId="7194"/>
    <cellStyle name="Currency 70 2 2" xfId="10526"/>
    <cellStyle name="Currency 70 2 2 2" xfId="17230"/>
    <cellStyle name="Currency 70 2 2 2 2" xfId="40651"/>
    <cellStyle name="Currency 70 2 2 3" xfId="34019"/>
    <cellStyle name="Currency 70 2 3" xfId="13914"/>
    <cellStyle name="Currency 70 2 3 2" xfId="37335"/>
    <cellStyle name="Currency 70 2 4" xfId="30703"/>
    <cellStyle name="Currency 70 3" xfId="8863"/>
    <cellStyle name="Currency 70 3 2" xfId="15572"/>
    <cellStyle name="Currency 70 3 2 2" xfId="38993"/>
    <cellStyle name="Currency 70 3 3" xfId="32361"/>
    <cellStyle name="Currency 70 4" xfId="12254"/>
    <cellStyle name="Currency 70 4 2" xfId="35677"/>
    <cellStyle name="Currency 70 5" xfId="29045"/>
    <cellStyle name="Currency 71" xfId="6065"/>
    <cellStyle name="Currency 71 2" xfId="7758"/>
    <cellStyle name="Currency 71 2 2" xfId="11087"/>
    <cellStyle name="Currency 71 2 2 2" xfId="17791"/>
    <cellStyle name="Currency 71 2 2 2 2" xfId="41212"/>
    <cellStyle name="Currency 71 2 2 3" xfId="34580"/>
    <cellStyle name="Currency 71 2 3" xfId="14475"/>
    <cellStyle name="Currency 71 2 3 2" xfId="37896"/>
    <cellStyle name="Currency 71 2 4" xfId="31264"/>
    <cellStyle name="Currency 71 3" xfId="9429"/>
    <cellStyle name="Currency 71 3 2" xfId="16133"/>
    <cellStyle name="Currency 71 3 2 2" xfId="39554"/>
    <cellStyle name="Currency 71 3 3" xfId="32922"/>
    <cellStyle name="Currency 71 4" xfId="12817"/>
    <cellStyle name="Currency 71 4 2" xfId="36238"/>
    <cellStyle name="Currency 71 5" xfId="29606"/>
    <cellStyle name="Currency 72" xfId="3794"/>
    <cellStyle name="Currency 72 2" xfId="6934"/>
    <cellStyle name="Currency 72 2 2" xfId="10266"/>
    <cellStyle name="Currency 72 2 2 2" xfId="16970"/>
    <cellStyle name="Currency 72 2 2 2 2" xfId="40391"/>
    <cellStyle name="Currency 72 2 2 3" xfId="33759"/>
    <cellStyle name="Currency 72 2 3" xfId="13654"/>
    <cellStyle name="Currency 72 2 3 2" xfId="37075"/>
    <cellStyle name="Currency 72 2 4" xfId="30443"/>
    <cellStyle name="Currency 72 3" xfId="8601"/>
    <cellStyle name="Currency 72 3 2" xfId="15312"/>
    <cellStyle name="Currency 72 3 2 2" xfId="38733"/>
    <cellStyle name="Currency 72 3 3" xfId="32101"/>
    <cellStyle name="Currency 72 4" xfId="11994"/>
    <cellStyle name="Currency 72 4 2" xfId="35417"/>
    <cellStyle name="Currency 72 5" xfId="28785"/>
    <cellStyle name="Currency 73" xfId="6061"/>
    <cellStyle name="Currency 73 2" xfId="7754"/>
    <cellStyle name="Currency 73 2 2" xfId="11083"/>
    <cellStyle name="Currency 73 2 2 2" xfId="17787"/>
    <cellStyle name="Currency 73 2 2 2 2" xfId="41208"/>
    <cellStyle name="Currency 73 2 2 3" xfId="34576"/>
    <cellStyle name="Currency 73 2 3" xfId="14471"/>
    <cellStyle name="Currency 73 2 3 2" xfId="37892"/>
    <cellStyle name="Currency 73 2 4" xfId="31260"/>
    <cellStyle name="Currency 73 3" xfId="9425"/>
    <cellStyle name="Currency 73 3 2" xfId="16129"/>
    <cellStyle name="Currency 73 3 2 2" xfId="39550"/>
    <cellStyle name="Currency 73 3 3" xfId="32918"/>
    <cellStyle name="Currency 73 4" xfId="12813"/>
    <cellStyle name="Currency 73 4 2" xfId="36234"/>
    <cellStyle name="Currency 73 5" xfId="29602"/>
    <cellStyle name="Currency 8" xfId="890"/>
    <cellStyle name="Currency 8 2" xfId="891"/>
    <cellStyle name="Currency 8 2 2" xfId="3662"/>
    <cellStyle name="Currency 8 3" xfId="1369"/>
    <cellStyle name="Currency 8 3 2" xfId="6048"/>
    <cellStyle name="Currency 8 4" xfId="3663"/>
    <cellStyle name="Currency 9" xfId="892"/>
    <cellStyle name="Currency 9 2" xfId="1108"/>
    <cellStyle name="Currency 9 2 2" xfId="6010"/>
    <cellStyle name="Currency 9 3" xfId="1182"/>
    <cellStyle name="Currency 9 3 2" xfId="18542"/>
    <cellStyle name="Currency 9 4" xfId="18541"/>
    <cellStyle name="Currency(1)" xfId="3664"/>
    <cellStyle name="Currency(1) 2" xfId="5020"/>
    <cellStyle name="Currency0" xfId="5021"/>
    <cellStyle name="CUS.Work.Area" xfId="5022"/>
    <cellStyle name="C㯵rrency_㳔PC Data" xfId="5023"/>
    <cellStyle name="d_yield_AA - BenefitsBonus " xfId="3665"/>
    <cellStyle name="d_yield_AA - BenefitsBonus  2" xfId="5094"/>
    <cellStyle name="d_yield_AA - BenefitsBonus  2 2" xfId="23508"/>
    <cellStyle name="d_yield_AA - BenefitsBonus  2 3" xfId="23344"/>
    <cellStyle name="d_yield_AA - BenefitsBonus  3" xfId="23496"/>
    <cellStyle name="d_yield_AA - BenefitsBonus  4" xfId="23276"/>
    <cellStyle name="Dash" xfId="428"/>
    <cellStyle name="Dash 2" xfId="3666"/>
    <cellStyle name="Data_0dp" xfId="5024"/>
    <cellStyle name="DataEntry" xfId="5025"/>
    <cellStyle name="DataEntry%" xfId="5026"/>
    <cellStyle name="DataEntry_Model2401" xfId="5027"/>
    <cellStyle name="DataPercentStyle" xfId="23597"/>
    <cellStyle name="DataStyle" xfId="23596"/>
    <cellStyle name="DataStyleForecast" xfId="23595"/>
    <cellStyle name="Date" xfId="429"/>
    <cellStyle name="Date 2" xfId="2079"/>
    <cellStyle name="Date m-yy" xfId="1032"/>
    <cellStyle name="Date m-yy 2" xfId="3667"/>
    <cellStyle name="Date2" xfId="430"/>
    <cellStyle name="Dates" xfId="3668"/>
    <cellStyle name="DateYear" xfId="3669"/>
    <cellStyle name="Decimal" xfId="431"/>
    <cellStyle name="decimal 1" xfId="432"/>
    <cellStyle name="Decimal 2" xfId="5028"/>
    <cellStyle name="Decimal_ConsensusPanel_v20080325 (2)" xfId="3670"/>
    <cellStyle name="Derive" xfId="5029"/>
    <cellStyle name="Detail ligne" xfId="23594"/>
    <cellStyle name="Dezimal_ACEA" xfId="23592"/>
    <cellStyle name="Dollar" xfId="433"/>
    <cellStyle name="Dollar 2" xfId="3671"/>
    <cellStyle name="Dollars" xfId="434"/>
    <cellStyle name="Dollars 2" xfId="435"/>
    <cellStyle name="Dollars 3" xfId="2080"/>
    <cellStyle name="DollarWhole" xfId="3672"/>
    <cellStyle name="Entered" xfId="3673"/>
    <cellStyle name="Euro" xfId="1243"/>
    <cellStyle name="Explanatory Text" xfId="40" builtinId="53" customBuiltin="1"/>
    <cellStyle name="Explanatory Text 2" xfId="436"/>
    <cellStyle name="Explanatory Text 3" xfId="1109"/>
    <cellStyle name="Explanatory Text 3 2" xfId="3676"/>
    <cellStyle name="Explanatory Text 3 3" xfId="3675"/>
    <cellStyle name="Explanatory Text 4" xfId="3674"/>
    <cellStyle name="Explanatory Text 5" xfId="2882"/>
    <cellStyle name="f‰H_x0010_‹Ëf‰h,ÿt$_x0018_è¸Wÿÿé&gt;Ëÿÿ÷Ç_x0001_" xfId="3677"/>
    <cellStyle name="Fail" xfId="437"/>
    <cellStyle name="Fail 2" xfId="893"/>
    <cellStyle name="Fail 2 2" xfId="3679"/>
    <cellStyle name="Fail 2 3" xfId="3680"/>
    <cellStyle name="Fail 2 4" xfId="3678"/>
    <cellStyle name="Fail 3" xfId="2081"/>
    <cellStyle name="FieldName" xfId="438"/>
    <cellStyle name="FiscalPeriod" xfId="439"/>
    <cellStyle name="FiscalPeriod 2" xfId="894"/>
    <cellStyle name="FiscalPeriod 2 2" xfId="3682"/>
    <cellStyle name="FiscalPeriod 2 3" xfId="3683"/>
    <cellStyle name="FiscalPeriod 2 4" xfId="3681"/>
    <cellStyle name="FiscalPeriod 3" xfId="2082"/>
    <cellStyle name="Fixed" xfId="440"/>
    <cellStyle name="Fixed (1)" xfId="5030"/>
    <cellStyle name="Fixed [2]" xfId="5031"/>
    <cellStyle name="Fixed 2" xfId="3684"/>
    <cellStyle name="Fixed 3" xfId="5032"/>
    <cellStyle name="Fixed_1" xfId="5033"/>
    <cellStyle name="FooterStyle" xfId="23854"/>
    <cellStyle name="Footnote" xfId="441"/>
    <cellStyle name="g_rate_AA - BenefitsBonus " xfId="3685"/>
    <cellStyle name="g_rate_AA - BenefitsBonus  2" xfId="5096"/>
    <cellStyle name="g_rate_AA - BenefitsBonus  2 2" xfId="23510"/>
    <cellStyle name="g_rate_AA - BenefitsBonus  2 3" xfId="23346"/>
    <cellStyle name="g_rate_AA - BenefitsBonus  3" xfId="23497"/>
    <cellStyle name="g_rate_AA - BenefitsBonus  4" xfId="23277"/>
    <cellStyle name="G02 Table Text" xfId="442"/>
    <cellStyle name="G02 Table Text 2" xfId="443"/>
    <cellStyle name="G02 Table Text 2 2" xfId="2084"/>
    <cellStyle name="G02 Table Text 2 3" xfId="2083"/>
    <cellStyle name="G02 Table Text 3" xfId="2085"/>
    <cellStyle name="G02 Table Text 4" xfId="2086"/>
    <cellStyle name="G04_Main head" xfId="444"/>
    <cellStyle name="G05 Tab Head Bold" xfId="445"/>
    <cellStyle name="G05 Tab Head Bold 10" xfId="50272"/>
    <cellStyle name="G05 Tab Head Bold 10 2" xfId="50273"/>
    <cellStyle name="G05 Tab Head Bold 2" xfId="446"/>
    <cellStyle name="G05 Tab Head Bold 2 2" xfId="447"/>
    <cellStyle name="G05 Tab Head Bold 2 2 2" xfId="448"/>
    <cellStyle name="G05 Tab Head Bold 2 2 2 2" xfId="3686"/>
    <cellStyle name="G05 Tab Head Bold 2 2 3" xfId="3687"/>
    <cellStyle name="G05 Tab Head Bold 2 3" xfId="449"/>
    <cellStyle name="G05 Tab Head Bold 2 3 2" xfId="3688"/>
    <cellStyle name="G05 Tab Head Bold 2 4" xfId="2088"/>
    <cellStyle name="G05 Tab Head Bold 2 4 2" xfId="18262"/>
    <cellStyle name="G05 Tab Head Bold 2 5" xfId="2087"/>
    <cellStyle name="G05 Tab Head Bold 2 5 2" xfId="18263"/>
    <cellStyle name="G05 Tab Head Bold 2 6" xfId="20494"/>
    <cellStyle name="G05 Tab Head Bold 3" xfId="450"/>
    <cellStyle name="G05 Tab Head Bold 3 2" xfId="451"/>
    <cellStyle name="G05 Tab Head Bold 3 2 2" xfId="3689"/>
    <cellStyle name="G05 Tab Head Bold 3 3" xfId="2090"/>
    <cellStyle name="G05 Tab Head Bold 3 3 2" xfId="17869"/>
    <cellStyle name="G05 Tab Head Bold 3 4" xfId="2089"/>
    <cellStyle name="G05 Tab Head Bold 3 4 2" xfId="17864"/>
    <cellStyle name="G05 Tab Head Bold 3 5" xfId="20468"/>
    <cellStyle name="G05 Tab Head Bold 4" xfId="452"/>
    <cellStyle name="G05 Tab Head Bold 4 2" xfId="2095"/>
    <cellStyle name="G05 Tab Head Bold 4 2 2" xfId="6004"/>
    <cellStyle name="G05 Tab Head Bold 4 3" xfId="5456"/>
    <cellStyle name="G05 Tab Head Bold 5" xfId="453"/>
    <cellStyle name="G05 Tab Head Bold 5 2" xfId="798"/>
    <cellStyle name="G05 Tab Head Bold 5 2 2" xfId="5275"/>
    <cellStyle name="G05 Tab Head Bold 5 3" xfId="5291"/>
    <cellStyle name="G05 Tab Head Bold 6" xfId="2097"/>
    <cellStyle name="G05 Tab Head Bold 6 2" xfId="2098"/>
    <cellStyle name="G05 Tab Head Bold 6 2 2" xfId="17865"/>
    <cellStyle name="G05 Tab Head Bold 6 3" xfId="17868"/>
    <cellStyle name="G05 Tab Head Bold 7" xfId="2099"/>
    <cellStyle name="G05 Tab Head Bold 7 2" xfId="2100"/>
    <cellStyle name="G05 Tab Head Bold 7 2 2" xfId="17866"/>
    <cellStyle name="G05 Tab Head Bold 7 3" xfId="18993"/>
    <cellStyle name="G05 Tab Head Bold 8" xfId="2101"/>
    <cellStyle name="G05 Tab Head Bold 8 2" xfId="3690"/>
    <cellStyle name="G05 Tab Head Bold 9" xfId="20479"/>
    <cellStyle name="G05 Tab Head Bold 9 2" xfId="50274"/>
    <cellStyle name="G05 Tab Head Light" xfId="454"/>
    <cellStyle name="G05 Tab Head Light 10" xfId="50275"/>
    <cellStyle name="G05 Tab Head Light 10 2" xfId="50276"/>
    <cellStyle name="G05 Tab Head Light 2" xfId="455"/>
    <cellStyle name="G05 Tab Head Light 2 2" xfId="456"/>
    <cellStyle name="G05 Tab Head Light 2 2 2" xfId="457"/>
    <cellStyle name="G05 Tab Head Light 2 2 2 2" xfId="3691"/>
    <cellStyle name="G05 Tab Head Light 2 2 3" xfId="3692"/>
    <cellStyle name="G05 Tab Head Light 2 3" xfId="458"/>
    <cellStyle name="G05 Tab Head Light 2 3 2" xfId="3693"/>
    <cellStyle name="G05 Tab Head Light 2 4" xfId="2137"/>
    <cellStyle name="G05 Tab Head Light 2 4 2" xfId="17867"/>
    <cellStyle name="G05 Tab Head Light 2 5" xfId="2123"/>
    <cellStyle name="G05 Tab Head Light 2 5 2" xfId="18264"/>
    <cellStyle name="G05 Tab Head Light 2 6" xfId="20498"/>
    <cellStyle name="G05 Tab Head Light 3" xfId="459"/>
    <cellStyle name="G05 Tab Head Light 3 2" xfId="460"/>
    <cellStyle name="G05 Tab Head Light 3 2 2" xfId="3694"/>
    <cellStyle name="G05 Tab Head Light 3 3" xfId="2139"/>
    <cellStyle name="G05 Tab Head Light 3 3 2" xfId="18994"/>
    <cellStyle name="G05 Tab Head Light 3 4" xfId="2138"/>
    <cellStyle name="G05 Tab Head Light 3 4 2" xfId="18992"/>
    <cellStyle name="G05 Tab Head Light 3 5" xfId="20480"/>
    <cellStyle name="G05 Tab Head Light 4" xfId="461"/>
    <cellStyle name="G05 Tab Head Light 4 2" xfId="2145"/>
    <cellStyle name="G05 Tab Head Light 4 2 2" xfId="6005"/>
    <cellStyle name="G05 Tab Head Light 4 3" xfId="6030"/>
    <cellStyle name="G05 Tab Head Light 5" xfId="462"/>
    <cellStyle name="G05 Tab Head Light 5 2" xfId="799"/>
    <cellStyle name="G05 Tab Head Light 5 2 2" xfId="5290"/>
    <cellStyle name="G05 Tab Head Light 5 3" xfId="5318"/>
    <cellStyle name="G05 Tab Head Light 6" xfId="2146"/>
    <cellStyle name="G05 Tab Head Light 6 2" xfId="2147"/>
    <cellStyle name="G05 Tab Head Light 6 2 2" xfId="18265"/>
    <cellStyle name="G05 Tab Head Light 6 3" xfId="17870"/>
    <cellStyle name="G05 Tab Head Light 7" xfId="2148"/>
    <cellStyle name="G05 Tab Head Light 7 2" xfId="2149"/>
    <cellStyle name="G05 Tab Head Light 7 2 2" xfId="17871"/>
    <cellStyle name="G05 Tab Head Light 7 3" xfId="18266"/>
    <cellStyle name="G05 Tab Head Light 8" xfId="2150"/>
    <cellStyle name="G05 Tab Head Light 8 2" xfId="3695"/>
    <cellStyle name="G05 Tab Head Light 9" xfId="20487"/>
    <cellStyle name="G05 Tab Head Light 9 2" xfId="50277"/>
    <cellStyle name="Good" xfId="41" builtinId="26" customBuiltin="1"/>
    <cellStyle name="Good 2" xfId="463"/>
    <cellStyle name="Good 2 2" xfId="3698"/>
    <cellStyle name="Good 2 3" xfId="5141"/>
    <cellStyle name="Good 2 4" xfId="3697"/>
    <cellStyle name="Good 3" xfId="1110"/>
    <cellStyle name="Good 3 2" xfId="3700"/>
    <cellStyle name="Good 3 3" xfId="3701"/>
    <cellStyle name="Good 3 4" xfId="3699"/>
    <cellStyle name="Good 4" xfId="3696"/>
    <cellStyle name="Good 5" xfId="6077"/>
    <cellStyle name="Green" xfId="464"/>
    <cellStyle name="Green 2" xfId="465"/>
    <cellStyle name="Green 2 2" xfId="466"/>
    <cellStyle name="Green 2 2 2" xfId="2164"/>
    <cellStyle name="Green 2 3" xfId="2165"/>
    <cellStyle name="Green 3" xfId="467"/>
    <cellStyle name="Green 3 2" xfId="800"/>
    <cellStyle name="Green 3 2 2" xfId="2166"/>
    <cellStyle name="Green 3 3" xfId="2167"/>
    <cellStyle name="Green 4" xfId="831"/>
    <cellStyle name="Green 4 2" xfId="845"/>
    <cellStyle name="Green 4 2 2" xfId="850"/>
    <cellStyle name="Green 4 2 2 2" xfId="2169"/>
    <cellStyle name="Green 4 2 2 2 2" xfId="5463"/>
    <cellStyle name="Green 4 2 2 2 2 2" xfId="18410"/>
    <cellStyle name="Green 4 2 2 2 3" xfId="17937"/>
    <cellStyle name="Green 4 2 2 2 3 2" xfId="19148"/>
    <cellStyle name="Green 4 2 2 3" xfId="2168"/>
    <cellStyle name="Green 4 2 2 4" xfId="2613"/>
    <cellStyle name="Green 4 2 2 4 2" xfId="5707"/>
    <cellStyle name="Green 4 2 2 4 2 2" xfId="7491"/>
    <cellStyle name="Green 4 2 2 4 3" xfId="6591"/>
    <cellStyle name="Green 4 2 3" xfId="1053"/>
    <cellStyle name="Green 4 2 3 2" xfId="2170"/>
    <cellStyle name="Green 4 3" xfId="848"/>
    <cellStyle name="Green 4 3 2" xfId="2171"/>
    <cellStyle name="Green 5" xfId="2259"/>
    <cellStyle name="Green 5 2" xfId="5530"/>
    <cellStyle name="Green 5 2 2" xfId="19085"/>
    <cellStyle name="Green 5 3" xfId="18995"/>
    <cellStyle name="Grey" xfId="468"/>
    <cellStyle name="Grey 2" xfId="469"/>
    <cellStyle name="Grey 2 2" xfId="2155"/>
    <cellStyle name="Grey 2 3" xfId="2154"/>
    <cellStyle name="Grey 3" xfId="470"/>
    <cellStyle name="Growth%" xfId="3702"/>
    <cellStyle name="GrowthRate" xfId="3703"/>
    <cellStyle name="hard no" xfId="471"/>
    <cellStyle name="hard no 2" xfId="472"/>
    <cellStyle name="hard no 2 2" xfId="3704"/>
    <cellStyle name="hard no 3" xfId="3705"/>
    <cellStyle name="hardno" xfId="473"/>
    <cellStyle name="HEADER" xfId="3706"/>
    <cellStyle name="Header1" xfId="474"/>
    <cellStyle name="Header1 2" xfId="3707"/>
    <cellStyle name="Header2" xfId="475"/>
    <cellStyle name="Header2 2" xfId="3708"/>
    <cellStyle name="HeaderStyle" xfId="23558"/>
    <cellStyle name="Heading 1" xfId="42" builtinId="16" customBuiltin="1"/>
    <cellStyle name="Heading 1 2" xfId="476"/>
    <cellStyle name="Heading 1 2 2" xfId="3711"/>
    <cellStyle name="Heading 1 2 3" xfId="5142"/>
    <cellStyle name="Heading 1 2 4" xfId="3710"/>
    <cellStyle name="Heading 1 3" xfId="1111"/>
    <cellStyle name="Heading 1 3 2" xfId="3713"/>
    <cellStyle name="Heading 1 3 3" xfId="3714"/>
    <cellStyle name="Heading 1 3 4" xfId="3712"/>
    <cellStyle name="Heading 1 3 5" xfId="23557"/>
    <cellStyle name="Heading 1 4" xfId="3709"/>
    <cellStyle name="Heading 1 5" xfId="6073"/>
    <cellStyle name="Heading 2" xfId="43" builtinId="17" customBuiltin="1"/>
    <cellStyle name="Heading 2 2" xfId="477"/>
    <cellStyle name="Heading 2 2 2" xfId="3717"/>
    <cellStyle name="Heading 2 2 3" xfId="5143"/>
    <cellStyle name="Heading 2 2 4" xfId="3716"/>
    <cellStyle name="Heading 2 3" xfId="1112"/>
    <cellStyle name="Heading 2 3 2" xfId="3719"/>
    <cellStyle name="Heading 2 3 3" xfId="3720"/>
    <cellStyle name="Heading 2 3 4" xfId="3718"/>
    <cellStyle name="Heading 2 3 5" xfId="23556"/>
    <cellStyle name="Heading 2 4" xfId="3715"/>
    <cellStyle name="Heading 2 5" xfId="6074"/>
    <cellStyle name="Heading 3" xfId="44" builtinId="18" customBuiltin="1"/>
    <cellStyle name="Heading 3 2" xfId="478"/>
    <cellStyle name="Heading 3 2 2" xfId="3723"/>
    <cellStyle name="Heading 3 2 3" xfId="5144"/>
    <cellStyle name="Heading 3 2 4" xfId="3722"/>
    <cellStyle name="Heading 3 3" xfId="1113"/>
    <cellStyle name="Heading 3 3 2" xfId="3725"/>
    <cellStyle name="Heading 3 3 3" xfId="3726"/>
    <cellStyle name="Heading 3 3 4" xfId="3724"/>
    <cellStyle name="Heading 3 3 5" xfId="23555"/>
    <cellStyle name="Heading 3 4" xfId="3721"/>
    <cellStyle name="Heading 3 5" xfId="6075"/>
    <cellStyle name="Heading 4" xfId="45" builtinId="19" customBuiltin="1"/>
    <cellStyle name="Heading 4 2" xfId="479"/>
    <cellStyle name="Heading 4 3" xfId="1114"/>
    <cellStyle name="Heading 4 3 2" xfId="3729"/>
    <cellStyle name="Heading 4 3 3" xfId="3730"/>
    <cellStyle name="Heading 4 3 4" xfId="3728"/>
    <cellStyle name="Heading 4 3 5" xfId="23554"/>
    <cellStyle name="Heading 4 4" xfId="3727"/>
    <cellStyle name="Heading 4 5" xfId="6076"/>
    <cellStyle name="Heading1" xfId="3731"/>
    <cellStyle name="Heading2" xfId="3732"/>
    <cellStyle name="Hidden" xfId="480"/>
    <cellStyle name="Hidden 2" xfId="895"/>
    <cellStyle name="Hidden 2 2" xfId="3734"/>
    <cellStyle name="Hidden 2 3" xfId="3735"/>
    <cellStyle name="Hidden 2 4" xfId="3733"/>
    <cellStyle name="Hidden 3" xfId="2157"/>
    <cellStyle name="HIGHLIGHT" xfId="3736"/>
    <cellStyle name="Hyperlink 2" xfId="1033"/>
    <cellStyle name="Hyperlink 2 2" xfId="1255"/>
    <cellStyle name="Hyperlink 2 2 2" xfId="1598"/>
    <cellStyle name="Hyperlink 2 2 3" xfId="1597"/>
    <cellStyle name="Hyperlink 2 2 4" xfId="3738"/>
    <cellStyle name="Hyperlink 2 2 5" xfId="3737"/>
    <cellStyle name="Hyperlink 2 2 6" xfId="23553"/>
    <cellStyle name="Hyperlink 2 3" xfId="1453"/>
    <cellStyle name="Hyperlink 2 3 2" xfId="3740"/>
    <cellStyle name="Hyperlink 2 3 3" xfId="5145"/>
    <cellStyle name="Hyperlink 2 3 4" xfId="3739"/>
    <cellStyle name="Hyperlink 3" xfId="1254"/>
    <cellStyle name="Hyperlink 3 2" xfId="1600"/>
    <cellStyle name="Hyperlink 3 3" xfId="1599"/>
    <cellStyle name="Hyperlink 3 4" xfId="3742"/>
    <cellStyle name="Hyperlink 3 5" xfId="3741"/>
    <cellStyle name="Hyperlink 4" xfId="1034"/>
    <cellStyle name="Hyperlink 4 2" xfId="1602"/>
    <cellStyle name="Hyperlink 4 2 2" xfId="2183"/>
    <cellStyle name="Hyperlink 4 2 2 2" xfId="17938"/>
    <cellStyle name="Hyperlink 4 2 3" xfId="2184"/>
    <cellStyle name="Hyperlink 4 2 3 2" xfId="17939"/>
    <cellStyle name="Hyperlink 4 2 4" xfId="2182"/>
    <cellStyle name="Hyperlink 4 2 5" xfId="5385"/>
    <cellStyle name="Hyperlink 4 2 5 2" xfId="17933"/>
    <cellStyle name="Hyperlink 4 3" xfId="1601"/>
    <cellStyle name="Hyperlink 4 3 2" xfId="3744"/>
    <cellStyle name="Hyperlink 4 3 3" xfId="3745"/>
    <cellStyle name="Hyperlink 4 3 4" xfId="5146"/>
    <cellStyle name="Hyperlink 4 3 5" xfId="3743"/>
    <cellStyle name="Hyperlink 4 4" xfId="2185"/>
    <cellStyle name="Hyperlink 4 4 2" xfId="17940"/>
    <cellStyle name="Hyperlink 4 5" xfId="2158"/>
    <cellStyle name="Hyperlink 4 5 2" xfId="17872"/>
    <cellStyle name="Hyperlink 4 5 3" xfId="17934"/>
    <cellStyle name="Hyperlink 4 6" xfId="17935"/>
    <cellStyle name="Hyperlink 5" xfId="1596"/>
    <cellStyle name="Income Statement" xfId="3746"/>
    <cellStyle name="IncomeStatement" xfId="3747"/>
    <cellStyle name="Info_Main" xfId="5034"/>
    <cellStyle name="Input" xfId="46" builtinId="20" customBuiltin="1"/>
    <cellStyle name="Input [yellow]" xfId="481"/>
    <cellStyle name="Input [yellow] 2" xfId="482"/>
    <cellStyle name="Input [yellow] 3" xfId="483"/>
    <cellStyle name="Input 10" xfId="484"/>
    <cellStyle name="Input 100" xfId="11146"/>
    <cellStyle name="Input 101" xfId="11156"/>
    <cellStyle name="Input 102" xfId="11145"/>
    <cellStyle name="Input 103" xfId="11160"/>
    <cellStyle name="Input 104" xfId="11144"/>
    <cellStyle name="Input 105" xfId="11161"/>
    <cellStyle name="Input 106" xfId="11143"/>
    <cellStyle name="Input 107" xfId="11153"/>
    <cellStyle name="Input 108" xfId="17941"/>
    <cellStyle name="Input 109" xfId="18160"/>
    <cellStyle name="Input 11" xfId="485"/>
    <cellStyle name="Input 110" xfId="20446"/>
    <cellStyle name="Input 111" xfId="20492"/>
    <cellStyle name="Input 112" xfId="20595"/>
    <cellStyle name="Input 113" xfId="23247"/>
    <cellStyle name="Input 114" xfId="20440"/>
    <cellStyle name="Input 115" xfId="17916"/>
    <cellStyle name="Input 116" xfId="18704"/>
    <cellStyle name="Input 117" xfId="23249"/>
    <cellStyle name="Input 118" xfId="20456"/>
    <cellStyle name="Input 119" xfId="20488"/>
    <cellStyle name="Input 12" xfId="486"/>
    <cellStyle name="Input 120" xfId="23252"/>
    <cellStyle name="Input 121" xfId="23253"/>
    <cellStyle name="Input 122" xfId="23248"/>
    <cellStyle name="Input 123" xfId="23370"/>
    <cellStyle name="Input 124" xfId="23694"/>
    <cellStyle name="Input 125" xfId="6080"/>
    <cellStyle name="Input 13" xfId="487"/>
    <cellStyle name="Input 13 2" xfId="23552"/>
    <cellStyle name="Input 14" xfId="488"/>
    <cellStyle name="Input 14 2" xfId="23832"/>
    <cellStyle name="Input 14 3" xfId="23551"/>
    <cellStyle name="Input 15" xfId="489"/>
    <cellStyle name="Input 15 2" xfId="23831"/>
    <cellStyle name="Input 15 3" xfId="23550"/>
    <cellStyle name="Input 16" xfId="490"/>
    <cellStyle name="Input 16 2" xfId="23830"/>
    <cellStyle name="Input 16 3" xfId="23549"/>
    <cellStyle name="Input 17" xfId="491"/>
    <cellStyle name="Input 17 2" xfId="23829"/>
    <cellStyle name="Input 17 3" xfId="23548"/>
    <cellStyle name="Input 18" xfId="492"/>
    <cellStyle name="Input 18 2" xfId="23828"/>
    <cellStyle name="Input 18 3" xfId="23547"/>
    <cellStyle name="Input 19" xfId="493"/>
    <cellStyle name="Input 2" xfId="494"/>
    <cellStyle name="Input 20" xfId="495"/>
    <cellStyle name="Input 21" xfId="496"/>
    <cellStyle name="Input 22" xfId="497"/>
    <cellStyle name="Input 23" xfId="834"/>
    <cellStyle name="Input 23 2" xfId="3749"/>
    <cellStyle name="Input 23 3" xfId="3748"/>
    <cellStyle name="Input 24" xfId="830"/>
    <cellStyle name="Input 24 2" xfId="3751"/>
    <cellStyle name="Input 24 3" xfId="3750"/>
    <cellStyle name="Input 25" xfId="832"/>
    <cellStyle name="Input 26" xfId="829"/>
    <cellStyle name="Input 27" xfId="833"/>
    <cellStyle name="Input 28" xfId="853"/>
    <cellStyle name="Input 29" xfId="854"/>
    <cellStyle name="Input 3" xfId="498"/>
    <cellStyle name="Input 30" xfId="946"/>
    <cellStyle name="Input 31" xfId="950"/>
    <cellStyle name="Input 32" xfId="1060"/>
    <cellStyle name="Input 33" xfId="1062"/>
    <cellStyle name="Input 34" xfId="1061"/>
    <cellStyle name="Input 35" xfId="1222"/>
    <cellStyle name="Input 36" xfId="1223"/>
    <cellStyle name="Input 37" xfId="1252"/>
    <cellStyle name="Input 38" xfId="1241"/>
    <cellStyle name="Input 39" xfId="1246"/>
    <cellStyle name="Input 4" xfId="499"/>
    <cellStyle name="Input 40" xfId="1240"/>
    <cellStyle name="Input 41" xfId="1247"/>
    <cellStyle name="Input 42" xfId="1239"/>
    <cellStyle name="Input 43" xfId="1248"/>
    <cellStyle name="Input 44" xfId="1238"/>
    <cellStyle name="Input 45" xfId="1249"/>
    <cellStyle name="Input 46" xfId="1237"/>
    <cellStyle name="Input 47" xfId="1250"/>
    <cellStyle name="Input 48" xfId="1236"/>
    <cellStyle name="Input 49" xfId="1244"/>
    <cellStyle name="Input 5" xfId="500"/>
    <cellStyle name="Input 50" xfId="1235"/>
    <cellStyle name="Input 51" xfId="1245"/>
    <cellStyle name="Input 52" xfId="1234"/>
    <cellStyle name="Input 53" xfId="1251"/>
    <cellStyle name="Input 54" xfId="1233"/>
    <cellStyle name="Input 55" xfId="1286"/>
    <cellStyle name="Input 56" xfId="1285"/>
    <cellStyle name="Input 57" xfId="1290"/>
    <cellStyle name="Input 58" xfId="1516"/>
    <cellStyle name="Input 59" xfId="1605"/>
    <cellStyle name="Input 6" xfId="501"/>
    <cellStyle name="Input 60" xfId="1606"/>
    <cellStyle name="Input 61" xfId="1607"/>
    <cellStyle name="Input 62" xfId="1603"/>
    <cellStyle name="Input 63" xfId="1604"/>
    <cellStyle name="Input 64" xfId="1587"/>
    <cellStyle name="Input 65" xfId="1888"/>
    <cellStyle name="Input 66" xfId="1885"/>
    <cellStyle name="Input 67" xfId="1887"/>
    <cellStyle name="Input 68" xfId="1886"/>
    <cellStyle name="Input 69" xfId="2186"/>
    <cellStyle name="Input 7" xfId="502"/>
    <cellStyle name="Input 70" xfId="2187"/>
    <cellStyle name="Input 71" xfId="2047"/>
    <cellStyle name="Input 72" xfId="2189"/>
    <cellStyle name="Input 73" xfId="2160"/>
    <cellStyle name="Input 74" xfId="2190"/>
    <cellStyle name="Input 75" xfId="2159"/>
    <cellStyle name="Input 76" xfId="2024"/>
    <cellStyle name="Input 77" xfId="2596"/>
    <cellStyle name="Input 78" xfId="2025"/>
    <cellStyle name="Input 79" xfId="2597"/>
    <cellStyle name="Input 8" xfId="503"/>
    <cellStyle name="Input 80" xfId="2032"/>
    <cellStyle name="Input 81" xfId="1978"/>
    <cellStyle name="Input 82" xfId="2033"/>
    <cellStyle name="Input 83" xfId="1977"/>
    <cellStyle name="Input 84" xfId="2034"/>
    <cellStyle name="Input 85" xfId="1976"/>
    <cellStyle name="Input 86" xfId="2035"/>
    <cellStyle name="Input 87" xfId="1974"/>
    <cellStyle name="Input 88" xfId="2036"/>
    <cellStyle name="Input 89" xfId="11162"/>
    <cellStyle name="Input 9" xfId="504"/>
    <cellStyle name="Input 90" xfId="11151"/>
    <cellStyle name="Input 91" xfId="11157"/>
    <cellStyle name="Input 92" xfId="11150"/>
    <cellStyle name="Input 93" xfId="11158"/>
    <cellStyle name="Input 94" xfId="11149"/>
    <cellStyle name="Input 95" xfId="11159"/>
    <cellStyle name="Input 96" xfId="11148"/>
    <cellStyle name="Input 97" xfId="11155"/>
    <cellStyle name="Input 98" xfId="11147"/>
    <cellStyle name="Input 99" xfId="11154"/>
    <cellStyle name="Input Titles" xfId="5035"/>
    <cellStyle name="Input%" xfId="5036"/>
    <cellStyle name="InputBlueFont" xfId="505"/>
    <cellStyle name="InputDate" xfId="5037"/>
    <cellStyle name="InputDecimal" xfId="5038"/>
    <cellStyle name="InputDescriptions" xfId="5039"/>
    <cellStyle name="InputHeading1" xfId="5040"/>
    <cellStyle name="InputValue" xfId="5041"/>
    <cellStyle name="Integer" xfId="506"/>
    <cellStyle name="Integer 2" xfId="3753"/>
    <cellStyle name="Invisible" xfId="3754"/>
    <cellStyle name="Italic" xfId="3755"/>
    <cellStyle name="Item" xfId="5042"/>
    <cellStyle name="ItemTypeClass" xfId="5043"/>
    <cellStyle name="KP_Normal" xfId="507"/>
    <cellStyle name="KPMG Heading 1" xfId="3756"/>
    <cellStyle name="KPMG Heading 2" xfId="3757"/>
    <cellStyle name="KPMG Heading 3" xfId="3758"/>
    <cellStyle name="KPMG Heading 4" xfId="3759"/>
    <cellStyle name="KPMG Normal" xfId="3760"/>
    <cellStyle name="KPMG Normal Text" xfId="3761"/>
    <cellStyle name="l]_x000d__x000a_Path=M:\RIOCEN01_x000d__x000a_Name=Carlos Emilio Brousse_x000d__x000a_DDEApps=nsf,nsg,nsh,ntf,ns2,ors,org_x000d__x000a_SmartIcons=Todos_x000d__x000a_" xfId="3762"/>
    <cellStyle name="Ligne détail" xfId="23546"/>
    <cellStyle name="Linked Cell" xfId="47" builtinId="24" customBuiltin="1"/>
    <cellStyle name="Linked Cell 2" xfId="508"/>
    <cellStyle name="Linked Cell 2 2" xfId="3765"/>
    <cellStyle name="Linked Cell 2 3" xfId="5147"/>
    <cellStyle name="Linked Cell 2 4" xfId="3764"/>
    <cellStyle name="Linked Cell 3" xfId="1115"/>
    <cellStyle name="Linked Cell 3 2" xfId="3767"/>
    <cellStyle name="Linked Cell 3 3" xfId="3768"/>
    <cellStyle name="Linked Cell 3 4" xfId="3766"/>
    <cellStyle name="Linked Cell 4" xfId="3763"/>
    <cellStyle name="Linked Cell 5" xfId="6083"/>
    <cellStyle name="m_AA - BenefitsBonus " xfId="3769"/>
    <cellStyle name="Margins" xfId="3770"/>
    <cellStyle name="MetricLabel" xfId="509"/>
    <cellStyle name="MetricLabel 2" xfId="896"/>
    <cellStyle name="MetricLabel 2 2" xfId="3772"/>
    <cellStyle name="MetricLabel 2 3" xfId="3773"/>
    <cellStyle name="MetricLabel 2 4" xfId="3771"/>
    <cellStyle name="MetricLabel 3" xfId="2161"/>
    <cellStyle name="MetricLabelBlue" xfId="510"/>
    <cellStyle name="MetricLabelBlue 2" xfId="897"/>
    <cellStyle name="MetricLabelBlue 2 2" xfId="3775"/>
    <cellStyle name="MetricLabelBlue 2 3" xfId="3776"/>
    <cellStyle name="MetricLabelBlue 2 4" xfId="3774"/>
    <cellStyle name="MetricLabelBlue 3" xfId="2162"/>
    <cellStyle name="MetricValue" xfId="511"/>
    <cellStyle name="MetricValue 2" xfId="898"/>
    <cellStyle name="MetricValue 2 2" xfId="3778"/>
    <cellStyle name="MetricValue 2 3" xfId="3779"/>
    <cellStyle name="MetricValue 2 4" xfId="3777"/>
    <cellStyle name="MetricValue 3" xfId="2163"/>
    <cellStyle name="MEV2" xfId="23538"/>
    <cellStyle name="middle" xfId="3780"/>
    <cellStyle name="middle-title" xfId="3781"/>
    <cellStyle name="mm/dd/yy" xfId="3782"/>
    <cellStyle name="MonthYears" xfId="512"/>
    <cellStyle name="MonthYears 2" xfId="513"/>
    <cellStyle name="MonthYears 3" xfId="514"/>
    <cellStyle name="Multiple" xfId="3783"/>
    <cellStyle name="Multiple 2" xfId="5044"/>
    <cellStyle name="MW" xfId="1257"/>
    <cellStyle name="Neutral" xfId="48" builtinId="28" customBuiltin="1"/>
    <cellStyle name="Neutral 2" xfId="515"/>
    <cellStyle name="Neutral 2 2" xfId="3786"/>
    <cellStyle name="Neutral 2 3" xfId="5148"/>
    <cellStyle name="Neutral 2 4" xfId="3785"/>
    <cellStyle name="Neutral 3" xfId="1116"/>
    <cellStyle name="Neutral 3 2" xfId="3788"/>
    <cellStyle name="Neutral 3 3" xfId="3787"/>
    <cellStyle name="Neutral 4" xfId="3784"/>
    <cellStyle name="Neutral 5" xfId="6079"/>
    <cellStyle name="NewColumnHeaderNormal" xfId="3789"/>
    <cellStyle name="NewSectionHeaderNormal" xfId="3790"/>
    <cellStyle name="NewTitleNormal" xfId="3791"/>
    <cellStyle name="No Commas" xfId="3792"/>
    <cellStyle name="no dec" xfId="516"/>
    <cellStyle name="no dec 2" xfId="2172"/>
    <cellStyle name="Normal" xfId="0" builtinId="0"/>
    <cellStyle name="Normal - Style1" xfId="517"/>
    <cellStyle name="Normal - Style1 2" xfId="3793"/>
    <cellStyle name="Normal - Style1 3" xfId="5045"/>
    <cellStyle name="Normal 1" xfId="1608"/>
    <cellStyle name="Normal 1 2" xfId="1609"/>
    <cellStyle name="Normal 10" xfId="518"/>
    <cellStyle name="Normal 10 2" xfId="519"/>
    <cellStyle name="Normal 10 2 10" xfId="25061"/>
    <cellStyle name="Normal 10 2 10 2" xfId="27274"/>
    <cellStyle name="Normal 10 2 10 2 2" xfId="49519"/>
    <cellStyle name="Normal 10 2 10 3" xfId="47306"/>
    <cellStyle name="Normal 10 2 2" xfId="1183"/>
    <cellStyle name="Normal 10 2 2 2" xfId="3798"/>
    <cellStyle name="Normal 10 2 2 2 2" xfId="23523"/>
    <cellStyle name="Normal 10 2 2 2 2 2" xfId="45857"/>
    <cellStyle name="Normal 10 2 2 3" xfId="3799"/>
    <cellStyle name="Normal 10 2 2 4" xfId="5150"/>
    <cellStyle name="Normal 10 2 2 4 2" xfId="7222"/>
    <cellStyle name="Normal 10 2 2 4 2 2" xfId="10553"/>
    <cellStyle name="Normal 10 2 2 4 2 2 2" xfId="17257"/>
    <cellStyle name="Normal 10 2 2 4 2 2 2 2" xfId="40678"/>
    <cellStyle name="Normal 10 2 2 4 2 2 3" xfId="34046"/>
    <cellStyle name="Normal 10 2 2 4 2 3" xfId="13941"/>
    <cellStyle name="Normal 10 2 2 4 2 3 2" xfId="37362"/>
    <cellStyle name="Normal 10 2 2 4 2 4" xfId="26064"/>
    <cellStyle name="Normal 10 2 2 4 2 4 2" xfId="48309"/>
    <cellStyle name="Normal 10 2 2 4 2 5" xfId="30730"/>
    <cellStyle name="Normal 10 2 2 4 3" xfId="8893"/>
    <cellStyle name="Normal 10 2 2 4 3 2" xfId="15599"/>
    <cellStyle name="Normal 10 2 2 4 3 2 2" xfId="39020"/>
    <cellStyle name="Normal 10 2 2 4 3 3" xfId="32388"/>
    <cellStyle name="Normal 10 2 2 4 4" xfId="12282"/>
    <cellStyle name="Normal 10 2 2 4 4 2" xfId="35704"/>
    <cellStyle name="Normal 10 2 2 4 5" xfId="23852"/>
    <cellStyle name="Normal 10 2 2 4 5 2" xfId="46117"/>
    <cellStyle name="Normal 10 2 2 4 6" xfId="29072"/>
    <cellStyle name="Normal 10 2 2 5" xfId="3797"/>
    <cellStyle name="Normal 10 2 2 5 2" xfId="6937"/>
    <cellStyle name="Normal 10 2 2 5 2 2" xfId="10269"/>
    <cellStyle name="Normal 10 2 2 5 2 2 2" xfId="16973"/>
    <cellStyle name="Normal 10 2 2 5 2 2 2 2" xfId="40394"/>
    <cellStyle name="Normal 10 2 2 5 2 2 3" xfId="33762"/>
    <cellStyle name="Normal 10 2 2 5 2 3" xfId="13657"/>
    <cellStyle name="Normal 10 2 2 5 2 3 2" xfId="37078"/>
    <cellStyle name="Normal 10 2 2 5 2 4" xfId="25788"/>
    <cellStyle name="Normal 10 2 2 5 2 4 2" xfId="48033"/>
    <cellStyle name="Normal 10 2 2 5 2 5" xfId="30446"/>
    <cellStyle name="Normal 10 2 2 5 3" xfId="8604"/>
    <cellStyle name="Normal 10 2 2 5 3 2" xfId="15315"/>
    <cellStyle name="Normal 10 2 2 5 3 2 2" xfId="38736"/>
    <cellStyle name="Normal 10 2 2 5 3 3" xfId="32104"/>
    <cellStyle name="Normal 10 2 2 5 4" xfId="11997"/>
    <cellStyle name="Normal 10 2 2 5 4 2" xfId="35420"/>
    <cellStyle name="Normal 10 2 2 5 5" xfId="23469"/>
    <cellStyle name="Normal 10 2 2 5 5 2" xfId="45814"/>
    <cellStyle name="Normal 10 2 2 5 6" xfId="28788"/>
    <cellStyle name="Normal 10 2 2 6" xfId="23409"/>
    <cellStyle name="Normal 10 2 2 6 2" xfId="45754"/>
    <cellStyle name="Normal 10 2 3" xfId="1117"/>
    <cellStyle name="Normal 10 2 3 10" xfId="7787"/>
    <cellStyle name="Normal 10 2 3 10 2" xfId="14502"/>
    <cellStyle name="Normal 10 2 3 10 2 2" xfId="37923"/>
    <cellStyle name="Normal 10 2 3 10 3" xfId="20661"/>
    <cellStyle name="Normal 10 2 3 10 3 2" xfId="43112"/>
    <cellStyle name="Normal 10 2 3 10 4" xfId="31291"/>
    <cellStyle name="Normal 10 2 3 11" xfId="11184"/>
    <cellStyle name="Normal 10 2 3 11 2" xfId="21581"/>
    <cellStyle name="Normal 10 2 3 11 2 2" xfId="44030"/>
    <cellStyle name="Normal 10 2 3 11 3" xfId="34607"/>
    <cellStyle name="Normal 10 2 3 12" xfId="17944"/>
    <cellStyle name="Normal 10 2 3 12 2" xfId="41253"/>
    <cellStyle name="Normal 10 2 3 13" xfId="23365"/>
    <cellStyle name="Normal 10 2 3 13 2" xfId="45731"/>
    <cellStyle name="Normal 10 2 3 14" xfId="27975"/>
    <cellStyle name="Normal 10 2 3 2" xfId="1463"/>
    <cellStyle name="Normal 10 2 3 2 10" xfId="11212"/>
    <cellStyle name="Normal 10 2 3 2 10 2" xfId="21582"/>
    <cellStyle name="Normal 10 2 3 2 10 2 2" xfId="44031"/>
    <cellStyle name="Normal 10 2 3 2 10 3" xfId="34635"/>
    <cellStyle name="Normal 10 2 3 2 11" xfId="17945"/>
    <cellStyle name="Normal 10 2 3 2 11 2" xfId="41254"/>
    <cellStyle name="Normal 10 2 3 2 12" xfId="23364"/>
    <cellStyle name="Normal 10 2 3 2 12 2" xfId="45730"/>
    <cellStyle name="Normal 10 2 3 2 13" xfId="28003"/>
    <cellStyle name="Normal 10 2 3 2 2" xfId="1503"/>
    <cellStyle name="Normal 10 2 3 2 2 10" xfId="17946"/>
    <cellStyle name="Normal 10 2 3 2 2 10 2" xfId="41255"/>
    <cellStyle name="Normal 10 2 3 2 2 11" xfId="23363"/>
    <cellStyle name="Normal 10 2 3 2 2 11 2" xfId="45729"/>
    <cellStyle name="Normal 10 2 3 2 2 12" xfId="28039"/>
    <cellStyle name="Normal 10 2 3 2 2 2" xfId="1613"/>
    <cellStyle name="Normal 10 2 3 2 2 2 10" xfId="23362"/>
    <cellStyle name="Normal 10 2 3 2 2 2 10 2" xfId="45728"/>
    <cellStyle name="Normal 10 2 3 2 2 2 11" xfId="28056"/>
    <cellStyle name="Normal 10 2 3 2 2 2 2" xfId="1835"/>
    <cellStyle name="Normal 10 2 3 2 2 2 2 10" xfId="28187"/>
    <cellStyle name="Normal 10 2 3 2 2 2 2 2" xfId="2195"/>
    <cellStyle name="Normal 10 2 3 2 2 2 2 2 2" xfId="5470"/>
    <cellStyle name="Normal 10 2 3 2 2 2 2 2 2 2" xfId="7296"/>
    <cellStyle name="Normal 10 2 3 2 2 2 2 2 2 2 2" xfId="10627"/>
    <cellStyle name="Normal 10 2 3 2 2 2 2 2 2 2 2 2" xfId="17331"/>
    <cellStyle name="Normal 10 2 3 2 2 2 2 2 2 2 2 2 2" xfId="40752"/>
    <cellStyle name="Normal 10 2 3 2 2 2 2 2 2 2 2 3" xfId="23043"/>
    <cellStyle name="Normal 10 2 3 2 2 2 2 2 2 2 2 3 2" xfId="45465"/>
    <cellStyle name="Normal 10 2 3 2 2 2 2 2 2 2 2 4" xfId="34120"/>
    <cellStyle name="Normal 10 2 3 2 2 2 2 2 2 2 3" xfId="14015"/>
    <cellStyle name="Normal 10 2 3 2 2 2 2 2 2 2 3 2" xfId="37436"/>
    <cellStyle name="Normal 10 2 3 2 2 2 2 2 2 2 4" xfId="20215"/>
    <cellStyle name="Normal 10 2 3 2 2 2 2 2 2 2 4 2" xfId="42750"/>
    <cellStyle name="Normal 10 2 3 2 2 2 2 2 2 2 5" xfId="30804"/>
    <cellStyle name="Normal 10 2 3 2 2 2 2 2 2 3" xfId="8969"/>
    <cellStyle name="Normal 10 2 3 2 2 2 2 2 2 3 2" xfId="15673"/>
    <cellStyle name="Normal 10 2 3 2 2 2 2 2 2 3 2 2" xfId="39094"/>
    <cellStyle name="Normal 10 2 3 2 2 2 2 2 2 3 3" xfId="21125"/>
    <cellStyle name="Normal 10 2 3 2 2 2 2 2 2 3 3 2" xfId="43576"/>
    <cellStyle name="Normal 10 2 3 2 2 2 2 2 2 3 4" xfId="32462"/>
    <cellStyle name="Normal 10 2 3 2 2 2 2 2 2 4" xfId="12357"/>
    <cellStyle name="Normal 10 2 3 2 2 2 2 2 2 4 2" xfId="22228"/>
    <cellStyle name="Normal 10 2 3 2 2 2 2 2 2 4 2 2" xfId="44650"/>
    <cellStyle name="Normal 10 2 3 2 2 2 2 2 2 4 3" xfId="35778"/>
    <cellStyle name="Normal 10 2 3 2 2 2 2 2 2 5" xfId="19376"/>
    <cellStyle name="Normal 10 2 3 2 2 2 2 2 2 5 2" xfId="41918"/>
    <cellStyle name="Normal 10 2 3 2 2 2 2 2 2 6" xfId="29146"/>
    <cellStyle name="Normal 10 2 3 2 2 2 2 2 3" xfId="6387"/>
    <cellStyle name="Normal 10 2 3 2 2 2 2 2 3 2" xfId="9721"/>
    <cellStyle name="Normal 10 2 3 2 2 2 2 2 3 2 2" xfId="16425"/>
    <cellStyle name="Normal 10 2 3 2 2 2 2 2 3 2 2 2" xfId="39846"/>
    <cellStyle name="Normal 10 2 3 2 2 2 2 2 3 2 3" xfId="22636"/>
    <cellStyle name="Normal 10 2 3 2 2 2 2 2 3 2 3 2" xfId="45058"/>
    <cellStyle name="Normal 10 2 3 2 2 2 2 2 3 2 4" xfId="33214"/>
    <cellStyle name="Normal 10 2 3 2 2 2 2 2 3 3" xfId="13109"/>
    <cellStyle name="Normal 10 2 3 2 2 2 2 2 3 3 2" xfId="36530"/>
    <cellStyle name="Normal 10 2 3 2 2 2 2 2 3 4" xfId="19799"/>
    <cellStyle name="Normal 10 2 3 2 2 2 2 2 3 4 2" xfId="42334"/>
    <cellStyle name="Normal 10 2 3 2 2 2 2 2 3 5" xfId="29898"/>
    <cellStyle name="Normal 10 2 3 2 2 2 2 2 4" xfId="8054"/>
    <cellStyle name="Normal 10 2 3 2 2 2 2 2 4 2" xfId="14767"/>
    <cellStyle name="Normal 10 2 3 2 2 2 2 2 4 2 2" xfId="38188"/>
    <cellStyle name="Normal 10 2 3 2 2 2 2 2 4 3" xfId="20666"/>
    <cellStyle name="Normal 10 2 3 2 2 2 2 2 4 3 2" xfId="43117"/>
    <cellStyle name="Normal 10 2 3 2 2 2 2 2 4 4" xfId="31556"/>
    <cellStyle name="Normal 10 2 3 2 2 2 2 2 5" xfId="11449"/>
    <cellStyle name="Normal 10 2 3 2 2 2 2 2 5 2" xfId="21794"/>
    <cellStyle name="Normal 10 2 3 2 2 2 2 2 5 2 2" xfId="44236"/>
    <cellStyle name="Normal 10 2 3 2 2 2 2 2 5 3" xfId="34872"/>
    <cellStyle name="Normal 10 2 3 2 2 2 2 2 6" xfId="18549"/>
    <cellStyle name="Normal 10 2 3 2 2 2 2 2 6 2" xfId="41493"/>
    <cellStyle name="Normal 10 2 3 2 2 2 2 2 7" xfId="25793"/>
    <cellStyle name="Normal 10 2 3 2 2 2 2 2 7 2" xfId="48038"/>
    <cellStyle name="Normal 10 2 3 2 2 2 2 2 8" xfId="28240"/>
    <cellStyle name="Normal 10 2 3 2 2 2 2 3" xfId="2832"/>
    <cellStyle name="Normal 10 2 3 2 2 2 2 3 2" xfId="5924"/>
    <cellStyle name="Normal 10 2 3 2 2 2 2 3 2 2" xfId="7706"/>
    <cellStyle name="Normal 10 2 3 2 2 2 2 3 2 2 2" xfId="11035"/>
    <cellStyle name="Normal 10 2 3 2 2 2 2 3 2 2 2 2" xfId="17739"/>
    <cellStyle name="Normal 10 2 3 2 2 2 2 3 2 2 2 2 2" xfId="41160"/>
    <cellStyle name="Normal 10 2 3 2 2 2 2 3 2 2 2 3" xfId="34528"/>
    <cellStyle name="Normal 10 2 3 2 2 2 2 3 2 2 3" xfId="14423"/>
    <cellStyle name="Normal 10 2 3 2 2 2 2 3 2 2 3 2" xfId="37844"/>
    <cellStyle name="Normal 10 2 3 2 2 2 2 3 2 2 4" xfId="22843"/>
    <cellStyle name="Normal 10 2 3 2 2 2 2 3 2 2 4 2" xfId="45265"/>
    <cellStyle name="Normal 10 2 3 2 2 2 2 3 2 2 5" xfId="31212"/>
    <cellStyle name="Normal 10 2 3 2 2 2 2 3 2 3" xfId="9377"/>
    <cellStyle name="Normal 10 2 3 2 2 2 2 3 2 3 2" xfId="16081"/>
    <cellStyle name="Normal 10 2 3 2 2 2 2 3 2 3 2 2" xfId="39502"/>
    <cellStyle name="Normal 10 2 3 2 2 2 2 3 2 3 3" xfId="32870"/>
    <cellStyle name="Normal 10 2 3 2 2 2 2 3 2 4" xfId="12765"/>
    <cellStyle name="Normal 10 2 3 2 2 2 2 3 2 4 2" xfId="36186"/>
    <cellStyle name="Normal 10 2 3 2 2 2 2 3 2 5" xfId="20007"/>
    <cellStyle name="Normal 10 2 3 2 2 2 2 3 2 5 2" xfId="42542"/>
    <cellStyle name="Normal 10 2 3 2 2 2 2 3 2 6" xfId="29554"/>
    <cellStyle name="Normal 10 2 3 2 2 2 2 3 3" xfId="6807"/>
    <cellStyle name="Normal 10 2 3 2 2 2 2 3 3 2" xfId="10139"/>
    <cellStyle name="Normal 10 2 3 2 2 2 2 3 3 2 2" xfId="16843"/>
    <cellStyle name="Normal 10 2 3 2 2 2 2 3 3 2 2 2" xfId="40264"/>
    <cellStyle name="Normal 10 2 3 2 2 2 2 3 3 2 3" xfId="33632"/>
    <cellStyle name="Normal 10 2 3 2 2 2 2 3 3 3" xfId="13527"/>
    <cellStyle name="Normal 10 2 3 2 2 2 2 3 3 3 2" xfId="36948"/>
    <cellStyle name="Normal 10 2 3 2 2 2 2 3 3 4" xfId="21124"/>
    <cellStyle name="Normal 10 2 3 2 2 2 2 3 3 4 2" xfId="43575"/>
    <cellStyle name="Normal 10 2 3 2 2 2 2 3 3 5" xfId="30316"/>
    <cellStyle name="Normal 10 2 3 2 2 2 2 3 4" xfId="8473"/>
    <cellStyle name="Normal 10 2 3 2 2 2 2 3 4 2" xfId="15185"/>
    <cellStyle name="Normal 10 2 3 2 2 2 2 3 4 2 2" xfId="38606"/>
    <cellStyle name="Normal 10 2 3 2 2 2 2 3 4 3" xfId="22016"/>
    <cellStyle name="Normal 10 2 3 2 2 2 2 3 4 3 2" xfId="44444"/>
    <cellStyle name="Normal 10 2 3 2 2 2 2 3 4 4" xfId="31974"/>
    <cellStyle name="Normal 10 2 3 2 2 2 2 3 5" xfId="11867"/>
    <cellStyle name="Normal 10 2 3 2 2 2 2 3 5 2" xfId="35290"/>
    <cellStyle name="Normal 10 2 3 2 2 2 2 3 6" xfId="19153"/>
    <cellStyle name="Normal 10 2 3 2 2 2 2 3 6 2" xfId="41710"/>
    <cellStyle name="Normal 10 2 3 2 2 2 2 3 7" xfId="28658"/>
    <cellStyle name="Normal 10 2 3 2 2 2 2 4" xfId="3804"/>
    <cellStyle name="Normal 10 2 3 2 2 2 2 4 2" xfId="6942"/>
    <cellStyle name="Normal 10 2 3 2 2 2 2 4 2 2" xfId="10274"/>
    <cellStyle name="Normal 10 2 3 2 2 2 2 4 2 2 2" xfId="16978"/>
    <cellStyle name="Normal 10 2 3 2 2 2 2 4 2 2 2 2" xfId="40399"/>
    <cellStyle name="Normal 10 2 3 2 2 2 2 4 2 2 3" xfId="33767"/>
    <cellStyle name="Normal 10 2 3 2 2 2 2 4 2 3" xfId="13662"/>
    <cellStyle name="Normal 10 2 3 2 2 2 2 4 2 3 2" xfId="37083"/>
    <cellStyle name="Normal 10 2 3 2 2 2 2 4 2 4" xfId="22436"/>
    <cellStyle name="Normal 10 2 3 2 2 2 2 4 2 4 2" xfId="44858"/>
    <cellStyle name="Normal 10 2 3 2 2 2 2 4 2 5" xfId="30451"/>
    <cellStyle name="Normal 10 2 3 2 2 2 2 4 3" xfId="8609"/>
    <cellStyle name="Normal 10 2 3 2 2 2 2 4 3 2" xfId="15320"/>
    <cellStyle name="Normal 10 2 3 2 2 2 2 4 3 2 2" xfId="38741"/>
    <cellStyle name="Normal 10 2 3 2 2 2 2 4 3 3" xfId="32109"/>
    <cellStyle name="Normal 10 2 3 2 2 2 2 4 4" xfId="12002"/>
    <cellStyle name="Normal 10 2 3 2 2 2 2 4 4 2" xfId="35425"/>
    <cellStyle name="Normal 10 2 3 2 2 2 2 4 5" xfId="19589"/>
    <cellStyle name="Normal 10 2 3 2 2 2 2 4 5 2" xfId="42126"/>
    <cellStyle name="Normal 10 2 3 2 2 2 2 4 6" xfId="28793"/>
    <cellStyle name="Normal 10 2 3 2 2 2 2 5" xfId="6334"/>
    <cellStyle name="Normal 10 2 3 2 2 2 2 5 2" xfId="9668"/>
    <cellStyle name="Normal 10 2 3 2 2 2 2 5 2 2" xfId="16372"/>
    <cellStyle name="Normal 10 2 3 2 2 2 2 5 2 2 2" xfId="39793"/>
    <cellStyle name="Normal 10 2 3 2 2 2 2 5 2 3" xfId="33161"/>
    <cellStyle name="Normal 10 2 3 2 2 2 2 5 3" xfId="13056"/>
    <cellStyle name="Normal 10 2 3 2 2 2 2 5 3 2" xfId="36477"/>
    <cellStyle name="Normal 10 2 3 2 2 2 2 5 4" xfId="20665"/>
    <cellStyle name="Normal 10 2 3 2 2 2 2 5 4 2" xfId="43116"/>
    <cellStyle name="Normal 10 2 3 2 2 2 2 5 5" xfId="29845"/>
    <cellStyle name="Normal 10 2 3 2 2 2 2 6" xfId="8000"/>
    <cellStyle name="Normal 10 2 3 2 2 2 2 6 2" xfId="14714"/>
    <cellStyle name="Normal 10 2 3 2 2 2 2 6 2 2" xfId="38135"/>
    <cellStyle name="Normal 10 2 3 2 2 2 2 6 3" xfId="21585"/>
    <cellStyle name="Normal 10 2 3 2 2 2 2 6 3 2" xfId="44034"/>
    <cellStyle name="Normal 10 2 3 2 2 2 2 6 4" xfId="31503"/>
    <cellStyle name="Normal 10 2 3 2 2 2 2 7" xfId="11396"/>
    <cellStyle name="Normal 10 2 3 2 2 2 2 7 2" xfId="34819"/>
    <cellStyle name="Normal 10 2 3 2 2 2 2 8" xfId="17948"/>
    <cellStyle name="Normal 10 2 3 2 2 2 2 8 2" xfId="41257"/>
    <cellStyle name="Normal 10 2 3 2 2 2 2 9" xfId="23266"/>
    <cellStyle name="Normal 10 2 3 2 2 2 2 9 2" xfId="45675"/>
    <cellStyle name="Normal 10 2 3 2 2 2 3" xfId="2194"/>
    <cellStyle name="Normal 10 2 3 2 2 2 3 2" xfId="5469"/>
    <cellStyle name="Normal 10 2 3 2 2 2 3 2 2" xfId="7295"/>
    <cellStyle name="Normal 10 2 3 2 2 2 3 2 2 2" xfId="10626"/>
    <cellStyle name="Normal 10 2 3 2 2 2 3 2 2 2 2" xfId="17330"/>
    <cellStyle name="Normal 10 2 3 2 2 2 3 2 2 2 2 2" xfId="40751"/>
    <cellStyle name="Normal 10 2 3 2 2 2 3 2 2 2 3" xfId="23042"/>
    <cellStyle name="Normal 10 2 3 2 2 2 3 2 2 2 3 2" xfId="45464"/>
    <cellStyle name="Normal 10 2 3 2 2 2 3 2 2 2 4" xfId="34119"/>
    <cellStyle name="Normal 10 2 3 2 2 2 3 2 2 3" xfId="14014"/>
    <cellStyle name="Normal 10 2 3 2 2 2 3 2 2 3 2" xfId="37435"/>
    <cellStyle name="Normal 10 2 3 2 2 2 3 2 2 4" xfId="20214"/>
    <cellStyle name="Normal 10 2 3 2 2 2 3 2 2 4 2" xfId="42749"/>
    <cellStyle name="Normal 10 2 3 2 2 2 3 2 2 5" xfId="30803"/>
    <cellStyle name="Normal 10 2 3 2 2 2 3 2 3" xfId="8968"/>
    <cellStyle name="Normal 10 2 3 2 2 2 3 2 3 2" xfId="15672"/>
    <cellStyle name="Normal 10 2 3 2 2 2 3 2 3 2 2" xfId="39093"/>
    <cellStyle name="Normal 10 2 3 2 2 2 3 2 3 3" xfId="21126"/>
    <cellStyle name="Normal 10 2 3 2 2 2 3 2 3 3 2" xfId="43577"/>
    <cellStyle name="Normal 10 2 3 2 2 2 3 2 3 4" xfId="32461"/>
    <cellStyle name="Normal 10 2 3 2 2 2 3 2 4" xfId="12356"/>
    <cellStyle name="Normal 10 2 3 2 2 2 3 2 4 2" xfId="22227"/>
    <cellStyle name="Normal 10 2 3 2 2 2 3 2 4 2 2" xfId="44649"/>
    <cellStyle name="Normal 10 2 3 2 2 2 3 2 4 3" xfId="35777"/>
    <cellStyle name="Normal 10 2 3 2 2 2 3 2 5" xfId="19375"/>
    <cellStyle name="Normal 10 2 3 2 2 2 3 2 5 2" xfId="41917"/>
    <cellStyle name="Normal 10 2 3 2 2 2 3 2 6" xfId="27883"/>
    <cellStyle name="Normal 10 2 3 2 2 2 3 2 6 2" xfId="50128"/>
    <cellStyle name="Normal 10 2 3 2 2 2 3 2 7" xfId="29145"/>
    <cellStyle name="Normal 10 2 3 2 2 2 3 3" xfId="6386"/>
    <cellStyle name="Normal 10 2 3 2 2 2 3 3 2" xfId="9720"/>
    <cellStyle name="Normal 10 2 3 2 2 2 3 3 2 2" xfId="16424"/>
    <cellStyle name="Normal 10 2 3 2 2 2 3 3 2 2 2" xfId="39845"/>
    <cellStyle name="Normal 10 2 3 2 2 2 3 3 2 3" xfId="22635"/>
    <cellStyle name="Normal 10 2 3 2 2 2 3 3 2 3 2" xfId="45057"/>
    <cellStyle name="Normal 10 2 3 2 2 2 3 3 2 4" xfId="33213"/>
    <cellStyle name="Normal 10 2 3 2 2 2 3 3 3" xfId="13108"/>
    <cellStyle name="Normal 10 2 3 2 2 2 3 3 3 2" xfId="36529"/>
    <cellStyle name="Normal 10 2 3 2 2 2 3 3 4" xfId="19798"/>
    <cellStyle name="Normal 10 2 3 2 2 2 3 3 4 2" xfId="42333"/>
    <cellStyle name="Normal 10 2 3 2 2 2 3 3 5" xfId="29897"/>
    <cellStyle name="Normal 10 2 3 2 2 2 3 4" xfId="8053"/>
    <cellStyle name="Normal 10 2 3 2 2 2 3 4 2" xfId="14766"/>
    <cellStyle name="Normal 10 2 3 2 2 2 3 4 2 2" xfId="38187"/>
    <cellStyle name="Normal 10 2 3 2 2 2 3 4 3" xfId="20667"/>
    <cellStyle name="Normal 10 2 3 2 2 2 3 4 3 2" xfId="43118"/>
    <cellStyle name="Normal 10 2 3 2 2 2 3 4 4" xfId="31555"/>
    <cellStyle name="Normal 10 2 3 2 2 2 3 5" xfId="11448"/>
    <cellStyle name="Normal 10 2 3 2 2 2 3 5 2" xfId="21793"/>
    <cellStyle name="Normal 10 2 3 2 2 2 3 5 2 2" xfId="44235"/>
    <cellStyle name="Normal 10 2 3 2 2 2 3 5 3" xfId="34871"/>
    <cellStyle name="Normal 10 2 3 2 2 2 3 6" xfId="18548"/>
    <cellStyle name="Normal 10 2 3 2 2 2 3 6 2" xfId="41492"/>
    <cellStyle name="Normal 10 2 3 2 2 2 3 7" xfId="25578"/>
    <cellStyle name="Normal 10 2 3 2 2 2 3 7 2" xfId="47823"/>
    <cellStyle name="Normal 10 2 3 2 2 2 3 8" xfId="28239"/>
    <cellStyle name="Normal 10 2 3 2 2 2 4" xfId="2700"/>
    <cellStyle name="Normal 10 2 3 2 2 2 4 2" xfId="5793"/>
    <cellStyle name="Normal 10 2 3 2 2 2 4 2 2" xfId="7575"/>
    <cellStyle name="Normal 10 2 3 2 2 2 4 2 2 2" xfId="10904"/>
    <cellStyle name="Normal 10 2 3 2 2 2 4 2 2 2 2" xfId="17608"/>
    <cellStyle name="Normal 10 2 3 2 2 2 4 2 2 2 2 2" xfId="41029"/>
    <cellStyle name="Normal 10 2 3 2 2 2 4 2 2 2 3" xfId="34397"/>
    <cellStyle name="Normal 10 2 3 2 2 2 4 2 2 3" xfId="14292"/>
    <cellStyle name="Normal 10 2 3 2 2 2 4 2 2 3 2" xfId="37713"/>
    <cellStyle name="Normal 10 2 3 2 2 2 4 2 2 4" xfId="22842"/>
    <cellStyle name="Normal 10 2 3 2 2 2 4 2 2 4 2" xfId="45264"/>
    <cellStyle name="Normal 10 2 3 2 2 2 4 2 2 5" xfId="31081"/>
    <cellStyle name="Normal 10 2 3 2 2 2 4 2 3" xfId="9246"/>
    <cellStyle name="Normal 10 2 3 2 2 2 4 2 3 2" xfId="15950"/>
    <cellStyle name="Normal 10 2 3 2 2 2 4 2 3 2 2" xfId="39371"/>
    <cellStyle name="Normal 10 2 3 2 2 2 4 2 3 3" xfId="32739"/>
    <cellStyle name="Normal 10 2 3 2 2 2 4 2 4" xfId="12634"/>
    <cellStyle name="Normal 10 2 3 2 2 2 4 2 4 2" xfId="36055"/>
    <cellStyle name="Normal 10 2 3 2 2 2 4 2 5" xfId="20006"/>
    <cellStyle name="Normal 10 2 3 2 2 2 4 2 5 2" xfId="42541"/>
    <cellStyle name="Normal 10 2 3 2 2 2 4 2 6" xfId="29423"/>
    <cellStyle name="Normal 10 2 3 2 2 2 4 3" xfId="6676"/>
    <cellStyle name="Normal 10 2 3 2 2 2 4 3 2" xfId="10008"/>
    <cellStyle name="Normal 10 2 3 2 2 2 4 3 2 2" xfId="16712"/>
    <cellStyle name="Normal 10 2 3 2 2 2 4 3 2 2 2" xfId="40133"/>
    <cellStyle name="Normal 10 2 3 2 2 2 4 3 2 3" xfId="33501"/>
    <cellStyle name="Normal 10 2 3 2 2 2 4 3 3" xfId="13396"/>
    <cellStyle name="Normal 10 2 3 2 2 2 4 3 3 2" xfId="36817"/>
    <cellStyle name="Normal 10 2 3 2 2 2 4 3 4" xfId="21123"/>
    <cellStyle name="Normal 10 2 3 2 2 2 4 3 4 2" xfId="43574"/>
    <cellStyle name="Normal 10 2 3 2 2 2 4 3 5" xfId="30185"/>
    <cellStyle name="Normal 10 2 3 2 2 2 4 4" xfId="8342"/>
    <cellStyle name="Normal 10 2 3 2 2 2 4 4 2" xfId="15054"/>
    <cellStyle name="Normal 10 2 3 2 2 2 4 4 2 2" xfId="38475"/>
    <cellStyle name="Normal 10 2 3 2 2 2 4 4 3" xfId="22015"/>
    <cellStyle name="Normal 10 2 3 2 2 2 4 4 3 2" xfId="44443"/>
    <cellStyle name="Normal 10 2 3 2 2 2 4 4 4" xfId="31843"/>
    <cellStyle name="Normal 10 2 3 2 2 2 4 5" xfId="11736"/>
    <cellStyle name="Normal 10 2 3 2 2 2 4 5 2" xfId="35159"/>
    <cellStyle name="Normal 10 2 3 2 2 2 4 6" xfId="19152"/>
    <cellStyle name="Normal 10 2 3 2 2 2 4 6 2" xfId="41709"/>
    <cellStyle name="Normal 10 2 3 2 2 2 4 7" xfId="25792"/>
    <cellStyle name="Normal 10 2 3 2 2 2 4 7 2" xfId="48037"/>
    <cellStyle name="Normal 10 2 3 2 2 2 4 8" xfId="28527"/>
    <cellStyle name="Normal 10 2 3 2 2 2 5" xfId="3803"/>
    <cellStyle name="Normal 10 2 3 2 2 2 5 2" xfId="6941"/>
    <cellStyle name="Normal 10 2 3 2 2 2 5 2 2" xfId="10273"/>
    <cellStyle name="Normal 10 2 3 2 2 2 5 2 2 2" xfId="16977"/>
    <cellStyle name="Normal 10 2 3 2 2 2 5 2 2 2 2" xfId="40398"/>
    <cellStyle name="Normal 10 2 3 2 2 2 5 2 2 3" xfId="33766"/>
    <cellStyle name="Normal 10 2 3 2 2 2 5 2 3" xfId="13661"/>
    <cellStyle name="Normal 10 2 3 2 2 2 5 2 3 2" xfId="37082"/>
    <cellStyle name="Normal 10 2 3 2 2 2 5 2 4" xfId="22435"/>
    <cellStyle name="Normal 10 2 3 2 2 2 5 2 4 2" xfId="44857"/>
    <cellStyle name="Normal 10 2 3 2 2 2 5 2 5" xfId="30450"/>
    <cellStyle name="Normal 10 2 3 2 2 2 5 3" xfId="8608"/>
    <cellStyle name="Normal 10 2 3 2 2 2 5 3 2" xfId="15319"/>
    <cellStyle name="Normal 10 2 3 2 2 2 5 3 2 2" xfId="38740"/>
    <cellStyle name="Normal 10 2 3 2 2 2 5 3 3" xfId="32108"/>
    <cellStyle name="Normal 10 2 3 2 2 2 5 4" xfId="12001"/>
    <cellStyle name="Normal 10 2 3 2 2 2 5 4 2" xfId="35424"/>
    <cellStyle name="Normal 10 2 3 2 2 2 5 5" xfId="19588"/>
    <cellStyle name="Normal 10 2 3 2 2 2 5 5 2" xfId="42125"/>
    <cellStyle name="Normal 10 2 3 2 2 2 5 6" xfId="28792"/>
    <cellStyle name="Normal 10 2 3 2 2 2 6" xfId="6203"/>
    <cellStyle name="Normal 10 2 3 2 2 2 6 2" xfId="9537"/>
    <cellStyle name="Normal 10 2 3 2 2 2 6 2 2" xfId="16241"/>
    <cellStyle name="Normal 10 2 3 2 2 2 6 2 2 2" xfId="39662"/>
    <cellStyle name="Normal 10 2 3 2 2 2 6 2 3" xfId="33030"/>
    <cellStyle name="Normal 10 2 3 2 2 2 6 3" xfId="12925"/>
    <cellStyle name="Normal 10 2 3 2 2 2 6 3 2" xfId="36346"/>
    <cellStyle name="Normal 10 2 3 2 2 2 6 4" xfId="20664"/>
    <cellStyle name="Normal 10 2 3 2 2 2 6 4 2" xfId="43115"/>
    <cellStyle name="Normal 10 2 3 2 2 2 6 5" xfId="29714"/>
    <cellStyle name="Normal 10 2 3 2 2 2 7" xfId="7869"/>
    <cellStyle name="Normal 10 2 3 2 2 2 7 2" xfId="14583"/>
    <cellStyle name="Normal 10 2 3 2 2 2 7 2 2" xfId="38004"/>
    <cellStyle name="Normal 10 2 3 2 2 2 7 3" xfId="21584"/>
    <cellStyle name="Normal 10 2 3 2 2 2 7 3 2" xfId="44033"/>
    <cellStyle name="Normal 10 2 3 2 2 2 7 4" xfId="31372"/>
    <cellStyle name="Normal 10 2 3 2 2 2 8" xfId="11265"/>
    <cellStyle name="Normal 10 2 3 2 2 2 8 2" xfId="34688"/>
    <cellStyle name="Normal 10 2 3 2 2 2 9" xfId="17947"/>
    <cellStyle name="Normal 10 2 3 2 2 2 9 2" xfId="41256"/>
    <cellStyle name="Normal 10 2 3 2 2 3" xfId="1818"/>
    <cellStyle name="Normal 10 2 3 2 2 3 10" xfId="28170"/>
    <cellStyle name="Normal 10 2 3 2 2 3 2" xfId="2196"/>
    <cellStyle name="Normal 10 2 3 2 2 3 2 2" xfId="5471"/>
    <cellStyle name="Normal 10 2 3 2 2 3 2 2 2" xfId="7297"/>
    <cellStyle name="Normal 10 2 3 2 2 3 2 2 2 2" xfId="10628"/>
    <cellStyle name="Normal 10 2 3 2 2 3 2 2 2 2 2" xfId="17332"/>
    <cellStyle name="Normal 10 2 3 2 2 3 2 2 2 2 2 2" xfId="40753"/>
    <cellStyle name="Normal 10 2 3 2 2 3 2 2 2 2 3" xfId="23044"/>
    <cellStyle name="Normal 10 2 3 2 2 3 2 2 2 2 3 2" xfId="45466"/>
    <cellStyle name="Normal 10 2 3 2 2 3 2 2 2 2 4" xfId="34121"/>
    <cellStyle name="Normal 10 2 3 2 2 3 2 2 2 3" xfId="14016"/>
    <cellStyle name="Normal 10 2 3 2 2 3 2 2 2 3 2" xfId="37437"/>
    <cellStyle name="Normal 10 2 3 2 2 3 2 2 2 4" xfId="20216"/>
    <cellStyle name="Normal 10 2 3 2 2 3 2 2 2 4 2" xfId="42751"/>
    <cellStyle name="Normal 10 2 3 2 2 3 2 2 2 5" xfId="30805"/>
    <cellStyle name="Normal 10 2 3 2 2 3 2 2 3" xfId="8970"/>
    <cellStyle name="Normal 10 2 3 2 2 3 2 2 3 2" xfId="15674"/>
    <cellStyle name="Normal 10 2 3 2 2 3 2 2 3 2 2" xfId="39095"/>
    <cellStyle name="Normal 10 2 3 2 2 3 2 2 3 3" xfId="21128"/>
    <cellStyle name="Normal 10 2 3 2 2 3 2 2 3 3 2" xfId="43579"/>
    <cellStyle name="Normal 10 2 3 2 2 3 2 2 3 4" xfId="32463"/>
    <cellStyle name="Normal 10 2 3 2 2 3 2 2 4" xfId="12358"/>
    <cellStyle name="Normal 10 2 3 2 2 3 2 2 4 2" xfId="22229"/>
    <cellStyle name="Normal 10 2 3 2 2 3 2 2 4 2 2" xfId="44651"/>
    <cellStyle name="Normal 10 2 3 2 2 3 2 2 4 3" xfId="35779"/>
    <cellStyle name="Normal 10 2 3 2 2 3 2 2 5" xfId="19377"/>
    <cellStyle name="Normal 10 2 3 2 2 3 2 2 5 2" xfId="41919"/>
    <cellStyle name="Normal 10 2 3 2 2 3 2 2 6" xfId="29147"/>
    <cellStyle name="Normal 10 2 3 2 2 3 2 3" xfId="6388"/>
    <cellStyle name="Normal 10 2 3 2 2 3 2 3 2" xfId="9722"/>
    <cellStyle name="Normal 10 2 3 2 2 3 2 3 2 2" xfId="16426"/>
    <cellStyle name="Normal 10 2 3 2 2 3 2 3 2 2 2" xfId="39847"/>
    <cellStyle name="Normal 10 2 3 2 2 3 2 3 2 3" xfId="22637"/>
    <cellStyle name="Normal 10 2 3 2 2 3 2 3 2 3 2" xfId="45059"/>
    <cellStyle name="Normal 10 2 3 2 2 3 2 3 2 4" xfId="33215"/>
    <cellStyle name="Normal 10 2 3 2 2 3 2 3 3" xfId="13110"/>
    <cellStyle name="Normal 10 2 3 2 2 3 2 3 3 2" xfId="36531"/>
    <cellStyle name="Normal 10 2 3 2 2 3 2 3 4" xfId="19800"/>
    <cellStyle name="Normal 10 2 3 2 2 3 2 3 4 2" xfId="42335"/>
    <cellStyle name="Normal 10 2 3 2 2 3 2 3 5" xfId="29899"/>
    <cellStyle name="Normal 10 2 3 2 2 3 2 4" xfId="8055"/>
    <cellStyle name="Normal 10 2 3 2 2 3 2 4 2" xfId="14768"/>
    <cellStyle name="Normal 10 2 3 2 2 3 2 4 2 2" xfId="38189"/>
    <cellStyle name="Normal 10 2 3 2 2 3 2 4 3" xfId="20669"/>
    <cellStyle name="Normal 10 2 3 2 2 3 2 4 3 2" xfId="43120"/>
    <cellStyle name="Normal 10 2 3 2 2 3 2 4 4" xfId="31557"/>
    <cellStyle name="Normal 10 2 3 2 2 3 2 5" xfId="11450"/>
    <cellStyle name="Normal 10 2 3 2 2 3 2 5 2" xfId="21795"/>
    <cellStyle name="Normal 10 2 3 2 2 3 2 5 2 2" xfId="44237"/>
    <cellStyle name="Normal 10 2 3 2 2 3 2 5 3" xfId="34873"/>
    <cellStyle name="Normal 10 2 3 2 2 3 2 6" xfId="18550"/>
    <cellStyle name="Normal 10 2 3 2 2 3 2 6 2" xfId="41494"/>
    <cellStyle name="Normal 10 2 3 2 2 3 2 7" xfId="25794"/>
    <cellStyle name="Normal 10 2 3 2 2 3 2 7 2" xfId="48039"/>
    <cellStyle name="Normal 10 2 3 2 2 3 2 8" xfId="28241"/>
    <cellStyle name="Normal 10 2 3 2 2 3 3" xfId="2815"/>
    <cellStyle name="Normal 10 2 3 2 2 3 3 2" xfId="5907"/>
    <cellStyle name="Normal 10 2 3 2 2 3 3 2 2" xfId="7689"/>
    <cellStyle name="Normal 10 2 3 2 2 3 3 2 2 2" xfId="11018"/>
    <cellStyle name="Normal 10 2 3 2 2 3 3 2 2 2 2" xfId="17722"/>
    <cellStyle name="Normal 10 2 3 2 2 3 3 2 2 2 2 2" xfId="41143"/>
    <cellStyle name="Normal 10 2 3 2 2 3 3 2 2 2 3" xfId="34511"/>
    <cellStyle name="Normal 10 2 3 2 2 3 3 2 2 3" xfId="14406"/>
    <cellStyle name="Normal 10 2 3 2 2 3 3 2 2 3 2" xfId="37827"/>
    <cellStyle name="Normal 10 2 3 2 2 3 3 2 2 4" xfId="22844"/>
    <cellStyle name="Normal 10 2 3 2 2 3 3 2 2 4 2" xfId="45266"/>
    <cellStyle name="Normal 10 2 3 2 2 3 3 2 2 5" xfId="31195"/>
    <cellStyle name="Normal 10 2 3 2 2 3 3 2 3" xfId="9360"/>
    <cellStyle name="Normal 10 2 3 2 2 3 3 2 3 2" xfId="16064"/>
    <cellStyle name="Normal 10 2 3 2 2 3 3 2 3 2 2" xfId="39485"/>
    <cellStyle name="Normal 10 2 3 2 2 3 3 2 3 3" xfId="32853"/>
    <cellStyle name="Normal 10 2 3 2 2 3 3 2 4" xfId="12748"/>
    <cellStyle name="Normal 10 2 3 2 2 3 3 2 4 2" xfId="36169"/>
    <cellStyle name="Normal 10 2 3 2 2 3 3 2 5" xfId="20008"/>
    <cellStyle name="Normal 10 2 3 2 2 3 3 2 5 2" xfId="42543"/>
    <cellStyle name="Normal 10 2 3 2 2 3 3 2 6" xfId="29537"/>
    <cellStyle name="Normal 10 2 3 2 2 3 3 3" xfId="6790"/>
    <cellStyle name="Normal 10 2 3 2 2 3 3 3 2" xfId="10122"/>
    <cellStyle name="Normal 10 2 3 2 2 3 3 3 2 2" xfId="16826"/>
    <cellStyle name="Normal 10 2 3 2 2 3 3 3 2 2 2" xfId="40247"/>
    <cellStyle name="Normal 10 2 3 2 2 3 3 3 2 3" xfId="33615"/>
    <cellStyle name="Normal 10 2 3 2 2 3 3 3 3" xfId="13510"/>
    <cellStyle name="Normal 10 2 3 2 2 3 3 3 3 2" xfId="36931"/>
    <cellStyle name="Normal 10 2 3 2 2 3 3 3 4" xfId="21127"/>
    <cellStyle name="Normal 10 2 3 2 2 3 3 3 4 2" xfId="43578"/>
    <cellStyle name="Normal 10 2 3 2 2 3 3 3 5" xfId="30299"/>
    <cellStyle name="Normal 10 2 3 2 2 3 3 4" xfId="8456"/>
    <cellStyle name="Normal 10 2 3 2 2 3 3 4 2" xfId="15168"/>
    <cellStyle name="Normal 10 2 3 2 2 3 3 4 2 2" xfId="38589"/>
    <cellStyle name="Normal 10 2 3 2 2 3 3 4 3" xfId="22017"/>
    <cellStyle name="Normal 10 2 3 2 2 3 3 4 3 2" xfId="44445"/>
    <cellStyle name="Normal 10 2 3 2 2 3 3 4 4" xfId="31957"/>
    <cellStyle name="Normal 10 2 3 2 2 3 3 5" xfId="11850"/>
    <cellStyle name="Normal 10 2 3 2 2 3 3 5 2" xfId="35273"/>
    <cellStyle name="Normal 10 2 3 2 2 3 3 6" xfId="19154"/>
    <cellStyle name="Normal 10 2 3 2 2 3 3 6 2" xfId="41711"/>
    <cellStyle name="Normal 10 2 3 2 2 3 3 7" xfId="28641"/>
    <cellStyle name="Normal 10 2 3 2 2 3 4" xfId="3805"/>
    <cellStyle name="Normal 10 2 3 2 2 3 4 2" xfId="6943"/>
    <cellStyle name="Normal 10 2 3 2 2 3 4 2 2" xfId="10275"/>
    <cellStyle name="Normal 10 2 3 2 2 3 4 2 2 2" xfId="16979"/>
    <cellStyle name="Normal 10 2 3 2 2 3 4 2 2 2 2" xfId="40400"/>
    <cellStyle name="Normal 10 2 3 2 2 3 4 2 2 3" xfId="33768"/>
    <cellStyle name="Normal 10 2 3 2 2 3 4 2 3" xfId="13663"/>
    <cellStyle name="Normal 10 2 3 2 2 3 4 2 3 2" xfId="37084"/>
    <cellStyle name="Normal 10 2 3 2 2 3 4 2 4" xfId="22437"/>
    <cellStyle name="Normal 10 2 3 2 2 3 4 2 4 2" xfId="44859"/>
    <cellStyle name="Normal 10 2 3 2 2 3 4 2 5" xfId="30452"/>
    <cellStyle name="Normal 10 2 3 2 2 3 4 3" xfId="8610"/>
    <cellStyle name="Normal 10 2 3 2 2 3 4 3 2" xfId="15321"/>
    <cellStyle name="Normal 10 2 3 2 2 3 4 3 2 2" xfId="38742"/>
    <cellStyle name="Normal 10 2 3 2 2 3 4 3 3" xfId="32110"/>
    <cellStyle name="Normal 10 2 3 2 2 3 4 4" xfId="12003"/>
    <cellStyle name="Normal 10 2 3 2 2 3 4 4 2" xfId="35426"/>
    <cellStyle name="Normal 10 2 3 2 2 3 4 5" xfId="19590"/>
    <cellStyle name="Normal 10 2 3 2 2 3 4 5 2" xfId="42127"/>
    <cellStyle name="Normal 10 2 3 2 2 3 4 6" xfId="28794"/>
    <cellStyle name="Normal 10 2 3 2 2 3 5" xfId="6317"/>
    <cellStyle name="Normal 10 2 3 2 2 3 5 2" xfId="9651"/>
    <cellStyle name="Normal 10 2 3 2 2 3 5 2 2" xfId="16355"/>
    <cellStyle name="Normal 10 2 3 2 2 3 5 2 2 2" xfId="39776"/>
    <cellStyle name="Normal 10 2 3 2 2 3 5 2 3" xfId="33144"/>
    <cellStyle name="Normal 10 2 3 2 2 3 5 3" xfId="13039"/>
    <cellStyle name="Normal 10 2 3 2 2 3 5 3 2" xfId="36460"/>
    <cellStyle name="Normal 10 2 3 2 2 3 5 4" xfId="20668"/>
    <cellStyle name="Normal 10 2 3 2 2 3 5 4 2" xfId="43119"/>
    <cellStyle name="Normal 10 2 3 2 2 3 5 5" xfId="29828"/>
    <cellStyle name="Normal 10 2 3 2 2 3 6" xfId="7983"/>
    <cellStyle name="Normal 10 2 3 2 2 3 6 2" xfId="14697"/>
    <cellStyle name="Normal 10 2 3 2 2 3 6 2 2" xfId="38118"/>
    <cellStyle name="Normal 10 2 3 2 2 3 6 3" xfId="21586"/>
    <cellStyle name="Normal 10 2 3 2 2 3 6 3 2" xfId="44035"/>
    <cellStyle name="Normal 10 2 3 2 2 3 6 4" xfId="31486"/>
    <cellStyle name="Normal 10 2 3 2 2 3 7" xfId="11379"/>
    <cellStyle name="Normal 10 2 3 2 2 3 7 2" xfId="34802"/>
    <cellStyle name="Normal 10 2 3 2 2 3 8" xfId="17949"/>
    <cellStyle name="Normal 10 2 3 2 2 3 8 2" xfId="41258"/>
    <cellStyle name="Normal 10 2 3 2 2 3 9" xfId="23259"/>
    <cellStyle name="Normal 10 2 3 2 2 3 9 2" xfId="45669"/>
    <cellStyle name="Normal 10 2 3 2 2 4" xfId="2193"/>
    <cellStyle name="Normal 10 2 3 2 2 4 2" xfId="5468"/>
    <cellStyle name="Normal 10 2 3 2 2 4 2 2" xfId="7294"/>
    <cellStyle name="Normal 10 2 3 2 2 4 2 2 2" xfId="10625"/>
    <cellStyle name="Normal 10 2 3 2 2 4 2 2 2 2" xfId="17329"/>
    <cellStyle name="Normal 10 2 3 2 2 4 2 2 2 2 2" xfId="40750"/>
    <cellStyle name="Normal 10 2 3 2 2 4 2 2 2 3" xfId="23041"/>
    <cellStyle name="Normal 10 2 3 2 2 4 2 2 2 3 2" xfId="45463"/>
    <cellStyle name="Normal 10 2 3 2 2 4 2 2 2 4" xfId="34118"/>
    <cellStyle name="Normal 10 2 3 2 2 4 2 2 3" xfId="14013"/>
    <cellStyle name="Normal 10 2 3 2 2 4 2 2 3 2" xfId="37434"/>
    <cellStyle name="Normal 10 2 3 2 2 4 2 2 4" xfId="20213"/>
    <cellStyle name="Normal 10 2 3 2 2 4 2 2 4 2" xfId="42748"/>
    <cellStyle name="Normal 10 2 3 2 2 4 2 2 5" xfId="30802"/>
    <cellStyle name="Normal 10 2 3 2 2 4 2 3" xfId="8967"/>
    <cellStyle name="Normal 10 2 3 2 2 4 2 3 2" xfId="15671"/>
    <cellStyle name="Normal 10 2 3 2 2 4 2 3 2 2" xfId="39092"/>
    <cellStyle name="Normal 10 2 3 2 2 4 2 3 3" xfId="21129"/>
    <cellStyle name="Normal 10 2 3 2 2 4 2 3 3 2" xfId="43580"/>
    <cellStyle name="Normal 10 2 3 2 2 4 2 3 4" xfId="32460"/>
    <cellStyle name="Normal 10 2 3 2 2 4 2 4" xfId="12355"/>
    <cellStyle name="Normal 10 2 3 2 2 4 2 4 2" xfId="22226"/>
    <cellStyle name="Normal 10 2 3 2 2 4 2 4 2 2" xfId="44648"/>
    <cellStyle name="Normal 10 2 3 2 2 4 2 4 3" xfId="35776"/>
    <cellStyle name="Normal 10 2 3 2 2 4 2 5" xfId="19374"/>
    <cellStyle name="Normal 10 2 3 2 2 4 2 5 2" xfId="41916"/>
    <cellStyle name="Normal 10 2 3 2 2 4 2 6" xfId="27547"/>
    <cellStyle name="Normal 10 2 3 2 2 4 2 6 2" xfId="49792"/>
    <cellStyle name="Normal 10 2 3 2 2 4 2 7" xfId="29144"/>
    <cellStyle name="Normal 10 2 3 2 2 4 3" xfId="6385"/>
    <cellStyle name="Normal 10 2 3 2 2 4 3 2" xfId="9719"/>
    <cellStyle name="Normal 10 2 3 2 2 4 3 2 2" xfId="16423"/>
    <cellStyle name="Normal 10 2 3 2 2 4 3 2 2 2" xfId="39844"/>
    <cellStyle name="Normal 10 2 3 2 2 4 3 2 3" xfId="22634"/>
    <cellStyle name="Normal 10 2 3 2 2 4 3 2 3 2" xfId="45056"/>
    <cellStyle name="Normal 10 2 3 2 2 4 3 2 4" xfId="33212"/>
    <cellStyle name="Normal 10 2 3 2 2 4 3 3" xfId="13107"/>
    <cellStyle name="Normal 10 2 3 2 2 4 3 3 2" xfId="36528"/>
    <cellStyle name="Normal 10 2 3 2 2 4 3 4" xfId="19797"/>
    <cellStyle name="Normal 10 2 3 2 2 4 3 4 2" xfId="42332"/>
    <cellStyle name="Normal 10 2 3 2 2 4 3 5" xfId="29896"/>
    <cellStyle name="Normal 10 2 3 2 2 4 4" xfId="8052"/>
    <cellStyle name="Normal 10 2 3 2 2 4 4 2" xfId="14765"/>
    <cellStyle name="Normal 10 2 3 2 2 4 4 2 2" xfId="38186"/>
    <cellStyle name="Normal 10 2 3 2 2 4 4 3" xfId="20670"/>
    <cellStyle name="Normal 10 2 3 2 2 4 4 3 2" xfId="43121"/>
    <cellStyle name="Normal 10 2 3 2 2 4 4 4" xfId="31554"/>
    <cellStyle name="Normal 10 2 3 2 2 4 5" xfId="11447"/>
    <cellStyle name="Normal 10 2 3 2 2 4 5 2" xfId="21792"/>
    <cellStyle name="Normal 10 2 3 2 2 4 5 2 2" xfId="44234"/>
    <cellStyle name="Normal 10 2 3 2 2 4 5 3" xfId="34870"/>
    <cellStyle name="Normal 10 2 3 2 2 4 6" xfId="18547"/>
    <cellStyle name="Normal 10 2 3 2 2 4 6 2" xfId="41491"/>
    <cellStyle name="Normal 10 2 3 2 2 4 7" xfId="25242"/>
    <cellStyle name="Normal 10 2 3 2 2 4 7 2" xfId="47487"/>
    <cellStyle name="Normal 10 2 3 2 2 4 8" xfId="28238"/>
    <cellStyle name="Normal 10 2 3 2 2 5" xfId="2683"/>
    <cellStyle name="Normal 10 2 3 2 2 5 2" xfId="5776"/>
    <cellStyle name="Normal 10 2 3 2 2 5 2 2" xfId="7558"/>
    <cellStyle name="Normal 10 2 3 2 2 5 2 2 2" xfId="10887"/>
    <cellStyle name="Normal 10 2 3 2 2 5 2 2 2 2" xfId="17591"/>
    <cellStyle name="Normal 10 2 3 2 2 5 2 2 2 2 2" xfId="41012"/>
    <cellStyle name="Normal 10 2 3 2 2 5 2 2 2 3" xfId="34380"/>
    <cellStyle name="Normal 10 2 3 2 2 5 2 2 3" xfId="14275"/>
    <cellStyle name="Normal 10 2 3 2 2 5 2 2 3 2" xfId="37696"/>
    <cellStyle name="Normal 10 2 3 2 2 5 2 2 4" xfId="20614"/>
    <cellStyle name="Normal 10 2 3 2 2 5 2 2 4 2" xfId="43065"/>
    <cellStyle name="Normal 10 2 3 2 2 5 2 2 5" xfId="31064"/>
    <cellStyle name="Normal 10 2 3 2 2 5 2 3" xfId="9229"/>
    <cellStyle name="Normal 10 2 3 2 2 5 2 3 2" xfId="15933"/>
    <cellStyle name="Normal 10 2 3 2 2 5 2 3 2 2" xfId="39354"/>
    <cellStyle name="Normal 10 2 3 2 2 5 2 3 3" xfId="21532"/>
    <cellStyle name="Normal 10 2 3 2 2 5 2 3 3 2" xfId="43983"/>
    <cellStyle name="Normal 10 2 3 2 2 5 2 3 4" xfId="32722"/>
    <cellStyle name="Normal 10 2 3 2 2 5 2 4" xfId="12617"/>
    <cellStyle name="Normal 10 2 3 2 2 5 2 4 2" xfId="22841"/>
    <cellStyle name="Normal 10 2 3 2 2 5 2 4 2 2" xfId="45263"/>
    <cellStyle name="Normal 10 2 3 2 2 5 2 4 3" xfId="36038"/>
    <cellStyle name="Normal 10 2 3 2 2 5 2 5" xfId="20005"/>
    <cellStyle name="Normal 10 2 3 2 2 5 2 5 2" xfId="42540"/>
    <cellStyle name="Normal 10 2 3 2 2 5 2 6" xfId="29406"/>
    <cellStyle name="Normal 10 2 3 2 2 5 3" xfId="6659"/>
    <cellStyle name="Normal 10 2 3 2 2 5 3 2" xfId="9991"/>
    <cellStyle name="Normal 10 2 3 2 2 5 3 2 2" xfId="16695"/>
    <cellStyle name="Normal 10 2 3 2 2 5 3 2 2 2" xfId="40116"/>
    <cellStyle name="Normal 10 2 3 2 2 5 3 2 3" xfId="33484"/>
    <cellStyle name="Normal 10 2 3 2 2 5 3 3" xfId="13379"/>
    <cellStyle name="Normal 10 2 3 2 2 5 3 3 2" xfId="36800"/>
    <cellStyle name="Normal 10 2 3 2 2 5 3 4" xfId="20516"/>
    <cellStyle name="Normal 10 2 3 2 2 5 3 4 2" xfId="42969"/>
    <cellStyle name="Normal 10 2 3 2 2 5 3 5" xfId="30168"/>
    <cellStyle name="Normal 10 2 3 2 2 5 4" xfId="8325"/>
    <cellStyle name="Normal 10 2 3 2 2 5 4 2" xfId="15037"/>
    <cellStyle name="Normal 10 2 3 2 2 5 4 2 2" xfId="38458"/>
    <cellStyle name="Normal 10 2 3 2 2 5 4 3" xfId="21073"/>
    <cellStyle name="Normal 10 2 3 2 2 5 4 3 2" xfId="43524"/>
    <cellStyle name="Normal 10 2 3 2 2 5 4 4" xfId="31826"/>
    <cellStyle name="Normal 10 2 3 2 2 5 5" xfId="11719"/>
    <cellStyle name="Normal 10 2 3 2 2 5 5 2" xfId="22014"/>
    <cellStyle name="Normal 10 2 3 2 2 5 5 2 2" xfId="44442"/>
    <cellStyle name="Normal 10 2 3 2 2 5 5 3" xfId="35142"/>
    <cellStyle name="Normal 10 2 3 2 2 5 6" xfId="19151"/>
    <cellStyle name="Normal 10 2 3 2 2 5 6 2" xfId="41708"/>
    <cellStyle name="Normal 10 2 3 2 2 5 7" xfId="25791"/>
    <cellStyle name="Normal 10 2 3 2 2 5 7 2" xfId="48036"/>
    <cellStyle name="Normal 10 2 3 2 2 5 8" xfId="28510"/>
    <cellStyle name="Normal 10 2 3 2 2 6" xfId="3802"/>
    <cellStyle name="Normal 10 2 3 2 2 6 2" xfId="6940"/>
    <cellStyle name="Normal 10 2 3 2 2 6 2 2" xfId="10272"/>
    <cellStyle name="Normal 10 2 3 2 2 6 2 2 2" xfId="16976"/>
    <cellStyle name="Normal 10 2 3 2 2 6 2 2 2 2" xfId="40397"/>
    <cellStyle name="Normal 10 2 3 2 2 6 2 2 3" xfId="33765"/>
    <cellStyle name="Normal 10 2 3 2 2 6 2 3" xfId="13660"/>
    <cellStyle name="Normal 10 2 3 2 2 6 2 3 2" xfId="37081"/>
    <cellStyle name="Normal 10 2 3 2 2 6 2 4" xfId="20565"/>
    <cellStyle name="Normal 10 2 3 2 2 6 2 4 2" xfId="43018"/>
    <cellStyle name="Normal 10 2 3 2 2 6 2 5" xfId="30449"/>
    <cellStyle name="Normal 10 2 3 2 2 6 3" xfId="8607"/>
    <cellStyle name="Normal 10 2 3 2 2 6 3 2" xfId="15318"/>
    <cellStyle name="Normal 10 2 3 2 2 6 3 2 2" xfId="38739"/>
    <cellStyle name="Normal 10 2 3 2 2 6 3 3" xfId="21122"/>
    <cellStyle name="Normal 10 2 3 2 2 6 3 3 2" xfId="43573"/>
    <cellStyle name="Normal 10 2 3 2 2 6 3 4" xfId="32107"/>
    <cellStyle name="Normal 10 2 3 2 2 6 4" xfId="12000"/>
    <cellStyle name="Normal 10 2 3 2 2 6 4 2" xfId="22434"/>
    <cellStyle name="Normal 10 2 3 2 2 6 4 2 2" xfId="44856"/>
    <cellStyle name="Normal 10 2 3 2 2 6 4 3" xfId="35423"/>
    <cellStyle name="Normal 10 2 3 2 2 6 5" xfId="19587"/>
    <cellStyle name="Normal 10 2 3 2 2 6 5 2" xfId="42124"/>
    <cellStyle name="Normal 10 2 3 2 2 6 6" xfId="28791"/>
    <cellStyle name="Normal 10 2 3 2 2 7" xfId="6186"/>
    <cellStyle name="Normal 10 2 3 2 2 7 2" xfId="9520"/>
    <cellStyle name="Normal 10 2 3 2 2 7 2 2" xfId="16224"/>
    <cellStyle name="Normal 10 2 3 2 2 7 2 2 2" xfId="39645"/>
    <cellStyle name="Normal 10 2 3 2 2 7 2 3" xfId="33013"/>
    <cellStyle name="Normal 10 2 3 2 2 7 3" xfId="12908"/>
    <cellStyle name="Normal 10 2 3 2 2 7 3 2" xfId="36329"/>
    <cellStyle name="Normal 10 2 3 2 2 7 4" xfId="17890"/>
    <cellStyle name="Normal 10 2 3 2 2 7 4 2" xfId="41240"/>
    <cellStyle name="Normal 10 2 3 2 2 7 5" xfId="29697"/>
    <cellStyle name="Normal 10 2 3 2 2 8" xfId="7852"/>
    <cellStyle name="Normal 10 2 3 2 2 8 2" xfId="14566"/>
    <cellStyle name="Normal 10 2 3 2 2 8 2 2" xfId="37987"/>
    <cellStyle name="Normal 10 2 3 2 2 8 3" xfId="20663"/>
    <cellStyle name="Normal 10 2 3 2 2 8 3 2" xfId="43114"/>
    <cellStyle name="Normal 10 2 3 2 2 8 4" xfId="31355"/>
    <cellStyle name="Normal 10 2 3 2 2 9" xfId="11248"/>
    <cellStyle name="Normal 10 2 3 2 2 9 2" xfId="21583"/>
    <cellStyle name="Normal 10 2 3 2 2 9 2 2" xfId="44032"/>
    <cellStyle name="Normal 10 2 3 2 2 9 3" xfId="34671"/>
    <cellStyle name="Normal 10 2 3 2 3" xfId="1612"/>
    <cellStyle name="Normal 10 2 3 2 3 10" xfId="23265"/>
    <cellStyle name="Normal 10 2 3 2 3 10 2" xfId="45674"/>
    <cellStyle name="Normal 10 2 3 2 3 11" xfId="28055"/>
    <cellStyle name="Normal 10 2 3 2 3 2" xfId="1834"/>
    <cellStyle name="Normal 10 2 3 2 3 2 10" xfId="28186"/>
    <cellStyle name="Normal 10 2 3 2 3 2 2" xfId="2198"/>
    <cellStyle name="Normal 10 2 3 2 3 2 2 2" xfId="5473"/>
    <cellStyle name="Normal 10 2 3 2 3 2 2 2 2" xfId="7299"/>
    <cellStyle name="Normal 10 2 3 2 3 2 2 2 2 2" xfId="10630"/>
    <cellStyle name="Normal 10 2 3 2 3 2 2 2 2 2 2" xfId="17334"/>
    <cellStyle name="Normal 10 2 3 2 3 2 2 2 2 2 2 2" xfId="40755"/>
    <cellStyle name="Normal 10 2 3 2 3 2 2 2 2 2 3" xfId="23046"/>
    <cellStyle name="Normal 10 2 3 2 3 2 2 2 2 2 3 2" xfId="45468"/>
    <cellStyle name="Normal 10 2 3 2 3 2 2 2 2 2 4" xfId="34123"/>
    <cellStyle name="Normal 10 2 3 2 3 2 2 2 2 3" xfId="14018"/>
    <cellStyle name="Normal 10 2 3 2 3 2 2 2 2 3 2" xfId="37439"/>
    <cellStyle name="Normal 10 2 3 2 3 2 2 2 2 4" xfId="20218"/>
    <cellStyle name="Normal 10 2 3 2 3 2 2 2 2 4 2" xfId="42753"/>
    <cellStyle name="Normal 10 2 3 2 3 2 2 2 2 5" xfId="30807"/>
    <cellStyle name="Normal 10 2 3 2 3 2 2 2 3" xfId="8972"/>
    <cellStyle name="Normal 10 2 3 2 3 2 2 2 3 2" xfId="15676"/>
    <cellStyle name="Normal 10 2 3 2 3 2 2 2 3 2 2" xfId="39097"/>
    <cellStyle name="Normal 10 2 3 2 3 2 2 2 3 3" xfId="21132"/>
    <cellStyle name="Normal 10 2 3 2 3 2 2 2 3 3 2" xfId="43583"/>
    <cellStyle name="Normal 10 2 3 2 3 2 2 2 3 4" xfId="32465"/>
    <cellStyle name="Normal 10 2 3 2 3 2 2 2 4" xfId="12360"/>
    <cellStyle name="Normal 10 2 3 2 3 2 2 2 4 2" xfId="22231"/>
    <cellStyle name="Normal 10 2 3 2 3 2 2 2 4 2 2" xfId="44653"/>
    <cellStyle name="Normal 10 2 3 2 3 2 2 2 4 3" xfId="35781"/>
    <cellStyle name="Normal 10 2 3 2 3 2 2 2 5" xfId="19379"/>
    <cellStyle name="Normal 10 2 3 2 3 2 2 2 5 2" xfId="41921"/>
    <cellStyle name="Normal 10 2 3 2 3 2 2 2 6" xfId="29149"/>
    <cellStyle name="Normal 10 2 3 2 3 2 2 3" xfId="6390"/>
    <cellStyle name="Normal 10 2 3 2 3 2 2 3 2" xfId="9724"/>
    <cellStyle name="Normal 10 2 3 2 3 2 2 3 2 2" xfId="16428"/>
    <cellStyle name="Normal 10 2 3 2 3 2 2 3 2 2 2" xfId="39849"/>
    <cellStyle name="Normal 10 2 3 2 3 2 2 3 2 3" xfId="22639"/>
    <cellStyle name="Normal 10 2 3 2 3 2 2 3 2 3 2" xfId="45061"/>
    <cellStyle name="Normal 10 2 3 2 3 2 2 3 2 4" xfId="33217"/>
    <cellStyle name="Normal 10 2 3 2 3 2 2 3 3" xfId="13112"/>
    <cellStyle name="Normal 10 2 3 2 3 2 2 3 3 2" xfId="36533"/>
    <cellStyle name="Normal 10 2 3 2 3 2 2 3 4" xfId="19802"/>
    <cellStyle name="Normal 10 2 3 2 3 2 2 3 4 2" xfId="42337"/>
    <cellStyle name="Normal 10 2 3 2 3 2 2 3 5" xfId="29901"/>
    <cellStyle name="Normal 10 2 3 2 3 2 2 4" xfId="8057"/>
    <cellStyle name="Normal 10 2 3 2 3 2 2 4 2" xfId="14770"/>
    <cellStyle name="Normal 10 2 3 2 3 2 2 4 2 2" xfId="38191"/>
    <cellStyle name="Normal 10 2 3 2 3 2 2 4 3" xfId="20673"/>
    <cellStyle name="Normal 10 2 3 2 3 2 2 4 3 2" xfId="43124"/>
    <cellStyle name="Normal 10 2 3 2 3 2 2 4 4" xfId="31559"/>
    <cellStyle name="Normal 10 2 3 2 3 2 2 5" xfId="11452"/>
    <cellStyle name="Normal 10 2 3 2 3 2 2 5 2" xfId="21797"/>
    <cellStyle name="Normal 10 2 3 2 3 2 2 5 2 2" xfId="44239"/>
    <cellStyle name="Normal 10 2 3 2 3 2 2 5 3" xfId="34875"/>
    <cellStyle name="Normal 10 2 3 2 3 2 2 6" xfId="18552"/>
    <cellStyle name="Normal 10 2 3 2 3 2 2 6 2" xfId="41496"/>
    <cellStyle name="Normal 10 2 3 2 3 2 2 7" xfId="25796"/>
    <cellStyle name="Normal 10 2 3 2 3 2 2 7 2" xfId="48041"/>
    <cellStyle name="Normal 10 2 3 2 3 2 2 8" xfId="28243"/>
    <cellStyle name="Normal 10 2 3 2 3 2 3" xfId="2831"/>
    <cellStyle name="Normal 10 2 3 2 3 2 3 2" xfId="5923"/>
    <cellStyle name="Normal 10 2 3 2 3 2 3 2 2" xfId="7705"/>
    <cellStyle name="Normal 10 2 3 2 3 2 3 2 2 2" xfId="11034"/>
    <cellStyle name="Normal 10 2 3 2 3 2 3 2 2 2 2" xfId="17738"/>
    <cellStyle name="Normal 10 2 3 2 3 2 3 2 2 2 2 2" xfId="41159"/>
    <cellStyle name="Normal 10 2 3 2 3 2 3 2 2 2 3" xfId="34527"/>
    <cellStyle name="Normal 10 2 3 2 3 2 3 2 2 3" xfId="14422"/>
    <cellStyle name="Normal 10 2 3 2 3 2 3 2 2 3 2" xfId="37843"/>
    <cellStyle name="Normal 10 2 3 2 3 2 3 2 2 4" xfId="22846"/>
    <cellStyle name="Normal 10 2 3 2 3 2 3 2 2 4 2" xfId="45268"/>
    <cellStyle name="Normal 10 2 3 2 3 2 3 2 2 5" xfId="31211"/>
    <cellStyle name="Normal 10 2 3 2 3 2 3 2 3" xfId="9376"/>
    <cellStyle name="Normal 10 2 3 2 3 2 3 2 3 2" xfId="16080"/>
    <cellStyle name="Normal 10 2 3 2 3 2 3 2 3 2 2" xfId="39501"/>
    <cellStyle name="Normal 10 2 3 2 3 2 3 2 3 3" xfId="32869"/>
    <cellStyle name="Normal 10 2 3 2 3 2 3 2 4" xfId="12764"/>
    <cellStyle name="Normal 10 2 3 2 3 2 3 2 4 2" xfId="36185"/>
    <cellStyle name="Normal 10 2 3 2 3 2 3 2 5" xfId="20010"/>
    <cellStyle name="Normal 10 2 3 2 3 2 3 2 5 2" xfId="42545"/>
    <cellStyle name="Normal 10 2 3 2 3 2 3 2 6" xfId="29553"/>
    <cellStyle name="Normal 10 2 3 2 3 2 3 3" xfId="6806"/>
    <cellStyle name="Normal 10 2 3 2 3 2 3 3 2" xfId="10138"/>
    <cellStyle name="Normal 10 2 3 2 3 2 3 3 2 2" xfId="16842"/>
    <cellStyle name="Normal 10 2 3 2 3 2 3 3 2 2 2" xfId="40263"/>
    <cellStyle name="Normal 10 2 3 2 3 2 3 3 2 3" xfId="33631"/>
    <cellStyle name="Normal 10 2 3 2 3 2 3 3 3" xfId="13526"/>
    <cellStyle name="Normal 10 2 3 2 3 2 3 3 3 2" xfId="36947"/>
    <cellStyle name="Normal 10 2 3 2 3 2 3 3 4" xfId="21131"/>
    <cellStyle name="Normal 10 2 3 2 3 2 3 3 4 2" xfId="43582"/>
    <cellStyle name="Normal 10 2 3 2 3 2 3 3 5" xfId="30315"/>
    <cellStyle name="Normal 10 2 3 2 3 2 3 4" xfId="8472"/>
    <cellStyle name="Normal 10 2 3 2 3 2 3 4 2" xfId="15184"/>
    <cellStyle name="Normal 10 2 3 2 3 2 3 4 2 2" xfId="38605"/>
    <cellStyle name="Normal 10 2 3 2 3 2 3 4 3" xfId="22019"/>
    <cellStyle name="Normal 10 2 3 2 3 2 3 4 3 2" xfId="44447"/>
    <cellStyle name="Normal 10 2 3 2 3 2 3 4 4" xfId="31973"/>
    <cellStyle name="Normal 10 2 3 2 3 2 3 5" xfId="11866"/>
    <cellStyle name="Normal 10 2 3 2 3 2 3 5 2" xfId="35289"/>
    <cellStyle name="Normal 10 2 3 2 3 2 3 6" xfId="19156"/>
    <cellStyle name="Normal 10 2 3 2 3 2 3 6 2" xfId="41713"/>
    <cellStyle name="Normal 10 2 3 2 3 2 3 7" xfId="28657"/>
    <cellStyle name="Normal 10 2 3 2 3 2 4" xfId="3807"/>
    <cellStyle name="Normal 10 2 3 2 3 2 4 2" xfId="6945"/>
    <cellStyle name="Normal 10 2 3 2 3 2 4 2 2" xfId="10277"/>
    <cellStyle name="Normal 10 2 3 2 3 2 4 2 2 2" xfId="16981"/>
    <cellStyle name="Normal 10 2 3 2 3 2 4 2 2 2 2" xfId="40402"/>
    <cellStyle name="Normal 10 2 3 2 3 2 4 2 2 3" xfId="33770"/>
    <cellStyle name="Normal 10 2 3 2 3 2 4 2 3" xfId="13665"/>
    <cellStyle name="Normal 10 2 3 2 3 2 4 2 3 2" xfId="37086"/>
    <cellStyle name="Normal 10 2 3 2 3 2 4 2 4" xfId="22439"/>
    <cellStyle name="Normal 10 2 3 2 3 2 4 2 4 2" xfId="44861"/>
    <cellStyle name="Normal 10 2 3 2 3 2 4 2 5" xfId="30454"/>
    <cellStyle name="Normal 10 2 3 2 3 2 4 3" xfId="8612"/>
    <cellStyle name="Normal 10 2 3 2 3 2 4 3 2" xfId="15323"/>
    <cellStyle name="Normal 10 2 3 2 3 2 4 3 2 2" xfId="38744"/>
    <cellStyle name="Normal 10 2 3 2 3 2 4 3 3" xfId="32112"/>
    <cellStyle name="Normal 10 2 3 2 3 2 4 4" xfId="12005"/>
    <cellStyle name="Normal 10 2 3 2 3 2 4 4 2" xfId="35428"/>
    <cellStyle name="Normal 10 2 3 2 3 2 4 5" xfId="19592"/>
    <cellStyle name="Normal 10 2 3 2 3 2 4 5 2" xfId="42129"/>
    <cellStyle name="Normal 10 2 3 2 3 2 4 6" xfId="28796"/>
    <cellStyle name="Normal 10 2 3 2 3 2 5" xfId="6333"/>
    <cellStyle name="Normal 10 2 3 2 3 2 5 2" xfId="9667"/>
    <cellStyle name="Normal 10 2 3 2 3 2 5 2 2" xfId="16371"/>
    <cellStyle name="Normal 10 2 3 2 3 2 5 2 2 2" xfId="39792"/>
    <cellStyle name="Normal 10 2 3 2 3 2 5 2 3" xfId="33160"/>
    <cellStyle name="Normal 10 2 3 2 3 2 5 3" xfId="13055"/>
    <cellStyle name="Normal 10 2 3 2 3 2 5 3 2" xfId="36476"/>
    <cellStyle name="Normal 10 2 3 2 3 2 5 4" xfId="20672"/>
    <cellStyle name="Normal 10 2 3 2 3 2 5 4 2" xfId="43123"/>
    <cellStyle name="Normal 10 2 3 2 3 2 5 5" xfId="29844"/>
    <cellStyle name="Normal 10 2 3 2 3 2 6" xfId="7999"/>
    <cellStyle name="Normal 10 2 3 2 3 2 6 2" xfId="14713"/>
    <cellStyle name="Normal 10 2 3 2 3 2 6 2 2" xfId="38134"/>
    <cellStyle name="Normal 10 2 3 2 3 2 6 3" xfId="21588"/>
    <cellStyle name="Normal 10 2 3 2 3 2 6 3 2" xfId="44037"/>
    <cellStyle name="Normal 10 2 3 2 3 2 6 4" xfId="31502"/>
    <cellStyle name="Normal 10 2 3 2 3 2 7" xfId="11395"/>
    <cellStyle name="Normal 10 2 3 2 3 2 7 2" xfId="34818"/>
    <cellStyle name="Normal 10 2 3 2 3 2 8" xfId="17951"/>
    <cellStyle name="Normal 10 2 3 2 3 2 8 2" xfId="41260"/>
    <cellStyle name="Normal 10 2 3 2 3 2 9" xfId="23258"/>
    <cellStyle name="Normal 10 2 3 2 3 2 9 2" xfId="45668"/>
    <cellStyle name="Normal 10 2 3 2 3 3" xfId="2197"/>
    <cellStyle name="Normal 10 2 3 2 3 3 2" xfId="5472"/>
    <cellStyle name="Normal 10 2 3 2 3 3 2 2" xfId="7298"/>
    <cellStyle name="Normal 10 2 3 2 3 3 2 2 2" xfId="10629"/>
    <cellStyle name="Normal 10 2 3 2 3 3 2 2 2 2" xfId="17333"/>
    <cellStyle name="Normal 10 2 3 2 3 3 2 2 2 2 2" xfId="40754"/>
    <cellStyle name="Normal 10 2 3 2 3 3 2 2 2 3" xfId="23045"/>
    <cellStyle name="Normal 10 2 3 2 3 3 2 2 2 3 2" xfId="45467"/>
    <cellStyle name="Normal 10 2 3 2 3 3 2 2 2 4" xfId="34122"/>
    <cellStyle name="Normal 10 2 3 2 3 3 2 2 3" xfId="14017"/>
    <cellStyle name="Normal 10 2 3 2 3 3 2 2 3 2" xfId="37438"/>
    <cellStyle name="Normal 10 2 3 2 3 3 2 2 4" xfId="20217"/>
    <cellStyle name="Normal 10 2 3 2 3 3 2 2 4 2" xfId="42752"/>
    <cellStyle name="Normal 10 2 3 2 3 3 2 2 5" xfId="30806"/>
    <cellStyle name="Normal 10 2 3 2 3 3 2 3" xfId="8971"/>
    <cellStyle name="Normal 10 2 3 2 3 3 2 3 2" xfId="15675"/>
    <cellStyle name="Normal 10 2 3 2 3 3 2 3 2 2" xfId="39096"/>
    <cellStyle name="Normal 10 2 3 2 3 3 2 3 3" xfId="21133"/>
    <cellStyle name="Normal 10 2 3 2 3 3 2 3 3 2" xfId="43584"/>
    <cellStyle name="Normal 10 2 3 2 3 3 2 3 4" xfId="32464"/>
    <cellStyle name="Normal 10 2 3 2 3 3 2 4" xfId="12359"/>
    <cellStyle name="Normal 10 2 3 2 3 3 2 4 2" xfId="22230"/>
    <cellStyle name="Normal 10 2 3 2 3 3 2 4 2 2" xfId="44652"/>
    <cellStyle name="Normal 10 2 3 2 3 3 2 4 3" xfId="35780"/>
    <cellStyle name="Normal 10 2 3 2 3 3 2 5" xfId="19378"/>
    <cellStyle name="Normal 10 2 3 2 3 3 2 5 2" xfId="41920"/>
    <cellStyle name="Normal 10 2 3 2 3 3 2 6" xfId="27715"/>
    <cellStyle name="Normal 10 2 3 2 3 3 2 6 2" xfId="49960"/>
    <cellStyle name="Normal 10 2 3 2 3 3 2 7" xfId="29148"/>
    <cellStyle name="Normal 10 2 3 2 3 3 3" xfId="6389"/>
    <cellStyle name="Normal 10 2 3 2 3 3 3 2" xfId="9723"/>
    <cellStyle name="Normal 10 2 3 2 3 3 3 2 2" xfId="16427"/>
    <cellStyle name="Normal 10 2 3 2 3 3 3 2 2 2" xfId="39848"/>
    <cellStyle name="Normal 10 2 3 2 3 3 3 2 3" xfId="22638"/>
    <cellStyle name="Normal 10 2 3 2 3 3 3 2 3 2" xfId="45060"/>
    <cellStyle name="Normal 10 2 3 2 3 3 3 2 4" xfId="33216"/>
    <cellStyle name="Normal 10 2 3 2 3 3 3 3" xfId="13111"/>
    <cellStyle name="Normal 10 2 3 2 3 3 3 3 2" xfId="36532"/>
    <cellStyle name="Normal 10 2 3 2 3 3 3 4" xfId="19801"/>
    <cellStyle name="Normal 10 2 3 2 3 3 3 4 2" xfId="42336"/>
    <cellStyle name="Normal 10 2 3 2 3 3 3 5" xfId="29900"/>
    <cellStyle name="Normal 10 2 3 2 3 3 4" xfId="8056"/>
    <cellStyle name="Normal 10 2 3 2 3 3 4 2" xfId="14769"/>
    <cellStyle name="Normal 10 2 3 2 3 3 4 2 2" xfId="38190"/>
    <cellStyle name="Normal 10 2 3 2 3 3 4 3" xfId="20674"/>
    <cellStyle name="Normal 10 2 3 2 3 3 4 3 2" xfId="43125"/>
    <cellStyle name="Normal 10 2 3 2 3 3 4 4" xfId="31558"/>
    <cellStyle name="Normal 10 2 3 2 3 3 5" xfId="11451"/>
    <cellStyle name="Normal 10 2 3 2 3 3 5 2" xfId="21796"/>
    <cellStyle name="Normal 10 2 3 2 3 3 5 2 2" xfId="44238"/>
    <cellStyle name="Normal 10 2 3 2 3 3 5 3" xfId="34874"/>
    <cellStyle name="Normal 10 2 3 2 3 3 6" xfId="18551"/>
    <cellStyle name="Normal 10 2 3 2 3 3 6 2" xfId="41495"/>
    <cellStyle name="Normal 10 2 3 2 3 3 7" xfId="25410"/>
    <cellStyle name="Normal 10 2 3 2 3 3 7 2" xfId="47655"/>
    <cellStyle name="Normal 10 2 3 2 3 3 8" xfId="28242"/>
    <cellStyle name="Normal 10 2 3 2 3 4" xfId="2699"/>
    <cellStyle name="Normal 10 2 3 2 3 4 2" xfId="5792"/>
    <cellStyle name="Normal 10 2 3 2 3 4 2 2" xfId="7574"/>
    <cellStyle name="Normal 10 2 3 2 3 4 2 2 2" xfId="10903"/>
    <cellStyle name="Normal 10 2 3 2 3 4 2 2 2 2" xfId="17607"/>
    <cellStyle name="Normal 10 2 3 2 3 4 2 2 2 2 2" xfId="41028"/>
    <cellStyle name="Normal 10 2 3 2 3 4 2 2 2 3" xfId="34396"/>
    <cellStyle name="Normal 10 2 3 2 3 4 2 2 3" xfId="14291"/>
    <cellStyle name="Normal 10 2 3 2 3 4 2 2 3 2" xfId="37712"/>
    <cellStyle name="Normal 10 2 3 2 3 4 2 2 4" xfId="22845"/>
    <cellStyle name="Normal 10 2 3 2 3 4 2 2 4 2" xfId="45267"/>
    <cellStyle name="Normal 10 2 3 2 3 4 2 2 5" xfId="31080"/>
    <cellStyle name="Normal 10 2 3 2 3 4 2 3" xfId="9245"/>
    <cellStyle name="Normal 10 2 3 2 3 4 2 3 2" xfId="15949"/>
    <cellStyle name="Normal 10 2 3 2 3 4 2 3 2 2" xfId="39370"/>
    <cellStyle name="Normal 10 2 3 2 3 4 2 3 3" xfId="32738"/>
    <cellStyle name="Normal 10 2 3 2 3 4 2 4" xfId="12633"/>
    <cellStyle name="Normal 10 2 3 2 3 4 2 4 2" xfId="36054"/>
    <cellStyle name="Normal 10 2 3 2 3 4 2 5" xfId="20009"/>
    <cellStyle name="Normal 10 2 3 2 3 4 2 5 2" xfId="42544"/>
    <cellStyle name="Normal 10 2 3 2 3 4 2 6" xfId="29422"/>
    <cellStyle name="Normal 10 2 3 2 3 4 3" xfId="6675"/>
    <cellStyle name="Normal 10 2 3 2 3 4 3 2" xfId="10007"/>
    <cellStyle name="Normal 10 2 3 2 3 4 3 2 2" xfId="16711"/>
    <cellStyle name="Normal 10 2 3 2 3 4 3 2 2 2" xfId="40132"/>
    <cellStyle name="Normal 10 2 3 2 3 4 3 2 3" xfId="33500"/>
    <cellStyle name="Normal 10 2 3 2 3 4 3 3" xfId="13395"/>
    <cellStyle name="Normal 10 2 3 2 3 4 3 3 2" xfId="36816"/>
    <cellStyle name="Normal 10 2 3 2 3 4 3 4" xfId="21130"/>
    <cellStyle name="Normal 10 2 3 2 3 4 3 4 2" xfId="43581"/>
    <cellStyle name="Normal 10 2 3 2 3 4 3 5" xfId="30184"/>
    <cellStyle name="Normal 10 2 3 2 3 4 4" xfId="8341"/>
    <cellStyle name="Normal 10 2 3 2 3 4 4 2" xfId="15053"/>
    <cellStyle name="Normal 10 2 3 2 3 4 4 2 2" xfId="38474"/>
    <cellStyle name="Normal 10 2 3 2 3 4 4 3" xfId="22018"/>
    <cellStyle name="Normal 10 2 3 2 3 4 4 3 2" xfId="44446"/>
    <cellStyle name="Normal 10 2 3 2 3 4 4 4" xfId="31842"/>
    <cellStyle name="Normal 10 2 3 2 3 4 5" xfId="11735"/>
    <cellStyle name="Normal 10 2 3 2 3 4 5 2" xfId="35158"/>
    <cellStyle name="Normal 10 2 3 2 3 4 6" xfId="19155"/>
    <cellStyle name="Normal 10 2 3 2 3 4 6 2" xfId="41712"/>
    <cellStyle name="Normal 10 2 3 2 3 4 7" xfId="25795"/>
    <cellStyle name="Normal 10 2 3 2 3 4 7 2" xfId="48040"/>
    <cellStyle name="Normal 10 2 3 2 3 4 8" xfId="28526"/>
    <cellStyle name="Normal 10 2 3 2 3 5" xfId="3806"/>
    <cellStyle name="Normal 10 2 3 2 3 5 2" xfId="6944"/>
    <cellStyle name="Normal 10 2 3 2 3 5 2 2" xfId="10276"/>
    <cellStyle name="Normal 10 2 3 2 3 5 2 2 2" xfId="16980"/>
    <cellStyle name="Normal 10 2 3 2 3 5 2 2 2 2" xfId="40401"/>
    <cellStyle name="Normal 10 2 3 2 3 5 2 2 3" xfId="33769"/>
    <cellStyle name="Normal 10 2 3 2 3 5 2 3" xfId="13664"/>
    <cellStyle name="Normal 10 2 3 2 3 5 2 3 2" xfId="37085"/>
    <cellStyle name="Normal 10 2 3 2 3 5 2 4" xfId="22438"/>
    <cellStyle name="Normal 10 2 3 2 3 5 2 4 2" xfId="44860"/>
    <cellStyle name="Normal 10 2 3 2 3 5 2 5" xfId="30453"/>
    <cellStyle name="Normal 10 2 3 2 3 5 3" xfId="8611"/>
    <cellStyle name="Normal 10 2 3 2 3 5 3 2" xfId="15322"/>
    <cellStyle name="Normal 10 2 3 2 3 5 3 2 2" xfId="38743"/>
    <cellStyle name="Normal 10 2 3 2 3 5 3 3" xfId="32111"/>
    <cellStyle name="Normal 10 2 3 2 3 5 4" xfId="12004"/>
    <cellStyle name="Normal 10 2 3 2 3 5 4 2" xfId="35427"/>
    <cellStyle name="Normal 10 2 3 2 3 5 5" xfId="19591"/>
    <cellStyle name="Normal 10 2 3 2 3 5 5 2" xfId="42128"/>
    <cellStyle name="Normal 10 2 3 2 3 5 6" xfId="28795"/>
    <cellStyle name="Normal 10 2 3 2 3 6" xfId="6202"/>
    <cellStyle name="Normal 10 2 3 2 3 6 2" xfId="9536"/>
    <cellStyle name="Normal 10 2 3 2 3 6 2 2" xfId="16240"/>
    <cellStyle name="Normal 10 2 3 2 3 6 2 2 2" xfId="39661"/>
    <cellStyle name="Normal 10 2 3 2 3 6 2 3" xfId="33029"/>
    <cellStyle name="Normal 10 2 3 2 3 6 3" xfId="12924"/>
    <cellStyle name="Normal 10 2 3 2 3 6 3 2" xfId="36345"/>
    <cellStyle name="Normal 10 2 3 2 3 6 4" xfId="20671"/>
    <cellStyle name="Normal 10 2 3 2 3 6 4 2" xfId="43122"/>
    <cellStyle name="Normal 10 2 3 2 3 6 5" xfId="29713"/>
    <cellStyle name="Normal 10 2 3 2 3 7" xfId="7868"/>
    <cellStyle name="Normal 10 2 3 2 3 7 2" xfId="14582"/>
    <cellStyle name="Normal 10 2 3 2 3 7 2 2" xfId="38003"/>
    <cellStyle name="Normal 10 2 3 2 3 7 3" xfId="21587"/>
    <cellStyle name="Normal 10 2 3 2 3 7 3 2" xfId="44036"/>
    <cellStyle name="Normal 10 2 3 2 3 7 4" xfId="31371"/>
    <cellStyle name="Normal 10 2 3 2 3 8" xfId="11264"/>
    <cellStyle name="Normal 10 2 3 2 3 8 2" xfId="34687"/>
    <cellStyle name="Normal 10 2 3 2 3 9" xfId="17950"/>
    <cellStyle name="Normal 10 2 3 2 3 9 2" xfId="41259"/>
    <cellStyle name="Normal 10 2 3 2 4" xfId="1782"/>
    <cellStyle name="Normal 10 2 3 2 4 10" xfId="28134"/>
    <cellStyle name="Normal 10 2 3 2 4 2" xfId="2199"/>
    <cellStyle name="Normal 10 2 3 2 4 2 2" xfId="5474"/>
    <cellStyle name="Normal 10 2 3 2 4 2 2 2" xfId="7300"/>
    <cellStyle name="Normal 10 2 3 2 4 2 2 2 2" xfId="10631"/>
    <cellStyle name="Normal 10 2 3 2 4 2 2 2 2 2" xfId="17335"/>
    <cellStyle name="Normal 10 2 3 2 4 2 2 2 2 2 2" xfId="40756"/>
    <cellStyle name="Normal 10 2 3 2 4 2 2 2 2 3" xfId="23047"/>
    <cellStyle name="Normal 10 2 3 2 4 2 2 2 2 3 2" xfId="45469"/>
    <cellStyle name="Normal 10 2 3 2 4 2 2 2 2 4" xfId="34124"/>
    <cellStyle name="Normal 10 2 3 2 4 2 2 2 3" xfId="14019"/>
    <cellStyle name="Normal 10 2 3 2 4 2 2 2 3 2" xfId="37440"/>
    <cellStyle name="Normal 10 2 3 2 4 2 2 2 4" xfId="20219"/>
    <cellStyle name="Normal 10 2 3 2 4 2 2 2 4 2" xfId="42754"/>
    <cellStyle name="Normal 10 2 3 2 4 2 2 2 5" xfId="30808"/>
    <cellStyle name="Normal 10 2 3 2 4 2 2 3" xfId="8973"/>
    <cellStyle name="Normal 10 2 3 2 4 2 2 3 2" xfId="15677"/>
    <cellStyle name="Normal 10 2 3 2 4 2 2 3 2 2" xfId="39098"/>
    <cellStyle name="Normal 10 2 3 2 4 2 2 3 3" xfId="21135"/>
    <cellStyle name="Normal 10 2 3 2 4 2 2 3 3 2" xfId="43586"/>
    <cellStyle name="Normal 10 2 3 2 4 2 2 3 4" xfId="32466"/>
    <cellStyle name="Normal 10 2 3 2 4 2 2 4" xfId="12361"/>
    <cellStyle name="Normal 10 2 3 2 4 2 2 4 2" xfId="22232"/>
    <cellStyle name="Normal 10 2 3 2 4 2 2 4 2 2" xfId="44654"/>
    <cellStyle name="Normal 10 2 3 2 4 2 2 4 3" xfId="35782"/>
    <cellStyle name="Normal 10 2 3 2 4 2 2 5" xfId="19380"/>
    <cellStyle name="Normal 10 2 3 2 4 2 2 5 2" xfId="41922"/>
    <cellStyle name="Normal 10 2 3 2 4 2 2 6" xfId="29150"/>
    <cellStyle name="Normal 10 2 3 2 4 2 3" xfId="6391"/>
    <cellStyle name="Normal 10 2 3 2 4 2 3 2" xfId="9725"/>
    <cellStyle name="Normal 10 2 3 2 4 2 3 2 2" xfId="16429"/>
    <cellStyle name="Normal 10 2 3 2 4 2 3 2 2 2" xfId="39850"/>
    <cellStyle name="Normal 10 2 3 2 4 2 3 2 3" xfId="22640"/>
    <cellStyle name="Normal 10 2 3 2 4 2 3 2 3 2" xfId="45062"/>
    <cellStyle name="Normal 10 2 3 2 4 2 3 2 4" xfId="33218"/>
    <cellStyle name="Normal 10 2 3 2 4 2 3 3" xfId="13113"/>
    <cellStyle name="Normal 10 2 3 2 4 2 3 3 2" xfId="36534"/>
    <cellStyle name="Normal 10 2 3 2 4 2 3 4" xfId="19803"/>
    <cellStyle name="Normal 10 2 3 2 4 2 3 4 2" xfId="42338"/>
    <cellStyle name="Normal 10 2 3 2 4 2 3 5" xfId="29902"/>
    <cellStyle name="Normal 10 2 3 2 4 2 4" xfId="8058"/>
    <cellStyle name="Normal 10 2 3 2 4 2 4 2" xfId="14771"/>
    <cellStyle name="Normal 10 2 3 2 4 2 4 2 2" xfId="38192"/>
    <cellStyle name="Normal 10 2 3 2 4 2 4 3" xfId="20676"/>
    <cellStyle name="Normal 10 2 3 2 4 2 4 3 2" xfId="43127"/>
    <cellStyle name="Normal 10 2 3 2 4 2 4 4" xfId="31560"/>
    <cellStyle name="Normal 10 2 3 2 4 2 5" xfId="11453"/>
    <cellStyle name="Normal 10 2 3 2 4 2 5 2" xfId="21798"/>
    <cellStyle name="Normal 10 2 3 2 4 2 5 2 2" xfId="44240"/>
    <cellStyle name="Normal 10 2 3 2 4 2 5 3" xfId="34876"/>
    <cellStyle name="Normal 10 2 3 2 4 2 6" xfId="18553"/>
    <cellStyle name="Normal 10 2 3 2 4 2 6 2" xfId="41497"/>
    <cellStyle name="Normal 10 2 3 2 4 2 7" xfId="25797"/>
    <cellStyle name="Normal 10 2 3 2 4 2 7 2" xfId="48042"/>
    <cellStyle name="Normal 10 2 3 2 4 2 8" xfId="28244"/>
    <cellStyle name="Normal 10 2 3 2 4 3" xfId="2779"/>
    <cellStyle name="Normal 10 2 3 2 4 3 2" xfId="5871"/>
    <cellStyle name="Normal 10 2 3 2 4 3 2 2" xfId="7653"/>
    <cellStyle name="Normal 10 2 3 2 4 3 2 2 2" xfId="10982"/>
    <cellStyle name="Normal 10 2 3 2 4 3 2 2 2 2" xfId="17686"/>
    <cellStyle name="Normal 10 2 3 2 4 3 2 2 2 2 2" xfId="41107"/>
    <cellStyle name="Normal 10 2 3 2 4 3 2 2 2 3" xfId="34475"/>
    <cellStyle name="Normal 10 2 3 2 4 3 2 2 3" xfId="14370"/>
    <cellStyle name="Normal 10 2 3 2 4 3 2 2 3 2" xfId="37791"/>
    <cellStyle name="Normal 10 2 3 2 4 3 2 2 4" xfId="22847"/>
    <cellStyle name="Normal 10 2 3 2 4 3 2 2 4 2" xfId="45269"/>
    <cellStyle name="Normal 10 2 3 2 4 3 2 2 5" xfId="31159"/>
    <cellStyle name="Normal 10 2 3 2 4 3 2 3" xfId="9324"/>
    <cellStyle name="Normal 10 2 3 2 4 3 2 3 2" xfId="16028"/>
    <cellStyle name="Normal 10 2 3 2 4 3 2 3 2 2" xfId="39449"/>
    <cellStyle name="Normal 10 2 3 2 4 3 2 3 3" xfId="32817"/>
    <cellStyle name="Normal 10 2 3 2 4 3 2 4" xfId="12712"/>
    <cellStyle name="Normal 10 2 3 2 4 3 2 4 2" xfId="36133"/>
    <cellStyle name="Normal 10 2 3 2 4 3 2 5" xfId="20011"/>
    <cellStyle name="Normal 10 2 3 2 4 3 2 5 2" xfId="42546"/>
    <cellStyle name="Normal 10 2 3 2 4 3 2 6" xfId="29501"/>
    <cellStyle name="Normal 10 2 3 2 4 3 3" xfId="6754"/>
    <cellStyle name="Normal 10 2 3 2 4 3 3 2" xfId="10086"/>
    <cellStyle name="Normal 10 2 3 2 4 3 3 2 2" xfId="16790"/>
    <cellStyle name="Normal 10 2 3 2 4 3 3 2 2 2" xfId="40211"/>
    <cellStyle name="Normal 10 2 3 2 4 3 3 2 3" xfId="33579"/>
    <cellStyle name="Normal 10 2 3 2 4 3 3 3" xfId="13474"/>
    <cellStyle name="Normal 10 2 3 2 4 3 3 3 2" xfId="36895"/>
    <cellStyle name="Normal 10 2 3 2 4 3 3 4" xfId="21134"/>
    <cellStyle name="Normal 10 2 3 2 4 3 3 4 2" xfId="43585"/>
    <cellStyle name="Normal 10 2 3 2 4 3 3 5" xfId="30263"/>
    <cellStyle name="Normal 10 2 3 2 4 3 4" xfId="8420"/>
    <cellStyle name="Normal 10 2 3 2 4 3 4 2" xfId="15132"/>
    <cellStyle name="Normal 10 2 3 2 4 3 4 2 2" xfId="38553"/>
    <cellStyle name="Normal 10 2 3 2 4 3 4 3" xfId="22020"/>
    <cellStyle name="Normal 10 2 3 2 4 3 4 3 2" xfId="44448"/>
    <cellStyle name="Normal 10 2 3 2 4 3 4 4" xfId="31921"/>
    <cellStyle name="Normal 10 2 3 2 4 3 5" xfId="11814"/>
    <cellStyle name="Normal 10 2 3 2 4 3 5 2" xfId="35237"/>
    <cellStyle name="Normal 10 2 3 2 4 3 6" xfId="19157"/>
    <cellStyle name="Normal 10 2 3 2 4 3 6 2" xfId="41714"/>
    <cellStyle name="Normal 10 2 3 2 4 3 7" xfId="28605"/>
    <cellStyle name="Normal 10 2 3 2 4 4" xfId="3808"/>
    <cellStyle name="Normal 10 2 3 2 4 4 2" xfId="6946"/>
    <cellStyle name="Normal 10 2 3 2 4 4 2 2" xfId="10278"/>
    <cellStyle name="Normal 10 2 3 2 4 4 2 2 2" xfId="16982"/>
    <cellStyle name="Normal 10 2 3 2 4 4 2 2 2 2" xfId="40403"/>
    <cellStyle name="Normal 10 2 3 2 4 4 2 2 3" xfId="33771"/>
    <cellStyle name="Normal 10 2 3 2 4 4 2 3" xfId="13666"/>
    <cellStyle name="Normal 10 2 3 2 4 4 2 3 2" xfId="37087"/>
    <cellStyle name="Normal 10 2 3 2 4 4 2 4" xfId="22440"/>
    <cellStyle name="Normal 10 2 3 2 4 4 2 4 2" xfId="44862"/>
    <cellStyle name="Normal 10 2 3 2 4 4 2 5" xfId="30455"/>
    <cellStyle name="Normal 10 2 3 2 4 4 3" xfId="8613"/>
    <cellStyle name="Normal 10 2 3 2 4 4 3 2" xfId="15324"/>
    <cellStyle name="Normal 10 2 3 2 4 4 3 2 2" xfId="38745"/>
    <cellStyle name="Normal 10 2 3 2 4 4 3 3" xfId="32113"/>
    <cellStyle name="Normal 10 2 3 2 4 4 4" xfId="12006"/>
    <cellStyle name="Normal 10 2 3 2 4 4 4 2" xfId="35429"/>
    <cellStyle name="Normal 10 2 3 2 4 4 5" xfId="19593"/>
    <cellStyle name="Normal 10 2 3 2 4 4 5 2" xfId="42130"/>
    <cellStyle name="Normal 10 2 3 2 4 4 6" xfId="28797"/>
    <cellStyle name="Normal 10 2 3 2 4 5" xfId="6281"/>
    <cellStyle name="Normal 10 2 3 2 4 5 2" xfId="9615"/>
    <cellStyle name="Normal 10 2 3 2 4 5 2 2" xfId="16319"/>
    <cellStyle name="Normal 10 2 3 2 4 5 2 2 2" xfId="39740"/>
    <cellStyle name="Normal 10 2 3 2 4 5 2 3" xfId="33108"/>
    <cellStyle name="Normal 10 2 3 2 4 5 3" xfId="13003"/>
    <cellStyle name="Normal 10 2 3 2 4 5 3 2" xfId="36424"/>
    <cellStyle name="Normal 10 2 3 2 4 5 4" xfId="20675"/>
    <cellStyle name="Normal 10 2 3 2 4 5 4 2" xfId="43126"/>
    <cellStyle name="Normal 10 2 3 2 4 5 5" xfId="29792"/>
    <cellStyle name="Normal 10 2 3 2 4 6" xfId="7947"/>
    <cellStyle name="Normal 10 2 3 2 4 6 2" xfId="14661"/>
    <cellStyle name="Normal 10 2 3 2 4 6 2 2" xfId="38082"/>
    <cellStyle name="Normal 10 2 3 2 4 6 3" xfId="21589"/>
    <cellStyle name="Normal 10 2 3 2 4 6 3 2" xfId="44038"/>
    <cellStyle name="Normal 10 2 3 2 4 6 4" xfId="31450"/>
    <cellStyle name="Normal 10 2 3 2 4 7" xfId="11343"/>
    <cellStyle name="Normal 10 2 3 2 4 7 2" xfId="34766"/>
    <cellStyle name="Normal 10 2 3 2 4 8" xfId="17952"/>
    <cellStyle name="Normal 10 2 3 2 4 8 2" xfId="41261"/>
    <cellStyle name="Normal 10 2 3 2 4 9" xfId="23292"/>
    <cellStyle name="Normal 10 2 3 2 4 9 2" xfId="45688"/>
    <cellStyle name="Normal 10 2 3 2 5" xfId="2192"/>
    <cellStyle name="Normal 10 2 3 2 5 2" xfId="5467"/>
    <cellStyle name="Normal 10 2 3 2 5 2 2" xfId="7293"/>
    <cellStyle name="Normal 10 2 3 2 5 2 2 2" xfId="10624"/>
    <cellStyle name="Normal 10 2 3 2 5 2 2 2 2" xfId="17328"/>
    <cellStyle name="Normal 10 2 3 2 5 2 2 2 2 2" xfId="40749"/>
    <cellStyle name="Normal 10 2 3 2 5 2 2 2 3" xfId="23040"/>
    <cellStyle name="Normal 10 2 3 2 5 2 2 2 3 2" xfId="45462"/>
    <cellStyle name="Normal 10 2 3 2 5 2 2 2 4" xfId="34117"/>
    <cellStyle name="Normal 10 2 3 2 5 2 2 3" xfId="14012"/>
    <cellStyle name="Normal 10 2 3 2 5 2 2 3 2" xfId="37433"/>
    <cellStyle name="Normal 10 2 3 2 5 2 2 4" xfId="20212"/>
    <cellStyle name="Normal 10 2 3 2 5 2 2 4 2" xfId="42747"/>
    <cellStyle name="Normal 10 2 3 2 5 2 2 5" xfId="30801"/>
    <cellStyle name="Normal 10 2 3 2 5 2 3" xfId="8966"/>
    <cellStyle name="Normal 10 2 3 2 5 2 3 2" xfId="15670"/>
    <cellStyle name="Normal 10 2 3 2 5 2 3 2 2" xfId="39091"/>
    <cellStyle name="Normal 10 2 3 2 5 2 3 3" xfId="21136"/>
    <cellStyle name="Normal 10 2 3 2 5 2 3 3 2" xfId="43587"/>
    <cellStyle name="Normal 10 2 3 2 5 2 3 4" xfId="32459"/>
    <cellStyle name="Normal 10 2 3 2 5 2 4" xfId="12354"/>
    <cellStyle name="Normal 10 2 3 2 5 2 4 2" xfId="22225"/>
    <cellStyle name="Normal 10 2 3 2 5 2 4 2 2" xfId="44647"/>
    <cellStyle name="Normal 10 2 3 2 5 2 4 3" xfId="35775"/>
    <cellStyle name="Normal 10 2 3 2 5 2 5" xfId="19373"/>
    <cellStyle name="Normal 10 2 3 2 5 2 5 2" xfId="41915"/>
    <cellStyle name="Normal 10 2 3 2 5 2 6" xfId="27379"/>
    <cellStyle name="Normal 10 2 3 2 5 2 6 2" xfId="49624"/>
    <cellStyle name="Normal 10 2 3 2 5 2 7" xfId="29143"/>
    <cellStyle name="Normal 10 2 3 2 5 3" xfId="6384"/>
    <cellStyle name="Normal 10 2 3 2 5 3 2" xfId="9718"/>
    <cellStyle name="Normal 10 2 3 2 5 3 2 2" xfId="16422"/>
    <cellStyle name="Normal 10 2 3 2 5 3 2 2 2" xfId="39843"/>
    <cellStyle name="Normal 10 2 3 2 5 3 2 3" xfId="22633"/>
    <cellStyle name="Normal 10 2 3 2 5 3 2 3 2" xfId="45055"/>
    <cellStyle name="Normal 10 2 3 2 5 3 2 4" xfId="33211"/>
    <cellStyle name="Normal 10 2 3 2 5 3 3" xfId="13106"/>
    <cellStyle name="Normal 10 2 3 2 5 3 3 2" xfId="36527"/>
    <cellStyle name="Normal 10 2 3 2 5 3 4" xfId="19796"/>
    <cellStyle name="Normal 10 2 3 2 5 3 4 2" xfId="42331"/>
    <cellStyle name="Normal 10 2 3 2 5 3 5" xfId="29895"/>
    <cellStyle name="Normal 10 2 3 2 5 4" xfId="8051"/>
    <cellStyle name="Normal 10 2 3 2 5 4 2" xfId="14764"/>
    <cellStyle name="Normal 10 2 3 2 5 4 2 2" xfId="38185"/>
    <cellStyle name="Normal 10 2 3 2 5 4 3" xfId="20677"/>
    <cellStyle name="Normal 10 2 3 2 5 4 3 2" xfId="43128"/>
    <cellStyle name="Normal 10 2 3 2 5 4 4" xfId="31553"/>
    <cellStyle name="Normal 10 2 3 2 5 5" xfId="11446"/>
    <cellStyle name="Normal 10 2 3 2 5 5 2" xfId="21791"/>
    <cellStyle name="Normal 10 2 3 2 5 5 2 2" xfId="44233"/>
    <cellStyle name="Normal 10 2 3 2 5 5 3" xfId="34869"/>
    <cellStyle name="Normal 10 2 3 2 5 6" xfId="18546"/>
    <cellStyle name="Normal 10 2 3 2 5 6 2" xfId="41490"/>
    <cellStyle name="Normal 10 2 3 2 5 7" xfId="25089"/>
    <cellStyle name="Normal 10 2 3 2 5 7 2" xfId="47334"/>
    <cellStyle name="Normal 10 2 3 2 5 8" xfId="28237"/>
    <cellStyle name="Normal 10 2 3 2 6" xfId="2647"/>
    <cellStyle name="Normal 10 2 3 2 6 2" xfId="5740"/>
    <cellStyle name="Normal 10 2 3 2 6 2 2" xfId="7522"/>
    <cellStyle name="Normal 10 2 3 2 6 2 2 2" xfId="10851"/>
    <cellStyle name="Normal 10 2 3 2 6 2 2 2 2" xfId="17555"/>
    <cellStyle name="Normal 10 2 3 2 6 2 2 2 2 2" xfId="40976"/>
    <cellStyle name="Normal 10 2 3 2 6 2 2 2 3" xfId="34344"/>
    <cellStyle name="Normal 10 2 3 2 6 2 2 3" xfId="14239"/>
    <cellStyle name="Normal 10 2 3 2 6 2 2 3 2" xfId="37660"/>
    <cellStyle name="Normal 10 2 3 2 6 2 2 4" xfId="20613"/>
    <cellStyle name="Normal 10 2 3 2 6 2 2 4 2" xfId="43064"/>
    <cellStyle name="Normal 10 2 3 2 6 2 2 5" xfId="31028"/>
    <cellStyle name="Normal 10 2 3 2 6 2 3" xfId="9193"/>
    <cellStyle name="Normal 10 2 3 2 6 2 3 2" xfId="15897"/>
    <cellStyle name="Normal 10 2 3 2 6 2 3 2 2" xfId="39318"/>
    <cellStyle name="Normal 10 2 3 2 6 2 3 3" xfId="21531"/>
    <cellStyle name="Normal 10 2 3 2 6 2 3 3 2" xfId="43982"/>
    <cellStyle name="Normal 10 2 3 2 6 2 3 4" xfId="32686"/>
    <cellStyle name="Normal 10 2 3 2 6 2 4" xfId="12581"/>
    <cellStyle name="Normal 10 2 3 2 6 2 4 2" xfId="22840"/>
    <cellStyle name="Normal 10 2 3 2 6 2 4 2 2" xfId="45262"/>
    <cellStyle name="Normal 10 2 3 2 6 2 4 3" xfId="36002"/>
    <cellStyle name="Normal 10 2 3 2 6 2 5" xfId="20004"/>
    <cellStyle name="Normal 10 2 3 2 6 2 5 2" xfId="42539"/>
    <cellStyle name="Normal 10 2 3 2 6 2 6" xfId="29370"/>
    <cellStyle name="Normal 10 2 3 2 6 3" xfId="6623"/>
    <cellStyle name="Normal 10 2 3 2 6 3 2" xfId="9955"/>
    <cellStyle name="Normal 10 2 3 2 6 3 2 2" xfId="16659"/>
    <cellStyle name="Normal 10 2 3 2 6 3 2 2 2" xfId="40080"/>
    <cellStyle name="Normal 10 2 3 2 6 3 2 3" xfId="33448"/>
    <cellStyle name="Normal 10 2 3 2 6 3 3" xfId="13343"/>
    <cellStyle name="Normal 10 2 3 2 6 3 3 2" xfId="36764"/>
    <cellStyle name="Normal 10 2 3 2 6 3 4" xfId="20515"/>
    <cellStyle name="Normal 10 2 3 2 6 3 4 2" xfId="42968"/>
    <cellStyle name="Normal 10 2 3 2 6 3 5" xfId="30132"/>
    <cellStyle name="Normal 10 2 3 2 6 4" xfId="8289"/>
    <cellStyle name="Normal 10 2 3 2 6 4 2" xfId="15001"/>
    <cellStyle name="Normal 10 2 3 2 6 4 2 2" xfId="38422"/>
    <cellStyle name="Normal 10 2 3 2 6 4 3" xfId="21072"/>
    <cellStyle name="Normal 10 2 3 2 6 4 3 2" xfId="43523"/>
    <cellStyle name="Normal 10 2 3 2 6 4 4" xfId="31790"/>
    <cellStyle name="Normal 10 2 3 2 6 5" xfId="11683"/>
    <cellStyle name="Normal 10 2 3 2 6 5 2" xfId="22013"/>
    <cellStyle name="Normal 10 2 3 2 6 5 2 2" xfId="44441"/>
    <cellStyle name="Normal 10 2 3 2 6 5 3" xfId="35106"/>
    <cellStyle name="Normal 10 2 3 2 6 6" xfId="19150"/>
    <cellStyle name="Normal 10 2 3 2 6 6 2" xfId="41707"/>
    <cellStyle name="Normal 10 2 3 2 6 7" xfId="25790"/>
    <cellStyle name="Normal 10 2 3 2 6 7 2" xfId="48035"/>
    <cellStyle name="Normal 10 2 3 2 6 8" xfId="28474"/>
    <cellStyle name="Normal 10 2 3 2 7" xfId="3801"/>
    <cellStyle name="Normal 10 2 3 2 7 2" xfId="6939"/>
    <cellStyle name="Normal 10 2 3 2 7 2 2" xfId="10271"/>
    <cellStyle name="Normal 10 2 3 2 7 2 2 2" xfId="16975"/>
    <cellStyle name="Normal 10 2 3 2 7 2 2 2 2" xfId="40396"/>
    <cellStyle name="Normal 10 2 3 2 7 2 2 3" xfId="33764"/>
    <cellStyle name="Normal 10 2 3 2 7 2 3" xfId="13659"/>
    <cellStyle name="Normal 10 2 3 2 7 2 3 2" xfId="37080"/>
    <cellStyle name="Normal 10 2 3 2 7 2 4" xfId="20564"/>
    <cellStyle name="Normal 10 2 3 2 7 2 4 2" xfId="43017"/>
    <cellStyle name="Normal 10 2 3 2 7 2 5" xfId="30448"/>
    <cellStyle name="Normal 10 2 3 2 7 3" xfId="8606"/>
    <cellStyle name="Normal 10 2 3 2 7 3 2" xfId="15317"/>
    <cellStyle name="Normal 10 2 3 2 7 3 2 2" xfId="38738"/>
    <cellStyle name="Normal 10 2 3 2 7 3 3" xfId="21121"/>
    <cellStyle name="Normal 10 2 3 2 7 3 3 2" xfId="43572"/>
    <cellStyle name="Normal 10 2 3 2 7 3 4" xfId="32106"/>
    <cellStyle name="Normal 10 2 3 2 7 4" xfId="11999"/>
    <cellStyle name="Normal 10 2 3 2 7 4 2" xfId="22433"/>
    <cellStyle name="Normal 10 2 3 2 7 4 2 2" xfId="44855"/>
    <cellStyle name="Normal 10 2 3 2 7 4 3" xfId="35422"/>
    <cellStyle name="Normal 10 2 3 2 7 5" xfId="19586"/>
    <cellStyle name="Normal 10 2 3 2 7 5 2" xfId="42123"/>
    <cellStyle name="Normal 10 2 3 2 7 6" xfId="28790"/>
    <cellStyle name="Normal 10 2 3 2 8" xfId="6150"/>
    <cellStyle name="Normal 10 2 3 2 8 2" xfId="9484"/>
    <cellStyle name="Normal 10 2 3 2 8 2 2" xfId="16188"/>
    <cellStyle name="Normal 10 2 3 2 8 2 2 2" xfId="39609"/>
    <cellStyle name="Normal 10 2 3 2 8 2 3" xfId="32977"/>
    <cellStyle name="Normal 10 2 3 2 8 3" xfId="12872"/>
    <cellStyle name="Normal 10 2 3 2 8 3 2" xfId="36293"/>
    <cellStyle name="Normal 10 2 3 2 8 4" xfId="18334"/>
    <cellStyle name="Normal 10 2 3 2 8 4 2" xfId="41467"/>
    <cellStyle name="Normal 10 2 3 2 8 5" xfId="29661"/>
    <cellStyle name="Normal 10 2 3 2 9" xfId="7816"/>
    <cellStyle name="Normal 10 2 3 2 9 2" xfId="14530"/>
    <cellStyle name="Normal 10 2 3 2 9 2 2" xfId="37951"/>
    <cellStyle name="Normal 10 2 3 2 9 3" xfId="20662"/>
    <cellStyle name="Normal 10 2 3 2 9 3 2" xfId="43113"/>
    <cellStyle name="Normal 10 2 3 2 9 4" xfId="31319"/>
    <cellStyle name="Normal 10 2 3 3" xfId="1475"/>
    <cellStyle name="Normal 10 2 3 3 10" xfId="17953"/>
    <cellStyle name="Normal 10 2 3 3 10 2" xfId="41262"/>
    <cellStyle name="Normal 10 2 3 3 11" xfId="23291"/>
    <cellStyle name="Normal 10 2 3 3 11 2" xfId="45687"/>
    <cellStyle name="Normal 10 2 3 3 12" xfId="28011"/>
    <cellStyle name="Normal 10 2 3 3 2" xfId="1614"/>
    <cellStyle name="Normal 10 2 3 3 2 10" xfId="23361"/>
    <cellStyle name="Normal 10 2 3 3 2 10 2" xfId="45727"/>
    <cellStyle name="Normal 10 2 3 3 2 11" xfId="28057"/>
    <cellStyle name="Normal 10 2 3 3 2 2" xfId="1836"/>
    <cellStyle name="Normal 10 2 3 3 2 2 10" xfId="28188"/>
    <cellStyle name="Normal 10 2 3 3 2 2 2" xfId="2202"/>
    <cellStyle name="Normal 10 2 3 3 2 2 2 2" xfId="5477"/>
    <cellStyle name="Normal 10 2 3 3 2 2 2 2 2" xfId="7303"/>
    <cellStyle name="Normal 10 2 3 3 2 2 2 2 2 2" xfId="10634"/>
    <cellStyle name="Normal 10 2 3 3 2 2 2 2 2 2 2" xfId="17338"/>
    <cellStyle name="Normal 10 2 3 3 2 2 2 2 2 2 2 2" xfId="40759"/>
    <cellStyle name="Normal 10 2 3 3 2 2 2 2 2 2 3" xfId="23050"/>
    <cellStyle name="Normal 10 2 3 3 2 2 2 2 2 2 3 2" xfId="45472"/>
    <cellStyle name="Normal 10 2 3 3 2 2 2 2 2 2 4" xfId="34127"/>
    <cellStyle name="Normal 10 2 3 3 2 2 2 2 2 3" xfId="14022"/>
    <cellStyle name="Normal 10 2 3 3 2 2 2 2 2 3 2" xfId="37443"/>
    <cellStyle name="Normal 10 2 3 3 2 2 2 2 2 4" xfId="20222"/>
    <cellStyle name="Normal 10 2 3 3 2 2 2 2 2 4 2" xfId="42757"/>
    <cellStyle name="Normal 10 2 3 3 2 2 2 2 2 5" xfId="30811"/>
    <cellStyle name="Normal 10 2 3 3 2 2 2 2 3" xfId="8976"/>
    <cellStyle name="Normal 10 2 3 3 2 2 2 2 3 2" xfId="15680"/>
    <cellStyle name="Normal 10 2 3 3 2 2 2 2 3 2 2" xfId="39101"/>
    <cellStyle name="Normal 10 2 3 3 2 2 2 2 3 3" xfId="21140"/>
    <cellStyle name="Normal 10 2 3 3 2 2 2 2 3 3 2" xfId="43591"/>
    <cellStyle name="Normal 10 2 3 3 2 2 2 2 3 4" xfId="32469"/>
    <cellStyle name="Normal 10 2 3 3 2 2 2 2 4" xfId="12364"/>
    <cellStyle name="Normal 10 2 3 3 2 2 2 2 4 2" xfId="22235"/>
    <cellStyle name="Normal 10 2 3 3 2 2 2 2 4 2 2" xfId="44657"/>
    <cellStyle name="Normal 10 2 3 3 2 2 2 2 4 3" xfId="35785"/>
    <cellStyle name="Normal 10 2 3 3 2 2 2 2 5" xfId="19383"/>
    <cellStyle name="Normal 10 2 3 3 2 2 2 2 5 2" xfId="41925"/>
    <cellStyle name="Normal 10 2 3 3 2 2 2 2 6" xfId="27171"/>
    <cellStyle name="Normal 10 2 3 3 2 2 2 2 6 2" xfId="49416"/>
    <cellStyle name="Normal 10 2 3 3 2 2 2 2 7" xfId="29153"/>
    <cellStyle name="Normal 10 2 3 3 2 2 2 3" xfId="6394"/>
    <cellStyle name="Normal 10 2 3 3 2 2 2 3 2" xfId="9728"/>
    <cellStyle name="Normal 10 2 3 3 2 2 2 3 2 2" xfId="16432"/>
    <cellStyle name="Normal 10 2 3 3 2 2 2 3 2 2 2" xfId="39853"/>
    <cellStyle name="Normal 10 2 3 3 2 2 2 3 2 3" xfId="22643"/>
    <cellStyle name="Normal 10 2 3 3 2 2 2 3 2 3 2" xfId="45065"/>
    <cellStyle name="Normal 10 2 3 3 2 2 2 3 2 4" xfId="33221"/>
    <cellStyle name="Normal 10 2 3 3 2 2 2 3 3" xfId="13116"/>
    <cellStyle name="Normal 10 2 3 3 2 2 2 3 3 2" xfId="36537"/>
    <cellStyle name="Normal 10 2 3 3 2 2 2 3 4" xfId="19806"/>
    <cellStyle name="Normal 10 2 3 3 2 2 2 3 4 2" xfId="42341"/>
    <cellStyle name="Normal 10 2 3 3 2 2 2 3 5" xfId="29905"/>
    <cellStyle name="Normal 10 2 3 3 2 2 2 4" xfId="8061"/>
    <cellStyle name="Normal 10 2 3 3 2 2 2 4 2" xfId="14774"/>
    <cellStyle name="Normal 10 2 3 3 2 2 2 4 2 2" xfId="38195"/>
    <cellStyle name="Normal 10 2 3 3 2 2 2 4 3" xfId="20681"/>
    <cellStyle name="Normal 10 2 3 3 2 2 2 4 3 2" xfId="43132"/>
    <cellStyle name="Normal 10 2 3 3 2 2 2 4 4" xfId="31563"/>
    <cellStyle name="Normal 10 2 3 3 2 2 2 5" xfId="11456"/>
    <cellStyle name="Normal 10 2 3 3 2 2 2 5 2" xfId="21801"/>
    <cellStyle name="Normal 10 2 3 3 2 2 2 5 2 2" xfId="44243"/>
    <cellStyle name="Normal 10 2 3 3 2 2 2 5 3" xfId="34879"/>
    <cellStyle name="Normal 10 2 3 3 2 2 2 6" xfId="18556"/>
    <cellStyle name="Normal 10 2 3 3 2 2 2 6 2" xfId="41500"/>
    <cellStyle name="Normal 10 2 3 3 2 2 2 7" xfId="24958"/>
    <cellStyle name="Normal 10 2 3 3 2 2 2 7 2" xfId="47203"/>
    <cellStyle name="Normal 10 2 3 3 2 2 2 8" xfId="28247"/>
    <cellStyle name="Normal 10 2 3 3 2 2 3" xfId="2833"/>
    <cellStyle name="Normal 10 2 3 3 2 2 3 2" xfId="5925"/>
    <cellStyle name="Normal 10 2 3 3 2 2 3 2 2" xfId="7707"/>
    <cellStyle name="Normal 10 2 3 3 2 2 3 2 2 2" xfId="11036"/>
    <cellStyle name="Normal 10 2 3 3 2 2 3 2 2 2 2" xfId="17740"/>
    <cellStyle name="Normal 10 2 3 3 2 2 3 2 2 2 2 2" xfId="41161"/>
    <cellStyle name="Normal 10 2 3 3 2 2 3 2 2 2 3" xfId="34529"/>
    <cellStyle name="Normal 10 2 3 3 2 2 3 2 2 3" xfId="14424"/>
    <cellStyle name="Normal 10 2 3 3 2 2 3 2 2 3 2" xfId="37845"/>
    <cellStyle name="Normal 10 2 3 3 2 2 3 2 2 4" xfId="22850"/>
    <cellStyle name="Normal 10 2 3 3 2 2 3 2 2 4 2" xfId="45272"/>
    <cellStyle name="Normal 10 2 3 3 2 2 3 2 2 5" xfId="31213"/>
    <cellStyle name="Normal 10 2 3 3 2 2 3 2 3" xfId="9378"/>
    <cellStyle name="Normal 10 2 3 3 2 2 3 2 3 2" xfId="16082"/>
    <cellStyle name="Normal 10 2 3 3 2 2 3 2 3 2 2" xfId="39503"/>
    <cellStyle name="Normal 10 2 3 3 2 2 3 2 3 3" xfId="32871"/>
    <cellStyle name="Normal 10 2 3 3 2 2 3 2 4" xfId="12766"/>
    <cellStyle name="Normal 10 2 3 3 2 2 3 2 4 2" xfId="36187"/>
    <cellStyle name="Normal 10 2 3 3 2 2 3 2 5" xfId="20014"/>
    <cellStyle name="Normal 10 2 3 3 2 2 3 2 5 2" xfId="42549"/>
    <cellStyle name="Normal 10 2 3 3 2 2 3 2 6" xfId="27841"/>
    <cellStyle name="Normal 10 2 3 3 2 2 3 2 6 2" xfId="50086"/>
    <cellStyle name="Normal 10 2 3 3 2 2 3 2 7" xfId="29555"/>
    <cellStyle name="Normal 10 2 3 3 2 2 3 3" xfId="6808"/>
    <cellStyle name="Normal 10 2 3 3 2 2 3 3 2" xfId="10140"/>
    <cellStyle name="Normal 10 2 3 3 2 2 3 3 2 2" xfId="16844"/>
    <cellStyle name="Normal 10 2 3 3 2 2 3 3 2 2 2" xfId="40265"/>
    <cellStyle name="Normal 10 2 3 3 2 2 3 3 2 3" xfId="33633"/>
    <cellStyle name="Normal 10 2 3 3 2 2 3 3 3" xfId="13528"/>
    <cellStyle name="Normal 10 2 3 3 2 2 3 3 3 2" xfId="36949"/>
    <cellStyle name="Normal 10 2 3 3 2 2 3 3 4" xfId="21139"/>
    <cellStyle name="Normal 10 2 3 3 2 2 3 3 4 2" xfId="43590"/>
    <cellStyle name="Normal 10 2 3 3 2 2 3 3 5" xfId="30317"/>
    <cellStyle name="Normal 10 2 3 3 2 2 3 4" xfId="8474"/>
    <cellStyle name="Normal 10 2 3 3 2 2 3 4 2" xfId="15186"/>
    <cellStyle name="Normal 10 2 3 3 2 2 3 4 2 2" xfId="38607"/>
    <cellStyle name="Normal 10 2 3 3 2 2 3 4 3" xfId="22023"/>
    <cellStyle name="Normal 10 2 3 3 2 2 3 4 3 2" xfId="44451"/>
    <cellStyle name="Normal 10 2 3 3 2 2 3 4 4" xfId="31975"/>
    <cellStyle name="Normal 10 2 3 3 2 2 3 5" xfId="11868"/>
    <cellStyle name="Normal 10 2 3 3 2 2 3 5 2" xfId="35291"/>
    <cellStyle name="Normal 10 2 3 3 2 2 3 6" xfId="19160"/>
    <cellStyle name="Normal 10 2 3 3 2 2 3 6 2" xfId="41717"/>
    <cellStyle name="Normal 10 2 3 3 2 2 3 7" xfId="25536"/>
    <cellStyle name="Normal 10 2 3 3 2 2 3 7 2" xfId="47781"/>
    <cellStyle name="Normal 10 2 3 3 2 2 3 8" xfId="28659"/>
    <cellStyle name="Normal 10 2 3 3 2 2 4" xfId="3811"/>
    <cellStyle name="Normal 10 2 3 3 2 2 4 2" xfId="6949"/>
    <cellStyle name="Normal 10 2 3 3 2 2 4 2 2" xfId="10281"/>
    <cellStyle name="Normal 10 2 3 3 2 2 4 2 2 2" xfId="16985"/>
    <cellStyle name="Normal 10 2 3 3 2 2 4 2 2 2 2" xfId="40406"/>
    <cellStyle name="Normal 10 2 3 3 2 2 4 2 2 3" xfId="33774"/>
    <cellStyle name="Normal 10 2 3 3 2 2 4 2 3" xfId="13669"/>
    <cellStyle name="Normal 10 2 3 3 2 2 4 2 3 2" xfId="37090"/>
    <cellStyle name="Normal 10 2 3 3 2 2 4 2 4" xfId="22443"/>
    <cellStyle name="Normal 10 2 3 3 2 2 4 2 4 2" xfId="44865"/>
    <cellStyle name="Normal 10 2 3 3 2 2 4 2 5" xfId="30458"/>
    <cellStyle name="Normal 10 2 3 3 2 2 4 3" xfId="8616"/>
    <cellStyle name="Normal 10 2 3 3 2 2 4 3 2" xfId="15327"/>
    <cellStyle name="Normal 10 2 3 3 2 2 4 3 2 2" xfId="38748"/>
    <cellStyle name="Normal 10 2 3 3 2 2 4 3 3" xfId="32116"/>
    <cellStyle name="Normal 10 2 3 3 2 2 4 4" xfId="12009"/>
    <cellStyle name="Normal 10 2 3 3 2 2 4 4 2" xfId="35432"/>
    <cellStyle name="Normal 10 2 3 3 2 2 4 5" xfId="19596"/>
    <cellStyle name="Normal 10 2 3 3 2 2 4 5 2" xfId="42133"/>
    <cellStyle name="Normal 10 2 3 3 2 2 4 6" xfId="25800"/>
    <cellStyle name="Normal 10 2 3 3 2 2 4 6 2" xfId="48045"/>
    <cellStyle name="Normal 10 2 3 3 2 2 4 7" xfId="28800"/>
    <cellStyle name="Normal 10 2 3 3 2 2 5" xfId="6335"/>
    <cellStyle name="Normal 10 2 3 3 2 2 5 2" xfId="9669"/>
    <cellStyle name="Normal 10 2 3 3 2 2 5 2 2" xfId="16373"/>
    <cellStyle name="Normal 10 2 3 3 2 2 5 2 2 2" xfId="39794"/>
    <cellStyle name="Normal 10 2 3 3 2 2 5 2 3" xfId="33162"/>
    <cellStyle name="Normal 10 2 3 3 2 2 5 3" xfId="13057"/>
    <cellStyle name="Normal 10 2 3 3 2 2 5 3 2" xfId="36478"/>
    <cellStyle name="Normal 10 2 3 3 2 2 5 4" xfId="20680"/>
    <cellStyle name="Normal 10 2 3 3 2 2 5 4 2" xfId="43131"/>
    <cellStyle name="Normal 10 2 3 3 2 2 5 5" xfId="29846"/>
    <cellStyle name="Normal 10 2 3 3 2 2 6" xfId="8001"/>
    <cellStyle name="Normal 10 2 3 3 2 2 6 2" xfId="14715"/>
    <cellStyle name="Normal 10 2 3 3 2 2 6 2 2" xfId="38136"/>
    <cellStyle name="Normal 10 2 3 3 2 2 6 3" xfId="21592"/>
    <cellStyle name="Normal 10 2 3 3 2 2 6 3 2" xfId="44041"/>
    <cellStyle name="Normal 10 2 3 3 2 2 6 4" xfId="31504"/>
    <cellStyle name="Normal 10 2 3 3 2 2 7" xfId="11397"/>
    <cellStyle name="Normal 10 2 3 3 2 2 7 2" xfId="34820"/>
    <cellStyle name="Normal 10 2 3 3 2 2 8" xfId="17955"/>
    <cellStyle name="Normal 10 2 3 3 2 2 8 2" xfId="41264"/>
    <cellStyle name="Normal 10 2 3 3 2 2 9" xfId="23360"/>
    <cellStyle name="Normal 10 2 3 3 2 2 9 2" xfId="45726"/>
    <cellStyle name="Normal 10 2 3 3 2 3" xfId="2201"/>
    <cellStyle name="Normal 10 2 3 3 2 3 2" xfId="5476"/>
    <cellStyle name="Normal 10 2 3 3 2 3 2 2" xfId="7302"/>
    <cellStyle name="Normal 10 2 3 3 2 3 2 2 2" xfId="10633"/>
    <cellStyle name="Normal 10 2 3 3 2 3 2 2 2 2" xfId="17337"/>
    <cellStyle name="Normal 10 2 3 3 2 3 2 2 2 2 2" xfId="40758"/>
    <cellStyle name="Normal 10 2 3 3 2 3 2 2 2 3" xfId="23049"/>
    <cellStyle name="Normal 10 2 3 3 2 3 2 2 2 3 2" xfId="45471"/>
    <cellStyle name="Normal 10 2 3 3 2 3 2 2 2 4" xfId="34126"/>
    <cellStyle name="Normal 10 2 3 3 2 3 2 2 3" xfId="14021"/>
    <cellStyle name="Normal 10 2 3 3 2 3 2 2 3 2" xfId="37442"/>
    <cellStyle name="Normal 10 2 3 3 2 3 2 2 4" xfId="20221"/>
    <cellStyle name="Normal 10 2 3 3 2 3 2 2 4 2" xfId="42756"/>
    <cellStyle name="Normal 10 2 3 3 2 3 2 2 5" xfId="30810"/>
    <cellStyle name="Normal 10 2 3 3 2 3 2 3" xfId="8975"/>
    <cellStyle name="Normal 10 2 3 3 2 3 2 3 2" xfId="15679"/>
    <cellStyle name="Normal 10 2 3 3 2 3 2 3 2 2" xfId="39100"/>
    <cellStyle name="Normal 10 2 3 3 2 3 2 3 3" xfId="21141"/>
    <cellStyle name="Normal 10 2 3 3 2 3 2 3 3 2" xfId="43592"/>
    <cellStyle name="Normal 10 2 3 3 2 3 2 3 4" xfId="32468"/>
    <cellStyle name="Normal 10 2 3 3 2 3 2 4" xfId="12363"/>
    <cellStyle name="Normal 10 2 3 3 2 3 2 4 2" xfId="22234"/>
    <cellStyle name="Normal 10 2 3 3 2 3 2 4 2 2" xfId="44656"/>
    <cellStyle name="Normal 10 2 3 3 2 3 2 4 3" xfId="35784"/>
    <cellStyle name="Normal 10 2 3 3 2 3 2 5" xfId="19382"/>
    <cellStyle name="Normal 10 2 3 3 2 3 2 5 2" xfId="41924"/>
    <cellStyle name="Normal 10 2 3 3 2 3 2 6" xfId="26839"/>
    <cellStyle name="Normal 10 2 3 3 2 3 2 6 2" xfId="49084"/>
    <cellStyle name="Normal 10 2 3 3 2 3 2 7" xfId="29152"/>
    <cellStyle name="Normal 10 2 3 3 2 3 3" xfId="6393"/>
    <cellStyle name="Normal 10 2 3 3 2 3 3 2" xfId="9727"/>
    <cellStyle name="Normal 10 2 3 3 2 3 3 2 2" xfId="16431"/>
    <cellStyle name="Normal 10 2 3 3 2 3 3 2 2 2" xfId="39852"/>
    <cellStyle name="Normal 10 2 3 3 2 3 3 2 3" xfId="22642"/>
    <cellStyle name="Normal 10 2 3 3 2 3 3 2 3 2" xfId="45064"/>
    <cellStyle name="Normal 10 2 3 3 2 3 3 2 4" xfId="33220"/>
    <cellStyle name="Normal 10 2 3 3 2 3 3 3" xfId="13115"/>
    <cellStyle name="Normal 10 2 3 3 2 3 3 3 2" xfId="36536"/>
    <cellStyle name="Normal 10 2 3 3 2 3 3 4" xfId="19805"/>
    <cellStyle name="Normal 10 2 3 3 2 3 3 4 2" xfId="42340"/>
    <cellStyle name="Normal 10 2 3 3 2 3 3 5" xfId="29904"/>
    <cellStyle name="Normal 10 2 3 3 2 3 4" xfId="8060"/>
    <cellStyle name="Normal 10 2 3 3 2 3 4 2" xfId="14773"/>
    <cellStyle name="Normal 10 2 3 3 2 3 4 2 2" xfId="38194"/>
    <cellStyle name="Normal 10 2 3 3 2 3 4 3" xfId="20682"/>
    <cellStyle name="Normal 10 2 3 3 2 3 4 3 2" xfId="43133"/>
    <cellStyle name="Normal 10 2 3 3 2 3 4 4" xfId="31562"/>
    <cellStyle name="Normal 10 2 3 3 2 3 5" xfId="11455"/>
    <cellStyle name="Normal 10 2 3 3 2 3 5 2" xfId="21800"/>
    <cellStyle name="Normal 10 2 3 3 2 3 5 2 2" xfId="44242"/>
    <cellStyle name="Normal 10 2 3 3 2 3 5 3" xfId="34878"/>
    <cellStyle name="Normal 10 2 3 3 2 3 6" xfId="18555"/>
    <cellStyle name="Normal 10 2 3 3 2 3 6 2" xfId="41499"/>
    <cellStyle name="Normal 10 2 3 3 2 3 7" xfId="24626"/>
    <cellStyle name="Normal 10 2 3 3 2 3 7 2" xfId="46871"/>
    <cellStyle name="Normal 10 2 3 3 2 3 8" xfId="28246"/>
    <cellStyle name="Normal 10 2 3 3 2 4" xfId="2701"/>
    <cellStyle name="Normal 10 2 3 3 2 4 2" xfId="5794"/>
    <cellStyle name="Normal 10 2 3 3 2 4 2 2" xfId="7576"/>
    <cellStyle name="Normal 10 2 3 3 2 4 2 2 2" xfId="10905"/>
    <cellStyle name="Normal 10 2 3 3 2 4 2 2 2 2" xfId="17609"/>
    <cellStyle name="Normal 10 2 3 3 2 4 2 2 2 2 2" xfId="41030"/>
    <cellStyle name="Normal 10 2 3 3 2 4 2 2 2 3" xfId="34398"/>
    <cellStyle name="Normal 10 2 3 3 2 4 2 2 3" xfId="14293"/>
    <cellStyle name="Normal 10 2 3 3 2 4 2 2 3 2" xfId="37714"/>
    <cellStyle name="Normal 10 2 3 3 2 4 2 2 4" xfId="22849"/>
    <cellStyle name="Normal 10 2 3 3 2 4 2 2 4 2" xfId="45271"/>
    <cellStyle name="Normal 10 2 3 3 2 4 2 2 5" xfId="31082"/>
    <cellStyle name="Normal 10 2 3 3 2 4 2 3" xfId="9247"/>
    <cellStyle name="Normal 10 2 3 3 2 4 2 3 2" xfId="15951"/>
    <cellStyle name="Normal 10 2 3 3 2 4 2 3 2 2" xfId="39372"/>
    <cellStyle name="Normal 10 2 3 3 2 4 2 3 3" xfId="32740"/>
    <cellStyle name="Normal 10 2 3 3 2 4 2 4" xfId="12635"/>
    <cellStyle name="Normal 10 2 3 3 2 4 2 4 2" xfId="36056"/>
    <cellStyle name="Normal 10 2 3 3 2 4 2 5" xfId="20013"/>
    <cellStyle name="Normal 10 2 3 3 2 4 2 5 2" xfId="42548"/>
    <cellStyle name="Normal 10 2 3 3 2 4 2 6" xfId="27505"/>
    <cellStyle name="Normal 10 2 3 3 2 4 2 6 2" xfId="49750"/>
    <cellStyle name="Normal 10 2 3 3 2 4 2 7" xfId="29424"/>
    <cellStyle name="Normal 10 2 3 3 2 4 3" xfId="6677"/>
    <cellStyle name="Normal 10 2 3 3 2 4 3 2" xfId="10009"/>
    <cellStyle name="Normal 10 2 3 3 2 4 3 2 2" xfId="16713"/>
    <cellStyle name="Normal 10 2 3 3 2 4 3 2 2 2" xfId="40134"/>
    <cellStyle name="Normal 10 2 3 3 2 4 3 2 3" xfId="33502"/>
    <cellStyle name="Normal 10 2 3 3 2 4 3 3" xfId="13397"/>
    <cellStyle name="Normal 10 2 3 3 2 4 3 3 2" xfId="36818"/>
    <cellStyle name="Normal 10 2 3 3 2 4 3 4" xfId="21138"/>
    <cellStyle name="Normal 10 2 3 3 2 4 3 4 2" xfId="43589"/>
    <cellStyle name="Normal 10 2 3 3 2 4 3 5" xfId="30186"/>
    <cellStyle name="Normal 10 2 3 3 2 4 4" xfId="8343"/>
    <cellStyle name="Normal 10 2 3 3 2 4 4 2" xfId="15055"/>
    <cellStyle name="Normal 10 2 3 3 2 4 4 2 2" xfId="38476"/>
    <cellStyle name="Normal 10 2 3 3 2 4 4 3" xfId="22022"/>
    <cellStyle name="Normal 10 2 3 3 2 4 4 3 2" xfId="44450"/>
    <cellStyle name="Normal 10 2 3 3 2 4 4 4" xfId="31844"/>
    <cellStyle name="Normal 10 2 3 3 2 4 5" xfId="11737"/>
    <cellStyle name="Normal 10 2 3 3 2 4 5 2" xfId="35160"/>
    <cellStyle name="Normal 10 2 3 3 2 4 6" xfId="19159"/>
    <cellStyle name="Normal 10 2 3 3 2 4 6 2" xfId="41716"/>
    <cellStyle name="Normal 10 2 3 3 2 4 7" xfId="25200"/>
    <cellStyle name="Normal 10 2 3 3 2 4 7 2" xfId="47445"/>
    <cellStyle name="Normal 10 2 3 3 2 4 8" xfId="28528"/>
    <cellStyle name="Normal 10 2 3 3 2 5" xfId="3810"/>
    <cellStyle name="Normal 10 2 3 3 2 5 2" xfId="6948"/>
    <cellStyle name="Normal 10 2 3 3 2 5 2 2" xfId="10280"/>
    <cellStyle name="Normal 10 2 3 3 2 5 2 2 2" xfId="16984"/>
    <cellStyle name="Normal 10 2 3 3 2 5 2 2 2 2" xfId="40405"/>
    <cellStyle name="Normal 10 2 3 3 2 5 2 2 3" xfId="33773"/>
    <cellStyle name="Normal 10 2 3 3 2 5 2 3" xfId="13668"/>
    <cellStyle name="Normal 10 2 3 3 2 5 2 3 2" xfId="37089"/>
    <cellStyle name="Normal 10 2 3 3 2 5 2 4" xfId="22442"/>
    <cellStyle name="Normal 10 2 3 3 2 5 2 4 2" xfId="44864"/>
    <cellStyle name="Normal 10 2 3 3 2 5 2 5" xfId="30457"/>
    <cellStyle name="Normal 10 2 3 3 2 5 3" xfId="8615"/>
    <cellStyle name="Normal 10 2 3 3 2 5 3 2" xfId="15326"/>
    <cellStyle name="Normal 10 2 3 3 2 5 3 2 2" xfId="38747"/>
    <cellStyle name="Normal 10 2 3 3 2 5 3 3" xfId="32115"/>
    <cellStyle name="Normal 10 2 3 3 2 5 4" xfId="12008"/>
    <cellStyle name="Normal 10 2 3 3 2 5 4 2" xfId="35431"/>
    <cellStyle name="Normal 10 2 3 3 2 5 5" xfId="19595"/>
    <cellStyle name="Normal 10 2 3 3 2 5 5 2" xfId="42132"/>
    <cellStyle name="Normal 10 2 3 3 2 5 6" xfId="25799"/>
    <cellStyle name="Normal 10 2 3 3 2 5 6 2" xfId="48044"/>
    <cellStyle name="Normal 10 2 3 3 2 5 7" xfId="28799"/>
    <cellStyle name="Normal 10 2 3 3 2 6" xfId="6204"/>
    <cellStyle name="Normal 10 2 3 3 2 6 2" xfId="9538"/>
    <cellStyle name="Normal 10 2 3 3 2 6 2 2" xfId="16242"/>
    <cellStyle name="Normal 10 2 3 3 2 6 2 2 2" xfId="39663"/>
    <cellStyle name="Normal 10 2 3 3 2 6 2 3" xfId="33031"/>
    <cellStyle name="Normal 10 2 3 3 2 6 3" xfId="12926"/>
    <cellStyle name="Normal 10 2 3 3 2 6 3 2" xfId="36347"/>
    <cellStyle name="Normal 10 2 3 3 2 6 4" xfId="20679"/>
    <cellStyle name="Normal 10 2 3 3 2 6 4 2" xfId="43130"/>
    <cellStyle name="Normal 10 2 3 3 2 6 5" xfId="29715"/>
    <cellStyle name="Normal 10 2 3 3 2 7" xfId="7870"/>
    <cellStyle name="Normal 10 2 3 3 2 7 2" xfId="14584"/>
    <cellStyle name="Normal 10 2 3 3 2 7 2 2" xfId="38005"/>
    <cellStyle name="Normal 10 2 3 3 2 7 3" xfId="21591"/>
    <cellStyle name="Normal 10 2 3 3 2 7 3 2" xfId="44040"/>
    <cellStyle name="Normal 10 2 3 3 2 7 4" xfId="31373"/>
    <cellStyle name="Normal 10 2 3 3 2 8" xfId="11266"/>
    <cellStyle name="Normal 10 2 3 3 2 8 2" xfId="34689"/>
    <cellStyle name="Normal 10 2 3 3 2 9" xfId="17954"/>
    <cellStyle name="Normal 10 2 3 3 2 9 2" xfId="41263"/>
    <cellStyle name="Normal 10 2 3 3 3" xfId="1790"/>
    <cellStyle name="Normal 10 2 3 3 3 10" xfId="28142"/>
    <cellStyle name="Normal 10 2 3 3 3 2" xfId="2203"/>
    <cellStyle name="Normal 10 2 3 3 3 2 2" xfId="5478"/>
    <cellStyle name="Normal 10 2 3 3 3 2 2 2" xfId="7304"/>
    <cellStyle name="Normal 10 2 3 3 3 2 2 2 2" xfId="10635"/>
    <cellStyle name="Normal 10 2 3 3 3 2 2 2 2 2" xfId="17339"/>
    <cellStyle name="Normal 10 2 3 3 3 2 2 2 2 2 2" xfId="40760"/>
    <cellStyle name="Normal 10 2 3 3 3 2 2 2 2 3" xfId="23051"/>
    <cellStyle name="Normal 10 2 3 3 3 2 2 2 2 3 2" xfId="45473"/>
    <cellStyle name="Normal 10 2 3 3 3 2 2 2 2 4" xfId="34128"/>
    <cellStyle name="Normal 10 2 3 3 3 2 2 2 3" xfId="14023"/>
    <cellStyle name="Normal 10 2 3 3 3 2 2 2 3 2" xfId="37444"/>
    <cellStyle name="Normal 10 2 3 3 3 2 2 2 4" xfId="20223"/>
    <cellStyle name="Normal 10 2 3 3 3 2 2 2 4 2" xfId="42758"/>
    <cellStyle name="Normal 10 2 3 3 3 2 2 2 5" xfId="30812"/>
    <cellStyle name="Normal 10 2 3 3 3 2 2 3" xfId="8977"/>
    <cellStyle name="Normal 10 2 3 3 3 2 2 3 2" xfId="15681"/>
    <cellStyle name="Normal 10 2 3 3 3 2 2 3 2 2" xfId="39102"/>
    <cellStyle name="Normal 10 2 3 3 3 2 2 3 3" xfId="21143"/>
    <cellStyle name="Normal 10 2 3 3 3 2 2 3 3 2" xfId="43594"/>
    <cellStyle name="Normal 10 2 3 3 3 2 2 3 4" xfId="32470"/>
    <cellStyle name="Normal 10 2 3 3 3 2 2 4" xfId="12365"/>
    <cellStyle name="Normal 10 2 3 3 3 2 2 4 2" xfId="22236"/>
    <cellStyle name="Normal 10 2 3 3 3 2 2 4 2 2" xfId="44658"/>
    <cellStyle name="Normal 10 2 3 3 3 2 2 4 3" xfId="35786"/>
    <cellStyle name="Normal 10 2 3 3 3 2 2 5" xfId="19384"/>
    <cellStyle name="Normal 10 2 3 3 3 2 2 5 2" xfId="41926"/>
    <cellStyle name="Normal 10 2 3 3 3 2 2 6" xfId="27005"/>
    <cellStyle name="Normal 10 2 3 3 3 2 2 6 2" xfId="49250"/>
    <cellStyle name="Normal 10 2 3 3 3 2 2 7" xfId="29154"/>
    <cellStyle name="Normal 10 2 3 3 3 2 3" xfId="6395"/>
    <cellStyle name="Normal 10 2 3 3 3 2 3 2" xfId="9729"/>
    <cellStyle name="Normal 10 2 3 3 3 2 3 2 2" xfId="16433"/>
    <cellStyle name="Normal 10 2 3 3 3 2 3 2 2 2" xfId="39854"/>
    <cellStyle name="Normal 10 2 3 3 3 2 3 2 3" xfId="22644"/>
    <cellStyle name="Normal 10 2 3 3 3 2 3 2 3 2" xfId="45066"/>
    <cellStyle name="Normal 10 2 3 3 3 2 3 2 4" xfId="33222"/>
    <cellStyle name="Normal 10 2 3 3 3 2 3 3" xfId="13117"/>
    <cellStyle name="Normal 10 2 3 3 3 2 3 3 2" xfId="36538"/>
    <cellStyle name="Normal 10 2 3 3 3 2 3 4" xfId="19807"/>
    <cellStyle name="Normal 10 2 3 3 3 2 3 4 2" xfId="42342"/>
    <cellStyle name="Normal 10 2 3 3 3 2 3 5" xfId="29906"/>
    <cellStyle name="Normal 10 2 3 3 3 2 4" xfId="8062"/>
    <cellStyle name="Normal 10 2 3 3 3 2 4 2" xfId="14775"/>
    <cellStyle name="Normal 10 2 3 3 3 2 4 2 2" xfId="38196"/>
    <cellStyle name="Normal 10 2 3 3 3 2 4 3" xfId="20684"/>
    <cellStyle name="Normal 10 2 3 3 3 2 4 3 2" xfId="43135"/>
    <cellStyle name="Normal 10 2 3 3 3 2 4 4" xfId="31564"/>
    <cellStyle name="Normal 10 2 3 3 3 2 5" xfId="11457"/>
    <cellStyle name="Normal 10 2 3 3 3 2 5 2" xfId="21802"/>
    <cellStyle name="Normal 10 2 3 3 3 2 5 2 2" xfId="44244"/>
    <cellStyle name="Normal 10 2 3 3 3 2 5 3" xfId="34880"/>
    <cellStyle name="Normal 10 2 3 3 3 2 6" xfId="18557"/>
    <cellStyle name="Normal 10 2 3 3 3 2 6 2" xfId="41501"/>
    <cellStyle name="Normal 10 2 3 3 3 2 7" xfId="24792"/>
    <cellStyle name="Normal 10 2 3 3 3 2 7 2" xfId="47037"/>
    <cellStyle name="Normal 10 2 3 3 3 2 8" xfId="28248"/>
    <cellStyle name="Normal 10 2 3 3 3 3" xfId="2787"/>
    <cellStyle name="Normal 10 2 3 3 3 3 2" xfId="5879"/>
    <cellStyle name="Normal 10 2 3 3 3 3 2 2" xfId="7661"/>
    <cellStyle name="Normal 10 2 3 3 3 3 2 2 2" xfId="10990"/>
    <cellStyle name="Normal 10 2 3 3 3 3 2 2 2 2" xfId="17694"/>
    <cellStyle name="Normal 10 2 3 3 3 3 2 2 2 2 2" xfId="41115"/>
    <cellStyle name="Normal 10 2 3 3 3 3 2 2 2 3" xfId="34483"/>
    <cellStyle name="Normal 10 2 3 3 3 3 2 2 3" xfId="14378"/>
    <cellStyle name="Normal 10 2 3 3 3 3 2 2 3 2" xfId="37799"/>
    <cellStyle name="Normal 10 2 3 3 3 3 2 2 4" xfId="22851"/>
    <cellStyle name="Normal 10 2 3 3 3 3 2 2 4 2" xfId="45273"/>
    <cellStyle name="Normal 10 2 3 3 3 3 2 2 5" xfId="31167"/>
    <cellStyle name="Normal 10 2 3 3 3 3 2 3" xfId="9332"/>
    <cellStyle name="Normal 10 2 3 3 3 3 2 3 2" xfId="16036"/>
    <cellStyle name="Normal 10 2 3 3 3 3 2 3 2 2" xfId="39457"/>
    <cellStyle name="Normal 10 2 3 3 3 3 2 3 3" xfId="32825"/>
    <cellStyle name="Normal 10 2 3 3 3 3 2 4" xfId="12720"/>
    <cellStyle name="Normal 10 2 3 3 3 3 2 4 2" xfId="36141"/>
    <cellStyle name="Normal 10 2 3 3 3 3 2 5" xfId="20015"/>
    <cellStyle name="Normal 10 2 3 3 3 3 2 5 2" xfId="42550"/>
    <cellStyle name="Normal 10 2 3 3 3 3 2 6" xfId="27673"/>
    <cellStyle name="Normal 10 2 3 3 3 3 2 6 2" xfId="49918"/>
    <cellStyle name="Normal 10 2 3 3 3 3 2 7" xfId="29509"/>
    <cellStyle name="Normal 10 2 3 3 3 3 3" xfId="6762"/>
    <cellStyle name="Normal 10 2 3 3 3 3 3 2" xfId="10094"/>
    <cellStyle name="Normal 10 2 3 3 3 3 3 2 2" xfId="16798"/>
    <cellStyle name="Normal 10 2 3 3 3 3 3 2 2 2" xfId="40219"/>
    <cellStyle name="Normal 10 2 3 3 3 3 3 2 3" xfId="33587"/>
    <cellStyle name="Normal 10 2 3 3 3 3 3 3" xfId="13482"/>
    <cellStyle name="Normal 10 2 3 3 3 3 3 3 2" xfId="36903"/>
    <cellStyle name="Normal 10 2 3 3 3 3 3 4" xfId="21142"/>
    <cellStyle name="Normal 10 2 3 3 3 3 3 4 2" xfId="43593"/>
    <cellStyle name="Normal 10 2 3 3 3 3 3 5" xfId="30271"/>
    <cellStyle name="Normal 10 2 3 3 3 3 4" xfId="8428"/>
    <cellStyle name="Normal 10 2 3 3 3 3 4 2" xfId="15140"/>
    <cellStyle name="Normal 10 2 3 3 3 3 4 2 2" xfId="38561"/>
    <cellStyle name="Normal 10 2 3 3 3 3 4 3" xfId="22024"/>
    <cellStyle name="Normal 10 2 3 3 3 3 4 3 2" xfId="44452"/>
    <cellStyle name="Normal 10 2 3 3 3 3 4 4" xfId="31929"/>
    <cellStyle name="Normal 10 2 3 3 3 3 5" xfId="11822"/>
    <cellStyle name="Normal 10 2 3 3 3 3 5 2" xfId="35245"/>
    <cellStyle name="Normal 10 2 3 3 3 3 6" xfId="19161"/>
    <cellStyle name="Normal 10 2 3 3 3 3 6 2" xfId="41718"/>
    <cellStyle name="Normal 10 2 3 3 3 3 7" xfId="25368"/>
    <cellStyle name="Normal 10 2 3 3 3 3 7 2" xfId="47613"/>
    <cellStyle name="Normal 10 2 3 3 3 3 8" xfId="28613"/>
    <cellStyle name="Normal 10 2 3 3 3 4" xfId="3812"/>
    <cellStyle name="Normal 10 2 3 3 3 4 2" xfId="6950"/>
    <cellStyle name="Normal 10 2 3 3 3 4 2 2" xfId="10282"/>
    <cellStyle name="Normal 10 2 3 3 3 4 2 2 2" xfId="16986"/>
    <cellStyle name="Normal 10 2 3 3 3 4 2 2 2 2" xfId="40407"/>
    <cellStyle name="Normal 10 2 3 3 3 4 2 2 3" xfId="33775"/>
    <cellStyle name="Normal 10 2 3 3 3 4 2 3" xfId="13670"/>
    <cellStyle name="Normal 10 2 3 3 3 4 2 3 2" xfId="37091"/>
    <cellStyle name="Normal 10 2 3 3 3 4 2 4" xfId="22444"/>
    <cellStyle name="Normal 10 2 3 3 3 4 2 4 2" xfId="44866"/>
    <cellStyle name="Normal 10 2 3 3 3 4 2 5" xfId="30459"/>
    <cellStyle name="Normal 10 2 3 3 3 4 3" xfId="8617"/>
    <cellStyle name="Normal 10 2 3 3 3 4 3 2" xfId="15328"/>
    <cellStyle name="Normal 10 2 3 3 3 4 3 2 2" xfId="38749"/>
    <cellStyle name="Normal 10 2 3 3 3 4 3 3" xfId="32117"/>
    <cellStyle name="Normal 10 2 3 3 3 4 4" xfId="12010"/>
    <cellStyle name="Normal 10 2 3 3 3 4 4 2" xfId="35433"/>
    <cellStyle name="Normal 10 2 3 3 3 4 5" xfId="19597"/>
    <cellStyle name="Normal 10 2 3 3 3 4 5 2" xfId="42134"/>
    <cellStyle name="Normal 10 2 3 3 3 4 6" xfId="25801"/>
    <cellStyle name="Normal 10 2 3 3 3 4 6 2" xfId="48046"/>
    <cellStyle name="Normal 10 2 3 3 3 4 7" xfId="28801"/>
    <cellStyle name="Normal 10 2 3 3 3 5" xfId="6289"/>
    <cellStyle name="Normal 10 2 3 3 3 5 2" xfId="9623"/>
    <cellStyle name="Normal 10 2 3 3 3 5 2 2" xfId="16327"/>
    <cellStyle name="Normal 10 2 3 3 3 5 2 2 2" xfId="39748"/>
    <cellStyle name="Normal 10 2 3 3 3 5 2 3" xfId="33116"/>
    <cellStyle name="Normal 10 2 3 3 3 5 3" xfId="13011"/>
    <cellStyle name="Normal 10 2 3 3 3 5 3 2" xfId="36432"/>
    <cellStyle name="Normal 10 2 3 3 3 5 4" xfId="20683"/>
    <cellStyle name="Normal 10 2 3 3 3 5 4 2" xfId="43134"/>
    <cellStyle name="Normal 10 2 3 3 3 5 5" xfId="29800"/>
    <cellStyle name="Normal 10 2 3 3 3 6" xfId="7955"/>
    <cellStyle name="Normal 10 2 3 3 3 6 2" xfId="14669"/>
    <cellStyle name="Normal 10 2 3 3 3 6 2 2" xfId="38090"/>
    <cellStyle name="Normal 10 2 3 3 3 6 3" xfId="21593"/>
    <cellStyle name="Normal 10 2 3 3 3 6 3 2" xfId="44042"/>
    <cellStyle name="Normal 10 2 3 3 3 6 4" xfId="31458"/>
    <cellStyle name="Normal 10 2 3 3 3 7" xfId="11351"/>
    <cellStyle name="Normal 10 2 3 3 3 7 2" xfId="34774"/>
    <cellStyle name="Normal 10 2 3 3 3 8" xfId="17956"/>
    <cellStyle name="Normal 10 2 3 3 3 8 2" xfId="41265"/>
    <cellStyle name="Normal 10 2 3 3 3 9" xfId="23358"/>
    <cellStyle name="Normal 10 2 3 3 3 9 2" xfId="45724"/>
    <cellStyle name="Normal 10 2 3 3 4" xfId="2200"/>
    <cellStyle name="Normal 10 2 3 3 4 2" xfId="5475"/>
    <cellStyle name="Normal 10 2 3 3 4 2 2" xfId="7301"/>
    <cellStyle name="Normal 10 2 3 3 4 2 2 2" xfId="10632"/>
    <cellStyle name="Normal 10 2 3 3 4 2 2 2 2" xfId="17336"/>
    <cellStyle name="Normal 10 2 3 3 4 2 2 2 2 2" xfId="40757"/>
    <cellStyle name="Normal 10 2 3 3 4 2 2 2 3" xfId="23048"/>
    <cellStyle name="Normal 10 2 3 3 4 2 2 2 3 2" xfId="45470"/>
    <cellStyle name="Normal 10 2 3 3 4 2 2 2 4" xfId="34125"/>
    <cellStyle name="Normal 10 2 3 3 4 2 2 3" xfId="14020"/>
    <cellStyle name="Normal 10 2 3 3 4 2 2 3 2" xfId="37441"/>
    <cellStyle name="Normal 10 2 3 3 4 2 2 4" xfId="20220"/>
    <cellStyle name="Normal 10 2 3 3 4 2 2 4 2" xfId="42755"/>
    <cellStyle name="Normal 10 2 3 3 4 2 2 5" xfId="30809"/>
    <cellStyle name="Normal 10 2 3 3 4 2 3" xfId="8974"/>
    <cellStyle name="Normal 10 2 3 3 4 2 3 2" xfId="15678"/>
    <cellStyle name="Normal 10 2 3 3 4 2 3 2 2" xfId="39099"/>
    <cellStyle name="Normal 10 2 3 3 4 2 3 3" xfId="21144"/>
    <cellStyle name="Normal 10 2 3 3 4 2 3 3 2" xfId="43595"/>
    <cellStyle name="Normal 10 2 3 3 4 2 3 4" xfId="32467"/>
    <cellStyle name="Normal 10 2 3 3 4 2 4" xfId="12362"/>
    <cellStyle name="Normal 10 2 3 3 4 2 4 2" xfId="22233"/>
    <cellStyle name="Normal 10 2 3 3 4 2 4 2 2" xfId="44655"/>
    <cellStyle name="Normal 10 2 3 3 4 2 4 3" xfId="35783"/>
    <cellStyle name="Normal 10 2 3 3 4 2 5" xfId="19381"/>
    <cellStyle name="Normal 10 2 3 3 4 2 5 2" xfId="41923"/>
    <cellStyle name="Normal 10 2 3 3 4 2 6" xfId="26673"/>
    <cellStyle name="Normal 10 2 3 3 4 2 6 2" xfId="48918"/>
    <cellStyle name="Normal 10 2 3 3 4 2 7" xfId="29151"/>
    <cellStyle name="Normal 10 2 3 3 4 3" xfId="6392"/>
    <cellStyle name="Normal 10 2 3 3 4 3 2" xfId="9726"/>
    <cellStyle name="Normal 10 2 3 3 4 3 2 2" xfId="16430"/>
    <cellStyle name="Normal 10 2 3 3 4 3 2 2 2" xfId="39851"/>
    <cellStyle name="Normal 10 2 3 3 4 3 2 3" xfId="22641"/>
    <cellStyle name="Normal 10 2 3 3 4 3 2 3 2" xfId="45063"/>
    <cellStyle name="Normal 10 2 3 3 4 3 2 4" xfId="33219"/>
    <cellStyle name="Normal 10 2 3 3 4 3 3" xfId="13114"/>
    <cellStyle name="Normal 10 2 3 3 4 3 3 2" xfId="36535"/>
    <cellStyle name="Normal 10 2 3 3 4 3 4" xfId="19804"/>
    <cellStyle name="Normal 10 2 3 3 4 3 4 2" xfId="42339"/>
    <cellStyle name="Normal 10 2 3 3 4 3 5" xfId="29903"/>
    <cellStyle name="Normal 10 2 3 3 4 4" xfId="8059"/>
    <cellStyle name="Normal 10 2 3 3 4 4 2" xfId="14772"/>
    <cellStyle name="Normal 10 2 3 3 4 4 2 2" xfId="38193"/>
    <cellStyle name="Normal 10 2 3 3 4 4 3" xfId="20685"/>
    <cellStyle name="Normal 10 2 3 3 4 4 3 2" xfId="43136"/>
    <cellStyle name="Normal 10 2 3 3 4 4 4" xfId="31561"/>
    <cellStyle name="Normal 10 2 3 3 4 5" xfId="11454"/>
    <cellStyle name="Normal 10 2 3 3 4 5 2" xfId="21799"/>
    <cellStyle name="Normal 10 2 3 3 4 5 2 2" xfId="44241"/>
    <cellStyle name="Normal 10 2 3 3 4 5 3" xfId="34877"/>
    <cellStyle name="Normal 10 2 3 3 4 6" xfId="18554"/>
    <cellStyle name="Normal 10 2 3 3 4 6 2" xfId="41498"/>
    <cellStyle name="Normal 10 2 3 3 4 7" xfId="24460"/>
    <cellStyle name="Normal 10 2 3 3 4 7 2" xfId="46705"/>
    <cellStyle name="Normal 10 2 3 3 4 8" xfId="28245"/>
    <cellStyle name="Normal 10 2 3 3 5" xfId="2655"/>
    <cellStyle name="Normal 10 2 3 3 5 2" xfId="5748"/>
    <cellStyle name="Normal 10 2 3 3 5 2 2" xfId="7530"/>
    <cellStyle name="Normal 10 2 3 3 5 2 2 2" xfId="10859"/>
    <cellStyle name="Normal 10 2 3 3 5 2 2 2 2" xfId="17563"/>
    <cellStyle name="Normal 10 2 3 3 5 2 2 2 2 2" xfId="40984"/>
    <cellStyle name="Normal 10 2 3 3 5 2 2 2 3" xfId="34352"/>
    <cellStyle name="Normal 10 2 3 3 5 2 2 3" xfId="14247"/>
    <cellStyle name="Normal 10 2 3 3 5 2 2 3 2" xfId="37668"/>
    <cellStyle name="Normal 10 2 3 3 5 2 2 4" xfId="20615"/>
    <cellStyle name="Normal 10 2 3 3 5 2 2 4 2" xfId="43066"/>
    <cellStyle name="Normal 10 2 3 3 5 2 2 5" xfId="31036"/>
    <cellStyle name="Normal 10 2 3 3 5 2 3" xfId="9201"/>
    <cellStyle name="Normal 10 2 3 3 5 2 3 2" xfId="15905"/>
    <cellStyle name="Normal 10 2 3 3 5 2 3 2 2" xfId="39326"/>
    <cellStyle name="Normal 10 2 3 3 5 2 3 3" xfId="21533"/>
    <cellStyle name="Normal 10 2 3 3 5 2 3 3 2" xfId="43984"/>
    <cellStyle name="Normal 10 2 3 3 5 2 3 4" xfId="32694"/>
    <cellStyle name="Normal 10 2 3 3 5 2 4" xfId="12589"/>
    <cellStyle name="Normal 10 2 3 3 5 2 4 2" xfId="22848"/>
    <cellStyle name="Normal 10 2 3 3 5 2 4 2 2" xfId="45270"/>
    <cellStyle name="Normal 10 2 3 3 5 2 4 3" xfId="36010"/>
    <cellStyle name="Normal 10 2 3 3 5 2 5" xfId="20012"/>
    <cellStyle name="Normal 10 2 3 3 5 2 5 2" xfId="42547"/>
    <cellStyle name="Normal 10 2 3 3 5 2 6" xfId="27337"/>
    <cellStyle name="Normal 10 2 3 3 5 2 6 2" xfId="49582"/>
    <cellStyle name="Normal 10 2 3 3 5 2 7" xfId="29378"/>
    <cellStyle name="Normal 10 2 3 3 5 3" xfId="6631"/>
    <cellStyle name="Normal 10 2 3 3 5 3 2" xfId="9963"/>
    <cellStyle name="Normal 10 2 3 3 5 3 2 2" xfId="16667"/>
    <cellStyle name="Normal 10 2 3 3 5 3 2 2 2" xfId="40088"/>
    <cellStyle name="Normal 10 2 3 3 5 3 2 3" xfId="33456"/>
    <cellStyle name="Normal 10 2 3 3 5 3 3" xfId="13351"/>
    <cellStyle name="Normal 10 2 3 3 5 3 3 2" xfId="36772"/>
    <cellStyle name="Normal 10 2 3 3 5 3 4" xfId="20517"/>
    <cellStyle name="Normal 10 2 3 3 5 3 4 2" xfId="42970"/>
    <cellStyle name="Normal 10 2 3 3 5 3 5" xfId="30140"/>
    <cellStyle name="Normal 10 2 3 3 5 4" xfId="8297"/>
    <cellStyle name="Normal 10 2 3 3 5 4 2" xfId="15009"/>
    <cellStyle name="Normal 10 2 3 3 5 4 2 2" xfId="38430"/>
    <cellStyle name="Normal 10 2 3 3 5 4 3" xfId="21074"/>
    <cellStyle name="Normal 10 2 3 3 5 4 3 2" xfId="43525"/>
    <cellStyle name="Normal 10 2 3 3 5 4 4" xfId="31798"/>
    <cellStyle name="Normal 10 2 3 3 5 5" xfId="11691"/>
    <cellStyle name="Normal 10 2 3 3 5 5 2" xfId="22021"/>
    <cellStyle name="Normal 10 2 3 3 5 5 2 2" xfId="44449"/>
    <cellStyle name="Normal 10 2 3 3 5 5 3" xfId="35114"/>
    <cellStyle name="Normal 10 2 3 3 5 6" xfId="19158"/>
    <cellStyle name="Normal 10 2 3 3 5 6 2" xfId="41715"/>
    <cellStyle name="Normal 10 2 3 3 5 7" xfId="25085"/>
    <cellStyle name="Normal 10 2 3 3 5 7 2" xfId="47330"/>
    <cellStyle name="Normal 10 2 3 3 5 8" xfId="28482"/>
    <cellStyle name="Normal 10 2 3 3 6" xfId="3809"/>
    <cellStyle name="Normal 10 2 3 3 6 2" xfId="6947"/>
    <cellStyle name="Normal 10 2 3 3 6 2 2" xfId="10279"/>
    <cellStyle name="Normal 10 2 3 3 6 2 2 2" xfId="16983"/>
    <cellStyle name="Normal 10 2 3 3 6 2 2 2 2" xfId="40404"/>
    <cellStyle name="Normal 10 2 3 3 6 2 2 3" xfId="33772"/>
    <cellStyle name="Normal 10 2 3 3 6 2 3" xfId="13667"/>
    <cellStyle name="Normal 10 2 3 3 6 2 3 2" xfId="37088"/>
    <cellStyle name="Normal 10 2 3 3 6 2 4" xfId="20566"/>
    <cellStyle name="Normal 10 2 3 3 6 2 4 2" xfId="43019"/>
    <cellStyle name="Normal 10 2 3 3 6 2 5" xfId="30456"/>
    <cellStyle name="Normal 10 2 3 3 6 3" xfId="8614"/>
    <cellStyle name="Normal 10 2 3 3 6 3 2" xfId="15325"/>
    <cellStyle name="Normal 10 2 3 3 6 3 2 2" xfId="38746"/>
    <cellStyle name="Normal 10 2 3 3 6 3 3" xfId="21137"/>
    <cellStyle name="Normal 10 2 3 3 6 3 3 2" xfId="43588"/>
    <cellStyle name="Normal 10 2 3 3 6 3 4" xfId="32114"/>
    <cellStyle name="Normal 10 2 3 3 6 4" xfId="12007"/>
    <cellStyle name="Normal 10 2 3 3 6 4 2" xfId="22441"/>
    <cellStyle name="Normal 10 2 3 3 6 4 2 2" xfId="44863"/>
    <cellStyle name="Normal 10 2 3 3 6 4 3" xfId="35430"/>
    <cellStyle name="Normal 10 2 3 3 6 5" xfId="19594"/>
    <cellStyle name="Normal 10 2 3 3 6 5 2" xfId="42131"/>
    <cellStyle name="Normal 10 2 3 3 6 6" xfId="25798"/>
    <cellStyle name="Normal 10 2 3 3 6 6 2" xfId="48043"/>
    <cellStyle name="Normal 10 2 3 3 6 7" xfId="28798"/>
    <cellStyle name="Normal 10 2 3 3 7" xfId="6158"/>
    <cellStyle name="Normal 10 2 3 3 7 2" xfId="9492"/>
    <cellStyle name="Normal 10 2 3 3 7 2 2" xfId="16196"/>
    <cellStyle name="Normal 10 2 3 3 7 2 2 2" xfId="39617"/>
    <cellStyle name="Normal 10 2 3 3 7 2 3" xfId="32985"/>
    <cellStyle name="Normal 10 2 3 3 7 3" xfId="12880"/>
    <cellStyle name="Normal 10 2 3 3 7 3 2" xfId="36301"/>
    <cellStyle name="Normal 10 2 3 3 7 4" xfId="18335"/>
    <cellStyle name="Normal 10 2 3 3 7 4 2" xfId="41468"/>
    <cellStyle name="Normal 10 2 3 3 7 5" xfId="29669"/>
    <cellStyle name="Normal 10 2 3 3 8" xfId="7824"/>
    <cellStyle name="Normal 10 2 3 3 8 2" xfId="14538"/>
    <cellStyle name="Normal 10 2 3 3 8 2 2" xfId="37959"/>
    <cellStyle name="Normal 10 2 3 3 8 3" xfId="20678"/>
    <cellStyle name="Normal 10 2 3 3 8 3 2" xfId="43129"/>
    <cellStyle name="Normal 10 2 3 3 8 4" xfId="31327"/>
    <cellStyle name="Normal 10 2 3 3 9" xfId="11220"/>
    <cellStyle name="Normal 10 2 3 3 9 2" xfId="21590"/>
    <cellStyle name="Normal 10 2 3 3 9 2 2" xfId="44039"/>
    <cellStyle name="Normal 10 2 3 3 9 3" xfId="34643"/>
    <cellStyle name="Normal 10 2 3 4" xfId="1611"/>
    <cellStyle name="Normal 10 2 3 4 10" xfId="23359"/>
    <cellStyle name="Normal 10 2 3 4 10 2" xfId="45725"/>
    <cellStyle name="Normal 10 2 3 4 11" xfId="28054"/>
    <cellStyle name="Normal 10 2 3 4 2" xfId="1833"/>
    <cellStyle name="Normal 10 2 3 4 2 10" xfId="28185"/>
    <cellStyle name="Normal 10 2 3 4 2 2" xfId="2205"/>
    <cellStyle name="Normal 10 2 3 4 2 2 2" xfId="5480"/>
    <cellStyle name="Normal 10 2 3 4 2 2 2 2" xfId="7306"/>
    <cellStyle name="Normal 10 2 3 4 2 2 2 2 2" xfId="10637"/>
    <cellStyle name="Normal 10 2 3 4 2 2 2 2 2 2" xfId="17341"/>
    <cellStyle name="Normal 10 2 3 4 2 2 2 2 2 2 2" xfId="40762"/>
    <cellStyle name="Normal 10 2 3 4 2 2 2 2 2 3" xfId="23053"/>
    <cellStyle name="Normal 10 2 3 4 2 2 2 2 2 3 2" xfId="45475"/>
    <cellStyle name="Normal 10 2 3 4 2 2 2 2 2 4" xfId="34130"/>
    <cellStyle name="Normal 10 2 3 4 2 2 2 2 3" xfId="14025"/>
    <cellStyle name="Normal 10 2 3 4 2 2 2 2 3 2" xfId="37446"/>
    <cellStyle name="Normal 10 2 3 4 2 2 2 2 4" xfId="20225"/>
    <cellStyle name="Normal 10 2 3 4 2 2 2 2 4 2" xfId="42760"/>
    <cellStyle name="Normal 10 2 3 4 2 2 2 2 5" xfId="27253"/>
    <cellStyle name="Normal 10 2 3 4 2 2 2 2 5 2" xfId="49498"/>
    <cellStyle name="Normal 10 2 3 4 2 2 2 2 6" xfId="30814"/>
    <cellStyle name="Normal 10 2 3 4 2 2 2 3" xfId="8979"/>
    <cellStyle name="Normal 10 2 3 4 2 2 2 3 2" xfId="15683"/>
    <cellStyle name="Normal 10 2 3 4 2 2 2 3 2 2" xfId="39104"/>
    <cellStyle name="Normal 10 2 3 4 2 2 2 3 3" xfId="21147"/>
    <cellStyle name="Normal 10 2 3 4 2 2 2 3 3 2" xfId="43598"/>
    <cellStyle name="Normal 10 2 3 4 2 2 2 3 4" xfId="32472"/>
    <cellStyle name="Normal 10 2 3 4 2 2 2 4" xfId="12367"/>
    <cellStyle name="Normal 10 2 3 4 2 2 2 4 2" xfId="22238"/>
    <cellStyle name="Normal 10 2 3 4 2 2 2 4 2 2" xfId="44660"/>
    <cellStyle name="Normal 10 2 3 4 2 2 2 4 3" xfId="35788"/>
    <cellStyle name="Normal 10 2 3 4 2 2 2 5" xfId="19386"/>
    <cellStyle name="Normal 10 2 3 4 2 2 2 5 2" xfId="41928"/>
    <cellStyle name="Normal 10 2 3 4 2 2 2 6" xfId="25040"/>
    <cellStyle name="Normal 10 2 3 4 2 2 2 6 2" xfId="47285"/>
    <cellStyle name="Normal 10 2 3 4 2 2 2 7" xfId="29156"/>
    <cellStyle name="Normal 10 2 3 4 2 2 3" xfId="6397"/>
    <cellStyle name="Normal 10 2 3 4 2 2 3 2" xfId="9731"/>
    <cellStyle name="Normal 10 2 3 4 2 2 3 2 2" xfId="16435"/>
    <cellStyle name="Normal 10 2 3 4 2 2 3 2 2 2" xfId="39856"/>
    <cellStyle name="Normal 10 2 3 4 2 2 3 2 3" xfId="22646"/>
    <cellStyle name="Normal 10 2 3 4 2 2 3 2 3 2" xfId="45068"/>
    <cellStyle name="Normal 10 2 3 4 2 2 3 2 4" xfId="27925"/>
    <cellStyle name="Normal 10 2 3 4 2 2 3 2 4 2" xfId="50170"/>
    <cellStyle name="Normal 10 2 3 4 2 2 3 2 5" xfId="33224"/>
    <cellStyle name="Normal 10 2 3 4 2 2 3 3" xfId="13119"/>
    <cellStyle name="Normal 10 2 3 4 2 2 3 3 2" xfId="36540"/>
    <cellStyle name="Normal 10 2 3 4 2 2 3 4" xfId="19809"/>
    <cellStyle name="Normal 10 2 3 4 2 2 3 4 2" xfId="42344"/>
    <cellStyle name="Normal 10 2 3 4 2 2 3 5" xfId="25620"/>
    <cellStyle name="Normal 10 2 3 4 2 2 3 5 2" xfId="47865"/>
    <cellStyle name="Normal 10 2 3 4 2 2 3 6" xfId="29908"/>
    <cellStyle name="Normal 10 2 3 4 2 2 4" xfId="8064"/>
    <cellStyle name="Normal 10 2 3 4 2 2 4 2" xfId="14777"/>
    <cellStyle name="Normal 10 2 3 4 2 2 4 2 2" xfId="38198"/>
    <cellStyle name="Normal 10 2 3 4 2 2 4 3" xfId="20688"/>
    <cellStyle name="Normal 10 2 3 4 2 2 4 3 2" xfId="43139"/>
    <cellStyle name="Normal 10 2 3 4 2 2 4 4" xfId="26579"/>
    <cellStyle name="Normal 10 2 3 4 2 2 4 4 2" xfId="48824"/>
    <cellStyle name="Normal 10 2 3 4 2 2 4 5" xfId="31566"/>
    <cellStyle name="Normal 10 2 3 4 2 2 5" xfId="11459"/>
    <cellStyle name="Normal 10 2 3 4 2 2 5 2" xfId="21804"/>
    <cellStyle name="Normal 10 2 3 4 2 2 5 2 2" xfId="44246"/>
    <cellStyle name="Normal 10 2 3 4 2 2 5 3" xfId="34882"/>
    <cellStyle name="Normal 10 2 3 4 2 2 6" xfId="18559"/>
    <cellStyle name="Normal 10 2 3 4 2 2 6 2" xfId="41503"/>
    <cellStyle name="Normal 10 2 3 4 2 2 7" xfId="24375"/>
    <cellStyle name="Normal 10 2 3 4 2 2 7 2" xfId="46621"/>
    <cellStyle name="Normal 10 2 3 4 2 2 8" xfId="28250"/>
    <cellStyle name="Normal 10 2 3 4 2 3" xfId="2830"/>
    <cellStyle name="Normal 10 2 3 4 2 3 2" xfId="5922"/>
    <cellStyle name="Normal 10 2 3 4 2 3 2 2" xfId="7704"/>
    <cellStyle name="Normal 10 2 3 4 2 3 2 2 2" xfId="11033"/>
    <cellStyle name="Normal 10 2 3 4 2 3 2 2 2 2" xfId="17737"/>
    <cellStyle name="Normal 10 2 3 4 2 3 2 2 2 2 2" xfId="41158"/>
    <cellStyle name="Normal 10 2 3 4 2 3 2 2 2 3" xfId="34526"/>
    <cellStyle name="Normal 10 2 3 4 2 3 2 2 3" xfId="14421"/>
    <cellStyle name="Normal 10 2 3 4 2 3 2 2 3 2" xfId="37842"/>
    <cellStyle name="Normal 10 2 3 4 2 3 2 2 4" xfId="22853"/>
    <cellStyle name="Normal 10 2 3 4 2 3 2 2 4 2" xfId="45275"/>
    <cellStyle name="Normal 10 2 3 4 2 3 2 2 5" xfId="31210"/>
    <cellStyle name="Normal 10 2 3 4 2 3 2 3" xfId="9375"/>
    <cellStyle name="Normal 10 2 3 4 2 3 2 3 2" xfId="16079"/>
    <cellStyle name="Normal 10 2 3 4 2 3 2 3 2 2" xfId="39500"/>
    <cellStyle name="Normal 10 2 3 4 2 3 2 3 3" xfId="32868"/>
    <cellStyle name="Normal 10 2 3 4 2 3 2 4" xfId="12763"/>
    <cellStyle name="Normal 10 2 3 4 2 3 2 4 2" xfId="36184"/>
    <cellStyle name="Normal 10 2 3 4 2 3 2 5" xfId="20017"/>
    <cellStyle name="Normal 10 2 3 4 2 3 2 5 2" xfId="42552"/>
    <cellStyle name="Normal 10 2 3 4 2 3 2 6" xfId="26921"/>
    <cellStyle name="Normal 10 2 3 4 2 3 2 6 2" xfId="49166"/>
    <cellStyle name="Normal 10 2 3 4 2 3 2 7" xfId="29552"/>
    <cellStyle name="Normal 10 2 3 4 2 3 3" xfId="6805"/>
    <cellStyle name="Normal 10 2 3 4 2 3 3 2" xfId="10137"/>
    <cellStyle name="Normal 10 2 3 4 2 3 3 2 2" xfId="16841"/>
    <cellStyle name="Normal 10 2 3 4 2 3 3 2 2 2" xfId="40262"/>
    <cellStyle name="Normal 10 2 3 4 2 3 3 2 3" xfId="33630"/>
    <cellStyle name="Normal 10 2 3 4 2 3 3 3" xfId="13525"/>
    <cellStyle name="Normal 10 2 3 4 2 3 3 3 2" xfId="36946"/>
    <cellStyle name="Normal 10 2 3 4 2 3 3 4" xfId="21146"/>
    <cellStyle name="Normal 10 2 3 4 2 3 3 4 2" xfId="43597"/>
    <cellStyle name="Normal 10 2 3 4 2 3 3 5" xfId="30314"/>
    <cellStyle name="Normal 10 2 3 4 2 3 4" xfId="8471"/>
    <cellStyle name="Normal 10 2 3 4 2 3 4 2" xfId="15183"/>
    <cellStyle name="Normal 10 2 3 4 2 3 4 2 2" xfId="38604"/>
    <cellStyle name="Normal 10 2 3 4 2 3 4 3" xfId="22026"/>
    <cellStyle name="Normal 10 2 3 4 2 3 4 3 2" xfId="44454"/>
    <cellStyle name="Normal 10 2 3 4 2 3 4 4" xfId="31972"/>
    <cellStyle name="Normal 10 2 3 4 2 3 5" xfId="11865"/>
    <cellStyle name="Normal 10 2 3 4 2 3 5 2" xfId="35288"/>
    <cellStyle name="Normal 10 2 3 4 2 3 6" xfId="19163"/>
    <cellStyle name="Normal 10 2 3 4 2 3 6 2" xfId="41720"/>
    <cellStyle name="Normal 10 2 3 4 2 3 7" xfId="24708"/>
    <cellStyle name="Normal 10 2 3 4 2 3 7 2" xfId="46953"/>
    <cellStyle name="Normal 10 2 3 4 2 3 8" xfId="28656"/>
    <cellStyle name="Normal 10 2 3 4 2 4" xfId="3814"/>
    <cellStyle name="Normal 10 2 3 4 2 4 2" xfId="6952"/>
    <cellStyle name="Normal 10 2 3 4 2 4 2 2" xfId="10284"/>
    <cellStyle name="Normal 10 2 3 4 2 4 2 2 2" xfId="16988"/>
    <cellStyle name="Normal 10 2 3 4 2 4 2 2 2 2" xfId="40409"/>
    <cellStyle name="Normal 10 2 3 4 2 4 2 2 3" xfId="33777"/>
    <cellStyle name="Normal 10 2 3 4 2 4 2 3" xfId="13672"/>
    <cellStyle name="Normal 10 2 3 4 2 4 2 3 2" xfId="37093"/>
    <cellStyle name="Normal 10 2 3 4 2 4 2 4" xfId="22446"/>
    <cellStyle name="Normal 10 2 3 4 2 4 2 4 2" xfId="44868"/>
    <cellStyle name="Normal 10 2 3 4 2 4 2 5" xfId="27589"/>
    <cellStyle name="Normal 10 2 3 4 2 4 2 5 2" xfId="49834"/>
    <cellStyle name="Normal 10 2 3 4 2 4 2 6" xfId="30461"/>
    <cellStyle name="Normal 10 2 3 4 2 4 3" xfId="8619"/>
    <cellStyle name="Normal 10 2 3 4 2 4 3 2" xfId="15330"/>
    <cellStyle name="Normal 10 2 3 4 2 4 3 2 2" xfId="38751"/>
    <cellStyle name="Normal 10 2 3 4 2 4 3 3" xfId="32119"/>
    <cellStyle name="Normal 10 2 3 4 2 4 4" xfId="12012"/>
    <cellStyle name="Normal 10 2 3 4 2 4 4 2" xfId="35435"/>
    <cellStyle name="Normal 10 2 3 4 2 4 5" xfId="19599"/>
    <cellStyle name="Normal 10 2 3 4 2 4 5 2" xfId="42136"/>
    <cellStyle name="Normal 10 2 3 4 2 4 6" xfId="25284"/>
    <cellStyle name="Normal 10 2 3 4 2 4 6 2" xfId="47529"/>
    <cellStyle name="Normal 10 2 3 4 2 4 7" xfId="28803"/>
    <cellStyle name="Normal 10 2 3 4 2 5" xfId="6332"/>
    <cellStyle name="Normal 10 2 3 4 2 5 2" xfId="9666"/>
    <cellStyle name="Normal 10 2 3 4 2 5 2 2" xfId="16370"/>
    <cellStyle name="Normal 10 2 3 4 2 5 2 2 2" xfId="39791"/>
    <cellStyle name="Normal 10 2 3 4 2 5 2 3" xfId="33159"/>
    <cellStyle name="Normal 10 2 3 4 2 5 3" xfId="13054"/>
    <cellStyle name="Normal 10 2 3 4 2 5 3 2" xfId="36475"/>
    <cellStyle name="Normal 10 2 3 4 2 5 4" xfId="20687"/>
    <cellStyle name="Normal 10 2 3 4 2 5 4 2" xfId="43138"/>
    <cellStyle name="Normal 10 2 3 4 2 5 5" xfId="25803"/>
    <cellStyle name="Normal 10 2 3 4 2 5 5 2" xfId="48048"/>
    <cellStyle name="Normal 10 2 3 4 2 5 6" xfId="29843"/>
    <cellStyle name="Normal 10 2 3 4 2 6" xfId="7998"/>
    <cellStyle name="Normal 10 2 3 4 2 6 2" xfId="14712"/>
    <cellStyle name="Normal 10 2 3 4 2 6 2 2" xfId="38133"/>
    <cellStyle name="Normal 10 2 3 4 2 6 3" xfId="21595"/>
    <cellStyle name="Normal 10 2 3 4 2 6 3 2" xfId="44044"/>
    <cellStyle name="Normal 10 2 3 4 2 6 4" xfId="31501"/>
    <cellStyle name="Normal 10 2 3 4 2 7" xfId="11394"/>
    <cellStyle name="Normal 10 2 3 4 2 7 2" xfId="34817"/>
    <cellStyle name="Normal 10 2 3 4 2 8" xfId="17958"/>
    <cellStyle name="Normal 10 2 3 4 2 8 2" xfId="41267"/>
    <cellStyle name="Normal 10 2 3 4 2 9" xfId="23289"/>
    <cellStyle name="Normal 10 2 3 4 2 9 2" xfId="45686"/>
    <cellStyle name="Normal 10 2 3 4 3" xfId="2204"/>
    <cellStyle name="Normal 10 2 3 4 3 2" xfId="5479"/>
    <cellStyle name="Normal 10 2 3 4 3 2 2" xfId="7305"/>
    <cellStyle name="Normal 10 2 3 4 3 2 2 2" xfId="10636"/>
    <cellStyle name="Normal 10 2 3 4 3 2 2 2 2" xfId="17340"/>
    <cellStyle name="Normal 10 2 3 4 3 2 2 2 2 2" xfId="40761"/>
    <cellStyle name="Normal 10 2 3 4 3 2 2 2 3" xfId="23052"/>
    <cellStyle name="Normal 10 2 3 4 3 2 2 2 3 2" xfId="45474"/>
    <cellStyle name="Normal 10 2 3 4 3 2 2 2 4" xfId="34129"/>
    <cellStyle name="Normal 10 2 3 4 3 2 2 3" xfId="14024"/>
    <cellStyle name="Normal 10 2 3 4 3 2 2 3 2" xfId="37445"/>
    <cellStyle name="Normal 10 2 3 4 3 2 2 4" xfId="20224"/>
    <cellStyle name="Normal 10 2 3 4 3 2 2 4 2" xfId="42759"/>
    <cellStyle name="Normal 10 2 3 4 3 2 2 5" xfId="27087"/>
    <cellStyle name="Normal 10 2 3 4 3 2 2 5 2" xfId="49332"/>
    <cellStyle name="Normal 10 2 3 4 3 2 2 6" xfId="30813"/>
    <cellStyle name="Normal 10 2 3 4 3 2 3" xfId="8978"/>
    <cellStyle name="Normal 10 2 3 4 3 2 3 2" xfId="15682"/>
    <cellStyle name="Normal 10 2 3 4 3 2 3 2 2" xfId="39103"/>
    <cellStyle name="Normal 10 2 3 4 3 2 3 3" xfId="21148"/>
    <cellStyle name="Normal 10 2 3 4 3 2 3 3 2" xfId="43599"/>
    <cellStyle name="Normal 10 2 3 4 3 2 3 4" xfId="32471"/>
    <cellStyle name="Normal 10 2 3 4 3 2 4" xfId="12366"/>
    <cellStyle name="Normal 10 2 3 4 3 2 4 2" xfId="22237"/>
    <cellStyle name="Normal 10 2 3 4 3 2 4 2 2" xfId="44659"/>
    <cellStyle name="Normal 10 2 3 4 3 2 4 3" xfId="35787"/>
    <cellStyle name="Normal 10 2 3 4 3 2 5" xfId="19385"/>
    <cellStyle name="Normal 10 2 3 4 3 2 5 2" xfId="41927"/>
    <cellStyle name="Normal 10 2 3 4 3 2 6" xfId="24874"/>
    <cellStyle name="Normal 10 2 3 4 3 2 6 2" xfId="47119"/>
    <cellStyle name="Normal 10 2 3 4 3 2 7" xfId="29155"/>
    <cellStyle name="Normal 10 2 3 4 3 3" xfId="6396"/>
    <cellStyle name="Normal 10 2 3 4 3 3 2" xfId="9730"/>
    <cellStyle name="Normal 10 2 3 4 3 3 2 2" xfId="16434"/>
    <cellStyle name="Normal 10 2 3 4 3 3 2 2 2" xfId="39855"/>
    <cellStyle name="Normal 10 2 3 4 3 3 2 3" xfId="22645"/>
    <cellStyle name="Normal 10 2 3 4 3 3 2 3 2" xfId="45067"/>
    <cellStyle name="Normal 10 2 3 4 3 3 2 4" xfId="27757"/>
    <cellStyle name="Normal 10 2 3 4 3 3 2 4 2" xfId="50002"/>
    <cellStyle name="Normal 10 2 3 4 3 3 2 5" xfId="33223"/>
    <cellStyle name="Normal 10 2 3 4 3 3 3" xfId="13118"/>
    <cellStyle name="Normal 10 2 3 4 3 3 3 2" xfId="36539"/>
    <cellStyle name="Normal 10 2 3 4 3 3 4" xfId="19808"/>
    <cellStyle name="Normal 10 2 3 4 3 3 4 2" xfId="42343"/>
    <cellStyle name="Normal 10 2 3 4 3 3 5" xfId="25452"/>
    <cellStyle name="Normal 10 2 3 4 3 3 5 2" xfId="47697"/>
    <cellStyle name="Normal 10 2 3 4 3 3 6" xfId="29907"/>
    <cellStyle name="Normal 10 2 3 4 3 4" xfId="8063"/>
    <cellStyle name="Normal 10 2 3 4 3 4 2" xfId="14776"/>
    <cellStyle name="Normal 10 2 3 4 3 4 2 2" xfId="38197"/>
    <cellStyle name="Normal 10 2 3 4 3 4 3" xfId="20689"/>
    <cellStyle name="Normal 10 2 3 4 3 4 3 2" xfId="43140"/>
    <cellStyle name="Normal 10 2 3 4 3 4 4" xfId="26414"/>
    <cellStyle name="Normal 10 2 3 4 3 4 4 2" xfId="48659"/>
    <cellStyle name="Normal 10 2 3 4 3 4 5" xfId="31565"/>
    <cellStyle name="Normal 10 2 3 4 3 5" xfId="11458"/>
    <cellStyle name="Normal 10 2 3 4 3 5 2" xfId="21803"/>
    <cellStyle name="Normal 10 2 3 4 3 5 2 2" xfId="44245"/>
    <cellStyle name="Normal 10 2 3 4 3 5 3" xfId="34881"/>
    <cellStyle name="Normal 10 2 3 4 3 6" xfId="18558"/>
    <cellStyle name="Normal 10 2 3 4 3 6 2" xfId="41502"/>
    <cellStyle name="Normal 10 2 3 4 3 7" xfId="24210"/>
    <cellStyle name="Normal 10 2 3 4 3 7 2" xfId="46456"/>
    <cellStyle name="Normal 10 2 3 4 3 8" xfId="28249"/>
    <cellStyle name="Normal 10 2 3 4 4" xfId="2698"/>
    <cellStyle name="Normal 10 2 3 4 4 2" xfId="5791"/>
    <cellStyle name="Normal 10 2 3 4 4 2 2" xfId="7573"/>
    <cellStyle name="Normal 10 2 3 4 4 2 2 2" xfId="10902"/>
    <cellStyle name="Normal 10 2 3 4 4 2 2 2 2" xfId="17606"/>
    <cellStyle name="Normal 10 2 3 4 4 2 2 2 2 2" xfId="41027"/>
    <cellStyle name="Normal 10 2 3 4 4 2 2 2 3" xfId="34395"/>
    <cellStyle name="Normal 10 2 3 4 4 2 2 3" xfId="14290"/>
    <cellStyle name="Normal 10 2 3 4 4 2 2 3 2" xfId="37711"/>
    <cellStyle name="Normal 10 2 3 4 4 2 2 4" xfId="22852"/>
    <cellStyle name="Normal 10 2 3 4 4 2 2 4 2" xfId="45274"/>
    <cellStyle name="Normal 10 2 3 4 4 2 2 5" xfId="31079"/>
    <cellStyle name="Normal 10 2 3 4 4 2 3" xfId="9244"/>
    <cellStyle name="Normal 10 2 3 4 4 2 3 2" xfId="15948"/>
    <cellStyle name="Normal 10 2 3 4 4 2 3 2 2" xfId="39369"/>
    <cellStyle name="Normal 10 2 3 4 4 2 3 3" xfId="32737"/>
    <cellStyle name="Normal 10 2 3 4 4 2 4" xfId="12632"/>
    <cellStyle name="Normal 10 2 3 4 4 2 4 2" xfId="36053"/>
    <cellStyle name="Normal 10 2 3 4 4 2 5" xfId="20016"/>
    <cellStyle name="Normal 10 2 3 4 4 2 5 2" xfId="42551"/>
    <cellStyle name="Normal 10 2 3 4 4 2 6" xfId="26755"/>
    <cellStyle name="Normal 10 2 3 4 4 2 6 2" xfId="49000"/>
    <cellStyle name="Normal 10 2 3 4 4 2 7" xfId="29421"/>
    <cellStyle name="Normal 10 2 3 4 4 3" xfId="6674"/>
    <cellStyle name="Normal 10 2 3 4 4 3 2" xfId="10006"/>
    <cellStyle name="Normal 10 2 3 4 4 3 2 2" xfId="16710"/>
    <cellStyle name="Normal 10 2 3 4 4 3 2 2 2" xfId="40131"/>
    <cellStyle name="Normal 10 2 3 4 4 3 2 3" xfId="33499"/>
    <cellStyle name="Normal 10 2 3 4 4 3 3" xfId="13394"/>
    <cellStyle name="Normal 10 2 3 4 4 3 3 2" xfId="36815"/>
    <cellStyle name="Normal 10 2 3 4 4 3 4" xfId="21145"/>
    <cellStyle name="Normal 10 2 3 4 4 3 4 2" xfId="43596"/>
    <cellStyle name="Normal 10 2 3 4 4 3 5" xfId="30183"/>
    <cellStyle name="Normal 10 2 3 4 4 4" xfId="8340"/>
    <cellStyle name="Normal 10 2 3 4 4 4 2" xfId="15052"/>
    <cellStyle name="Normal 10 2 3 4 4 4 2 2" xfId="38473"/>
    <cellStyle name="Normal 10 2 3 4 4 4 3" xfId="22025"/>
    <cellStyle name="Normal 10 2 3 4 4 4 3 2" xfId="44453"/>
    <cellStyle name="Normal 10 2 3 4 4 4 4" xfId="31841"/>
    <cellStyle name="Normal 10 2 3 4 4 5" xfId="11734"/>
    <cellStyle name="Normal 10 2 3 4 4 5 2" xfId="35157"/>
    <cellStyle name="Normal 10 2 3 4 4 6" xfId="19162"/>
    <cellStyle name="Normal 10 2 3 4 4 6 2" xfId="41719"/>
    <cellStyle name="Normal 10 2 3 4 4 7" xfId="24542"/>
    <cellStyle name="Normal 10 2 3 4 4 7 2" xfId="46787"/>
    <cellStyle name="Normal 10 2 3 4 4 8" xfId="28525"/>
    <cellStyle name="Normal 10 2 3 4 5" xfId="3813"/>
    <cellStyle name="Normal 10 2 3 4 5 2" xfId="6951"/>
    <cellStyle name="Normal 10 2 3 4 5 2 2" xfId="10283"/>
    <cellStyle name="Normal 10 2 3 4 5 2 2 2" xfId="16987"/>
    <cellStyle name="Normal 10 2 3 4 5 2 2 2 2" xfId="40408"/>
    <cellStyle name="Normal 10 2 3 4 5 2 2 3" xfId="33776"/>
    <cellStyle name="Normal 10 2 3 4 5 2 3" xfId="13671"/>
    <cellStyle name="Normal 10 2 3 4 5 2 3 2" xfId="37092"/>
    <cellStyle name="Normal 10 2 3 4 5 2 4" xfId="22445"/>
    <cellStyle name="Normal 10 2 3 4 5 2 4 2" xfId="44867"/>
    <cellStyle name="Normal 10 2 3 4 5 2 5" xfId="27421"/>
    <cellStyle name="Normal 10 2 3 4 5 2 5 2" xfId="49666"/>
    <cellStyle name="Normal 10 2 3 4 5 2 6" xfId="30460"/>
    <cellStyle name="Normal 10 2 3 4 5 3" xfId="8618"/>
    <cellStyle name="Normal 10 2 3 4 5 3 2" xfId="15329"/>
    <cellStyle name="Normal 10 2 3 4 5 3 2 2" xfId="38750"/>
    <cellStyle name="Normal 10 2 3 4 5 3 3" xfId="32118"/>
    <cellStyle name="Normal 10 2 3 4 5 4" xfId="12011"/>
    <cellStyle name="Normal 10 2 3 4 5 4 2" xfId="35434"/>
    <cellStyle name="Normal 10 2 3 4 5 5" xfId="19598"/>
    <cellStyle name="Normal 10 2 3 4 5 5 2" xfId="42135"/>
    <cellStyle name="Normal 10 2 3 4 5 6" xfId="25116"/>
    <cellStyle name="Normal 10 2 3 4 5 6 2" xfId="47361"/>
    <cellStyle name="Normal 10 2 3 4 5 7" xfId="28802"/>
    <cellStyle name="Normal 10 2 3 4 6" xfId="6201"/>
    <cellStyle name="Normal 10 2 3 4 6 2" xfId="9535"/>
    <cellStyle name="Normal 10 2 3 4 6 2 2" xfId="16239"/>
    <cellStyle name="Normal 10 2 3 4 6 2 2 2" xfId="39660"/>
    <cellStyle name="Normal 10 2 3 4 6 2 3" xfId="33028"/>
    <cellStyle name="Normal 10 2 3 4 6 3" xfId="12923"/>
    <cellStyle name="Normal 10 2 3 4 6 3 2" xfId="36344"/>
    <cellStyle name="Normal 10 2 3 4 6 4" xfId="20686"/>
    <cellStyle name="Normal 10 2 3 4 6 4 2" xfId="43137"/>
    <cellStyle name="Normal 10 2 3 4 6 5" xfId="25802"/>
    <cellStyle name="Normal 10 2 3 4 6 5 2" xfId="48047"/>
    <cellStyle name="Normal 10 2 3 4 6 6" xfId="29712"/>
    <cellStyle name="Normal 10 2 3 4 7" xfId="7867"/>
    <cellStyle name="Normal 10 2 3 4 7 2" xfId="14581"/>
    <cellStyle name="Normal 10 2 3 4 7 2 2" xfId="38002"/>
    <cellStyle name="Normal 10 2 3 4 7 3" xfId="21594"/>
    <cellStyle name="Normal 10 2 3 4 7 3 2" xfId="44043"/>
    <cellStyle name="Normal 10 2 3 4 7 4" xfId="31370"/>
    <cellStyle name="Normal 10 2 3 4 8" xfId="11263"/>
    <cellStyle name="Normal 10 2 3 4 8 2" xfId="34686"/>
    <cellStyle name="Normal 10 2 3 4 9" xfId="17957"/>
    <cellStyle name="Normal 10 2 3 4 9 2" xfId="41266"/>
    <cellStyle name="Normal 10 2 3 5" xfId="1753"/>
    <cellStyle name="Normal 10 2 3 5 10" xfId="28106"/>
    <cellStyle name="Normal 10 2 3 5 2" xfId="2206"/>
    <cellStyle name="Normal 10 2 3 5 2 2" xfId="5481"/>
    <cellStyle name="Normal 10 2 3 5 2 2 2" xfId="7307"/>
    <cellStyle name="Normal 10 2 3 5 2 2 2 2" xfId="10638"/>
    <cellStyle name="Normal 10 2 3 5 2 2 2 2 2" xfId="17342"/>
    <cellStyle name="Normal 10 2 3 5 2 2 2 2 2 2" xfId="40763"/>
    <cellStyle name="Normal 10 2 3 5 2 2 2 2 3" xfId="23054"/>
    <cellStyle name="Normal 10 2 3 5 2 2 2 2 3 2" xfId="45476"/>
    <cellStyle name="Normal 10 2 3 5 2 2 2 2 4" xfId="34131"/>
    <cellStyle name="Normal 10 2 3 5 2 2 2 3" xfId="14026"/>
    <cellStyle name="Normal 10 2 3 5 2 2 2 3 2" xfId="37447"/>
    <cellStyle name="Normal 10 2 3 5 2 2 2 4" xfId="20226"/>
    <cellStyle name="Normal 10 2 3 5 2 2 2 4 2" xfId="42761"/>
    <cellStyle name="Normal 10 2 3 5 2 2 2 5" xfId="27129"/>
    <cellStyle name="Normal 10 2 3 5 2 2 2 5 2" xfId="49374"/>
    <cellStyle name="Normal 10 2 3 5 2 2 2 6" xfId="30815"/>
    <cellStyle name="Normal 10 2 3 5 2 2 3" xfId="8980"/>
    <cellStyle name="Normal 10 2 3 5 2 2 3 2" xfId="15684"/>
    <cellStyle name="Normal 10 2 3 5 2 2 3 2 2" xfId="39105"/>
    <cellStyle name="Normal 10 2 3 5 2 2 3 3" xfId="21150"/>
    <cellStyle name="Normal 10 2 3 5 2 2 3 3 2" xfId="43601"/>
    <cellStyle name="Normal 10 2 3 5 2 2 3 4" xfId="32473"/>
    <cellStyle name="Normal 10 2 3 5 2 2 4" xfId="12368"/>
    <cellStyle name="Normal 10 2 3 5 2 2 4 2" xfId="22239"/>
    <cellStyle name="Normal 10 2 3 5 2 2 4 2 2" xfId="44661"/>
    <cellStyle name="Normal 10 2 3 5 2 2 4 3" xfId="35789"/>
    <cellStyle name="Normal 10 2 3 5 2 2 5" xfId="19387"/>
    <cellStyle name="Normal 10 2 3 5 2 2 5 2" xfId="41929"/>
    <cellStyle name="Normal 10 2 3 5 2 2 6" xfId="24916"/>
    <cellStyle name="Normal 10 2 3 5 2 2 6 2" xfId="47161"/>
    <cellStyle name="Normal 10 2 3 5 2 2 7" xfId="29157"/>
    <cellStyle name="Normal 10 2 3 5 2 3" xfId="6398"/>
    <cellStyle name="Normal 10 2 3 5 2 3 2" xfId="9732"/>
    <cellStyle name="Normal 10 2 3 5 2 3 2 2" xfId="16436"/>
    <cellStyle name="Normal 10 2 3 5 2 3 2 2 2" xfId="39857"/>
    <cellStyle name="Normal 10 2 3 5 2 3 2 3" xfId="22647"/>
    <cellStyle name="Normal 10 2 3 5 2 3 2 3 2" xfId="45069"/>
    <cellStyle name="Normal 10 2 3 5 2 3 2 4" xfId="27799"/>
    <cellStyle name="Normal 10 2 3 5 2 3 2 4 2" xfId="50044"/>
    <cellStyle name="Normal 10 2 3 5 2 3 2 5" xfId="33225"/>
    <cellStyle name="Normal 10 2 3 5 2 3 3" xfId="13120"/>
    <cellStyle name="Normal 10 2 3 5 2 3 3 2" xfId="36541"/>
    <cellStyle name="Normal 10 2 3 5 2 3 4" xfId="19810"/>
    <cellStyle name="Normal 10 2 3 5 2 3 4 2" xfId="42345"/>
    <cellStyle name="Normal 10 2 3 5 2 3 5" xfId="25494"/>
    <cellStyle name="Normal 10 2 3 5 2 3 5 2" xfId="47739"/>
    <cellStyle name="Normal 10 2 3 5 2 3 6" xfId="29909"/>
    <cellStyle name="Normal 10 2 3 5 2 4" xfId="8065"/>
    <cellStyle name="Normal 10 2 3 5 2 4 2" xfId="14778"/>
    <cellStyle name="Normal 10 2 3 5 2 4 2 2" xfId="38199"/>
    <cellStyle name="Normal 10 2 3 5 2 4 3" xfId="20691"/>
    <cellStyle name="Normal 10 2 3 5 2 4 3 2" xfId="43142"/>
    <cellStyle name="Normal 10 2 3 5 2 4 4" xfId="26456"/>
    <cellStyle name="Normal 10 2 3 5 2 4 4 2" xfId="48701"/>
    <cellStyle name="Normal 10 2 3 5 2 4 5" xfId="31567"/>
    <cellStyle name="Normal 10 2 3 5 2 5" xfId="11460"/>
    <cellStyle name="Normal 10 2 3 5 2 5 2" xfId="21805"/>
    <cellStyle name="Normal 10 2 3 5 2 5 2 2" xfId="44247"/>
    <cellStyle name="Normal 10 2 3 5 2 5 3" xfId="34883"/>
    <cellStyle name="Normal 10 2 3 5 2 6" xfId="18560"/>
    <cellStyle name="Normal 10 2 3 5 2 6 2" xfId="41504"/>
    <cellStyle name="Normal 10 2 3 5 2 7" xfId="24252"/>
    <cellStyle name="Normal 10 2 3 5 2 7 2" xfId="46498"/>
    <cellStyle name="Normal 10 2 3 5 2 8" xfId="28251"/>
    <cellStyle name="Normal 10 2 3 5 3" xfId="2751"/>
    <cellStyle name="Normal 10 2 3 5 3 2" xfId="5843"/>
    <cellStyle name="Normal 10 2 3 5 3 2 2" xfId="7625"/>
    <cellStyle name="Normal 10 2 3 5 3 2 2 2" xfId="10954"/>
    <cellStyle name="Normal 10 2 3 5 3 2 2 2 2" xfId="17658"/>
    <cellStyle name="Normal 10 2 3 5 3 2 2 2 2 2" xfId="41079"/>
    <cellStyle name="Normal 10 2 3 5 3 2 2 2 3" xfId="34447"/>
    <cellStyle name="Normal 10 2 3 5 3 2 2 3" xfId="14342"/>
    <cellStyle name="Normal 10 2 3 5 3 2 2 3 2" xfId="37763"/>
    <cellStyle name="Normal 10 2 3 5 3 2 2 4" xfId="22854"/>
    <cellStyle name="Normal 10 2 3 5 3 2 2 4 2" xfId="45276"/>
    <cellStyle name="Normal 10 2 3 5 3 2 2 5" xfId="31131"/>
    <cellStyle name="Normal 10 2 3 5 3 2 3" xfId="9296"/>
    <cellStyle name="Normal 10 2 3 5 3 2 3 2" xfId="16000"/>
    <cellStyle name="Normal 10 2 3 5 3 2 3 2 2" xfId="39421"/>
    <cellStyle name="Normal 10 2 3 5 3 2 3 3" xfId="32789"/>
    <cellStyle name="Normal 10 2 3 5 3 2 4" xfId="12684"/>
    <cellStyle name="Normal 10 2 3 5 3 2 4 2" xfId="36105"/>
    <cellStyle name="Normal 10 2 3 5 3 2 5" xfId="20018"/>
    <cellStyle name="Normal 10 2 3 5 3 2 5 2" xfId="42553"/>
    <cellStyle name="Normal 10 2 3 5 3 2 6" xfId="26797"/>
    <cellStyle name="Normal 10 2 3 5 3 2 6 2" xfId="49042"/>
    <cellStyle name="Normal 10 2 3 5 3 2 7" xfId="29473"/>
    <cellStyle name="Normal 10 2 3 5 3 3" xfId="6726"/>
    <cellStyle name="Normal 10 2 3 5 3 3 2" xfId="10058"/>
    <cellStyle name="Normal 10 2 3 5 3 3 2 2" xfId="16762"/>
    <cellStyle name="Normal 10 2 3 5 3 3 2 2 2" xfId="40183"/>
    <cellStyle name="Normal 10 2 3 5 3 3 2 3" xfId="33551"/>
    <cellStyle name="Normal 10 2 3 5 3 3 3" xfId="13446"/>
    <cellStyle name="Normal 10 2 3 5 3 3 3 2" xfId="36867"/>
    <cellStyle name="Normal 10 2 3 5 3 3 4" xfId="21149"/>
    <cellStyle name="Normal 10 2 3 5 3 3 4 2" xfId="43600"/>
    <cellStyle name="Normal 10 2 3 5 3 3 5" xfId="30235"/>
    <cellStyle name="Normal 10 2 3 5 3 4" xfId="8392"/>
    <cellStyle name="Normal 10 2 3 5 3 4 2" xfId="15104"/>
    <cellStyle name="Normal 10 2 3 5 3 4 2 2" xfId="38525"/>
    <cellStyle name="Normal 10 2 3 5 3 4 3" xfId="22027"/>
    <cellStyle name="Normal 10 2 3 5 3 4 3 2" xfId="44455"/>
    <cellStyle name="Normal 10 2 3 5 3 4 4" xfId="31893"/>
    <cellStyle name="Normal 10 2 3 5 3 5" xfId="11786"/>
    <cellStyle name="Normal 10 2 3 5 3 5 2" xfId="35209"/>
    <cellStyle name="Normal 10 2 3 5 3 6" xfId="19164"/>
    <cellStyle name="Normal 10 2 3 5 3 6 2" xfId="41721"/>
    <cellStyle name="Normal 10 2 3 5 3 7" xfId="24584"/>
    <cellStyle name="Normal 10 2 3 5 3 7 2" xfId="46829"/>
    <cellStyle name="Normal 10 2 3 5 3 8" xfId="28577"/>
    <cellStyle name="Normal 10 2 3 5 4" xfId="3815"/>
    <cellStyle name="Normal 10 2 3 5 4 2" xfId="6953"/>
    <cellStyle name="Normal 10 2 3 5 4 2 2" xfId="10285"/>
    <cellStyle name="Normal 10 2 3 5 4 2 2 2" xfId="16989"/>
    <cellStyle name="Normal 10 2 3 5 4 2 2 2 2" xfId="40410"/>
    <cellStyle name="Normal 10 2 3 5 4 2 2 3" xfId="33778"/>
    <cellStyle name="Normal 10 2 3 5 4 2 3" xfId="13673"/>
    <cellStyle name="Normal 10 2 3 5 4 2 3 2" xfId="37094"/>
    <cellStyle name="Normal 10 2 3 5 4 2 4" xfId="22447"/>
    <cellStyle name="Normal 10 2 3 5 4 2 4 2" xfId="44869"/>
    <cellStyle name="Normal 10 2 3 5 4 2 5" xfId="27463"/>
    <cellStyle name="Normal 10 2 3 5 4 2 5 2" xfId="49708"/>
    <cellStyle name="Normal 10 2 3 5 4 2 6" xfId="30462"/>
    <cellStyle name="Normal 10 2 3 5 4 3" xfId="8620"/>
    <cellStyle name="Normal 10 2 3 5 4 3 2" xfId="15331"/>
    <cellStyle name="Normal 10 2 3 5 4 3 2 2" xfId="38752"/>
    <cellStyle name="Normal 10 2 3 5 4 3 3" xfId="32120"/>
    <cellStyle name="Normal 10 2 3 5 4 4" xfId="12013"/>
    <cellStyle name="Normal 10 2 3 5 4 4 2" xfId="35436"/>
    <cellStyle name="Normal 10 2 3 5 4 5" xfId="19600"/>
    <cellStyle name="Normal 10 2 3 5 4 5 2" xfId="42137"/>
    <cellStyle name="Normal 10 2 3 5 4 6" xfId="25158"/>
    <cellStyle name="Normal 10 2 3 5 4 6 2" xfId="47403"/>
    <cellStyle name="Normal 10 2 3 5 4 7" xfId="28804"/>
    <cellStyle name="Normal 10 2 3 5 5" xfId="6253"/>
    <cellStyle name="Normal 10 2 3 5 5 2" xfId="9587"/>
    <cellStyle name="Normal 10 2 3 5 5 2 2" xfId="16291"/>
    <cellStyle name="Normal 10 2 3 5 5 2 2 2" xfId="39712"/>
    <cellStyle name="Normal 10 2 3 5 5 2 3" xfId="33080"/>
    <cellStyle name="Normal 10 2 3 5 5 3" xfId="12975"/>
    <cellStyle name="Normal 10 2 3 5 5 3 2" xfId="36396"/>
    <cellStyle name="Normal 10 2 3 5 5 4" xfId="20690"/>
    <cellStyle name="Normal 10 2 3 5 5 4 2" xfId="43141"/>
    <cellStyle name="Normal 10 2 3 5 5 5" xfId="25804"/>
    <cellStyle name="Normal 10 2 3 5 5 5 2" xfId="48049"/>
    <cellStyle name="Normal 10 2 3 5 5 6" xfId="29764"/>
    <cellStyle name="Normal 10 2 3 5 6" xfId="7919"/>
    <cellStyle name="Normal 10 2 3 5 6 2" xfId="14633"/>
    <cellStyle name="Normal 10 2 3 5 6 2 2" xfId="38054"/>
    <cellStyle name="Normal 10 2 3 5 6 3" xfId="21596"/>
    <cellStyle name="Normal 10 2 3 5 6 3 2" xfId="44045"/>
    <cellStyle name="Normal 10 2 3 5 6 4" xfId="31422"/>
    <cellStyle name="Normal 10 2 3 5 7" xfId="11315"/>
    <cellStyle name="Normal 10 2 3 5 7 2" xfId="34738"/>
    <cellStyle name="Normal 10 2 3 5 8" xfId="17959"/>
    <cellStyle name="Normal 10 2 3 5 8 2" xfId="41268"/>
    <cellStyle name="Normal 10 2 3 5 9" xfId="23257"/>
    <cellStyle name="Normal 10 2 3 5 9 2" xfId="45667"/>
    <cellStyle name="Normal 10 2 3 6" xfId="2191"/>
    <cellStyle name="Normal 10 2 3 6 2" xfId="5466"/>
    <cellStyle name="Normal 10 2 3 6 2 2" xfId="7292"/>
    <cellStyle name="Normal 10 2 3 6 2 2 2" xfId="10623"/>
    <cellStyle name="Normal 10 2 3 6 2 2 2 2" xfId="17327"/>
    <cellStyle name="Normal 10 2 3 6 2 2 2 2 2" xfId="40748"/>
    <cellStyle name="Normal 10 2 3 6 2 2 2 3" xfId="23039"/>
    <cellStyle name="Normal 10 2 3 6 2 2 2 3 2" xfId="45461"/>
    <cellStyle name="Normal 10 2 3 6 2 2 2 4" xfId="34116"/>
    <cellStyle name="Normal 10 2 3 6 2 2 3" xfId="14011"/>
    <cellStyle name="Normal 10 2 3 6 2 2 3 2" xfId="37432"/>
    <cellStyle name="Normal 10 2 3 6 2 2 4" xfId="20211"/>
    <cellStyle name="Normal 10 2 3 6 2 2 4 2" xfId="42746"/>
    <cellStyle name="Normal 10 2 3 6 2 2 5" xfId="26963"/>
    <cellStyle name="Normal 10 2 3 6 2 2 5 2" xfId="49208"/>
    <cellStyle name="Normal 10 2 3 6 2 2 6" xfId="30800"/>
    <cellStyle name="Normal 10 2 3 6 2 3" xfId="8965"/>
    <cellStyle name="Normal 10 2 3 6 2 3 2" xfId="15669"/>
    <cellStyle name="Normal 10 2 3 6 2 3 2 2" xfId="39090"/>
    <cellStyle name="Normal 10 2 3 6 2 3 3" xfId="21151"/>
    <cellStyle name="Normal 10 2 3 6 2 3 3 2" xfId="43602"/>
    <cellStyle name="Normal 10 2 3 6 2 3 4" xfId="32458"/>
    <cellStyle name="Normal 10 2 3 6 2 4" xfId="12353"/>
    <cellStyle name="Normal 10 2 3 6 2 4 2" xfId="22224"/>
    <cellStyle name="Normal 10 2 3 6 2 4 2 2" xfId="44646"/>
    <cellStyle name="Normal 10 2 3 6 2 4 3" xfId="35774"/>
    <cellStyle name="Normal 10 2 3 6 2 5" xfId="19372"/>
    <cellStyle name="Normal 10 2 3 6 2 5 2" xfId="41914"/>
    <cellStyle name="Normal 10 2 3 6 2 6" xfId="24750"/>
    <cellStyle name="Normal 10 2 3 6 2 6 2" xfId="46995"/>
    <cellStyle name="Normal 10 2 3 6 2 7" xfId="29142"/>
    <cellStyle name="Normal 10 2 3 6 3" xfId="5149"/>
    <cellStyle name="Normal 10 2 3 6 3 2" xfId="19795"/>
    <cellStyle name="Normal 10 2 3 6 3 2 2" xfId="27631"/>
    <cellStyle name="Normal 10 2 3 6 3 2 2 2" xfId="49876"/>
    <cellStyle name="Normal 10 2 3 6 3 2 3" xfId="42330"/>
    <cellStyle name="Normal 10 2 3 6 3 3" xfId="25326"/>
    <cellStyle name="Normal 10 2 3 6 3 3 2" xfId="47571"/>
    <cellStyle name="Normal 10 2 3 6 4" xfId="6383"/>
    <cellStyle name="Normal 10 2 3 6 4 2" xfId="9717"/>
    <cellStyle name="Normal 10 2 3 6 4 2 2" xfId="16421"/>
    <cellStyle name="Normal 10 2 3 6 4 2 2 2" xfId="39842"/>
    <cellStyle name="Normal 10 2 3 6 4 2 3" xfId="26291"/>
    <cellStyle name="Normal 10 2 3 6 4 2 3 2" xfId="48536"/>
    <cellStyle name="Normal 10 2 3 6 4 2 4" xfId="33210"/>
    <cellStyle name="Normal 10 2 3 6 4 3" xfId="13105"/>
    <cellStyle name="Normal 10 2 3 6 4 3 2" xfId="36526"/>
    <cellStyle name="Normal 10 2 3 6 4 4" xfId="20692"/>
    <cellStyle name="Normal 10 2 3 6 4 4 2" xfId="43143"/>
    <cellStyle name="Normal 10 2 3 6 4 5" xfId="24087"/>
    <cellStyle name="Normal 10 2 3 6 4 5 2" xfId="46333"/>
    <cellStyle name="Normal 10 2 3 6 4 6" xfId="29894"/>
    <cellStyle name="Normal 10 2 3 6 5" xfId="8050"/>
    <cellStyle name="Normal 10 2 3 6 5 2" xfId="14763"/>
    <cellStyle name="Normal 10 2 3 6 5 2 2" xfId="38184"/>
    <cellStyle name="Normal 10 2 3 6 5 3" xfId="21790"/>
    <cellStyle name="Normal 10 2 3 6 5 3 2" xfId="44232"/>
    <cellStyle name="Normal 10 2 3 6 5 4" xfId="31552"/>
    <cellStyle name="Normal 10 2 3 6 6" xfId="11445"/>
    <cellStyle name="Normal 10 2 3 6 6 2" xfId="34868"/>
    <cellStyle name="Normal 10 2 3 6 7" xfId="18545"/>
    <cellStyle name="Normal 10 2 3 6 7 2" xfId="41489"/>
    <cellStyle name="Normal 10 2 3 6 8" xfId="28236"/>
    <cellStyle name="Normal 10 2 3 7" xfId="2618"/>
    <cellStyle name="Normal 10 2 3 7 2" xfId="5712"/>
    <cellStyle name="Normal 10 2 3 7 2 2" xfId="7495"/>
    <cellStyle name="Normal 10 2 3 7 2 2 2" xfId="10824"/>
    <cellStyle name="Normal 10 2 3 7 2 2 2 2" xfId="17528"/>
    <cellStyle name="Normal 10 2 3 7 2 2 2 2 2" xfId="40949"/>
    <cellStyle name="Normal 10 2 3 7 2 2 2 3" xfId="34317"/>
    <cellStyle name="Normal 10 2 3 7 2 2 3" xfId="14212"/>
    <cellStyle name="Normal 10 2 3 7 2 2 3 2" xfId="37633"/>
    <cellStyle name="Normal 10 2 3 7 2 2 4" xfId="20612"/>
    <cellStyle name="Normal 10 2 3 7 2 2 4 2" xfId="43063"/>
    <cellStyle name="Normal 10 2 3 7 2 2 5" xfId="31001"/>
    <cellStyle name="Normal 10 2 3 7 2 3" xfId="9166"/>
    <cellStyle name="Normal 10 2 3 7 2 3 2" xfId="15870"/>
    <cellStyle name="Normal 10 2 3 7 2 3 2 2" xfId="39291"/>
    <cellStyle name="Normal 10 2 3 7 2 3 3" xfId="21530"/>
    <cellStyle name="Normal 10 2 3 7 2 3 3 2" xfId="43981"/>
    <cellStyle name="Normal 10 2 3 7 2 3 4" xfId="32659"/>
    <cellStyle name="Normal 10 2 3 7 2 4" xfId="12554"/>
    <cellStyle name="Normal 10 2 3 7 2 4 2" xfId="22839"/>
    <cellStyle name="Normal 10 2 3 7 2 4 2 2" xfId="45261"/>
    <cellStyle name="Normal 10 2 3 7 2 4 3" xfId="35975"/>
    <cellStyle name="Normal 10 2 3 7 2 5" xfId="20003"/>
    <cellStyle name="Normal 10 2 3 7 2 5 2" xfId="42538"/>
    <cellStyle name="Normal 10 2 3 7 2 6" xfId="26631"/>
    <cellStyle name="Normal 10 2 3 7 2 6 2" xfId="48876"/>
    <cellStyle name="Normal 10 2 3 7 2 7" xfId="29343"/>
    <cellStyle name="Normal 10 2 3 7 3" xfId="6595"/>
    <cellStyle name="Normal 10 2 3 7 3 2" xfId="9927"/>
    <cellStyle name="Normal 10 2 3 7 3 2 2" xfId="16631"/>
    <cellStyle name="Normal 10 2 3 7 3 2 2 2" xfId="40052"/>
    <cellStyle name="Normal 10 2 3 7 3 2 3" xfId="33420"/>
    <cellStyle name="Normal 10 2 3 7 3 3" xfId="13315"/>
    <cellStyle name="Normal 10 2 3 7 3 3 2" xfId="36736"/>
    <cellStyle name="Normal 10 2 3 7 3 4" xfId="20514"/>
    <cellStyle name="Normal 10 2 3 7 3 4 2" xfId="42967"/>
    <cellStyle name="Normal 10 2 3 7 3 5" xfId="30104"/>
    <cellStyle name="Normal 10 2 3 7 4" xfId="8261"/>
    <cellStyle name="Normal 10 2 3 7 4 2" xfId="14973"/>
    <cellStyle name="Normal 10 2 3 7 4 2 2" xfId="38394"/>
    <cellStyle name="Normal 10 2 3 7 4 3" xfId="21071"/>
    <cellStyle name="Normal 10 2 3 7 4 3 2" xfId="43522"/>
    <cellStyle name="Normal 10 2 3 7 4 4" xfId="31762"/>
    <cellStyle name="Normal 10 2 3 7 5" xfId="11655"/>
    <cellStyle name="Normal 10 2 3 7 5 2" xfId="22012"/>
    <cellStyle name="Normal 10 2 3 7 5 2 2" xfId="44440"/>
    <cellStyle name="Normal 10 2 3 7 5 3" xfId="35078"/>
    <cellStyle name="Normal 10 2 3 7 6" xfId="19149"/>
    <cellStyle name="Normal 10 2 3 7 6 2" xfId="41706"/>
    <cellStyle name="Normal 10 2 3 7 7" xfId="24418"/>
    <cellStyle name="Normal 10 2 3 7 7 2" xfId="46663"/>
    <cellStyle name="Normal 10 2 3 7 8" xfId="28446"/>
    <cellStyle name="Normal 10 2 3 8" xfId="3800"/>
    <cellStyle name="Normal 10 2 3 8 2" xfId="6938"/>
    <cellStyle name="Normal 10 2 3 8 2 2" xfId="10270"/>
    <cellStyle name="Normal 10 2 3 8 2 2 2" xfId="16974"/>
    <cellStyle name="Normal 10 2 3 8 2 2 2 2" xfId="40395"/>
    <cellStyle name="Normal 10 2 3 8 2 2 3" xfId="33763"/>
    <cellStyle name="Normal 10 2 3 8 2 3" xfId="13658"/>
    <cellStyle name="Normal 10 2 3 8 2 3 2" xfId="37079"/>
    <cellStyle name="Normal 10 2 3 8 2 4" xfId="20563"/>
    <cellStyle name="Normal 10 2 3 8 2 4 2" xfId="43016"/>
    <cellStyle name="Normal 10 2 3 8 2 5" xfId="27295"/>
    <cellStyle name="Normal 10 2 3 8 2 5 2" xfId="49540"/>
    <cellStyle name="Normal 10 2 3 8 2 6" xfId="30447"/>
    <cellStyle name="Normal 10 2 3 8 3" xfId="8605"/>
    <cellStyle name="Normal 10 2 3 8 3 2" xfId="15316"/>
    <cellStyle name="Normal 10 2 3 8 3 2 2" xfId="38737"/>
    <cellStyle name="Normal 10 2 3 8 3 3" xfId="21120"/>
    <cellStyle name="Normal 10 2 3 8 3 3 2" xfId="43571"/>
    <cellStyle name="Normal 10 2 3 8 3 4" xfId="32105"/>
    <cellStyle name="Normal 10 2 3 8 4" xfId="11998"/>
    <cellStyle name="Normal 10 2 3 8 4 2" xfId="22432"/>
    <cellStyle name="Normal 10 2 3 8 4 2 2" xfId="44854"/>
    <cellStyle name="Normal 10 2 3 8 4 3" xfId="35421"/>
    <cellStyle name="Normal 10 2 3 8 5" xfId="19585"/>
    <cellStyle name="Normal 10 2 3 8 5 2" xfId="42122"/>
    <cellStyle name="Normal 10 2 3 8 6" xfId="25082"/>
    <cellStyle name="Normal 10 2 3 8 6 2" xfId="47327"/>
    <cellStyle name="Normal 10 2 3 8 7" xfId="28789"/>
    <cellStyle name="Normal 10 2 3 9" xfId="6122"/>
    <cellStyle name="Normal 10 2 3 9 2" xfId="9456"/>
    <cellStyle name="Normal 10 2 3 9 2 2" xfId="16160"/>
    <cellStyle name="Normal 10 2 3 9 2 2 2" xfId="39581"/>
    <cellStyle name="Normal 10 2 3 9 2 3" xfId="32949"/>
    <cellStyle name="Normal 10 2 3 9 3" xfId="12844"/>
    <cellStyle name="Normal 10 2 3 9 3 2" xfId="36265"/>
    <cellStyle name="Normal 10 2 3 9 4" xfId="18333"/>
    <cellStyle name="Normal 10 2 3 9 4 2" xfId="41466"/>
    <cellStyle name="Normal 10 2 3 9 5" xfId="25789"/>
    <cellStyle name="Normal 10 2 3 9 5 2" xfId="48034"/>
    <cellStyle name="Normal 10 2 3 9 6" xfId="29633"/>
    <cellStyle name="Normal 10 2 4" xfId="1291"/>
    <cellStyle name="Normal 10 2 4 10" xfId="11191"/>
    <cellStyle name="Normal 10 2 4 10 2" xfId="21597"/>
    <cellStyle name="Normal 10 2 4 10 2 2" xfId="44046"/>
    <cellStyle name="Normal 10 2 4 10 3" xfId="34614"/>
    <cellStyle name="Normal 10 2 4 11" xfId="17960"/>
    <cellStyle name="Normal 10 2 4 11 2" xfId="41269"/>
    <cellStyle name="Normal 10 2 4 12" xfId="23357"/>
    <cellStyle name="Normal 10 2 4 12 2" xfId="45723"/>
    <cellStyle name="Normal 10 2 4 13" xfId="27982"/>
    <cellStyle name="Normal 10 2 4 2" xfId="1482"/>
    <cellStyle name="Normal 10 2 4 2 10" xfId="17961"/>
    <cellStyle name="Normal 10 2 4 2 10 2" xfId="41270"/>
    <cellStyle name="Normal 10 2 4 2 11" xfId="23264"/>
    <cellStyle name="Normal 10 2 4 2 11 2" xfId="45673"/>
    <cellStyle name="Normal 10 2 4 2 12" xfId="28018"/>
    <cellStyle name="Normal 10 2 4 2 2" xfId="1616"/>
    <cellStyle name="Normal 10 2 4 2 2 10" xfId="23256"/>
    <cellStyle name="Normal 10 2 4 2 2 10 2" xfId="45666"/>
    <cellStyle name="Normal 10 2 4 2 2 11" xfId="28059"/>
    <cellStyle name="Normal 10 2 4 2 2 2" xfId="1838"/>
    <cellStyle name="Normal 10 2 4 2 2 2 10" xfId="28190"/>
    <cellStyle name="Normal 10 2 4 2 2 2 2" xfId="2210"/>
    <cellStyle name="Normal 10 2 4 2 2 2 2 2" xfId="5485"/>
    <cellStyle name="Normal 10 2 4 2 2 2 2 2 2" xfId="7311"/>
    <cellStyle name="Normal 10 2 4 2 2 2 2 2 2 2" xfId="10642"/>
    <cellStyle name="Normal 10 2 4 2 2 2 2 2 2 2 2" xfId="17346"/>
    <cellStyle name="Normal 10 2 4 2 2 2 2 2 2 2 2 2" xfId="40767"/>
    <cellStyle name="Normal 10 2 4 2 2 2 2 2 2 2 3" xfId="23058"/>
    <cellStyle name="Normal 10 2 4 2 2 2 2 2 2 2 3 2" xfId="45480"/>
    <cellStyle name="Normal 10 2 4 2 2 2 2 2 2 2 4" xfId="34135"/>
    <cellStyle name="Normal 10 2 4 2 2 2 2 2 2 3" xfId="14030"/>
    <cellStyle name="Normal 10 2 4 2 2 2 2 2 2 3 2" xfId="37451"/>
    <cellStyle name="Normal 10 2 4 2 2 2 2 2 2 4" xfId="20230"/>
    <cellStyle name="Normal 10 2 4 2 2 2 2 2 2 4 2" xfId="42765"/>
    <cellStyle name="Normal 10 2 4 2 2 2 2 2 2 5" xfId="30819"/>
    <cellStyle name="Normal 10 2 4 2 2 2 2 2 3" xfId="8984"/>
    <cellStyle name="Normal 10 2 4 2 2 2 2 2 3 2" xfId="15688"/>
    <cellStyle name="Normal 10 2 4 2 2 2 2 2 3 2 2" xfId="39109"/>
    <cellStyle name="Normal 10 2 4 2 2 2 2 2 3 3" xfId="21156"/>
    <cellStyle name="Normal 10 2 4 2 2 2 2 2 3 3 2" xfId="43607"/>
    <cellStyle name="Normal 10 2 4 2 2 2 2 2 3 4" xfId="32477"/>
    <cellStyle name="Normal 10 2 4 2 2 2 2 2 4" xfId="12372"/>
    <cellStyle name="Normal 10 2 4 2 2 2 2 2 4 2" xfId="22243"/>
    <cellStyle name="Normal 10 2 4 2 2 2 2 2 4 2 2" xfId="44665"/>
    <cellStyle name="Normal 10 2 4 2 2 2 2 2 4 3" xfId="35793"/>
    <cellStyle name="Normal 10 2 4 2 2 2 2 2 5" xfId="19391"/>
    <cellStyle name="Normal 10 2 4 2 2 2 2 2 5 2" xfId="41933"/>
    <cellStyle name="Normal 10 2 4 2 2 2 2 2 6" xfId="29161"/>
    <cellStyle name="Normal 10 2 4 2 2 2 2 3" xfId="6402"/>
    <cellStyle name="Normal 10 2 4 2 2 2 2 3 2" xfId="9736"/>
    <cellStyle name="Normal 10 2 4 2 2 2 2 3 2 2" xfId="16440"/>
    <cellStyle name="Normal 10 2 4 2 2 2 2 3 2 2 2" xfId="39861"/>
    <cellStyle name="Normal 10 2 4 2 2 2 2 3 2 3" xfId="22651"/>
    <cellStyle name="Normal 10 2 4 2 2 2 2 3 2 3 2" xfId="45073"/>
    <cellStyle name="Normal 10 2 4 2 2 2 2 3 2 4" xfId="33229"/>
    <cellStyle name="Normal 10 2 4 2 2 2 2 3 3" xfId="13124"/>
    <cellStyle name="Normal 10 2 4 2 2 2 2 3 3 2" xfId="36545"/>
    <cellStyle name="Normal 10 2 4 2 2 2 2 3 4" xfId="19814"/>
    <cellStyle name="Normal 10 2 4 2 2 2 2 3 4 2" xfId="42349"/>
    <cellStyle name="Normal 10 2 4 2 2 2 2 3 5" xfId="29913"/>
    <cellStyle name="Normal 10 2 4 2 2 2 2 4" xfId="8069"/>
    <cellStyle name="Normal 10 2 4 2 2 2 2 4 2" xfId="14782"/>
    <cellStyle name="Normal 10 2 4 2 2 2 2 4 2 2" xfId="38203"/>
    <cellStyle name="Normal 10 2 4 2 2 2 2 4 3" xfId="20697"/>
    <cellStyle name="Normal 10 2 4 2 2 2 2 4 3 2" xfId="43148"/>
    <cellStyle name="Normal 10 2 4 2 2 2 2 4 4" xfId="31571"/>
    <cellStyle name="Normal 10 2 4 2 2 2 2 5" xfId="11464"/>
    <cellStyle name="Normal 10 2 4 2 2 2 2 5 2" xfId="21809"/>
    <cellStyle name="Normal 10 2 4 2 2 2 2 5 2 2" xfId="44251"/>
    <cellStyle name="Normal 10 2 4 2 2 2 2 5 3" xfId="34887"/>
    <cellStyle name="Normal 10 2 4 2 2 2 2 6" xfId="18564"/>
    <cellStyle name="Normal 10 2 4 2 2 2 2 6 2" xfId="41508"/>
    <cellStyle name="Normal 10 2 4 2 2 2 2 7" xfId="25808"/>
    <cellStyle name="Normal 10 2 4 2 2 2 2 7 2" xfId="48053"/>
    <cellStyle name="Normal 10 2 4 2 2 2 2 8" xfId="28255"/>
    <cellStyle name="Normal 10 2 4 2 2 2 3" xfId="2835"/>
    <cellStyle name="Normal 10 2 4 2 2 2 3 2" xfId="5927"/>
    <cellStyle name="Normal 10 2 4 2 2 2 3 2 2" xfId="7709"/>
    <cellStyle name="Normal 10 2 4 2 2 2 3 2 2 2" xfId="11038"/>
    <cellStyle name="Normal 10 2 4 2 2 2 3 2 2 2 2" xfId="17742"/>
    <cellStyle name="Normal 10 2 4 2 2 2 3 2 2 2 2 2" xfId="41163"/>
    <cellStyle name="Normal 10 2 4 2 2 2 3 2 2 2 3" xfId="34531"/>
    <cellStyle name="Normal 10 2 4 2 2 2 3 2 2 3" xfId="14426"/>
    <cellStyle name="Normal 10 2 4 2 2 2 3 2 2 3 2" xfId="37847"/>
    <cellStyle name="Normal 10 2 4 2 2 2 3 2 2 4" xfId="22858"/>
    <cellStyle name="Normal 10 2 4 2 2 2 3 2 2 4 2" xfId="45280"/>
    <cellStyle name="Normal 10 2 4 2 2 2 3 2 2 5" xfId="31215"/>
    <cellStyle name="Normal 10 2 4 2 2 2 3 2 3" xfId="9380"/>
    <cellStyle name="Normal 10 2 4 2 2 2 3 2 3 2" xfId="16084"/>
    <cellStyle name="Normal 10 2 4 2 2 2 3 2 3 2 2" xfId="39505"/>
    <cellStyle name="Normal 10 2 4 2 2 2 3 2 3 3" xfId="32873"/>
    <cellStyle name="Normal 10 2 4 2 2 2 3 2 4" xfId="12768"/>
    <cellStyle name="Normal 10 2 4 2 2 2 3 2 4 2" xfId="36189"/>
    <cellStyle name="Normal 10 2 4 2 2 2 3 2 5" xfId="20022"/>
    <cellStyle name="Normal 10 2 4 2 2 2 3 2 5 2" xfId="42557"/>
    <cellStyle name="Normal 10 2 4 2 2 2 3 2 6" xfId="29557"/>
    <cellStyle name="Normal 10 2 4 2 2 2 3 3" xfId="6810"/>
    <cellStyle name="Normal 10 2 4 2 2 2 3 3 2" xfId="10142"/>
    <cellStyle name="Normal 10 2 4 2 2 2 3 3 2 2" xfId="16846"/>
    <cellStyle name="Normal 10 2 4 2 2 2 3 3 2 2 2" xfId="40267"/>
    <cellStyle name="Normal 10 2 4 2 2 2 3 3 2 3" xfId="33635"/>
    <cellStyle name="Normal 10 2 4 2 2 2 3 3 3" xfId="13530"/>
    <cellStyle name="Normal 10 2 4 2 2 2 3 3 3 2" xfId="36951"/>
    <cellStyle name="Normal 10 2 4 2 2 2 3 3 4" xfId="21155"/>
    <cellStyle name="Normal 10 2 4 2 2 2 3 3 4 2" xfId="43606"/>
    <cellStyle name="Normal 10 2 4 2 2 2 3 3 5" xfId="30319"/>
    <cellStyle name="Normal 10 2 4 2 2 2 3 4" xfId="8476"/>
    <cellStyle name="Normal 10 2 4 2 2 2 3 4 2" xfId="15188"/>
    <cellStyle name="Normal 10 2 4 2 2 2 3 4 2 2" xfId="38609"/>
    <cellStyle name="Normal 10 2 4 2 2 2 3 4 3" xfId="22031"/>
    <cellStyle name="Normal 10 2 4 2 2 2 3 4 3 2" xfId="44459"/>
    <cellStyle name="Normal 10 2 4 2 2 2 3 4 4" xfId="31977"/>
    <cellStyle name="Normal 10 2 4 2 2 2 3 5" xfId="11870"/>
    <cellStyle name="Normal 10 2 4 2 2 2 3 5 2" xfId="35293"/>
    <cellStyle name="Normal 10 2 4 2 2 2 3 6" xfId="19168"/>
    <cellStyle name="Normal 10 2 4 2 2 2 3 6 2" xfId="41725"/>
    <cellStyle name="Normal 10 2 4 2 2 2 3 7" xfId="28661"/>
    <cellStyle name="Normal 10 2 4 2 2 2 4" xfId="3819"/>
    <cellStyle name="Normal 10 2 4 2 2 2 4 2" xfId="6957"/>
    <cellStyle name="Normal 10 2 4 2 2 2 4 2 2" xfId="10289"/>
    <cellStyle name="Normal 10 2 4 2 2 2 4 2 2 2" xfId="16993"/>
    <cellStyle name="Normal 10 2 4 2 2 2 4 2 2 2 2" xfId="40414"/>
    <cellStyle name="Normal 10 2 4 2 2 2 4 2 2 3" xfId="33782"/>
    <cellStyle name="Normal 10 2 4 2 2 2 4 2 3" xfId="13677"/>
    <cellStyle name="Normal 10 2 4 2 2 2 4 2 3 2" xfId="37098"/>
    <cellStyle name="Normal 10 2 4 2 2 2 4 2 4" xfId="22451"/>
    <cellStyle name="Normal 10 2 4 2 2 2 4 2 4 2" xfId="44873"/>
    <cellStyle name="Normal 10 2 4 2 2 2 4 2 5" xfId="30466"/>
    <cellStyle name="Normal 10 2 4 2 2 2 4 3" xfId="8624"/>
    <cellStyle name="Normal 10 2 4 2 2 2 4 3 2" xfId="15335"/>
    <cellStyle name="Normal 10 2 4 2 2 2 4 3 2 2" xfId="38756"/>
    <cellStyle name="Normal 10 2 4 2 2 2 4 3 3" xfId="32124"/>
    <cellStyle name="Normal 10 2 4 2 2 2 4 4" xfId="12017"/>
    <cellStyle name="Normal 10 2 4 2 2 2 4 4 2" xfId="35440"/>
    <cellStyle name="Normal 10 2 4 2 2 2 4 5" xfId="19604"/>
    <cellStyle name="Normal 10 2 4 2 2 2 4 5 2" xfId="42141"/>
    <cellStyle name="Normal 10 2 4 2 2 2 4 6" xfId="28808"/>
    <cellStyle name="Normal 10 2 4 2 2 2 5" xfId="6337"/>
    <cellStyle name="Normal 10 2 4 2 2 2 5 2" xfId="9671"/>
    <cellStyle name="Normal 10 2 4 2 2 2 5 2 2" xfId="16375"/>
    <cellStyle name="Normal 10 2 4 2 2 2 5 2 2 2" xfId="39796"/>
    <cellStyle name="Normal 10 2 4 2 2 2 5 2 3" xfId="33164"/>
    <cellStyle name="Normal 10 2 4 2 2 2 5 3" xfId="13059"/>
    <cellStyle name="Normal 10 2 4 2 2 2 5 3 2" xfId="36480"/>
    <cellStyle name="Normal 10 2 4 2 2 2 5 4" xfId="20696"/>
    <cellStyle name="Normal 10 2 4 2 2 2 5 4 2" xfId="43147"/>
    <cellStyle name="Normal 10 2 4 2 2 2 5 5" xfId="29848"/>
    <cellStyle name="Normal 10 2 4 2 2 2 6" xfId="8003"/>
    <cellStyle name="Normal 10 2 4 2 2 2 6 2" xfId="14717"/>
    <cellStyle name="Normal 10 2 4 2 2 2 6 2 2" xfId="38138"/>
    <cellStyle name="Normal 10 2 4 2 2 2 6 3" xfId="21600"/>
    <cellStyle name="Normal 10 2 4 2 2 2 6 3 2" xfId="44049"/>
    <cellStyle name="Normal 10 2 4 2 2 2 6 4" xfId="31506"/>
    <cellStyle name="Normal 10 2 4 2 2 2 7" xfId="11399"/>
    <cellStyle name="Normal 10 2 4 2 2 2 7 2" xfId="34822"/>
    <cellStyle name="Normal 10 2 4 2 2 2 8" xfId="17963"/>
    <cellStyle name="Normal 10 2 4 2 2 2 8 2" xfId="41272"/>
    <cellStyle name="Normal 10 2 4 2 2 2 9" xfId="23531"/>
    <cellStyle name="Normal 10 2 4 2 2 2 9 2" xfId="45865"/>
    <cellStyle name="Normal 10 2 4 2 2 3" xfId="2209"/>
    <cellStyle name="Normal 10 2 4 2 2 3 2" xfId="5484"/>
    <cellStyle name="Normal 10 2 4 2 2 3 2 2" xfId="7310"/>
    <cellStyle name="Normal 10 2 4 2 2 3 2 2 2" xfId="10641"/>
    <cellStyle name="Normal 10 2 4 2 2 3 2 2 2 2" xfId="17345"/>
    <cellStyle name="Normal 10 2 4 2 2 3 2 2 2 2 2" xfId="40766"/>
    <cellStyle name="Normal 10 2 4 2 2 3 2 2 2 3" xfId="23057"/>
    <cellStyle name="Normal 10 2 4 2 2 3 2 2 2 3 2" xfId="45479"/>
    <cellStyle name="Normal 10 2 4 2 2 3 2 2 2 4" xfId="34134"/>
    <cellStyle name="Normal 10 2 4 2 2 3 2 2 3" xfId="14029"/>
    <cellStyle name="Normal 10 2 4 2 2 3 2 2 3 2" xfId="37450"/>
    <cellStyle name="Normal 10 2 4 2 2 3 2 2 4" xfId="20229"/>
    <cellStyle name="Normal 10 2 4 2 2 3 2 2 4 2" xfId="42764"/>
    <cellStyle name="Normal 10 2 4 2 2 3 2 2 5" xfId="30818"/>
    <cellStyle name="Normal 10 2 4 2 2 3 2 3" xfId="8983"/>
    <cellStyle name="Normal 10 2 4 2 2 3 2 3 2" xfId="15687"/>
    <cellStyle name="Normal 10 2 4 2 2 3 2 3 2 2" xfId="39108"/>
    <cellStyle name="Normal 10 2 4 2 2 3 2 3 3" xfId="21157"/>
    <cellStyle name="Normal 10 2 4 2 2 3 2 3 3 2" xfId="43608"/>
    <cellStyle name="Normal 10 2 4 2 2 3 2 3 4" xfId="32476"/>
    <cellStyle name="Normal 10 2 4 2 2 3 2 4" xfId="12371"/>
    <cellStyle name="Normal 10 2 4 2 2 3 2 4 2" xfId="22242"/>
    <cellStyle name="Normal 10 2 4 2 2 3 2 4 2 2" xfId="44664"/>
    <cellStyle name="Normal 10 2 4 2 2 3 2 4 3" xfId="35792"/>
    <cellStyle name="Normal 10 2 4 2 2 3 2 5" xfId="19390"/>
    <cellStyle name="Normal 10 2 4 2 2 3 2 5 2" xfId="41932"/>
    <cellStyle name="Normal 10 2 4 2 2 3 2 6" xfId="27862"/>
    <cellStyle name="Normal 10 2 4 2 2 3 2 6 2" xfId="50107"/>
    <cellStyle name="Normal 10 2 4 2 2 3 2 7" xfId="29160"/>
    <cellStyle name="Normal 10 2 4 2 2 3 3" xfId="6401"/>
    <cellStyle name="Normal 10 2 4 2 2 3 3 2" xfId="9735"/>
    <cellStyle name="Normal 10 2 4 2 2 3 3 2 2" xfId="16439"/>
    <cellStyle name="Normal 10 2 4 2 2 3 3 2 2 2" xfId="39860"/>
    <cellStyle name="Normal 10 2 4 2 2 3 3 2 3" xfId="22650"/>
    <cellStyle name="Normal 10 2 4 2 2 3 3 2 3 2" xfId="45072"/>
    <cellStyle name="Normal 10 2 4 2 2 3 3 2 4" xfId="33228"/>
    <cellStyle name="Normal 10 2 4 2 2 3 3 3" xfId="13123"/>
    <cellStyle name="Normal 10 2 4 2 2 3 3 3 2" xfId="36544"/>
    <cellStyle name="Normal 10 2 4 2 2 3 3 4" xfId="19813"/>
    <cellStyle name="Normal 10 2 4 2 2 3 3 4 2" xfId="42348"/>
    <cellStyle name="Normal 10 2 4 2 2 3 3 5" xfId="29912"/>
    <cellStyle name="Normal 10 2 4 2 2 3 4" xfId="8068"/>
    <cellStyle name="Normal 10 2 4 2 2 3 4 2" xfId="14781"/>
    <cellStyle name="Normal 10 2 4 2 2 3 4 2 2" xfId="38202"/>
    <cellStyle name="Normal 10 2 4 2 2 3 4 3" xfId="20698"/>
    <cellStyle name="Normal 10 2 4 2 2 3 4 3 2" xfId="43149"/>
    <cellStyle name="Normal 10 2 4 2 2 3 4 4" xfId="31570"/>
    <cellStyle name="Normal 10 2 4 2 2 3 5" xfId="11463"/>
    <cellStyle name="Normal 10 2 4 2 2 3 5 2" xfId="21808"/>
    <cellStyle name="Normal 10 2 4 2 2 3 5 2 2" xfId="44250"/>
    <cellStyle name="Normal 10 2 4 2 2 3 5 3" xfId="34886"/>
    <cellStyle name="Normal 10 2 4 2 2 3 6" xfId="18563"/>
    <cellStyle name="Normal 10 2 4 2 2 3 6 2" xfId="41507"/>
    <cellStyle name="Normal 10 2 4 2 2 3 7" xfId="25557"/>
    <cellStyle name="Normal 10 2 4 2 2 3 7 2" xfId="47802"/>
    <cellStyle name="Normal 10 2 4 2 2 3 8" xfId="28254"/>
    <cellStyle name="Normal 10 2 4 2 2 4" xfId="2703"/>
    <cellStyle name="Normal 10 2 4 2 2 4 2" xfId="5796"/>
    <cellStyle name="Normal 10 2 4 2 2 4 2 2" xfId="7578"/>
    <cellStyle name="Normal 10 2 4 2 2 4 2 2 2" xfId="10907"/>
    <cellStyle name="Normal 10 2 4 2 2 4 2 2 2 2" xfId="17611"/>
    <cellStyle name="Normal 10 2 4 2 2 4 2 2 2 2 2" xfId="41032"/>
    <cellStyle name="Normal 10 2 4 2 2 4 2 2 2 3" xfId="34400"/>
    <cellStyle name="Normal 10 2 4 2 2 4 2 2 3" xfId="14295"/>
    <cellStyle name="Normal 10 2 4 2 2 4 2 2 3 2" xfId="37716"/>
    <cellStyle name="Normal 10 2 4 2 2 4 2 2 4" xfId="22857"/>
    <cellStyle name="Normal 10 2 4 2 2 4 2 2 4 2" xfId="45279"/>
    <cellStyle name="Normal 10 2 4 2 2 4 2 2 5" xfId="31084"/>
    <cellStyle name="Normal 10 2 4 2 2 4 2 3" xfId="9249"/>
    <cellStyle name="Normal 10 2 4 2 2 4 2 3 2" xfId="15953"/>
    <cellStyle name="Normal 10 2 4 2 2 4 2 3 2 2" xfId="39374"/>
    <cellStyle name="Normal 10 2 4 2 2 4 2 3 3" xfId="32742"/>
    <cellStyle name="Normal 10 2 4 2 2 4 2 4" xfId="12637"/>
    <cellStyle name="Normal 10 2 4 2 2 4 2 4 2" xfId="36058"/>
    <cellStyle name="Normal 10 2 4 2 2 4 2 5" xfId="20021"/>
    <cellStyle name="Normal 10 2 4 2 2 4 2 5 2" xfId="42556"/>
    <cellStyle name="Normal 10 2 4 2 2 4 2 6" xfId="29426"/>
    <cellStyle name="Normal 10 2 4 2 2 4 3" xfId="6679"/>
    <cellStyle name="Normal 10 2 4 2 2 4 3 2" xfId="10011"/>
    <cellStyle name="Normal 10 2 4 2 2 4 3 2 2" xfId="16715"/>
    <cellStyle name="Normal 10 2 4 2 2 4 3 2 2 2" xfId="40136"/>
    <cellStyle name="Normal 10 2 4 2 2 4 3 2 3" xfId="33504"/>
    <cellStyle name="Normal 10 2 4 2 2 4 3 3" xfId="13399"/>
    <cellStyle name="Normal 10 2 4 2 2 4 3 3 2" xfId="36820"/>
    <cellStyle name="Normal 10 2 4 2 2 4 3 4" xfId="21154"/>
    <cellStyle name="Normal 10 2 4 2 2 4 3 4 2" xfId="43605"/>
    <cellStyle name="Normal 10 2 4 2 2 4 3 5" xfId="30188"/>
    <cellStyle name="Normal 10 2 4 2 2 4 4" xfId="8345"/>
    <cellStyle name="Normal 10 2 4 2 2 4 4 2" xfId="15057"/>
    <cellStyle name="Normal 10 2 4 2 2 4 4 2 2" xfId="38478"/>
    <cellStyle name="Normal 10 2 4 2 2 4 4 3" xfId="22030"/>
    <cellStyle name="Normal 10 2 4 2 2 4 4 3 2" xfId="44458"/>
    <cellStyle name="Normal 10 2 4 2 2 4 4 4" xfId="31846"/>
    <cellStyle name="Normal 10 2 4 2 2 4 5" xfId="11739"/>
    <cellStyle name="Normal 10 2 4 2 2 4 5 2" xfId="35162"/>
    <cellStyle name="Normal 10 2 4 2 2 4 6" xfId="19167"/>
    <cellStyle name="Normal 10 2 4 2 2 4 6 2" xfId="41724"/>
    <cellStyle name="Normal 10 2 4 2 2 4 7" xfId="25807"/>
    <cellStyle name="Normal 10 2 4 2 2 4 7 2" xfId="48052"/>
    <cellStyle name="Normal 10 2 4 2 2 4 8" xfId="28530"/>
    <cellStyle name="Normal 10 2 4 2 2 5" xfId="3818"/>
    <cellStyle name="Normal 10 2 4 2 2 5 2" xfId="6956"/>
    <cellStyle name="Normal 10 2 4 2 2 5 2 2" xfId="10288"/>
    <cellStyle name="Normal 10 2 4 2 2 5 2 2 2" xfId="16992"/>
    <cellStyle name="Normal 10 2 4 2 2 5 2 2 2 2" xfId="40413"/>
    <cellStyle name="Normal 10 2 4 2 2 5 2 2 3" xfId="33781"/>
    <cellStyle name="Normal 10 2 4 2 2 5 2 3" xfId="13676"/>
    <cellStyle name="Normal 10 2 4 2 2 5 2 3 2" xfId="37097"/>
    <cellStyle name="Normal 10 2 4 2 2 5 2 4" xfId="22450"/>
    <cellStyle name="Normal 10 2 4 2 2 5 2 4 2" xfId="44872"/>
    <cellStyle name="Normal 10 2 4 2 2 5 2 5" xfId="30465"/>
    <cellStyle name="Normal 10 2 4 2 2 5 3" xfId="8623"/>
    <cellStyle name="Normal 10 2 4 2 2 5 3 2" xfId="15334"/>
    <cellStyle name="Normal 10 2 4 2 2 5 3 2 2" xfId="38755"/>
    <cellStyle name="Normal 10 2 4 2 2 5 3 3" xfId="32123"/>
    <cellStyle name="Normal 10 2 4 2 2 5 4" xfId="12016"/>
    <cellStyle name="Normal 10 2 4 2 2 5 4 2" xfId="35439"/>
    <cellStyle name="Normal 10 2 4 2 2 5 5" xfId="19603"/>
    <cellStyle name="Normal 10 2 4 2 2 5 5 2" xfId="42140"/>
    <cellStyle name="Normal 10 2 4 2 2 5 6" xfId="28807"/>
    <cellStyle name="Normal 10 2 4 2 2 6" xfId="6206"/>
    <cellStyle name="Normal 10 2 4 2 2 6 2" xfId="9540"/>
    <cellStyle name="Normal 10 2 4 2 2 6 2 2" xfId="16244"/>
    <cellStyle name="Normal 10 2 4 2 2 6 2 2 2" xfId="39665"/>
    <cellStyle name="Normal 10 2 4 2 2 6 2 3" xfId="33033"/>
    <cellStyle name="Normal 10 2 4 2 2 6 3" xfId="12928"/>
    <cellStyle name="Normal 10 2 4 2 2 6 3 2" xfId="36349"/>
    <cellStyle name="Normal 10 2 4 2 2 6 4" xfId="20695"/>
    <cellStyle name="Normal 10 2 4 2 2 6 4 2" xfId="43146"/>
    <cellStyle name="Normal 10 2 4 2 2 6 5" xfId="29717"/>
    <cellStyle name="Normal 10 2 4 2 2 7" xfId="7872"/>
    <cellStyle name="Normal 10 2 4 2 2 7 2" xfId="14586"/>
    <cellStyle name="Normal 10 2 4 2 2 7 2 2" xfId="38007"/>
    <cellStyle name="Normal 10 2 4 2 2 7 3" xfId="21599"/>
    <cellStyle name="Normal 10 2 4 2 2 7 3 2" xfId="44048"/>
    <cellStyle name="Normal 10 2 4 2 2 7 4" xfId="31375"/>
    <cellStyle name="Normal 10 2 4 2 2 8" xfId="11268"/>
    <cellStyle name="Normal 10 2 4 2 2 8 2" xfId="34691"/>
    <cellStyle name="Normal 10 2 4 2 2 9" xfId="17962"/>
    <cellStyle name="Normal 10 2 4 2 2 9 2" xfId="41271"/>
    <cellStyle name="Normal 10 2 4 2 3" xfId="1797"/>
    <cellStyle name="Normal 10 2 4 2 3 10" xfId="28149"/>
    <cellStyle name="Normal 10 2 4 2 3 2" xfId="2211"/>
    <cellStyle name="Normal 10 2 4 2 3 2 2" xfId="5486"/>
    <cellStyle name="Normal 10 2 4 2 3 2 2 2" xfId="7312"/>
    <cellStyle name="Normal 10 2 4 2 3 2 2 2 2" xfId="10643"/>
    <cellStyle name="Normal 10 2 4 2 3 2 2 2 2 2" xfId="17347"/>
    <cellStyle name="Normal 10 2 4 2 3 2 2 2 2 2 2" xfId="40768"/>
    <cellStyle name="Normal 10 2 4 2 3 2 2 2 2 3" xfId="23059"/>
    <cellStyle name="Normal 10 2 4 2 3 2 2 2 2 3 2" xfId="45481"/>
    <cellStyle name="Normal 10 2 4 2 3 2 2 2 2 4" xfId="34136"/>
    <cellStyle name="Normal 10 2 4 2 3 2 2 2 3" xfId="14031"/>
    <cellStyle name="Normal 10 2 4 2 3 2 2 2 3 2" xfId="37452"/>
    <cellStyle name="Normal 10 2 4 2 3 2 2 2 4" xfId="20231"/>
    <cellStyle name="Normal 10 2 4 2 3 2 2 2 4 2" xfId="42766"/>
    <cellStyle name="Normal 10 2 4 2 3 2 2 2 5" xfId="30820"/>
    <cellStyle name="Normal 10 2 4 2 3 2 2 3" xfId="8985"/>
    <cellStyle name="Normal 10 2 4 2 3 2 2 3 2" xfId="15689"/>
    <cellStyle name="Normal 10 2 4 2 3 2 2 3 2 2" xfId="39110"/>
    <cellStyle name="Normal 10 2 4 2 3 2 2 3 3" xfId="21159"/>
    <cellStyle name="Normal 10 2 4 2 3 2 2 3 3 2" xfId="43610"/>
    <cellStyle name="Normal 10 2 4 2 3 2 2 3 4" xfId="32478"/>
    <cellStyle name="Normal 10 2 4 2 3 2 2 4" xfId="12373"/>
    <cellStyle name="Normal 10 2 4 2 3 2 2 4 2" xfId="22244"/>
    <cellStyle name="Normal 10 2 4 2 3 2 2 4 2 2" xfId="44666"/>
    <cellStyle name="Normal 10 2 4 2 3 2 2 4 3" xfId="35794"/>
    <cellStyle name="Normal 10 2 4 2 3 2 2 5" xfId="19392"/>
    <cellStyle name="Normal 10 2 4 2 3 2 2 5 2" xfId="41934"/>
    <cellStyle name="Normal 10 2 4 2 3 2 2 6" xfId="29162"/>
    <cellStyle name="Normal 10 2 4 2 3 2 3" xfId="6403"/>
    <cellStyle name="Normal 10 2 4 2 3 2 3 2" xfId="9737"/>
    <cellStyle name="Normal 10 2 4 2 3 2 3 2 2" xfId="16441"/>
    <cellStyle name="Normal 10 2 4 2 3 2 3 2 2 2" xfId="39862"/>
    <cellStyle name="Normal 10 2 4 2 3 2 3 2 3" xfId="22652"/>
    <cellStyle name="Normal 10 2 4 2 3 2 3 2 3 2" xfId="45074"/>
    <cellStyle name="Normal 10 2 4 2 3 2 3 2 4" xfId="33230"/>
    <cellStyle name="Normal 10 2 4 2 3 2 3 3" xfId="13125"/>
    <cellStyle name="Normal 10 2 4 2 3 2 3 3 2" xfId="36546"/>
    <cellStyle name="Normal 10 2 4 2 3 2 3 4" xfId="19815"/>
    <cellStyle name="Normal 10 2 4 2 3 2 3 4 2" xfId="42350"/>
    <cellStyle name="Normal 10 2 4 2 3 2 3 5" xfId="29914"/>
    <cellStyle name="Normal 10 2 4 2 3 2 4" xfId="8070"/>
    <cellStyle name="Normal 10 2 4 2 3 2 4 2" xfId="14783"/>
    <cellStyle name="Normal 10 2 4 2 3 2 4 2 2" xfId="38204"/>
    <cellStyle name="Normal 10 2 4 2 3 2 4 3" xfId="20700"/>
    <cellStyle name="Normal 10 2 4 2 3 2 4 3 2" xfId="43151"/>
    <cellStyle name="Normal 10 2 4 2 3 2 4 4" xfId="31572"/>
    <cellStyle name="Normal 10 2 4 2 3 2 5" xfId="11465"/>
    <cellStyle name="Normal 10 2 4 2 3 2 5 2" xfId="21810"/>
    <cellStyle name="Normal 10 2 4 2 3 2 5 2 2" xfId="44252"/>
    <cellStyle name="Normal 10 2 4 2 3 2 5 3" xfId="34888"/>
    <cellStyle name="Normal 10 2 4 2 3 2 6" xfId="18565"/>
    <cellStyle name="Normal 10 2 4 2 3 2 6 2" xfId="41509"/>
    <cellStyle name="Normal 10 2 4 2 3 2 7" xfId="25809"/>
    <cellStyle name="Normal 10 2 4 2 3 2 7 2" xfId="48054"/>
    <cellStyle name="Normal 10 2 4 2 3 2 8" xfId="28256"/>
    <cellStyle name="Normal 10 2 4 2 3 3" xfId="2794"/>
    <cellStyle name="Normal 10 2 4 2 3 3 2" xfId="5886"/>
    <cellStyle name="Normal 10 2 4 2 3 3 2 2" xfId="7668"/>
    <cellStyle name="Normal 10 2 4 2 3 3 2 2 2" xfId="10997"/>
    <cellStyle name="Normal 10 2 4 2 3 3 2 2 2 2" xfId="17701"/>
    <cellStyle name="Normal 10 2 4 2 3 3 2 2 2 2 2" xfId="41122"/>
    <cellStyle name="Normal 10 2 4 2 3 3 2 2 2 3" xfId="34490"/>
    <cellStyle name="Normal 10 2 4 2 3 3 2 2 3" xfId="14385"/>
    <cellStyle name="Normal 10 2 4 2 3 3 2 2 3 2" xfId="37806"/>
    <cellStyle name="Normal 10 2 4 2 3 3 2 2 4" xfId="22859"/>
    <cellStyle name="Normal 10 2 4 2 3 3 2 2 4 2" xfId="45281"/>
    <cellStyle name="Normal 10 2 4 2 3 3 2 2 5" xfId="31174"/>
    <cellStyle name="Normal 10 2 4 2 3 3 2 3" xfId="9339"/>
    <cellStyle name="Normal 10 2 4 2 3 3 2 3 2" xfId="16043"/>
    <cellStyle name="Normal 10 2 4 2 3 3 2 3 2 2" xfId="39464"/>
    <cellStyle name="Normal 10 2 4 2 3 3 2 3 3" xfId="32832"/>
    <cellStyle name="Normal 10 2 4 2 3 3 2 4" xfId="12727"/>
    <cellStyle name="Normal 10 2 4 2 3 3 2 4 2" xfId="36148"/>
    <cellStyle name="Normal 10 2 4 2 3 3 2 5" xfId="20023"/>
    <cellStyle name="Normal 10 2 4 2 3 3 2 5 2" xfId="42558"/>
    <cellStyle name="Normal 10 2 4 2 3 3 2 6" xfId="29516"/>
    <cellStyle name="Normal 10 2 4 2 3 3 3" xfId="6769"/>
    <cellStyle name="Normal 10 2 4 2 3 3 3 2" xfId="10101"/>
    <cellStyle name="Normal 10 2 4 2 3 3 3 2 2" xfId="16805"/>
    <cellStyle name="Normal 10 2 4 2 3 3 3 2 2 2" xfId="40226"/>
    <cellStyle name="Normal 10 2 4 2 3 3 3 2 3" xfId="33594"/>
    <cellStyle name="Normal 10 2 4 2 3 3 3 3" xfId="13489"/>
    <cellStyle name="Normal 10 2 4 2 3 3 3 3 2" xfId="36910"/>
    <cellStyle name="Normal 10 2 4 2 3 3 3 4" xfId="21158"/>
    <cellStyle name="Normal 10 2 4 2 3 3 3 4 2" xfId="43609"/>
    <cellStyle name="Normal 10 2 4 2 3 3 3 5" xfId="30278"/>
    <cellStyle name="Normal 10 2 4 2 3 3 4" xfId="8435"/>
    <cellStyle name="Normal 10 2 4 2 3 3 4 2" xfId="15147"/>
    <cellStyle name="Normal 10 2 4 2 3 3 4 2 2" xfId="38568"/>
    <cellStyle name="Normal 10 2 4 2 3 3 4 3" xfId="22032"/>
    <cellStyle name="Normal 10 2 4 2 3 3 4 3 2" xfId="44460"/>
    <cellStyle name="Normal 10 2 4 2 3 3 4 4" xfId="31936"/>
    <cellStyle name="Normal 10 2 4 2 3 3 5" xfId="11829"/>
    <cellStyle name="Normal 10 2 4 2 3 3 5 2" xfId="35252"/>
    <cellStyle name="Normal 10 2 4 2 3 3 6" xfId="19169"/>
    <cellStyle name="Normal 10 2 4 2 3 3 6 2" xfId="41726"/>
    <cellStyle name="Normal 10 2 4 2 3 3 7" xfId="28620"/>
    <cellStyle name="Normal 10 2 4 2 3 4" xfId="3820"/>
    <cellStyle name="Normal 10 2 4 2 3 4 2" xfId="6958"/>
    <cellStyle name="Normal 10 2 4 2 3 4 2 2" xfId="10290"/>
    <cellStyle name="Normal 10 2 4 2 3 4 2 2 2" xfId="16994"/>
    <cellStyle name="Normal 10 2 4 2 3 4 2 2 2 2" xfId="40415"/>
    <cellStyle name="Normal 10 2 4 2 3 4 2 2 3" xfId="33783"/>
    <cellStyle name="Normal 10 2 4 2 3 4 2 3" xfId="13678"/>
    <cellStyle name="Normal 10 2 4 2 3 4 2 3 2" xfId="37099"/>
    <cellStyle name="Normal 10 2 4 2 3 4 2 4" xfId="22452"/>
    <cellStyle name="Normal 10 2 4 2 3 4 2 4 2" xfId="44874"/>
    <cellStyle name="Normal 10 2 4 2 3 4 2 5" xfId="30467"/>
    <cellStyle name="Normal 10 2 4 2 3 4 3" xfId="8625"/>
    <cellStyle name="Normal 10 2 4 2 3 4 3 2" xfId="15336"/>
    <cellStyle name="Normal 10 2 4 2 3 4 3 2 2" xfId="38757"/>
    <cellStyle name="Normal 10 2 4 2 3 4 3 3" xfId="32125"/>
    <cellStyle name="Normal 10 2 4 2 3 4 4" xfId="12018"/>
    <cellStyle name="Normal 10 2 4 2 3 4 4 2" xfId="35441"/>
    <cellStyle name="Normal 10 2 4 2 3 4 5" xfId="19605"/>
    <cellStyle name="Normal 10 2 4 2 3 4 5 2" xfId="42142"/>
    <cellStyle name="Normal 10 2 4 2 3 4 6" xfId="28809"/>
    <cellStyle name="Normal 10 2 4 2 3 5" xfId="6296"/>
    <cellStyle name="Normal 10 2 4 2 3 5 2" xfId="9630"/>
    <cellStyle name="Normal 10 2 4 2 3 5 2 2" xfId="16334"/>
    <cellStyle name="Normal 10 2 4 2 3 5 2 2 2" xfId="39755"/>
    <cellStyle name="Normal 10 2 4 2 3 5 2 3" xfId="33123"/>
    <cellStyle name="Normal 10 2 4 2 3 5 3" xfId="13018"/>
    <cellStyle name="Normal 10 2 4 2 3 5 3 2" xfId="36439"/>
    <cellStyle name="Normal 10 2 4 2 3 5 4" xfId="20699"/>
    <cellStyle name="Normal 10 2 4 2 3 5 4 2" xfId="43150"/>
    <cellStyle name="Normal 10 2 4 2 3 5 5" xfId="29807"/>
    <cellStyle name="Normal 10 2 4 2 3 6" xfId="7962"/>
    <cellStyle name="Normal 10 2 4 2 3 6 2" xfId="14676"/>
    <cellStyle name="Normal 10 2 4 2 3 6 2 2" xfId="38097"/>
    <cellStyle name="Normal 10 2 4 2 3 6 3" xfId="21601"/>
    <cellStyle name="Normal 10 2 4 2 3 6 3 2" xfId="44050"/>
    <cellStyle name="Normal 10 2 4 2 3 6 4" xfId="31465"/>
    <cellStyle name="Normal 10 2 4 2 3 7" xfId="11358"/>
    <cellStyle name="Normal 10 2 4 2 3 7 2" xfId="34781"/>
    <cellStyle name="Normal 10 2 4 2 3 8" xfId="17964"/>
    <cellStyle name="Normal 10 2 4 2 3 8 2" xfId="41273"/>
    <cellStyle name="Normal 10 2 4 2 3 9" xfId="23532"/>
    <cellStyle name="Normal 10 2 4 2 3 9 2" xfId="45866"/>
    <cellStyle name="Normal 10 2 4 2 4" xfId="2208"/>
    <cellStyle name="Normal 10 2 4 2 4 2" xfId="5483"/>
    <cellStyle name="Normal 10 2 4 2 4 2 2" xfId="7309"/>
    <cellStyle name="Normal 10 2 4 2 4 2 2 2" xfId="10640"/>
    <cellStyle name="Normal 10 2 4 2 4 2 2 2 2" xfId="17344"/>
    <cellStyle name="Normal 10 2 4 2 4 2 2 2 2 2" xfId="40765"/>
    <cellStyle name="Normal 10 2 4 2 4 2 2 2 3" xfId="23056"/>
    <cellStyle name="Normal 10 2 4 2 4 2 2 2 3 2" xfId="45478"/>
    <cellStyle name="Normal 10 2 4 2 4 2 2 2 4" xfId="34133"/>
    <cellStyle name="Normal 10 2 4 2 4 2 2 3" xfId="14028"/>
    <cellStyle name="Normal 10 2 4 2 4 2 2 3 2" xfId="37449"/>
    <cellStyle name="Normal 10 2 4 2 4 2 2 4" xfId="20228"/>
    <cellStyle name="Normal 10 2 4 2 4 2 2 4 2" xfId="42763"/>
    <cellStyle name="Normal 10 2 4 2 4 2 2 5" xfId="30817"/>
    <cellStyle name="Normal 10 2 4 2 4 2 3" xfId="8982"/>
    <cellStyle name="Normal 10 2 4 2 4 2 3 2" xfId="15686"/>
    <cellStyle name="Normal 10 2 4 2 4 2 3 2 2" xfId="39107"/>
    <cellStyle name="Normal 10 2 4 2 4 2 3 3" xfId="21160"/>
    <cellStyle name="Normal 10 2 4 2 4 2 3 3 2" xfId="43611"/>
    <cellStyle name="Normal 10 2 4 2 4 2 3 4" xfId="32475"/>
    <cellStyle name="Normal 10 2 4 2 4 2 4" xfId="12370"/>
    <cellStyle name="Normal 10 2 4 2 4 2 4 2" xfId="22241"/>
    <cellStyle name="Normal 10 2 4 2 4 2 4 2 2" xfId="44663"/>
    <cellStyle name="Normal 10 2 4 2 4 2 4 3" xfId="35791"/>
    <cellStyle name="Normal 10 2 4 2 4 2 5" xfId="19389"/>
    <cellStyle name="Normal 10 2 4 2 4 2 5 2" xfId="41931"/>
    <cellStyle name="Normal 10 2 4 2 4 2 6" xfId="27526"/>
    <cellStyle name="Normal 10 2 4 2 4 2 6 2" xfId="49771"/>
    <cellStyle name="Normal 10 2 4 2 4 2 7" xfId="29159"/>
    <cellStyle name="Normal 10 2 4 2 4 3" xfId="6400"/>
    <cellStyle name="Normal 10 2 4 2 4 3 2" xfId="9734"/>
    <cellStyle name="Normal 10 2 4 2 4 3 2 2" xfId="16438"/>
    <cellStyle name="Normal 10 2 4 2 4 3 2 2 2" xfId="39859"/>
    <cellStyle name="Normal 10 2 4 2 4 3 2 3" xfId="22649"/>
    <cellStyle name="Normal 10 2 4 2 4 3 2 3 2" xfId="45071"/>
    <cellStyle name="Normal 10 2 4 2 4 3 2 4" xfId="33227"/>
    <cellStyle name="Normal 10 2 4 2 4 3 3" xfId="13122"/>
    <cellStyle name="Normal 10 2 4 2 4 3 3 2" xfId="36543"/>
    <cellStyle name="Normal 10 2 4 2 4 3 4" xfId="19812"/>
    <cellStyle name="Normal 10 2 4 2 4 3 4 2" xfId="42347"/>
    <cellStyle name="Normal 10 2 4 2 4 3 5" xfId="29911"/>
    <cellStyle name="Normal 10 2 4 2 4 4" xfId="8067"/>
    <cellStyle name="Normal 10 2 4 2 4 4 2" xfId="14780"/>
    <cellStyle name="Normal 10 2 4 2 4 4 2 2" xfId="38201"/>
    <cellStyle name="Normal 10 2 4 2 4 4 3" xfId="20701"/>
    <cellStyle name="Normal 10 2 4 2 4 4 3 2" xfId="43152"/>
    <cellStyle name="Normal 10 2 4 2 4 4 4" xfId="31569"/>
    <cellStyle name="Normal 10 2 4 2 4 5" xfId="11462"/>
    <cellStyle name="Normal 10 2 4 2 4 5 2" xfId="21807"/>
    <cellStyle name="Normal 10 2 4 2 4 5 2 2" xfId="44249"/>
    <cellStyle name="Normal 10 2 4 2 4 5 3" xfId="34885"/>
    <cellStyle name="Normal 10 2 4 2 4 6" xfId="18562"/>
    <cellStyle name="Normal 10 2 4 2 4 6 2" xfId="41506"/>
    <cellStyle name="Normal 10 2 4 2 4 7" xfId="25221"/>
    <cellStyle name="Normal 10 2 4 2 4 7 2" xfId="47466"/>
    <cellStyle name="Normal 10 2 4 2 4 8" xfId="28253"/>
    <cellStyle name="Normal 10 2 4 2 5" xfId="2662"/>
    <cellStyle name="Normal 10 2 4 2 5 2" xfId="5755"/>
    <cellStyle name="Normal 10 2 4 2 5 2 2" xfId="7537"/>
    <cellStyle name="Normal 10 2 4 2 5 2 2 2" xfId="10866"/>
    <cellStyle name="Normal 10 2 4 2 5 2 2 2 2" xfId="17570"/>
    <cellStyle name="Normal 10 2 4 2 5 2 2 2 2 2" xfId="40991"/>
    <cellStyle name="Normal 10 2 4 2 5 2 2 2 3" xfId="34359"/>
    <cellStyle name="Normal 10 2 4 2 5 2 2 3" xfId="14254"/>
    <cellStyle name="Normal 10 2 4 2 5 2 2 3 2" xfId="37675"/>
    <cellStyle name="Normal 10 2 4 2 5 2 2 4" xfId="20617"/>
    <cellStyle name="Normal 10 2 4 2 5 2 2 4 2" xfId="43068"/>
    <cellStyle name="Normal 10 2 4 2 5 2 2 5" xfId="31043"/>
    <cellStyle name="Normal 10 2 4 2 5 2 3" xfId="9208"/>
    <cellStyle name="Normal 10 2 4 2 5 2 3 2" xfId="15912"/>
    <cellStyle name="Normal 10 2 4 2 5 2 3 2 2" xfId="39333"/>
    <cellStyle name="Normal 10 2 4 2 5 2 3 3" xfId="21535"/>
    <cellStyle name="Normal 10 2 4 2 5 2 3 3 2" xfId="43986"/>
    <cellStyle name="Normal 10 2 4 2 5 2 3 4" xfId="32701"/>
    <cellStyle name="Normal 10 2 4 2 5 2 4" xfId="12596"/>
    <cellStyle name="Normal 10 2 4 2 5 2 4 2" xfId="22856"/>
    <cellStyle name="Normal 10 2 4 2 5 2 4 2 2" xfId="45278"/>
    <cellStyle name="Normal 10 2 4 2 5 2 4 3" xfId="36017"/>
    <cellStyle name="Normal 10 2 4 2 5 2 5" xfId="20020"/>
    <cellStyle name="Normal 10 2 4 2 5 2 5 2" xfId="42555"/>
    <cellStyle name="Normal 10 2 4 2 5 2 6" xfId="29385"/>
    <cellStyle name="Normal 10 2 4 2 5 3" xfId="6638"/>
    <cellStyle name="Normal 10 2 4 2 5 3 2" xfId="9970"/>
    <cellStyle name="Normal 10 2 4 2 5 3 2 2" xfId="16674"/>
    <cellStyle name="Normal 10 2 4 2 5 3 2 2 2" xfId="40095"/>
    <cellStyle name="Normal 10 2 4 2 5 3 2 3" xfId="33463"/>
    <cellStyle name="Normal 10 2 4 2 5 3 3" xfId="13358"/>
    <cellStyle name="Normal 10 2 4 2 5 3 3 2" xfId="36779"/>
    <cellStyle name="Normal 10 2 4 2 5 3 4" xfId="20519"/>
    <cellStyle name="Normal 10 2 4 2 5 3 4 2" xfId="42972"/>
    <cellStyle name="Normal 10 2 4 2 5 3 5" xfId="30147"/>
    <cellStyle name="Normal 10 2 4 2 5 4" xfId="8304"/>
    <cellStyle name="Normal 10 2 4 2 5 4 2" xfId="15016"/>
    <cellStyle name="Normal 10 2 4 2 5 4 2 2" xfId="38437"/>
    <cellStyle name="Normal 10 2 4 2 5 4 3" xfId="21076"/>
    <cellStyle name="Normal 10 2 4 2 5 4 3 2" xfId="43527"/>
    <cellStyle name="Normal 10 2 4 2 5 4 4" xfId="31805"/>
    <cellStyle name="Normal 10 2 4 2 5 5" xfId="11698"/>
    <cellStyle name="Normal 10 2 4 2 5 5 2" xfId="22029"/>
    <cellStyle name="Normal 10 2 4 2 5 5 2 2" xfId="44457"/>
    <cellStyle name="Normal 10 2 4 2 5 5 3" xfId="35121"/>
    <cellStyle name="Normal 10 2 4 2 5 6" xfId="19166"/>
    <cellStyle name="Normal 10 2 4 2 5 6 2" xfId="41723"/>
    <cellStyle name="Normal 10 2 4 2 5 7" xfId="25806"/>
    <cellStyle name="Normal 10 2 4 2 5 7 2" xfId="48051"/>
    <cellStyle name="Normal 10 2 4 2 5 8" xfId="28489"/>
    <cellStyle name="Normal 10 2 4 2 6" xfId="3817"/>
    <cellStyle name="Normal 10 2 4 2 6 2" xfId="6955"/>
    <cellStyle name="Normal 10 2 4 2 6 2 2" xfId="10287"/>
    <cellStyle name="Normal 10 2 4 2 6 2 2 2" xfId="16991"/>
    <cellStyle name="Normal 10 2 4 2 6 2 2 2 2" xfId="40412"/>
    <cellStyle name="Normal 10 2 4 2 6 2 2 3" xfId="33780"/>
    <cellStyle name="Normal 10 2 4 2 6 2 3" xfId="13675"/>
    <cellStyle name="Normal 10 2 4 2 6 2 3 2" xfId="37096"/>
    <cellStyle name="Normal 10 2 4 2 6 2 4" xfId="20568"/>
    <cellStyle name="Normal 10 2 4 2 6 2 4 2" xfId="43021"/>
    <cellStyle name="Normal 10 2 4 2 6 2 5" xfId="30464"/>
    <cellStyle name="Normal 10 2 4 2 6 3" xfId="8622"/>
    <cellStyle name="Normal 10 2 4 2 6 3 2" xfId="15333"/>
    <cellStyle name="Normal 10 2 4 2 6 3 2 2" xfId="38754"/>
    <cellStyle name="Normal 10 2 4 2 6 3 3" xfId="21153"/>
    <cellStyle name="Normal 10 2 4 2 6 3 3 2" xfId="43604"/>
    <cellStyle name="Normal 10 2 4 2 6 3 4" xfId="32122"/>
    <cellStyle name="Normal 10 2 4 2 6 4" xfId="12015"/>
    <cellStyle name="Normal 10 2 4 2 6 4 2" xfId="22449"/>
    <cellStyle name="Normal 10 2 4 2 6 4 2 2" xfId="44871"/>
    <cellStyle name="Normal 10 2 4 2 6 4 3" xfId="35438"/>
    <cellStyle name="Normal 10 2 4 2 6 5" xfId="19602"/>
    <cellStyle name="Normal 10 2 4 2 6 5 2" xfId="42139"/>
    <cellStyle name="Normal 10 2 4 2 6 6" xfId="28806"/>
    <cellStyle name="Normal 10 2 4 2 7" xfId="6165"/>
    <cellStyle name="Normal 10 2 4 2 7 2" xfId="9499"/>
    <cellStyle name="Normal 10 2 4 2 7 2 2" xfId="16203"/>
    <cellStyle name="Normal 10 2 4 2 7 2 2 2" xfId="39624"/>
    <cellStyle name="Normal 10 2 4 2 7 2 3" xfId="32992"/>
    <cellStyle name="Normal 10 2 4 2 7 3" xfId="12887"/>
    <cellStyle name="Normal 10 2 4 2 7 3 2" xfId="36308"/>
    <cellStyle name="Normal 10 2 4 2 7 4" xfId="18337"/>
    <cellStyle name="Normal 10 2 4 2 7 4 2" xfId="41470"/>
    <cellStyle name="Normal 10 2 4 2 7 5" xfId="29676"/>
    <cellStyle name="Normal 10 2 4 2 8" xfId="7831"/>
    <cellStyle name="Normal 10 2 4 2 8 2" xfId="14545"/>
    <cellStyle name="Normal 10 2 4 2 8 2 2" xfId="37966"/>
    <cellStyle name="Normal 10 2 4 2 8 3" xfId="20694"/>
    <cellStyle name="Normal 10 2 4 2 8 3 2" xfId="43145"/>
    <cellStyle name="Normal 10 2 4 2 8 4" xfId="31334"/>
    <cellStyle name="Normal 10 2 4 2 9" xfId="11227"/>
    <cellStyle name="Normal 10 2 4 2 9 2" xfId="21598"/>
    <cellStyle name="Normal 10 2 4 2 9 2 2" xfId="44047"/>
    <cellStyle name="Normal 10 2 4 2 9 3" xfId="34650"/>
    <cellStyle name="Normal 10 2 4 3" xfId="1615"/>
    <cellStyle name="Normal 10 2 4 3 10" xfId="23533"/>
    <cellStyle name="Normal 10 2 4 3 10 2" xfId="45867"/>
    <cellStyle name="Normal 10 2 4 3 11" xfId="28058"/>
    <cellStyle name="Normal 10 2 4 3 2" xfId="1837"/>
    <cellStyle name="Normal 10 2 4 3 2 10" xfId="28189"/>
    <cellStyle name="Normal 10 2 4 3 2 2" xfId="2213"/>
    <cellStyle name="Normal 10 2 4 3 2 2 2" xfId="5488"/>
    <cellStyle name="Normal 10 2 4 3 2 2 2 2" xfId="7314"/>
    <cellStyle name="Normal 10 2 4 3 2 2 2 2 2" xfId="10645"/>
    <cellStyle name="Normal 10 2 4 3 2 2 2 2 2 2" xfId="17349"/>
    <cellStyle name="Normal 10 2 4 3 2 2 2 2 2 2 2" xfId="40770"/>
    <cellStyle name="Normal 10 2 4 3 2 2 2 2 2 3" xfId="23061"/>
    <cellStyle name="Normal 10 2 4 3 2 2 2 2 2 3 2" xfId="45483"/>
    <cellStyle name="Normal 10 2 4 3 2 2 2 2 2 4" xfId="34138"/>
    <cellStyle name="Normal 10 2 4 3 2 2 2 2 3" xfId="14033"/>
    <cellStyle name="Normal 10 2 4 3 2 2 2 2 3 2" xfId="37454"/>
    <cellStyle name="Normal 10 2 4 3 2 2 2 2 4" xfId="20233"/>
    <cellStyle name="Normal 10 2 4 3 2 2 2 2 4 2" xfId="42768"/>
    <cellStyle name="Normal 10 2 4 3 2 2 2 2 5" xfId="30822"/>
    <cellStyle name="Normal 10 2 4 3 2 2 2 3" xfId="8987"/>
    <cellStyle name="Normal 10 2 4 3 2 2 2 3 2" xfId="15691"/>
    <cellStyle name="Normal 10 2 4 3 2 2 2 3 2 2" xfId="39112"/>
    <cellStyle name="Normal 10 2 4 3 2 2 2 3 3" xfId="21163"/>
    <cellStyle name="Normal 10 2 4 3 2 2 2 3 3 2" xfId="43614"/>
    <cellStyle name="Normal 10 2 4 3 2 2 2 3 4" xfId="32480"/>
    <cellStyle name="Normal 10 2 4 3 2 2 2 4" xfId="12375"/>
    <cellStyle name="Normal 10 2 4 3 2 2 2 4 2" xfId="22246"/>
    <cellStyle name="Normal 10 2 4 3 2 2 2 4 2 2" xfId="44668"/>
    <cellStyle name="Normal 10 2 4 3 2 2 2 4 3" xfId="35796"/>
    <cellStyle name="Normal 10 2 4 3 2 2 2 5" xfId="19394"/>
    <cellStyle name="Normal 10 2 4 3 2 2 2 5 2" xfId="41936"/>
    <cellStyle name="Normal 10 2 4 3 2 2 2 6" xfId="29164"/>
    <cellStyle name="Normal 10 2 4 3 2 2 3" xfId="6405"/>
    <cellStyle name="Normal 10 2 4 3 2 2 3 2" xfId="9739"/>
    <cellStyle name="Normal 10 2 4 3 2 2 3 2 2" xfId="16443"/>
    <cellStyle name="Normal 10 2 4 3 2 2 3 2 2 2" xfId="39864"/>
    <cellStyle name="Normal 10 2 4 3 2 2 3 2 3" xfId="22654"/>
    <cellStyle name="Normal 10 2 4 3 2 2 3 2 3 2" xfId="45076"/>
    <cellStyle name="Normal 10 2 4 3 2 2 3 2 4" xfId="33232"/>
    <cellStyle name="Normal 10 2 4 3 2 2 3 3" xfId="13127"/>
    <cellStyle name="Normal 10 2 4 3 2 2 3 3 2" xfId="36548"/>
    <cellStyle name="Normal 10 2 4 3 2 2 3 4" xfId="19817"/>
    <cellStyle name="Normal 10 2 4 3 2 2 3 4 2" xfId="42352"/>
    <cellStyle name="Normal 10 2 4 3 2 2 3 5" xfId="29916"/>
    <cellStyle name="Normal 10 2 4 3 2 2 4" xfId="8072"/>
    <cellStyle name="Normal 10 2 4 3 2 2 4 2" xfId="14785"/>
    <cellStyle name="Normal 10 2 4 3 2 2 4 2 2" xfId="38206"/>
    <cellStyle name="Normal 10 2 4 3 2 2 4 3" xfId="20704"/>
    <cellStyle name="Normal 10 2 4 3 2 2 4 3 2" xfId="43155"/>
    <cellStyle name="Normal 10 2 4 3 2 2 4 4" xfId="31574"/>
    <cellStyle name="Normal 10 2 4 3 2 2 5" xfId="11467"/>
    <cellStyle name="Normal 10 2 4 3 2 2 5 2" xfId="21812"/>
    <cellStyle name="Normal 10 2 4 3 2 2 5 2 2" xfId="44254"/>
    <cellStyle name="Normal 10 2 4 3 2 2 5 3" xfId="34890"/>
    <cellStyle name="Normal 10 2 4 3 2 2 6" xfId="18567"/>
    <cellStyle name="Normal 10 2 4 3 2 2 6 2" xfId="41511"/>
    <cellStyle name="Normal 10 2 4 3 2 2 7" xfId="25811"/>
    <cellStyle name="Normal 10 2 4 3 2 2 7 2" xfId="48056"/>
    <cellStyle name="Normal 10 2 4 3 2 2 8" xfId="28258"/>
    <cellStyle name="Normal 10 2 4 3 2 3" xfId="2834"/>
    <cellStyle name="Normal 10 2 4 3 2 3 2" xfId="5926"/>
    <cellStyle name="Normal 10 2 4 3 2 3 2 2" xfId="7708"/>
    <cellStyle name="Normal 10 2 4 3 2 3 2 2 2" xfId="11037"/>
    <cellStyle name="Normal 10 2 4 3 2 3 2 2 2 2" xfId="17741"/>
    <cellStyle name="Normal 10 2 4 3 2 3 2 2 2 2 2" xfId="41162"/>
    <cellStyle name="Normal 10 2 4 3 2 3 2 2 2 3" xfId="34530"/>
    <cellStyle name="Normal 10 2 4 3 2 3 2 2 3" xfId="14425"/>
    <cellStyle name="Normal 10 2 4 3 2 3 2 2 3 2" xfId="37846"/>
    <cellStyle name="Normal 10 2 4 3 2 3 2 2 4" xfId="22861"/>
    <cellStyle name="Normal 10 2 4 3 2 3 2 2 4 2" xfId="45283"/>
    <cellStyle name="Normal 10 2 4 3 2 3 2 2 5" xfId="31214"/>
    <cellStyle name="Normal 10 2 4 3 2 3 2 3" xfId="9379"/>
    <cellStyle name="Normal 10 2 4 3 2 3 2 3 2" xfId="16083"/>
    <cellStyle name="Normal 10 2 4 3 2 3 2 3 2 2" xfId="39504"/>
    <cellStyle name="Normal 10 2 4 3 2 3 2 3 3" xfId="32872"/>
    <cellStyle name="Normal 10 2 4 3 2 3 2 4" xfId="12767"/>
    <cellStyle name="Normal 10 2 4 3 2 3 2 4 2" xfId="36188"/>
    <cellStyle name="Normal 10 2 4 3 2 3 2 5" xfId="20025"/>
    <cellStyle name="Normal 10 2 4 3 2 3 2 5 2" xfId="42560"/>
    <cellStyle name="Normal 10 2 4 3 2 3 2 6" xfId="29556"/>
    <cellStyle name="Normal 10 2 4 3 2 3 3" xfId="6809"/>
    <cellStyle name="Normal 10 2 4 3 2 3 3 2" xfId="10141"/>
    <cellStyle name="Normal 10 2 4 3 2 3 3 2 2" xfId="16845"/>
    <cellStyle name="Normal 10 2 4 3 2 3 3 2 2 2" xfId="40266"/>
    <cellStyle name="Normal 10 2 4 3 2 3 3 2 3" xfId="33634"/>
    <cellStyle name="Normal 10 2 4 3 2 3 3 3" xfId="13529"/>
    <cellStyle name="Normal 10 2 4 3 2 3 3 3 2" xfId="36950"/>
    <cellStyle name="Normal 10 2 4 3 2 3 3 4" xfId="21162"/>
    <cellStyle name="Normal 10 2 4 3 2 3 3 4 2" xfId="43613"/>
    <cellStyle name="Normal 10 2 4 3 2 3 3 5" xfId="30318"/>
    <cellStyle name="Normal 10 2 4 3 2 3 4" xfId="8475"/>
    <cellStyle name="Normal 10 2 4 3 2 3 4 2" xfId="15187"/>
    <cellStyle name="Normal 10 2 4 3 2 3 4 2 2" xfId="38608"/>
    <cellStyle name="Normal 10 2 4 3 2 3 4 3" xfId="22034"/>
    <cellStyle name="Normal 10 2 4 3 2 3 4 3 2" xfId="44462"/>
    <cellStyle name="Normal 10 2 4 3 2 3 4 4" xfId="31976"/>
    <cellStyle name="Normal 10 2 4 3 2 3 5" xfId="11869"/>
    <cellStyle name="Normal 10 2 4 3 2 3 5 2" xfId="35292"/>
    <cellStyle name="Normal 10 2 4 3 2 3 6" xfId="19171"/>
    <cellStyle name="Normal 10 2 4 3 2 3 6 2" xfId="41728"/>
    <cellStyle name="Normal 10 2 4 3 2 3 7" xfId="28660"/>
    <cellStyle name="Normal 10 2 4 3 2 4" xfId="3822"/>
    <cellStyle name="Normal 10 2 4 3 2 4 2" xfId="6960"/>
    <cellStyle name="Normal 10 2 4 3 2 4 2 2" xfId="10292"/>
    <cellStyle name="Normal 10 2 4 3 2 4 2 2 2" xfId="16996"/>
    <cellStyle name="Normal 10 2 4 3 2 4 2 2 2 2" xfId="40417"/>
    <cellStyle name="Normal 10 2 4 3 2 4 2 2 3" xfId="33785"/>
    <cellStyle name="Normal 10 2 4 3 2 4 2 3" xfId="13680"/>
    <cellStyle name="Normal 10 2 4 3 2 4 2 3 2" xfId="37101"/>
    <cellStyle name="Normal 10 2 4 3 2 4 2 4" xfId="22454"/>
    <cellStyle name="Normal 10 2 4 3 2 4 2 4 2" xfId="44876"/>
    <cellStyle name="Normal 10 2 4 3 2 4 2 5" xfId="30469"/>
    <cellStyle name="Normal 10 2 4 3 2 4 3" xfId="8627"/>
    <cellStyle name="Normal 10 2 4 3 2 4 3 2" xfId="15338"/>
    <cellStyle name="Normal 10 2 4 3 2 4 3 2 2" xfId="38759"/>
    <cellStyle name="Normal 10 2 4 3 2 4 3 3" xfId="32127"/>
    <cellStyle name="Normal 10 2 4 3 2 4 4" xfId="12020"/>
    <cellStyle name="Normal 10 2 4 3 2 4 4 2" xfId="35443"/>
    <cellStyle name="Normal 10 2 4 3 2 4 5" xfId="19607"/>
    <cellStyle name="Normal 10 2 4 3 2 4 5 2" xfId="42144"/>
    <cellStyle name="Normal 10 2 4 3 2 4 6" xfId="28811"/>
    <cellStyle name="Normal 10 2 4 3 2 5" xfId="6336"/>
    <cellStyle name="Normal 10 2 4 3 2 5 2" xfId="9670"/>
    <cellStyle name="Normal 10 2 4 3 2 5 2 2" xfId="16374"/>
    <cellStyle name="Normal 10 2 4 3 2 5 2 2 2" xfId="39795"/>
    <cellStyle name="Normal 10 2 4 3 2 5 2 3" xfId="33163"/>
    <cellStyle name="Normal 10 2 4 3 2 5 3" xfId="13058"/>
    <cellStyle name="Normal 10 2 4 3 2 5 3 2" xfId="36479"/>
    <cellStyle name="Normal 10 2 4 3 2 5 4" xfId="20703"/>
    <cellStyle name="Normal 10 2 4 3 2 5 4 2" xfId="43154"/>
    <cellStyle name="Normal 10 2 4 3 2 5 5" xfId="29847"/>
    <cellStyle name="Normal 10 2 4 3 2 6" xfId="8002"/>
    <cellStyle name="Normal 10 2 4 3 2 6 2" xfId="14716"/>
    <cellStyle name="Normal 10 2 4 3 2 6 2 2" xfId="38137"/>
    <cellStyle name="Normal 10 2 4 3 2 6 3" xfId="21603"/>
    <cellStyle name="Normal 10 2 4 3 2 6 3 2" xfId="44052"/>
    <cellStyle name="Normal 10 2 4 3 2 6 4" xfId="31505"/>
    <cellStyle name="Normal 10 2 4 3 2 7" xfId="11398"/>
    <cellStyle name="Normal 10 2 4 3 2 7 2" xfId="34821"/>
    <cellStyle name="Normal 10 2 4 3 2 8" xfId="17966"/>
    <cellStyle name="Normal 10 2 4 3 2 8 2" xfId="41275"/>
    <cellStyle name="Normal 10 2 4 3 2 9" xfId="23534"/>
    <cellStyle name="Normal 10 2 4 3 2 9 2" xfId="45868"/>
    <cellStyle name="Normal 10 2 4 3 3" xfId="2212"/>
    <cellStyle name="Normal 10 2 4 3 3 2" xfId="5487"/>
    <cellStyle name="Normal 10 2 4 3 3 2 2" xfId="7313"/>
    <cellStyle name="Normal 10 2 4 3 3 2 2 2" xfId="10644"/>
    <cellStyle name="Normal 10 2 4 3 3 2 2 2 2" xfId="17348"/>
    <cellStyle name="Normal 10 2 4 3 3 2 2 2 2 2" xfId="40769"/>
    <cellStyle name="Normal 10 2 4 3 3 2 2 2 3" xfId="23060"/>
    <cellStyle name="Normal 10 2 4 3 3 2 2 2 3 2" xfId="45482"/>
    <cellStyle name="Normal 10 2 4 3 3 2 2 2 4" xfId="34137"/>
    <cellStyle name="Normal 10 2 4 3 3 2 2 3" xfId="14032"/>
    <cellStyle name="Normal 10 2 4 3 3 2 2 3 2" xfId="37453"/>
    <cellStyle name="Normal 10 2 4 3 3 2 2 4" xfId="20232"/>
    <cellStyle name="Normal 10 2 4 3 3 2 2 4 2" xfId="42767"/>
    <cellStyle name="Normal 10 2 4 3 3 2 2 5" xfId="30821"/>
    <cellStyle name="Normal 10 2 4 3 3 2 3" xfId="8986"/>
    <cellStyle name="Normal 10 2 4 3 3 2 3 2" xfId="15690"/>
    <cellStyle name="Normal 10 2 4 3 3 2 3 2 2" xfId="39111"/>
    <cellStyle name="Normal 10 2 4 3 3 2 3 3" xfId="21164"/>
    <cellStyle name="Normal 10 2 4 3 3 2 3 3 2" xfId="43615"/>
    <cellStyle name="Normal 10 2 4 3 3 2 3 4" xfId="32479"/>
    <cellStyle name="Normal 10 2 4 3 3 2 4" xfId="12374"/>
    <cellStyle name="Normal 10 2 4 3 3 2 4 2" xfId="22245"/>
    <cellStyle name="Normal 10 2 4 3 3 2 4 2 2" xfId="44667"/>
    <cellStyle name="Normal 10 2 4 3 3 2 4 3" xfId="35795"/>
    <cellStyle name="Normal 10 2 4 3 3 2 5" xfId="19393"/>
    <cellStyle name="Normal 10 2 4 3 3 2 5 2" xfId="41935"/>
    <cellStyle name="Normal 10 2 4 3 3 2 6" xfId="27694"/>
    <cellStyle name="Normal 10 2 4 3 3 2 6 2" xfId="49939"/>
    <cellStyle name="Normal 10 2 4 3 3 2 7" xfId="29163"/>
    <cellStyle name="Normal 10 2 4 3 3 3" xfId="6404"/>
    <cellStyle name="Normal 10 2 4 3 3 3 2" xfId="9738"/>
    <cellStyle name="Normal 10 2 4 3 3 3 2 2" xfId="16442"/>
    <cellStyle name="Normal 10 2 4 3 3 3 2 2 2" xfId="39863"/>
    <cellStyle name="Normal 10 2 4 3 3 3 2 3" xfId="22653"/>
    <cellStyle name="Normal 10 2 4 3 3 3 2 3 2" xfId="45075"/>
    <cellStyle name="Normal 10 2 4 3 3 3 2 4" xfId="33231"/>
    <cellStyle name="Normal 10 2 4 3 3 3 3" xfId="13126"/>
    <cellStyle name="Normal 10 2 4 3 3 3 3 2" xfId="36547"/>
    <cellStyle name="Normal 10 2 4 3 3 3 4" xfId="19816"/>
    <cellStyle name="Normal 10 2 4 3 3 3 4 2" xfId="42351"/>
    <cellStyle name="Normal 10 2 4 3 3 3 5" xfId="29915"/>
    <cellStyle name="Normal 10 2 4 3 3 4" xfId="8071"/>
    <cellStyle name="Normal 10 2 4 3 3 4 2" xfId="14784"/>
    <cellStyle name="Normal 10 2 4 3 3 4 2 2" xfId="38205"/>
    <cellStyle name="Normal 10 2 4 3 3 4 3" xfId="20705"/>
    <cellStyle name="Normal 10 2 4 3 3 4 3 2" xfId="43156"/>
    <cellStyle name="Normal 10 2 4 3 3 4 4" xfId="31573"/>
    <cellStyle name="Normal 10 2 4 3 3 5" xfId="11466"/>
    <cellStyle name="Normal 10 2 4 3 3 5 2" xfId="21811"/>
    <cellStyle name="Normal 10 2 4 3 3 5 2 2" xfId="44253"/>
    <cellStyle name="Normal 10 2 4 3 3 5 3" xfId="34889"/>
    <cellStyle name="Normal 10 2 4 3 3 6" xfId="18566"/>
    <cellStyle name="Normal 10 2 4 3 3 6 2" xfId="41510"/>
    <cellStyle name="Normal 10 2 4 3 3 7" xfId="25389"/>
    <cellStyle name="Normal 10 2 4 3 3 7 2" xfId="47634"/>
    <cellStyle name="Normal 10 2 4 3 3 8" xfId="28257"/>
    <cellStyle name="Normal 10 2 4 3 4" xfId="2702"/>
    <cellStyle name="Normal 10 2 4 3 4 2" xfId="5795"/>
    <cellStyle name="Normal 10 2 4 3 4 2 2" xfId="7577"/>
    <cellStyle name="Normal 10 2 4 3 4 2 2 2" xfId="10906"/>
    <cellStyle name="Normal 10 2 4 3 4 2 2 2 2" xfId="17610"/>
    <cellStyle name="Normal 10 2 4 3 4 2 2 2 2 2" xfId="41031"/>
    <cellStyle name="Normal 10 2 4 3 4 2 2 2 3" xfId="34399"/>
    <cellStyle name="Normal 10 2 4 3 4 2 2 3" xfId="14294"/>
    <cellStyle name="Normal 10 2 4 3 4 2 2 3 2" xfId="37715"/>
    <cellStyle name="Normal 10 2 4 3 4 2 2 4" xfId="22860"/>
    <cellStyle name="Normal 10 2 4 3 4 2 2 4 2" xfId="45282"/>
    <cellStyle name="Normal 10 2 4 3 4 2 2 5" xfId="31083"/>
    <cellStyle name="Normal 10 2 4 3 4 2 3" xfId="9248"/>
    <cellStyle name="Normal 10 2 4 3 4 2 3 2" xfId="15952"/>
    <cellStyle name="Normal 10 2 4 3 4 2 3 2 2" xfId="39373"/>
    <cellStyle name="Normal 10 2 4 3 4 2 3 3" xfId="32741"/>
    <cellStyle name="Normal 10 2 4 3 4 2 4" xfId="12636"/>
    <cellStyle name="Normal 10 2 4 3 4 2 4 2" xfId="36057"/>
    <cellStyle name="Normal 10 2 4 3 4 2 5" xfId="20024"/>
    <cellStyle name="Normal 10 2 4 3 4 2 5 2" xfId="42559"/>
    <cellStyle name="Normal 10 2 4 3 4 2 6" xfId="29425"/>
    <cellStyle name="Normal 10 2 4 3 4 3" xfId="6678"/>
    <cellStyle name="Normal 10 2 4 3 4 3 2" xfId="10010"/>
    <cellStyle name="Normal 10 2 4 3 4 3 2 2" xfId="16714"/>
    <cellStyle name="Normal 10 2 4 3 4 3 2 2 2" xfId="40135"/>
    <cellStyle name="Normal 10 2 4 3 4 3 2 3" xfId="33503"/>
    <cellStyle name="Normal 10 2 4 3 4 3 3" xfId="13398"/>
    <cellStyle name="Normal 10 2 4 3 4 3 3 2" xfId="36819"/>
    <cellStyle name="Normal 10 2 4 3 4 3 4" xfId="21161"/>
    <cellStyle name="Normal 10 2 4 3 4 3 4 2" xfId="43612"/>
    <cellStyle name="Normal 10 2 4 3 4 3 5" xfId="30187"/>
    <cellStyle name="Normal 10 2 4 3 4 4" xfId="8344"/>
    <cellStyle name="Normal 10 2 4 3 4 4 2" xfId="15056"/>
    <cellStyle name="Normal 10 2 4 3 4 4 2 2" xfId="38477"/>
    <cellStyle name="Normal 10 2 4 3 4 4 3" xfId="22033"/>
    <cellStyle name="Normal 10 2 4 3 4 4 3 2" xfId="44461"/>
    <cellStyle name="Normal 10 2 4 3 4 4 4" xfId="31845"/>
    <cellStyle name="Normal 10 2 4 3 4 5" xfId="11738"/>
    <cellStyle name="Normal 10 2 4 3 4 5 2" xfId="35161"/>
    <cellStyle name="Normal 10 2 4 3 4 6" xfId="19170"/>
    <cellStyle name="Normal 10 2 4 3 4 6 2" xfId="41727"/>
    <cellStyle name="Normal 10 2 4 3 4 7" xfId="25810"/>
    <cellStyle name="Normal 10 2 4 3 4 7 2" xfId="48055"/>
    <cellStyle name="Normal 10 2 4 3 4 8" xfId="28529"/>
    <cellStyle name="Normal 10 2 4 3 5" xfId="3821"/>
    <cellStyle name="Normal 10 2 4 3 5 2" xfId="6959"/>
    <cellStyle name="Normal 10 2 4 3 5 2 2" xfId="10291"/>
    <cellStyle name="Normal 10 2 4 3 5 2 2 2" xfId="16995"/>
    <cellStyle name="Normal 10 2 4 3 5 2 2 2 2" xfId="40416"/>
    <cellStyle name="Normal 10 2 4 3 5 2 2 3" xfId="33784"/>
    <cellStyle name="Normal 10 2 4 3 5 2 3" xfId="13679"/>
    <cellStyle name="Normal 10 2 4 3 5 2 3 2" xfId="37100"/>
    <cellStyle name="Normal 10 2 4 3 5 2 4" xfId="22453"/>
    <cellStyle name="Normal 10 2 4 3 5 2 4 2" xfId="44875"/>
    <cellStyle name="Normal 10 2 4 3 5 2 5" xfId="30468"/>
    <cellStyle name="Normal 10 2 4 3 5 3" xfId="8626"/>
    <cellStyle name="Normal 10 2 4 3 5 3 2" xfId="15337"/>
    <cellStyle name="Normal 10 2 4 3 5 3 2 2" xfId="38758"/>
    <cellStyle name="Normal 10 2 4 3 5 3 3" xfId="32126"/>
    <cellStyle name="Normal 10 2 4 3 5 4" xfId="12019"/>
    <cellStyle name="Normal 10 2 4 3 5 4 2" xfId="35442"/>
    <cellStyle name="Normal 10 2 4 3 5 5" xfId="19606"/>
    <cellStyle name="Normal 10 2 4 3 5 5 2" xfId="42143"/>
    <cellStyle name="Normal 10 2 4 3 5 6" xfId="28810"/>
    <cellStyle name="Normal 10 2 4 3 6" xfId="6205"/>
    <cellStyle name="Normal 10 2 4 3 6 2" xfId="9539"/>
    <cellStyle name="Normal 10 2 4 3 6 2 2" xfId="16243"/>
    <cellStyle name="Normal 10 2 4 3 6 2 2 2" xfId="39664"/>
    <cellStyle name="Normal 10 2 4 3 6 2 3" xfId="33032"/>
    <cellStyle name="Normal 10 2 4 3 6 3" xfId="12927"/>
    <cellStyle name="Normal 10 2 4 3 6 3 2" xfId="36348"/>
    <cellStyle name="Normal 10 2 4 3 6 4" xfId="20702"/>
    <cellStyle name="Normal 10 2 4 3 6 4 2" xfId="43153"/>
    <cellStyle name="Normal 10 2 4 3 6 5" xfId="29716"/>
    <cellStyle name="Normal 10 2 4 3 7" xfId="7871"/>
    <cellStyle name="Normal 10 2 4 3 7 2" xfId="14585"/>
    <cellStyle name="Normal 10 2 4 3 7 2 2" xfId="38006"/>
    <cellStyle name="Normal 10 2 4 3 7 3" xfId="21602"/>
    <cellStyle name="Normal 10 2 4 3 7 3 2" xfId="44051"/>
    <cellStyle name="Normal 10 2 4 3 7 4" xfId="31374"/>
    <cellStyle name="Normal 10 2 4 3 8" xfId="11267"/>
    <cellStyle name="Normal 10 2 4 3 8 2" xfId="34690"/>
    <cellStyle name="Normal 10 2 4 3 9" xfId="17965"/>
    <cellStyle name="Normal 10 2 4 3 9 2" xfId="41274"/>
    <cellStyle name="Normal 10 2 4 4" xfId="1760"/>
    <cellStyle name="Normal 10 2 4 4 10" xfId="28113"/>
    <cellStyle name="Normal 10 2 4 4 2" xfId="2214"/>
    <cellStyle name="Normal 10 2 4 4 2 2" xfId="5489"/>
    <cellStyle name="Normal 10 2 4 4 2 2 2" xfId="7315"/>
    <cellStyle name="Normal 10 2 4 4 2 2 2 2" xfId="10646"/>
    <cellStyle name="Normal 10 2 4 4 2 2 2 2 2" xfId="17350"/>
    <cellStyle name="Normal 10 2 4 4 2 2 2 2 2 2" xfId="40771"/>
    <cellStyle name="Normal 10 2 4 4 2 2 2 2 3" xfId="23062"/>
    <cellStyle name="Normal 10 2 4 4 2 2 2 2 3 2" xfId="45484"/>
    <cellStyle name="Normal 10 2 4 4 2 2 2 2 4" xfId="34139"/>
    <cellStyle name="Normal 10 2 4 4 2 2 2 3" xfId="14034"/>
    <cellStyle name="Normal 10 2 4 4 2 2 2 3 2" xfId="37455"/>
    <cellStyle name="Normal 10 2 4 4 2 2 2 4" xfId="20234"/>
    <cellStyle name="Normal 10 2 4 4 2 2 2 4 2" xfId="42769"/>
    <cellStyle name="Normal 10 2 4 4 2 2 2 5" xfId="30823"/>
    <cellStyle name="Normal 10 2 4 4 2 2 3" xfId="8988"/>
    <cellStyle name="Normal 10 2 4 4 2 2 3 2" xfId="15692"/>
    <cellStyle name="Normal 10 2 4 4 2 2 3 2 2" xfId="39113"/>
    <cellStyle name="Normal 10 2 4 4 2 2 3 3" xfId="21166"/>
    <cellStyle name="Normal 10 2 4 4 2 2 3 3 2" xfId="43617"/>
    <cellStyle name="Normal 10 2 4 4 2 2 3 4" xfId="32481"/>
    <cellStyle name="Normal 10 2 4 4 2 2 4" xfId="12376"/>
    <cellStyle name="Normal 10 2 4 4 2 2 4 2" xfId="22247"/>
    <cellStyle name="Normal 10 2 4 4 2 2 4 2 2" xfId="44669"/>
    <cellStyle name="Normal 10 2 4 4 2 2 4 3" xfId="35797"/>
    <cellStyle name="Normal 10 2 4 4 2 2 5" xfId="19395"/>
    <cellStyle name="Normal 10 2 4 4 2 2 5 2" xfId="41937"/>
    <cellStyle name="Normal 10 2 4 4 2 2 6" xfId="29165"/>
    <cellStyle name="Normal 10 2 4 4 2 3" xfId="6406"/>
    <cellStyle name="Normal 10 2 4 4 2 3 2" xfId="9740"/>
    <cellStyle name="Normal 10 2 4 4 2 3 2 2" xfId="16444"/>
    <cellStyle name="Normal 10 2 4 4 2 3 2 2 2" xfId="39865"/>
    <cellStyle name="Normal 10 2 4 4 2 3 2 3" xfId="22655"/>
    <cellStyle name="Normal 10 2 4 4 2 3 2 3 2" xfId="45077"/>
    <cellStyle name="Normal 10 2 4 4 2 3 2 4" xfId="33233"/>
    <cellStyle name="Normal 10 2 4 4 2 3 3" xfId="13128"/>
    <cellStyle name="Normal 10 2 4 4 2 3 3 2" xfId="36549"/>
    <cellStyle name="Normal 10 2 4 4 2 3 4" xfId="19818"/>
    <cellStyle name="Normal 10 2 4 4 2 3 4 2" xfId="42353"/>
    <cellStyle name="Normal 10 2 4 4 2 3 5" xfId="29917"/>
    <cellStyle name="Normal 10 2 4 4 2 4" xfId="8073"/>
    <cellStyle name="Normal 10 2 4 4 2 4 2" xfId="14786"/>
    <cellStyle name="Normal 10 2 4 4 2 4 2 2" xfId="38207"/>
    <cellStyle name="Normal 10 2 4 4 2 4 3" xfId="20707"/>
    <cellStyle name="Normal 10 2 4 4 2 4 3 2" xfId="43158"/>
    <cellStyle name="Normal 10 2 4 4 2 4 4" xfId="31575"/>
    <cellStyle name="Normal 10 2 4 4 2 5" xfId="11468"/>
    <cellStyle name="Normal 10 2 4 4 2 5 2" xfId="21813"/>
    <cellStyle name="Normal 10 2 4 4 2 5 2 2" xfId="44255"/>
    <cellStyle name="Normal 10 2 4 4 2 5 3" xfId="34891"/>
    <cellStyle name="Normal 10 2 4 4 2 6" xfId="18568"/>
    <cellStyle name="Normal 10 2 4 4 2 6 2" xfId="41512"/>
    <cellStyle name="Normal 10 2 4 4 2 7" xfId="25812"/>
    <cellStyle name="Normal 10 2 4 4 2 7 2" xfId="48057"/>
    <cellStyle name="Normal 10 2 4 4 2 8" xfId="28259"/>
    <cellStyle name="Normal 10 2 4 4 3" xfId="2758"/>
    <cellStyle name="Normal 10 2 4 4 3 2" xfId="5850"/>
    <cellStyle name="Normal 10 2 4 4 3 2 2" xfId="7632"/>
    <cellStyle name="Normal 10 2 4 4 3 2 2 2" xfId="10961"/>
    <cellStyle name="Normal 10 2 4 4 3 2 2 2 2" xfId="17665"/>
    <cellStyle name="Normal 10 2 4 4 3 2 2 2 2 2" xfId="41086"/>
    <cellStyle name="Normal 10 2 4 4 3 2 2 2 3" xfId="34454"/>
    <cellStyle name="Normal 10 2 4 4 3 2 2 3" xfId="14349"/>
    <cellStyle name="Normal 10 2 4 4 3 2 2 3 2" xfId="37770"/>
    <cellStyle name="Normal 10 2 4 4 3 2 2 4" xfId="22862"/>
    <cellStyle name="Normal 10 2 4 4 3 2 2 4 2" xfId="45284"/>
    <cellStyle name="Normal 10 2 4 4 3 2 2 5" xfId="31138"/>
    <cellStyle name="Normal 10 2 4 4 3 2 3" xfId="9303"/>
    <cellStyle name="Normal 10 2 4 4 3 2 3 2" xfId="16007"/>
    <cellStyle name="Normal 10 2 4 4 3 2 3 2 2" xfId="39428"/>
    <cellStyle name="Normal 10 2 4 4 3 2 3 3" xfId="32796"/>
    <cellStyle name="Normal 10 2 4 4 3 2 4" xfId="12691"/>
    <cellStyle name="Normal 10 2 4 4 3 2 4 2" xfId="36112"/>
    <cellStyle name="Normal 10 2 4 4 3 2 5" xfId="20026"/>
    <cellStyle name="Normal 10 2 4 4 3 2 5 2" xfId="42561"/>
    <cellStyle name="Normal 10 2 4 4 3 2 6" xfId="29480"/>
    <cellStyle name="Normal 10 2 4 4 3 3" xfId="6733"/>
    <cellStyle name="Normal 10 2 4 4 3 3 2" xfId="10065"/>
    <cellStyle name="Normal 10 2 4 4 3 3 2 2" xfId="16769"/>
    <cellStyle name="Normal 10 2 4 4 3 3 2 2 2" xfId="40190"/>
    <cellStyle name="Normal 10 2 4 4 3 3 2 3" xfId="33558"/>
    <cellStyle name="Normal 10 2 4 4 3 3 3" xfId="13453"/>
    <cellStyle name="Normal 10 2 4 4 3 3 3 2" xfId="36874"/>
    <cellStyle name="Normal 10 2 4 4 3 3 4" xfId="21165"/>
    <cellStyle name="Normal 10 2 4 4 3 3 4 2" xfId="43616"/>
    <cellStyle name="Normal 10 2 4 4 3 3 5" xfId="30242"/>
    <cellStyle name="Normal 10 2 4 4 3 4" xfId="8399"/>
    <cellStyle name="Normal 10 2 4 4 3 4 2" xfId="15111"/>
    <cellStyle name="Normal 10 2 4 4 3 4 2 2" xfId="38532"/>
    <cellStyle name="Normal 10 2 4 4 3 4 3" xfId="22035"/>
    <cellStyle name="Normal 10 2 4 4 3 4 3 2" xfId="44463"/>
    <cellStyle name="Normal 10 2 4 4 3 4 4" xfId="31900"/>
    <cellStyle name="Normal 10 2 4 4 3 5" xfId="11793"/>
    <cellStyle name="Normal 10 2 4 4 3 5 2" xfId="35216"/>
    <cellStyle name="Normal 10 2 4 4 3 6" xfId="19172"/>
    <cellStyle name="Normal 10 2 4 4 3 6 2" xfId="41729"/>
    <cellStyle name="Normal 10 2 4 4 3 7" xfId="28584"/>
    <cellStyle name="Normal 10 2 4 4 4" xfId="3823"/>
    <cellStyle name="Normal 10 2 4 4 4 2" xfId="6961"/>
    <cellStyle name="Normal 10 2 4 4 4 2 2" xfId="10293"/>
    <cellStyle name="Normal 10 2 4 4 4 2 2 2" xfId="16997"/>
    <cellStyle name="Normal 10 2 4 4 4 2 2 2 2" xfId="40418"/>
    <cellStyle name="Normal 10 2 4 4 4 2 2 3" xfId="33786"/>
    <cellStyle name="Normal 10 2 4 4 4 2 3" xfId="13681"/>
    <cellStyle name="Normal 10 2 4 4 4 2 3 2" xfId="37102"/>
    <cellStyle name="Normal 10 2 4 4 4 2 4" xfId="22455"/>
    <cellStyle name="Normal 10 2 4 4 4 2 4 2" xfId="44877"/>
    <cellStyle name="Normal 10 2 4 4 4 2 5" xfId="30470"/>
    <cellStyle name="Normal 10 2 4 4 4 3" xfId="8628"/>
    <cellStyle name="Normal 10 2 4 4 4 3 2" xfId="15339"/>
    <cellStyle name="Normal 10 2 4 4 4 3 2 2" xfId="38760"/>
    <cellStyle name="Normal 10 2 4 4 4 3 3" xfId="32128"/>
    <cellStyle name="Normal 10 2 4 4 4 4" xfId="12021"/>
    <cellStyle name="Normal 10 2 4 4 4 4 2" xfId="35444"/>
    <cellStyle name="Normal 10 2 4 4 4 5" xfId="19608"/>
    <cellStyle name="Normal 10 2 4 4 4 5 2" xfId="42145"/>
    <cellStyle name="Normal 10 2 4 4 4 6" xfId="28812"/>
    <cellStyle name="Normal 10 2 4 4 5" xfId="6260"/>
    <cellStyle name="Normal 10 2 4 4 5 2" xfId="9594"/>
    <cellStyle name="Normal 10 2 4 4 5 2 2" xfId="16298"/>
    <cellStyle name="Normal 10 2 4 4 5 2 2 2" xfId="39719"/>
    <cellStyle name="Normal 10 2 4 4 5 2 3" xfId="33087"/>
    <cellStyle name="Normal 10 2 4 4 5 3" xfId="12982"/>
    <cellStyle name="Normal 10 2 4 4 5 3 2" xfId="36403"/>
    <cellStyle name="Normal 10 2 4 4 5 4" xfId="20706"/>
    <cellStyle name="Normal 10 2 4 4 5 4 2" xfId="43157"/>
    <cellStyle name="Normal 10 2 4 4 5 5" xfId="29771"/>
    <cellStyle name="Normal 10 2 4 4 6" xfId="7926"/>
    <cellStyle name="Normal 10 2 4 4 6 2" xfId="14640"/>
    <cellStyle name="Normal 10 2 4 4 6 2 2" xfId="38061"/>
    <cellStyle name="Normal 10 2 4 4 6 3" xfId="21604"/>
    <cellStyle name="Normal 10 2 4 4 6 3 2" xfId="44053"/>
    <cellStyle name="Normal 10 2 4 4 6 4" xfId="31429"/>
    <cellStyle name="Normal 10 2 4 4 7" xfId="11322"/>
    <cellStyle name="Normal 10 2 4 4 7 2" xfId="34745"/>
    <cellStyle name="Normal 10 2 4 4 8" xfId="17967"/>
    <cellStyle name="Normal 10 2 4 4 8 2" xfId="41276"/>
    <cellStyle name="Normal 10 2 4 4 9" xfId="23535"/>
    <cellStyle name="Normal 10 2 4 4 9 2" xfId="45869"/>
    <cellStyle name="Normal 10 2 4 5" xfId="2207"/>
    <cellStyle name="Normal 10 2 4 5 2" xfId="5482"/>
    <cellStyle name="Normal 10 2 4 5 2 2" xfId="7308"/>
    <cellStyle name="Normal 10 2 4 5 2 2 2" xfId="10639"/>
    <cellStyle name="Normal 10 2 4 5 2 2 2 2" xfId="17343"/>
    <cellStyle name="Normal 10 2 4 5 2 2 2 2 2" xfId="40764"/>
    <cellStyle name="Normal 10 2 4 5 2 2 2 3" xfId="23055"/>
    <cellStyle name="Normal 10 2 4 5 2 2 2 3 2" xfId="45477"/>
    <cellStyle name="Normal 10 2 4 5 2 2 2 4" xfId="34132"/>
    <cellStyle name="Normal 10 2 4 5 2 2 3" xfId="14027"/>
    <cellStyle name="Normal 10 2 4 5 2 2 3 2" xfId="37448"/>
    <cellStyle name="Normal 10 2 4 5 2 2 4" xfId="20227"/>
    <cellStyle name="Normal 10 2 4 5 2 2 4 2" xfId="42762"/>
    <cellStyle name="Normal 10 2 4 5 2 2 5" xfId="30816"/>
    <cellStyle name="Normal 10 2 4 5 2 3" xfId="8981"/>
    <cellStyle name="Normal 10 2 4 5 2 3 2" xfId="15685"/>
    <cellStyle name="Normal 10 2 4 5 2 3 2 2" xfId="39106"/>
    <cellStyle name="Normal 10 2 4 5 2 3 3" xfId="21167"/>
    <cellStyle name="Normal 10 2 4 5 2 3 3 2" xfId="43618"/>
    <cellStyle name="Normal 10 2 4 5 2 3 4" xfId="32474"/>
    <cellStyle name="Normal 10 2 4 5 2 4" xfId="12369"/>
    <cellStyle name="Normal 10 2 4 5 2 4 2" xfId="22240"/>
    <cellStyle name="Normal 10 2 4 5 2 4 2 2" xfId="44662"/>
    <cellStyle name="Normal 10 2 4 5 2 4 3" xfId="35790"/>
    <cellStyle name="Normal 10 2 4 5 2 5" xfId="19388"/>
    <cellStyle name="Normal 10 2 4 5 2 5 2" xfId="41930"/>
    <cellStyle name="Normal 10 2 4 5 2 6" xfId="27358"/>
    <cellStyle name="Normal 10 2 4 5 2 6 2" xfId="49603"/>
    <cellStyle name="Normal 10 2 4 5 2 7" xfId="29158"/>
    <cellStyle name="Normal 10 2 4 5 3" xfId="6399"/>
    <cellStyle name="Normal 10 2 4 5 3 2" xfId="9733"/>
    <cellStyle name="Normal 10 2 4 5 3 2 2" xfId="16437"/>
    <cellStyle name="Normal 10 2 4 5 3 2 2 2" xfId="39858"/>
    <cellStyle name="Normal 10 2 4 5 3 2 3" xfId="22648"/>
    <cellStyle name="Normal 10 2 4 5 3 2 3 2" xfId="45070"/>
    <cellStyle name="Normal 10 2 4 5 3 2 4" xfId="33226"/>
    <cellStyle name="Normal 10 2 4 5 3 3" xfId="13121"/>
    <cellStyle name="Normal 10 2 4 5 3 3 2" xfId="36542"/>
    <cellStyle name="Normal 10 2 4 5 3 4" xfId="19811"/>
    <cellStyle name="Normal 10 2 4 5 3 4 2" xfId="42346"/>
    <cellStyle name="Normal 10 2 4 5 3 5" xfId="29910"/>
    <cellStyle name="Normal 10 2 4 5 4" xfId="8066"/>
    <cellStyle name="Normal 10 2 4 5 4 2" xfId="14779"/>
    <cellStyle name="Normal 10 2 4 5 4 2 2" xfId="38200"/>
    <cellStyle name="Normal 10 2 4 5 4 3" xfId="20708"/>
    <cellStyle name="Normal 10 2 4 5 4 3 2" xfId="43159"/>
    <cellStyle name="Normal 10 2 4 5 4 4" xfId="31568"/>
    <cellStyle name="Normal 10 2 4 5 5" xfId="11461"/>
    <cellStyle name="Normal 10 2 4 5 5 2" xfId="21806"/>
    <cellStyle name="Normal 10 2 4 5 5 2 2" xfId="44248"/>
    <cellStyle name="Normal 10 2 4 5 5 3" xfId="34884"/>
    <cellStyle name="Normal 10 2 4 5 6" xfId="18561"/>
    <cellStyle name="Normal 10 2 4 5 6 2" xfId="41505"/>
    <cellStyle name="Normal 10 2 4 5 7" xfId="25087"/>
    <cellStyle name="Normal 10 2 4 5 7 2" xfId="47332"/>
    <cellStyle name="Normal 10 2 4 5 8" xfId="28252"/>
    <cellStyle name="Normal 10 2 4 6" xfId="2625"/>
    <cellStyle name="Normal 10 2 4 6 2" xfId="5719"/>
    <cellStyle name="Normal 10 2 4 6 2 2" xfId="7502"/>
    <cellStyle name="Normal 10 2 4 6 2 2 2" xfId="10831"/>
    <cellStyle name="Normal 10 2 4 6 2 2 2 2" xfId="17535"/>
    <cellStyle name="Normal 10 2 4 6 2 2 2 2 2" xfId="40956"/>
    <cellStyle name="Normal 10 2 4 6 2 2 2 3" xfId="34324"/>
    <cellStyle name="Normal 10 2 4 6 2 2 3" xfId="14219"/>
    <cellStyle name="Normal 10 2 4 6 2 2 3 2" xfId="37640"/>
    <cellStyle name="Normal 10 2 4 6 2 2 4" xfId="20616"/>
    <cellStyle name="Normal 10 2 4 6 2 2 4 2" xfId="43067"/>
    <cellStyle name="Normal 10 2 4 6 2 2 5" xfId="31008"/>
    <cellStyle name="Normal 10 2 4 6 2 3" xfId="9173"/>
    <cellStyle name="Normal 10 2 4 6 2 3 2" xfId="15877"/>
    <cellStyle name="Normal 10 2 4 6 2 3 2 2" xfId="39298"/>
    <cellStyle name="Normal 10 2 4 6 2 3 3" xfId="21534"/>
    <cellStyle name="Normal 10 2 4 6 2 3 3 2" xfId="43985"/>
    <cellStyle name="Normal 10 2 4 6 2 3 4" xfId="32666"/>
    <cellStyle name="Normal 10 2 4 6 2 4" xfId="12561"/>
    <cellStyle name="Normal 10 2 4 6 2 4 2" xfId="22855"/>
    <cellStyle name="Normal 10 2 4 6 2 4 2 2" xfId="45277"/>
    <cellStyle name="Normal 10 2 4 6 2 4 3" xfId="35982"/>
    <cellStyle name="Normal 10 2 4 6 2 5" xfId="20019"/>
    <cellStyle name="Normal 10 2 4 6 2 5 2" xfId="42554"/>
    <cellStyle name="Normal 10 2 4 6 2 6" xfId="29350"/>
    <cellStyle name="Normal 10 2 4 6 3" xfId="6602"/>
    <cellStyle name="Normal 10 2 4 6 3 2" xfId="9934"/>
    <cellStyle name="Normal 10 2 4 6 3 2 2" xfId="16638"/>
    <cellStyle name="Normal 10 2 4 6 3 2 2 2" xfId="40059"/>
    <cellStyle name="Normal 10 2 4 6 3 2 3" xfId="33427"/>
    <cellStyle name="Normal 10 2 4 6 3 3" xfId="13322"/>
    <cellStyle name="Normal 10 2 4 6 3 3 2" xfId="36743"/>
    <cellStyle name="Normal 10 2 4 6 3 4" xfId="20518"/>
    <cellStyle name="Normal 10 2 4 6 3 4 2" xfId="42971"/>
    <cellStyle name="Normal 10 2 4 6 3 5" xfId="30111"/>
    <cellStyle name="Normal 10 2 4 6 4" xfId="8268"/>
    <cellStyle name="Normal 10 2 4 6 4 2" xfId="14980"/>
    <cellStyle name="Normal 10 2 4 6 4 2 2" xfId="38401"/>
    <cellStyle name="Normal 10 2 4 6 4 3" xfId="21075"/>
    <cellStyle name="Normal 10 2 4 6 4 3 2" xfId="43526"/>
    <cellStyle name="Normal 10 2 4 6 4 4" xfId="31769"/>
    <cellStyle name="Normal 10 2 4 6 5" xfId="11662"/>
    <cellStyle name="Normal 10 2 4 6 5 2" xfId="22028"/>
    <cellStyle name="Normal 10 2 4 6 5 2 2" xfId="44456"/>
    <cellStyle name="Normal 10 2 4 6 5 3" xfId="35085"/>
    <cellStyle name="Normal 10 2 4 6 6" xfId="19165"/>
    <cellStyle name="Normal 10 2 4 6 6 2" xfId="41722"/>
    <cellStyle name="Normal 10 2 4 6 7" xfId="25805"/>
    <cellStyle name="Normal 10 2 4 6 7 2" xfId="48050"/>
    <cellStyle name="Normal 10 2 4 6 8" xfId="28453"/>
    <cellStyle name="Normal 10 2 4 7" xfId="3816"/>
    <cellStyle name="Normal 10 2 4 7 2" xfId="6954"/>
    <cellStyle name="Normal 10 2 4 7 2 2" xfId="10286"/>
    <cellStyle name="Normal 10 2 4 7 2 2 2" xfId="16990"/>
    <cellStyle name="Normal 10 2 4 7 2 2 2 2" xfId="40411"/>
    <cellStyle name="Normal 10 2 4 7 2 2 3" xfId="33779"/>
    <cellStyle name="Normal 10 2 4 7 2 3" xfId="13674"/>
    <cellStyle name="Normal 10 2 4 7 2 3 2" xfId="37095"/>
    <cellStyle name="Normal 10 2 4 7 2 4" xfId="20567"/>
    <cellStyle name="Normal 10 2 4 7 2 4 2" xfId="43020"/>
    <cellStyle name="Normal 10 2 4 7 2 5" xfId="30463"/>
    <cellStyle name="Normal 10 2 4 7 3" xfId="8621"/>
    <cellStyle name="Normal 10 2 4 7 3 2" xfId="15332"/>
    <cellStyle name="Normal 10 2 4 7 3 2 2" xfId="38753"/>
    <cellStyle name="Normal 10 2 4 7 3 3" xfId="21152"/>
    <cellStyle name="Normal 10 2 4 7 3 3 2" xfId="43603"/>
    <cellStyle name="Normal 10 2 4 7 3 4" xfId="32121"/>
    <cellStyle name="Normal 10 2 4 7 4" xfId="12014"/>
    <cellStyle name="Normal 10 2 4 7 4 2" xfId="22448"/>
    <cellStyle name="Normal 10 2 4 7 4 2 2" xfId="44870"/>
    <cellStyle name="Normal 10 2 4 7 4 3" xfId="35437"/>
    <cellStyle name="Normal 10 2 4 7 5" xfId="19601"/>
    <cellStyle name="Normal 10 2 4 7 5 2" xfId="42138"/>
    <cellStyle name="Normal 10 2 4 7 6" xfId="28805"/>
    <cellStyle name="Normal 10 2 4 8" xfId="6129"/>
    <cellStyle name="Normal 10 2 4 8 2" xfId="9463"/>
    <cellStyle name="Normal 10 2 4 8 2 2" xfId="16167"/>
    <cellStyle name="Normal 10 2 4 8 2 2 2" xfId="39588"/>
    <cellStyle name="Normal 10 2 4 8 2 3" xfId="32956"/>
    <cellStyle name="Normal 10 2 4 8 3" xfId="12851"/>
    <cellStyle name="Normal 10 2 4 8 3 2" xfId="36272"/>
    <cellStyle name="Normal 10 2 4 8 4" xfId="18336"/>
    <cellStyle name="Normal 10 2 4 8 4 2" xfId="41469"/>
    <cellStyle name="Normal 10 2 4 8 5" xfId="29640"/>
    <cellStyle name="Normal 10 2 4 9" xfId="7794"/>
    <cellStyle name="Normal 10 2 4 9 2" xfId="14509"/>
    <cellStyle name="Normal 10 2 4 9 2 2" xfId="37930"/>
    <cellStyle name="Normal 10 2 4 9 3" xfId="20693"/>
    <cellStyle name="Normal 10 2 4 9 3 2" xfId="43144"/>
    <cellStyle name="Normal 10 2 4 9 4" xfId="31298"/>
    <cellStyle name="Normal 10 2 5" xfId="1517"/>
    <cellStyle name="Normal 10 2 5 10" xfId="23536"/>
    <cellStyle name="Normal 10 2 5 10 2" xfId="45870"/>
    <cellStyle name="Normal 10 2 5 11" xfId="28047"/>
    <cellStyle name="Normal 10 2 5 2" xfId="1826"/>
    <cellStyle name="Normal 10 2 5 2 10" xfId="28178"/>
    <cellStyle name="Normal 10 2 5 2 2" xfId="2216"/>
    <cellStyle name="Normal 10 2 5 2 2 2" xfId="5491"/>
    <cellStyle name="Normal 10 2 5 2 2 2 2" xfId="7317"/>
    <cellStyle name="Normal 10 2 5 2 2 2 2 2" xfId="10648"/>
    <cellStyle name="Normal 10 2 5 2 2 2 2 2 2" xfId="17352"/>
    <cellStyle name="Normal 10 2 5 2 2 2 2 2 2 2" xfId="40773"/>
    <cellStyle name="Normal 10 2 5 2 2 2 2 2 3" xfId="23064"/>
    <cellStyle name="Normal 10 2 5 2 2 2 2 2 3 2" xfId="45486"/>
    <cellStyle name="Normal 10 2 5 2 2 2 2 2 4" xfId="34141"/>
    <cellStyle name="Normal 10 2 5 2 2 2 2 3" xfId="14036"/>
    <cellStyle name="Normal 10 2 5 2 2 2 2 3 2" xfId="37457"/>
    <cellStyle name="Normal 10 2 5 2 2 2 2 4" xfId="20236"/>
    <cellStyle name="Normal 10 2 5 2 2 2 2 4 2" xfId="42771"/>
    <cellStyle name="Normal 10 2 5 2 2 2 2 5" xfId="27150"/>
    <cellStyle name="Normal 10 2 5 2 2 2 2 5 2" xfId="49395"/>
    <cellStyle name="Normal 10 2 5 2 2 2 2 6" xfId="30825"/>
    <cellStyle name="Normal 10 2 5 2 2 2 3" xfId="8990"/>
    <cellStyle name="Normal 10 2 5 2 2 2 3 2" xfId="15694"/>
    <cellStyle name="Normal 10 2 5 2 2 2 3 2 2" xfId="39115"/>
    <cellStyle name="Normal 10 2 5 2 2 2 3 3" xfId="21170"/>
    <cellStyle name="Normal 10 2 5 2 2 2 3 3 2" xfId="43621"/>
    <cellStyle name="Normal 10 2 5 2 2 2 3 4" xfId="32483"/>
    <cellStyle name="Normal 10 2 5 2 2 2 4" xfId="12378"/>
    <cellStyle name="Normal 10 2 5 2 2 2 4 2" xfId="22249"/>
    <cellStyle name="Normal 10 2 5 2 2 2 4 2 2" xfId="44671"/>
    <cellStyle name="Normal 10 2 5 2 2 2 4 3" xfId="35799"/>
    <cellStyle name="Normal 10 2 5 2 2 2 5" xfId="19397"/>
    <cellStyle name="Normal 10 2 5 2 2 2 5 2" xfId="41939"/>
    <cellStyle name="Normal 10 2 5 2 2 2 6" xfId="24937"/>
    <cellStyle name="Normal 10 2 5 2 2 2 6 2" xfId="47182"/>
    <cellStyle name="Normal 10 2 5 2 2 2 7" xfId="29167"/>
    <cellStyle name="Normal 10 2 5 2 2 3" xfId="6408"/>
    <cellStyle name="Normal 10 2 5 2 2 3 2" xfId="9742"/>
    <cellStyle name="Normal 10 2 5 2 2 3 2 2" xfId="16446"/>
    <cellStyle name="Normal 10 2 5 2 2 3 2 2 2" xfId="39867"/>
    <cellStyle name="Normal 10 2 5 2 2 3 2 3" xfId="22657"/>
    <cellStyle name="Normal 10 2 5 2 2 3 2 3 2" xfId="45079"/>
    <cellStyle name="Normal 10 2 5 2 2 3 2 4" xfId="27820"/>
    <cellStyle name="Normal 10 2 5 2 2 3 2 4 2" xfId="50065"/>
    <cellStyle name="Normal 10 2 5 2 2 3 2 5" xfId="33235"/>
    <cellStyle name="Normal 10 2 5 2 2 3 3" xfId="13130"/>
    <cellStyle name="Normal 10 2 5 2 2 3 3 2" xfId="36551"/>
    <cellStyle name="Normal 10 2 5 2 2 3 4" xfId="19820"/>
    <cellStyle name="Normal 10 2 5 2 2 3 4 2" xfId="42355"/>
    <cellStyle name="Normal 10 2 5 2 2 3 5" xfId="25515"/>
    <cellStyle name="Normal 10 2 5 2 2 3 5 2" xfId="47760"/>
    <cellStyle name="Normal 10 2 5 2 2 3 6" xfId="29919"/>
    <cellStyle name="Normal 10 2 5 2 2 4" xfId="8075"/>
    <cellStyle name="Normal 10 2 5 2 2 4 2" xfId="14788"/>
    <cellStyle name="Normal 10 2 5 2 2 4 2 2" xfId="38209"/>
    <cellStyle name="Normal 10 2 5 2 2 4 3" xfId="20711"/>
    <cellStyle name="Normal 10 2 5 2 2 4 3 2" xfId="43162"/>
    <cellStyle name="Normal 10 2 5 2 2 4 4" xfId="26477"/>
    <cellStyle name="Normal 10 2 5 2 2 4 4 2" xfId="48722"/>
    <cellStyle name="Normal 10 2 5 2 2 4 5" xfId="31577"/>
    <cellStyle name="Normal 10 2 5 2 2 5" xfId="11470"/>
    <cellStyle name="Normal 10 2 5 2 2 5 2" xfId="21815"/>
    <cellStyle name="Normal 10 2 5 2 2 5 2 2" xfId="44257"/>
    <cellStyle name="Normal 10 2 5 2 2 5 3" xfId="34893"/>
    <cellStyle name="Normal 10 2 5 2 2 6" xfId="18570"/>
    <cellStyle name="Normal 10 2 5 2 2 6 2" xfId="41514"/>
    <cellStyle name="Normal 10 2 5 2 2 7" xfId="24273"/>
    <cellStyle name="Normal 10 2 5 2 2 7 2" xfId="46519"/>
    <cellStyle name="Normal 10 2 5 2 2 8" xfId="28261"/>
    <cellStyle name="Normal 10 2 5 2 3" xfId="2823"/>
    <cellStyle name="Normal 10 2 5 2 3 2" xfId="5915"/>
    <cellStyle name="Normal 10 2 5 2 3 2 2" xfId="7697"/>
    <cellStyle name="Normal 10 2 5 2 3 2 2 2" xfId="11026"/>
    <cellStyle name="Normal 10 2 5 2 3 2 2 2 2" xfId="17730"/>
    <cellStyle name="Normal 10 2 5 2 3 2 2 2 2 2" xfId="41151"/>
    <cellStyle name="Normal 10 2 5 2 3 2 2 2 3" xfId="34519"/>
    <cellStyle name="Normal 10 2 5 2 3 2 2 3" xfId="14414"/>
    <cellStyle name="Normal 10 2 5 2 3 2 2 3 2" xfId="37835"/>
    <cellStyle name="Normal 10 2 5 2 3 2 2 4" xfId="22864"/>
    <cellStyle name="Normal 10 2 5 2 3 2 2 4 2" xfId="45286"/>
    <cellStyle name="Normal 10 2 5 2 3 2 2 5" xfId="31203"/>
    <cellStyle name="Normal 10 2 5 2 3 2 3" xfId="9368"/>
    <cellStyle name="Normal 10 2 5 2 3 2 3 2" xfId="16072"/>
    <cellStyle name="Normal 10 2 5 2 3 2 3 2 2" xfId="39493"/>
    <cellStyle name="Normal 10 2 5 2 3 2 3 3" xfId="32861"/>
    <cellStyle name="Normal 10 2 5 2 3 2 4" xfId="12756"/>
    <cellStyle name="Normal 10 2 5 2 3 2 4 2" xfId="36177"/>
    <cellStyle name="Normal 10 2 5 2 3 2 5" xfId="20028"/>
    <cellStyle name="Normal 10 2 5 2 3 2 5 2" xfId="42563"/>
    <cellStyle name="Normal 10 2 5 2 3 2 6" xfId="26818"/>
    <cellStyle name="Normal 10 2 5 2 3 2 6 2" xfId="49063"/>
    <cellStyle name="Normal 10 2 5 2 3 2 7" xfId="29545"/>
    <cellStyle name="Normal 10 2 5 2 3 3" xfId="6798"/>
    <cellStyle name="Normal 10 2 5 2 3 3 2" xfId="10130"/>
    <cellStyle name="Normal 10 2 5 2 3 3 2 2" xfId="16834"/>
    <cellStyle name="Normal 10 2 5 2 3 3 2 2 2" xfId="40255"/>
    <cellStyle name="Normal 10 2 5 2 3 3 2 3" xfId="33623"/>
    <cellStyle name="Normal 10 2 5 2 3 3 3" xfId="13518"/>
    <cellStyle name="Normal 10 2 5 2 3 3 3 2" xfId="36939"/>
    <cellStyle name="Normal 10 2 5 2 3 3 4" xfId="21169"/>
    <cellStyle name="Normal 10 2 5 2 3 3 4 2" xfId="43620"/>
    <cellStyle name="Normal 10 2 5 2 3 3 5" xfId="30307"/>
    <cellStyle name="Normal 10 2 5 2 3 4" xfId="8464"/>
    <cellStyle name="Normal 10 2 5 2 3 4 2" xfId="15176"/>
    <cellStyle name="Normal 10 2 5 2 3 4 2 2" xfId="38597"/>
    <cellStyle name="Normal 10 2 5 2 3 4 3" xfId="22037"/>
    <cellStyle name="Normal 10 2 5 2 3 4 3 2" xfId="44465"/>
    <cellStyle name="Normal 10 2 5 2 3 4 4" xfId="31965"/>
    <cellStyle name="Normal 10 2 5 2 3 5" xfId="11858"/>
    <cellStyle name="Normal 10 2 5 2 3 5 2" xfId="35281"/>
    <cellStyle name="Normal 10 2 5 2 3 6" xfId="19174"/>
    <cellStyle name="Normal 10 2 5 2 3 6 2" xfId="41731"/>
    <cellStyle name="Normal 10 2 5 2 3 7" xfId="24605"/>
    <cellStyle name="Normal 10 2 5 2 3 7 2" xfId="46850"/>
    <cellStyle name="Normal 10 2 5 2 3 8" xfId="28649"/>
    <cellStyle name="Normal 10 2 5 2 4" xfId="3825"/>
    <cellStyle name="Normal 10 2 5 2 4 2" xfId="6963"/>
    <cellStyle name="Normal 10 2 5 2 4 2 2" xfId="10295"/>
    <cellStyle name="Normal 10 2 5 2 4 2 2 2" xfId="16999"/>
    <cellStyle name="Normal 10 2 5 2 4 2 2 2 2" xfId="40420"/>
    <cellStyle name="Normal 10 2 5 2 4 2 2 3" xfId="33788"/>
    <cellStyle name="Normal 10 2 5 2 4 2 3" xfId="13683"/>
    <cellStyle name="Normal 10 2 5 2 4 2 3 2" xfId="37104"/>
    <cellStyle name="Normal 10 2 5 2 4 2 4" xfId="22457"/>
    <cellStyle name="Normal 10 2 5 2 4 2 4 2" xfId="44879"/>
    <cellStyle name="Normal 10 2 5 2 4 2 5" xfId="27484"/>
    <cellStyle name="Normal 10 2 5 2 4 2 5 2" xfId="49729"/>
    <cellStyle name="Normal 10 2 5 2 4 2 6" xfId="30472"/>
    <cellStyle name="Normal 10 2 5 2 4 3" xfId="8630"/>
    <cellStyle name="Normal 10 2 5 2 4 3 2" xfId="15341"/>
    <cellStyle name="Normal 10 2 5 2 4 3 2 2" xfId="38762"/>
    <cellStyle name="Normal 10 2 5 2 4 3 3" xfId="32130"/>
    <cellStyle name="Normal 10 2 5 2 4 4" xfId="12023"/>
    <cellStyle name="Normal 10 2 5 2 4 4 2" xfId="35446"/>
    <cellStyle name="Normal 10 2 5 2 4 5" xfId="19610"/>
    <cellStyle name="Normal 10 2 5 2 4 5 2" xfId="42147"/>
    <cellStyle name="Normal 10 2 5 2 4 6" xfId="25179"/>
    <cellStyle name="Normal 10 2 5 2 4 6 2" xfId="47424"/>
    <cellStyle name="Normal 10 2 5 2 4 7" xfId="28814"/>
    <cellStyle name="Normal 10 2 5 2 5" xfId="6325"/>
    <cellStyle name="Normal 10 2 5 2 5 2" xfId="9659"/>
    <cellStyle name="Normal 10 2 5 2 5 2 2" xfId="16363"/>
    <cellStyle name="Normal 10 2 5 2 5 2 2 2" xfId="39784"/>
    <cellStyle name="Normal 10 2 5 2 5 2 3" xfId="33152"/>
    <cellStyle name="Normal 10 2 5 2 5 3" xfId="13047"/>
    <cellStyle name="Normal 10 2 5 2 5 3 2" xfId="36468"/>
    <cellStyle name="Normal 10 2 5 2 5 4" xfId="20710"/>
    <cellStyle name="Normal 10 2 5 2 5 4 2" xfId="43161"/>
    <cellStyle name="Normal 10 2 5 2 5 5" xfId="25814"/>
    <cellStyle name="Normal 10 2 5 2 5 5 2" xfId="48059"/>
    <cellStyle name="Normal 10 2 5 2 5 6" xfId="29836"/>
    <cellStyle name="Normal 10 2 5 2 6" xfId="7991"/>
    <cellStyle name="Normal 10 2 5 2 6 2" xfId="14705"/>
    <cellStyle name="Normal 10 2 5 2 6 2 2" xfId="38126"/>
    <cellStyle name="Normal 10 2 5 2 6 3" xfId="21606"/>
    <cellStyle name="Normal 10 2 5 2 6 3 2" xfId="44055"/>
    <cellStyle name="Normal 10 2 5 2 6 4" xfId="31494"/>
    <cellStyle name="Normal 10 2 5 2 7" xfId="11387"/>
    <cellStyle name="Normal 10 2 5 2 7 2" xfId="34810"/>
    <cellStyle name="Normal 10 2 5 2 8" xfId="17969"/>
    <cellStyle name="Normal 10 2 5 2 8 2" xfId="41278"/>
    <cellStyle name="Normal 10 2 5 2 9" xfId="23537"/>
    <cellStyle name="Normal 10 2 5 2 9 2" xfId="45871"/>
    <cellStyle name="Normal 10 2 5 3" xfId="2215"/>
    <cellStyle name="Normal 10 2 5 3 2" xfId="5490"/>
    <cellStyle name="Normal 10 2 5 3 2 2" xfId="7316"/>
    <cellStyle name="Normal 10 2 5 3 2 2 2" xfId="10647"/>
    <cellStyle name="Normal 10 2 5 3 2 2 2 2" xfId="17351"/>
    <cellStyle name="Normal 10 2 5 3 2 2 2 2 2" xfId="40772"/>
    <cellStyle name="Normal 10 2 5 3 2 2 2 3" xfId="23063"/>
    <cellStyle name="Normal 10 2 5 3 2 2 2 3 2" xfId="45485"/>
    <cellStyle name="Normal 10 2 5 3 2 2 2 4" xfId="34140"/>
    <cellStyle name="Normal 10 2 5 3 2 2 3" xfId="14035"/>
    <cellStyle name="Normal 10 2 5 3 2 2 3 2" xfId="37456"/>
    <cellStyle name="Normal 10 2 5 3 2 2 4" xfId="20235"/>
    <cellStyle name="Normal 10 2 5 3 2 2 4 2" xfId="42770"/>
    <cellStyle name="Normal 10 2 5 3 2 2 5" xfId="26984"/>
    <cellStyle name="Normal 10 2 5 3 2 2 5 2" xfId="49229"/>
    <cellStyle name="Normal 10 2 5 3 2 2 6" xfId="30824"/>
    <cellStyle name="Normal 10 2 5 3 2 3" xfId="8989"/>
    <cellStyle name="Normal 10 2 5 3 2 3 2" xfId="15693"/>
    <cellStyle name="Normal 10 2 5 3 2 3 2 2" xfId="39114"/>
    <cellStyle name="Normal 10 2 5 3 2 3 3" xfId="21171"/>
    <cellStyle name="Normal 10 2 5 3 2 3 3 2" xfId="43622"/>
    <cellStyle name="Normal 10 2 5 3 2 3 4" xfId="32482"/>
    <cellStyle name="Normal 10 2 5 3 2 4" xfId="12377"/>
    <cellStyle name="Normal 10 2 5 3 2 4 2" xfId="22248"/>
    <cellStyle name="Normal 10 2 5 3 2 4 2 2" xfId="44670"/>
    <cellStyle name="Normal 10 2 5 3 2 4 3" xfId="35798"/>
    <cellStyle name="Normal 10 2 5 3 2 5" xfId="19396"/>
    <cellStyle name="Normal 10 2 5 3 2 5 2" xfId="41938"/>
    <cellStyle name="Normal 10 2 5 3 2 6" xfId="24771"/>
    <cellStyle name="Normal 10 2 5 3 2 6 2" xfId="47016"/>
    <cellStyle name="Normal 10 2 5 3 2 7" xfId="29166"/>
    <cellStyle name="Normal 10 2 5 3 3" xfId="6407"/>
    <cellStyle name="Normal 10 2 5 3 3 2" xfId="9741"/>
    <cellStyle name="Normal 10 2 5 3 3 2 2" xfId="16445"/>
    <cellStyle name="Normal 10 2 5 3 3 2 2 2" xfId="39866"/>
    <cellStyle name="Normal 10 2 5 3 3 2 3" xfId="22656"/>
    <cellStyle name="Normal 10 2 5 3 3 2 3 2" xfId="45078"/>
    <cellStyle name="Normal 10 2 5 3 3 2 4" xfId="27652"/>
    <cellStyle name="Normal 10 2 5 3 3 2 4 2" xfId="49897"/>
    <cellStyle name="Normal 10 2 5 3 3 2 5" xfId="33234"/>
    <cellStyle name="Normal 10 2 5 3 3 3" xfId="13129"/>
    <cellStyle name="Normal 10 2 5 3 3 3 2" xfId="36550"/>
    <cellStyle name="Normal 10 2 5 3 3 4" xfId="19819"/>
    <cellStyle name="Normal 10 2 5 3 3 4 2" xfId="42354"/>
    <cellStyle name="Normal 10 2 5 3 3 5" xfId="25347"/>
    <cellStyle name="Normal 10 2 5 3 3 5 2" xfId="47592"/>
    <cellStyle name="Normal 10 2 5 3 3 6" xfId="29918"/>
    <cellStyle name="Normal 10 2 5 3 4" xfId="8074"/>
    <cellStyle name="Normal 10 2 5 3 4 2" xfId="14787"/>
    <cellStyle name="Normal 10 2 5 3 4 2 2" xfId="38208"/>
    <cellStyle name="Normal 10 2 5 3 4 3" xfId="20712"/>
    <cellStyle name="Normal 10 2 5 3 4 3 2" xfId="43163"/>
    <cellStyle name="Normal 10 2 5 3 4 4" xfId="26312"/>
    <cellStyle name="Normal 10 2 5 3 4 4 2" xfId="48557"/>
    <cellStyle name="Normal 10 2 5 3 4 5" xfId="31576"/>
    <cellStyle name="Normal 10 2 5 3 5" xfId="11469"/>
    <cellStyle name="Normal 10 2 5 3 5 2" xfId="21814"/>
    <cellStyle name="Normal 10 2 5 3 5 2 2" xfId="44256"/>
    <cellStyle name="Normal 10 2 5 3 5 3" xfId="34892"/>
    <cellStyle name="Normal 10 2 5 3 6" xfId="18569"/>
    <cellStyle name="Normal 10 2 5 3 6 2" xfId="41513"/>
    <cellStyle name="Normal 10 2 5 3 7" xfId="24108"/>
    <cellStyle name="Normal 10 2 5 3 7 2" xfId="46354"/>
    <cellStyle name="Normal 10 2 5 3 8" xfId="28260"/>
    <cellStyle name="Normal 10 2 5 4" xfId="2691"/>
    <cellStyle name="Normal 10 2 5 4 2" xfId="5784"/>
    <cellStyle name="Normal 10 2 5 4 2 2" xfId="7566"/>
    <cellStyle name="Normal 10 2 5 4 2 2 2" xfId="10895"/>
    <cellStyle name="Normal 10 2 5 4 2 2 2 2" xfId="17599"/>
    <cellStyle name="Normal 10 2 5 4 2 2 2 2 2" xfId="41020"/>
    <cellStyle name="Normal 10 2 5 4 2 2 2 3" xfId="34388"/>
    <cellStyle name="Normal 10 2 5 4 2 2 3" xfId="14283"/>
    <cellStyle name="Normal 10 2 5 4 2 2 3 2" xfId="37704"/>
    <cellStyle name="Normal 10 2 5 4 2 2 4" xfId="22863"/>
    <cellStyle name="Normal 10 2 5 4 2 2 4 2" xfId="45285"/>
    <cellStyle name="Normal 10 2 5 4 2 2 5" xfId="31072"/>
    <cellStyle name="Normal 10 2 5 4 2 3" xfId="9237"/>
    <cellStyle name="Normal 10 2 5 4 2 3 2" xfId="15941"/>
    <cellStyle name="Normal 10 2 5 4 2 3 2 2" xfId="39362"/>
    <cellStyle name="Normal 10 2 5 4 2 3 3" xfId="32730"/>
    <cellStyle name="Normal 10 2 5 4 2 4" xfId="12625"/>
    <cellStyle name="Normal 10 2 5 4 2 4 2" xfId="36046"/>
    <cellStyle name="Normal 10 2 5 4 2 5" xfId="20027"/>
    <cellStyle name="Normal 10 2 5 4 2 5 2" xfId="42562"/>
    <cellStyle name="Normal 10 2 5 4 2 6" xfId="26652"/>
    <cellStyle name="Normal 10 2 5 4 2 6 2" xfId="48897"/>
    <cellStyle name="Normal 10 2 5 4 2 7" xfId="29414"/>
    <cellStyle name="Normal 10 2 5 4 3" xfId="6667"/>
    <cellStyle name="Normal 10 2 5 4 3 2" xfId="9999"/>
    <cellStyle name="Normal 10 2 5 4 3 2 2" xfId="16703"/>
    <cellStyle name="Normal 10 2 5 4 3 2 2 2" xfId="40124"/>
    <cellStyle name="Normal 10 2 5 4 3 2 3" xfId="33492"/>
    <cellStyle name="Normal 10 2 5 4 3 3" xfId="13387"/>
    <cellStyle name="Normal 10 2 5 4 3 3 2" xfId="36808"/>
    <cellStyle name="Normal 10 2 5 4 3 4" xfId="21168"/>
    <cellStyle name="Normal 10 2 5 4 3 4 2" xfId="43619"/>
    <cellStyle name="Normal 10 2 5 4 3 5" xfId="30176"/>
    <cellStyle name="Normal 10 2 5 4 4" xfId="8333"/>
    <cellStyle name="Normal 10 2 5 4 4 2" xfId="15045"/>
    <cellStyle name="Normal 10 2 5 4 4 2 2" xfId="38466"/>
    <cellStyle name="Normal 10 2 5 4 4 3" xfId="22036"/>
    <cellStyle name="Normal 10 2 5 4 4 3 2" xfId="44464"/>
    <cellStyle name="Normal 10 2 5 4 4 4" xfId="31834"/>
    <cellStyle name="Normal 10 2 5 4 5" xfId="11727"/>
    <cellStyle name="Normal 10 2 5 4 5 2" xfId="35150"/>
    <cellStyle name="Normal 10 2 5 4 6" xfId="19173"/>
    <cellStyle name="Normal 10 2 5 4 6 2" xfId="41730"/>
    <cellStyle name="Normal 10 2 5 4 7" xfId="24439"/>
    <cellStyle name="Normal 10 2 5 4 7 2" xfId="46684"/>
    <cellStyle name="Normal 10 2 5 4 8" xfId="28518"/>
    <cellStyle name="Normal 10 2 5 5" xfId="3824"/>
    <cellStyle name="Normal 10 2 5 5 2" xfId="6962"/>
    <cellStyle name="Normal 10 2 5 5 2 2" xfId="10294"/>
    <cellStyle name="Normal 10 2 5 5 2 2 2" xfId="16998"/>
    <cellStyle name="Normal 10 2 5 5 2 2 2 2" xfId="40419"/>
    <cellStyle name="Normal 10 2 5 5 2 2 3" xfId="33787"/>
    <cellStyle name="Normal 10 2 5 5 2 3" xfId="13682"/>
    <cellStyle name="Normal 10 2 5 5 2 3 2" xfId="37103"/>
    <cellStyle name="Normal 10 2 5 5 2 4" xfId="22456"/>
    <cellStyle name="Normal 10 2 5 5 2 4 2" xfId="44878"/>
    <cellStyle name="Normal 10 2 5 5 2 5" xfId="27316"/>
    <cellStyle name="Normal 10 2 5 5 2 5 2" xfId="49561"/>
    <cellStyle name="Normal 10 2 5 5 2 6" xfId="30471"/>
    <cellStyle name="Normal 10 2 5 5 3" xfId="8629"/>
    <cellStyle name="Normal 10 2 5 5 3 2" xfId="15340"/>
    <cellStyle name="Normal 10 2 5 5 3 2 2" xfId="38761"/>
    <cellStyle name="Normal 10 2 5 5 3 3" xfId="32129"/>
    <cellStyle name="Normal 10 2 5 5 4" xfId="12022"/>
    <cellStyle name="Normal 10 2 5 5 4 2" xfId="35445"/>
    <cellStyle name="Normal 10 2 5 5 5" xfId="19609"/>
    <cellStyle name="Normal 10 2 5 5 5 2" xfId="42146"/>
    <cellStyle name="Normal 10 2 5 5 6" xfId="25083"/>
    <cellStyle name="Normal 10 2 5 5 6 2" xfId="47328"/>
    <cellStyle name="Normal 10 2 5 5 7" xfId="28813"/>
    <cellStyle name="Normal 10 2 5 6" xfId="6194"/>
    <cellStyle name="Normal 10 2 5 6 2" xfId="9528"/>
    <cellStyle name="Normal 10 2 5 6 2 2" xfId="16232"/>
    <cellStyle name="Normal 10 2 5 6 2 2 2" xfId="39653"/>
    <cellStyle name="Normal 10 2 5 6 2 3" xfId="33021"/>
    <cellStyle name="Normal 10 2 5 6 3" xfId="12916"/>
    <cellStyle name="Normal 10 2 5 6 3 2" xfId="36337"/>
    <cellStyle name="Normal 10 2 5 6 4" xfId="20709"/>
    <cellStyle name="Normal 10 2 5 6 4 2" xfId="43160"/>
    <cellStyle name="Normal 10 2 5 6 5" xfId="25813"/>
    <cellStyle name="Normal 10 2 5 6 5 2" xfId="48058"/>
    <cellStyle name="Normal 10 2 5 6 6" xfId="29705"/>
    <cellStyle name="Normal 10 2 5 7" xfId="7860"/>
    <cellStyle name="Normal 10 2 5 7 2" xfId="14574"/>
    <cellStyle name="Normal 10 2 5 7 2 2" xfId="37995"/>
    <cellStyle name="Normal 10 2 5 7 3" xfId="21605"/>
    <cellStyle name="Normal 10 2 5 7 3 2" xfId="44054"/>
    <cellStyle name="Normal 10 2 5 7 4" xfId="31363"/>
    <cellStyle name="Normal 10 2 5 8" xfId="11256"/>
    <cellStyle name="Normal 10 2 5 8 2" xfId="34679"/>
    <cellStyle name="Normal 10 2 5 9" xfId="17968"/>
    <cellStyle name="Normal 10 2 5 9 2" xfId="41277"/>
    <cellStyle name="Normal 10 2 6" xfId="5104"/>
    <cellStyle name="Normal 10 2 6 2" xfId="18544"/>
    <cellStyle name="Normal 10 2 6 2 2" xfId="24354"/>
    <cellStyle name="Normal 10 2 6 2 2 2" xfId="25019"/>
    <cellStyle name="Normal 10 2 6 2 2 2 2" xfId="27232"/>
    <cellStyle name="Normal 10 2 6 2 2 2 2 2" xfId="49477"/>
    <cellStyle name="Normal 10 2 6 2 2 2 3" xfId="47264"/>
    <cellStyle name="Normal 10 2 6 2 2 3" xfId="25599"/>
    <cellStyle name="Normal 10 2 6 2 2 3 2" xfId="27904"/>
    <cellStyle name="Normal 10 2 6 2 2 3 2 2" xfId="50149"/>
    <cellStyle name="Normal 10 2 6 2 2 3 3" xfId="47844"/>
    <cellStyle name="Normal 10 2 6 2 2 4" xfId="26558"/>
    <cellStyle name="Normal 10 2 6 2 2 4 2" xfId="48803"/>
    <cellStyle name="Normal 10 2 6 2 2 5" xfId="46600"/>
    <cellStyle name="Normal 10 2 6 2 3" xfId="24687"/>
    <cellStyle name="Normal 10 2 6 2 3 2" xfId="26900"/>
    <cellStyle name="Normal 10 2 6 2 3 2 2" xfId="49145"/>
    <cellStyle name="Normal 10 2 6 2 3 3" xfId="46932"/>
    <cellStyle name="Normal 10 2 6 2 4" xfId="25263"/>
    <cellStyle name="Normal 10 2 6 2 4 2" xfId="27568"/>
    <cellStyle name="Normal 10 2 6 2 4 2 2" xfId="49813"/>
    <cellStyle name="Normal 10 2 6 2 4 3" xfId="47508"/>
    <cellStyle name="Normal 10 2 6 2 5" xfId="26229"/>
    <cellStyle name="Normal 10 2 6 2 5 2" xfId="48474"/>
    <cellStyle name="Normal 10 2 6 2 6" xfId="24038"/>
    <cellStyle name="Normal 10 2 6 2 6 2" xfId="46284"/>
    <cellStyle name="Normal 10 2 6 3" xfId="24189"/>
    <cellStyle name="Normal 10 2 6 3 2" xfId="24853"/>
    <cellStyle name="Normal 10 2 6 3 2 2" xfId="27066"/>
    <cellStyle name="Normal 10 2 6 3 2 2 2" xfId="49311"/>
    <cellStyle name="Normal 10 2 6 3 2 3" xfId="47098"/>
    <cellStyle name="Normal 10 2 6 3 3" xfId="25431"/>
    <cellStyle name="Normal 10 2 6 3 3 2" xfId="27736"/>
    <cellStyle name="Normal 10 2 6 3 3 2 2" xfId="49981"/>
    <cellStyle name="Normal 10 2 6 3 3 3" xfId="47676"/>
    <cellStyle name="Normal 10 2 6 3 4" xfId="26393"/>
    <cellStyle name="Normal 10 2 6 3 4 2" xfId="48638"/>
    <cellStyle name="Normal 10 2 6 3 5" xfId="46435"/>
    <cellStyle name="Normal 10 2 6 4" xfId="24521"/>
    <cellStyle name="Normal 10 2 6 4 2" xfId="26734"/>
    <cellStyle name="Normal 10 2 6 4 2 2" xfId="48979"/>
    <cellStyle name="Normal 10 2 6 4 3" xfId="46766"/>
    <cellStyle name="Normal 10 2 6 5" xfId="25101"/>
    <cellStyle name="Normal 10 2 6 5 2" xfId="27400"/>
    <cellStyle name="Normal 10 2 6 5 2 2" xfId="49645"/>
    <cellStyle name="Normal 10 2 6 5 3" xfId="47346"/>
    <cellStyle name="Normal 10 2 6 6" xfId="23891"/>
    <cellStyle name="Normal 10 2 6 6 2" xfId="26082"/>
    <cellStyle name="Normal 10 2 6 6 2 2" xfId="48327"/>
    <cellStyle name="Normal 10 2 6 6 3" xfId="46137"/>
    <cellStyle name="Normal 10 2 7" xfId="23919"/>
    <cellStyle name="Normal 10 2 7 2" xfId="24231"/>
    <cellStyle name="Normal 10 2 7 2 2" xfId="24895"/>
    <cellStyle name="Normal 10 2 7 2 2 2" xfId="27108"/>
    <cellStyle name="Normal 10 2 7 2 2 2 2" xfId="49353"/>
    <cellStyle name="Normal 10 2 7 2 2 3" xfId="47140"/>
    <cellStyle name="Normal 10 2 7 2 3" xfId="25473"/>
    <cellStyle name="Normal 10 2 7 2 3 2" xfId="27778"/>
    <cellStyle name="Normal 10 2 7 2 3 2 2" xfId="50023"/>
    <cellStyle name="Normal 10 2 7 2 3 3" xfId="47718"/>
    <cellStyle name="Normal 10 2 7 2 4" xfId="26435"/>
    <cellStyle name="Normal 10 2 7 2 4 2" xfId="48680"/>
    <cellStyle name="Normal 10 2 7 2 5" xfId="46477"/>
    <cellStyle name="Normal 10 2 7 3" xfId="24563"/>
    <cellStyle name="Normal 10 2 7 3 2" xfId="26776"/>
    <cellStyle name="Normal 10 2 7 3 2 2" xfId="49021"/>
    <cellStyle name="Normal 10 2 7 3 3" xfId="46808"/>
    <cellStyle name="Normal 10 2 7 4" xfId="25137"/>
    <cellStyle name="Normal 10 2 7 4 2" xfId="27442"/>
    <cellStyle name="Normal 10 2 7 4 2 2" xfId="49687"/>
    <cellStyle name="Normal 10 2 7 4 3" xfId="47382"/>
    <cellStyle name="Normal 10 2 7 5" xfId="26110"/>
    <cellStyle name="Normal 10 2 7 5 2" xfId="48355"/>
    <cellStyle name="Normal 10 2 7 6" xfId="46165"/>
    <cellStyle name="Normal 10 2 8" xfId="24069"/>
    <cellStyle name="Normal 10 2 8 2" xfId="24729"/>
    <cellStyle name="Normal 10 2 8 2 2" xfId="26942"/>
    <cellStyle name="Normal 10 2 8 2 2 2" xfId="49187"/>
    <cellStyle name="Normal 10 2 8 2 3" xfId="46974"/>
    <cellStyle name="Normal 10 2 8 3" xfId="25305"/>
    <cellStyle name="Normal 10 2 8 3 2" xfId="27610"/>
    <cellStyle name="Normal 10 2 8 3 2 2" xfId="49855"/>
    <cellStyle name="Normal 10 2 8 3 3" xfId="47550"/>
    <cellStyle name="Normal 10 2 8 4" xfId="26270"/>
    <cellStyle name="Normal 10 2 8 4 2" xfId="48515"/>
    <cellStyle name="Normal 10 2 8 5" xfId="46315"/>
    <cellStyle name="Normal 10 2 9" xfId="24407"/>
    <cellStyle name="Normal 10 2 9 2" xfId="26610"/>
    <cellStyle name="Normal 10 2 9 2 2" xfId="48855"/>
    <cellStyle name="Normal 10 2 9 3" xfId="46652"/>
    <cellStyle name="Normal 10 3" xfId="1370"/>
    <cellStyle name="Normal 10 3 10" xfId="7806"/>
    <cellStyle name="Normal 10 3 10 2" xfId="14521"/>
    <cellStyle name="Normal 10 3 10 2 2" xfId="37942"/>
    <cellStyle name="Normal 10 3 10 3" xfId="20713"/>
    <cellStyle name="Normal 10 3 10 3 2" xfId="43164"/>
    <cellStyle name="Normal 10 3 10 4" xfId="31310"/>
    <cellStyle name="Normal 10 3 11" xfId="11203"/>
    <cellStyle name="Normal 10 3 11 2" xfId="21607"/>
    <cellStyle name="Normal 10 3 11 2 2" xfId="44056"/>
    <cellStyle name="Normal 10 3 11 3" xfId="34626"/>
    <cellStyle name="Normal 10 3 12" xfId="17970"/>
    <cellStyle name="Normal 10 3 12 2" xfId="41279"/>
    <cellStyle name="Normal 10 3 13" xfId="23410"/>
    <cellStyle name="Normal 10 3 13 2" xfId="45755"/>
    <cellStyle name="Normal 10 3 14" xfId="27994"/>
    <cellStyle name="Normal 10 3 2" xfId="1494"/>
    <cellStyle name="Normal 10 3 2 10" xfId="17971"/>
    <cellStyle name="Normal 10 3 2 10 2" xfId="41280"/>
    <cellStyle name="Normal 10 3 2 11" xfId="23524"/>
    <cellStyle name="Normal 10 3 2 11 2" xfId="45858"/>
    <cellStyle name="Normal 10 3 2 12" xfId="28030"/>
    <cellStyle name="Normal 10 3 2 2" xfId="1618"/>
    <cellStyle name="Normal 10 3 2 2 10" xfId="23539"/>
    <cellStyle name="Normal 10 3 2 2 10 2" xfId="45872"/>
    <cellStyle name="Normal 10 3 2 2 11" xfId="28061"/>
    <cellStyle name="Normal 10 3 2 2 2" xfId="1840"/>
    <cellStyle name="Normal 10 3 2 2 2 10" xfId="28192"/>
    <cellStyle name="Normal 10 3 2 2 2 2" xfId="2220"/>
    <cellStyle name="Normal 10 3 2 2 2 2 2" xfId="5493"/>
    <cellStyle name="Normal 10 3 2 2 2 2 2 2" xfId="7319"/>
    <cellStyle name="Normal 10 3 2 2 2 2 2 2 2" xfId="10650"/>
    <cellStyle name="Normal 10 3 2 2 2 2 2 2 2 2" xfId="17354"/>
    <cellStyle name="Normal 10 3 2 2 2 2 2 2 2 2 2" xfId="40775"/>
    <cellStyle name="Normal 10 3 2 2 2 2 2 2 2 3" xfId="23068"/>
    <cellStyle name="Normal 10 3 2 2 2 2 2 2 2 3 2" xfId="45490"/>
    <cellStyle name="Normal 10 3 2 2 2 2 2 2 2 4" xfId="34143"/>
    <cellStyle name="Normal 10 3 2 2 2 2 2 2 3" xfId="14038"/>
    <cellStyle name="Normal 10 3 2 2 2 2 2 2 3 2" xfId="37459"/>
    <cellStyle name="Normal 10 3 2 2 2 2 2 2 4" xfId="20240"/>
    <cellStyle name="Normal 10 3 2 2 2 2 2 2 4 2" xfId="42775"/>
    <cellStyle name="Normal 10 3 2 2 2 2 2 2 5" xfId="30827"/>
    <cellStyle name="Normal 10 3 2 2 2 2 2 3" xfId="8992"/>
    <cellStyle name="Normal 10 3 2 2 2 2 2 3 2" xfId="15696"/>
    <cellStyle name="Normal 10 3 2 2 2 2 2 3 2 2" xfId="39117"/>
    <cellStyle name="Normal 10 3 2 2 2 2 2 3 3" xfId="21176"/>
    <cellStyle name="Normal 10 3 2 2 2 2 2 3 3 2" xfId="43627"/>
    <cellStyle name="Normal 10 3 2 2 2 2 2 3 4" xfId="32485"/>
    <cellStyle name="Normal 10 3 2 2 2 2 2 4" xfId="12380"/>
    <cellStyle name="Normal 10 3 2 2 2 2 2 4 2" xfId="22253"/>
    <cellStyle name="Normal 10 3 2 2 2 2 2 4 2 2" xfId="44675"/>
    <cellStyle name="Normal 10 3 2 2 2 2 2 4 3" xfId="35801"/>
    <cellStyle name="Normal 10 3 2 2 2 2 2 5" xfId="19401"/>
    <cellStyle name="Normal 10 3 2 2 2 2 2 5 2" xfId="41943"/>
    <cellStyle name="Normal 10 3 2 2 2 2 2 6" xfId="29169"/>
    <cellStyle name="Normal 10 3 2 2 2 2 3" xfId="6412"/>
    <cellStyle name="Normal 10 3 2 2 2 2 3 2" xfId="9746"/>
    <cellStyle name="Normal 10 3 2 2 2 2 3 2 2" xfId="16450"/>
    <cellStyle name="Normal 10 3 2 2 2 2 3 2 2 2" xfId="39871"/>
    <cellStyle name="Normal 10 3 2 2 2 2 3 2 3" xfId="22661"/>
    <cellStyle name="Normal 10 3 2 2 2 2 3 2 3 2" xfId="45083"/>
    <cellStyle name="Normal 10 3 2 2 2 2 3 2 4" xfId="33239"/>
    <cellStyle name="Normal 10 3 2 2 2 2 3 3" xfId="13134"/>
    <cellStyle name="Normal 10 3 2 2 2 2 3 3 2" xfId="36555"/>
    <cellStyle name="Normal 10 3 2 2 2 2 3 4" xfId="19824"/>
    <cellStyle name="Normal 10 3 2 2 2 2 3 4 2" xfId="42359"/>
    <cellStyle name="Normal 10 3 2 2 2 2 3 5" xfId="29923"/>
    <cellStyle name="Normal 10 3 2 2 2 2 4" xfId="8079"/>
    <cellStyle name="Normal 10 3 2 2 2 2 4 2" xfId="14792"/>
    <cellStyle name="Normal 10 3 2 2 2 2 4 2 2" xfId="38213"/>
    <cellStyle name="Normal 10 3 2 2 2 2 4 3" xfId="20717"/>
    <cellStyle name="Normal 10 3 2 2 2 2 4 3 2" xfId="43168"/>
    <cellStyle name="Normal 10 3 2 2 2 2 4 4" xfId="31581"/>
    <cellStyle name="Normal 10 3 2 2 2 2 5" xfId="11474"/>
    <cellStyle name="Normal 10 3 2 2 2 2 5 2" xfId="21819"/>
    <cellStyle name="Normal 10 3 2 2 2 2 5 2 2" xfId="44261"/>
    <cellStyle name="Normal 10 3 2 2 2 2 5 3" xfId="34897"/>
    <cellStyle name="Normal 10 3 2 2 2 2 6" xfId="18574"/>
    <cellStyle name="Normal 10 3 2 2 2 2 6 2" xfId="41518"/>
    <cellStyle name="Normal 10 3 2 2 2 2 7" xfId="25817"/>
    <cellStyle name="Normal 10 3 2 2 2 2 7 2" xfId="48062"/>
    <cellStyle name="Normal 10 3 2 2 2 2 8" xfId="28265"/>
    <cellStyle name="Normal 10 3 2 2 2 3" xfId="2837"/>
    <cellStyle name="Normal 10 3 2 2 2 3 2" xfId="5929"/>
    <cellStyle name="Normal 10 3 2 2 2 3 2 2" xfId="7711"/>
    <cellStyle name="Normal 10 3 2 2 2 3 2 2 2" xfId="11040"/>
    <cellStyle name="Normal 10 3 2 2 2 3 2 2 2 2" xfId="17744"/>
    <cellStyle name="Normal 10 3 2 2 2 3 2 2 2 2 2" xfId="41165"/>
    <cellStyle name="Normal 10 3 2 2 2 3 2 2 2 3" xfId="34533"/>
    <cellStyle name="Normal 10 3 2 2 2 3 2 2 3" xfId="14428"/>
    <cellStyle name="Normal 10 3 2 2 2 3 2 2 3 2" xfId="37849"/>
    <cellStyle name="Normal 10 3 2 2 2 3 2 2 4" xfId="22868"/>
    <cellStyle name="Normal 10 3 2 2 2 3 2 2 4 2" xfId="45290"/>
    <cellStyle name="Normal 10 3 2 2 2 3 2 2 5" xfId="31217"/>
    <cellStyle name="Normal 10 3 2 2 2 3 2 3" xfId="9382"/>
    <cellStyle name="Normal 10 3 2 2 2 3 2 3 2" xfId="16086"/>
    <cellStyle name="Normal 10 3 2 2 2 3 2 3 2 2" xfId="39507"/>
    <cellStyle name="Normal 10 3 2 2 2 3 2 3 3" xfId="32875"/>
    <cellStyle name="Normal 10 3 2 2 2 3 2 4" xfId="12770"/>
    <cellStyle name="Normal 10 3 2 2 2 3 2 4 2" xfId="36191"/>
    <cellStyle name="Normal 10 3 2 2 2 3 2 5" xfId="20032"/>
    <cellStyle name="Normal 10 3 2 2 2 3 2 5 2" xfId="42567"/>
    <cellStyle name="Normal 10 3 2 2 2 3 2 6" xfId="29559"/>
    <cellStyle name="Normal 10 3 2 2 2 3 3" xfId="6812"/>
    <cellStyle name="Normal 10 3 2 2 2 3 3 2" xfId="10144"/>
    <cellStyle name="Normal 10 3 2 2 2 3 3 2 2" xfId="16848"/>
    <cellStyle name="Normal 10 3 2 2 2 3 3 2 2 2" xfId="40269"/>
    <cellStyle name="Normal 10 3 2 2 2 3 3 2 3" xfId="33637"/>
    <cellStyle name="Normal 10 3 2 2 2 3 3 3" xfId="13532"/>
    <cellStyle name="Normal 10 3 2 2 2 3 3 3 2" xfId="36953"/>
    <cellStyle name="Normal 10 3 2 2 2 3 3 4" xfId="21175"/>
    <cellStyle name="Normal 10 3 2 2 2 3 3 4 2" xfId="43626"/>
    <cellStyle name="Normal 10 3 2 2 2 3 3 5" xfId="30321"/>
    <cellStyle name="Normal 10 3 2 2 2 3 4" xfId="8478"/>
    <cellStyle name="Normal 10 3 2 2 2 3 4 2" xfId="15190"/>
    <cellStyle name="Normal 10 3 2 2 2 3 4 2 2" xfId="38611"/>
    <cellStyle name="Normal 10 3 2 2 2 3 4 3" xfId="22040"/>
    <cellStyle name="Normal 10 3 2 2 2 3 4 3 2" xfId="44468"/>
    <cellStyle name="Normal 10 3 2 2 2 3 4 4" xfId="31979"/>
    <cellStyle name="Normal 10 3 2 2 2 3 5" xfId="11872"/>
    <cellStyle name="Normal 10 3 2 2 2 3 5 2" xfId="35295"/>
    <cellStyle name="Normal 10 3 2 2 2 3 6" xfId="19178"/>
    <cellStyle name="Normal 10 3 2 2 2 3 6 2" xfId="41735"/>
    <cellStyle name="Normal 10 3 2 2 2 3 7" xfId="28663"/>
    <cellStyle name="Normal 10 3 2 2 2 4" xfId="3829"/>
    <cellStyle name="Normal 10 3 2 2 2 4 2" xfId="6966"/>
    <cellStyle name="Normal 10 3 2 2 2 4 2 2" xfId="10298"/>
    <cellStyle name="Normal 10 3 2 2 2 4 2 2 2" xfId="17002"/>
    <cellStyle name="Normal 10 3 2 2 2 4 2 2 2 2" xfId="40423"/>
    <cellStyle name="Normal 10 3 2 2 2 4 2 2 3" xfId="33791"/>
    <cellStyle name="Normal 10 3 2 2 2 4 2 3" xfId="13686"/>
    <cellStyle name="Normal 10 3 2 2 2 4 2 3 2" xfId="37107"/>
    <cellStyle name="Normal 10 3 2 2 2 4 2 4" xfId="22461"/>
    <cellStyle name="Normal 10 3 2 2 2 4 2 4 2" xfId="44883"/>
    <cellStyle name="Normal 10 3 2 2 2 4 2 5" xfId="30475"/>
    <cellStyle name="Normal 10 3 2 2 2 4 3" xfId="8633"/>
    <cellStyle name="Normal 10 3 2 2 2 4 3 2" xfId="15344"/>
    <cellStyle name="Normal 10 3 2 2 2 4 3 2 2" xfId="38765"/>
    <cellStyle name="Normal 10 3 2 2 2 4 3 3" xfId="32133"/>
    <cellStyle name="Normal 10 3 2 2 2 4 4" xfId="12026"/>
    <cellStyle name="Normal 10 3 2 2 2 4 4 2" xfId="35449"/>
    <cellStyle name="Normal 10 3 2 2 2 4 5" xfId="19614"/>
    <cellStyle name="Normal 10 3 2 2 2 4 5 2" xfId="42151"/>
    <cellStyle name="Normal 10 3 2 2 2 4 6" xfId="28817"/>
    <cellStyle name="Normal 10 3 2 2 2 5" xfId="6339"/>
    <cellStyle name="Normal 10 3 2 2 2 5 2" xfId="9673"/>
    <cellStyle name="Normal 10 3 2 2 2 5 2 2" xfId="16377"/>
    <cellStyle name="Normal 10 3 2 2 2 5 2 2 2" xfId="39798"/>
    <cellStyle name="Normal 10 3 2 2 2 5 2 3" xfId="33166"/>
    <cellStyle name="Normal 10 3 2 2 2 5 3" xfId="13061"/>
    <cellStyle name="Normal 10 3 2 2 2 5 3 2" xfId="36482"/>
    <cellStyle name="Normal 10 3 2 2 2 5 4" xfId="20716"/>
    <cellStyle name="Normal 10 3 2 2 2 5 4 2" xfId="43167"/>
    <cellStyle name="Normal 10 3 2 2 2 5 5" xfId="29850"/>
    <cellStyle name="Normal 10 3 2 2 2 6" xfId="8005"/>
    <cellStyle name="Normal 10 3 2 2 2 6 2" xfId="14719"/>
    <cellStyle name="Normal 10 3 2 2 2 6 2 2" xfId="38140"/>
    <cellStyle name="Normal 10 3 2 2 2 6 3" xfId="21610"/>
    <cellStyle name="Normal 10 3 2 2 2 6 3 2" xfId="44059"/>
    <cellStyle name="Normal 10 3 2 2 2 6 4" xfId="31508"/>
    <cellStyle name="Normal 10 3 2 2 2 7" xfId="11401"/>
    <cellStyle name="Normal 10 3 2 2 2 7 2" xfId="34824"/>
    <cellStyle name="Normal 10 3 2 2 2 8" xfId="17973"/>
    <cellStyle name="Normal 10 3 2 2 2 8 2" xfId="41282"/>
    <cellStyle name="Normal 10 3 2 2 2 9" xfId="23540"/>
    <cellStyle name="Normal 10 3 2 2 2 9 2" xfId="45873"/>
    <cellStyle name="Normal 10 3 2 2 3" xfId="2219"/>
    <cellStyle name="Normal 10 3 2 2 3 2" xfId="5492"/>
    <cellStyle name="Normal 10 3 2 2 3 2 2" xfId="7318"/>
    <cellStyle name="Normal 10 3 2 2 3 2 2 2" xfId="10649"/>
    <cellStyle name="Normal 10 3 2 2 3 2 2 2 2" xfId="17353"/>
    <cellStyle name="Normal 10 3 2 2 3 2 2 2 2 2" xfId="40774"/>
    <cellStyle name="Normal 10 3 2 2 3 2 2 2 3" xfId="23067"/>
    <cellStyle name="Normal 10 3 2 2 3 2 2 2 3 2" xfId="45489"/>
    <cellStyle name="Normal 10 3 2 2 3 2 2 2 4" xfId="34142"/>
    <cellStyle name="Normal 10 3 2 2 3 2 2 3" xfId="14037"/>
    <cellStyle name="Normal 10 3 2 2 3 2 2 3 2" xfId="37458"/>
    <cellStyle name="Normal 10 3 2 2 3 2 2 4" xfId="20239"/>
    <cellStyle name="Normal 10 3 2 2 3 2 2 4 2" xfId="42774"/>
    <cellStyle name="Normal 10 3 2 2 3 2 2 5" xfId="30826"/>
    <cellStyle name="Normal 10 3 2 2 3 2 3" xfId="8991"/>
    <cellStyle name="Normal 10 3 2 2 3 2 3 2" xfId="15695"/>
    <cellStyle name="Normal 10 3 2 2 3 2 3 2 2" xfId="39116"/>
    <cellStyle name="Normal 10 3 2 2 3 2 3 3" xfId="21177"/>
    <cellStyle name="Normal 10 3 2 2 3 2 3 3 2" xfId="43628"/>
    <cellStyle name="Normal 10 3 2 2 3 2 3 4" xfId="32484"/>
    <cellStyle name="Normal 10 3 2 2 3 2 4" xfId="12379"/>
    <cellStyle name="Normal 10 3 2 2 3 2 4 2" xfId="22252"/>
    <cellStyle name="Normal 10 3 2 2 3 2 4 2 2" xfId="44674"/>
    <cellStyle name="Normal 10 3 2 2 3 2 4 3" xfId="35800"/>
    <cellStyle name="Normal 10 3 2 2 3 2 5" xfId="19400"/>
    <cellStyle name="Normal 10 3 2 2 3 2 5 2" xfId="41942"/>
    <cellStyle name="Normal 10 3 2 2 3 2 6" xfId="25816"/>
    <cellStyle name="Normal 10 3 2 2 3 2 6 2" xfId="48061"/>
    <cellStyle name="Normal 10 3 2 2 3 2 7" xfId="29168"/>
    <cellStyle name="Normal 10 3 2 2 3 3" xfId="6411"/>
    <cellStyle name="Normal 10 3 2 2 3 3 2" xfId="9745"/>
    <cellStyle name="Normal 10 3 2 2 3 3 2 2" xfId="16449"/>
    <cellStyle name="Normal 10 3 2 2 3 3 2 2 2" xfId="39870"/>
    <cellStyle name="Normal 10 3 2 2 3 3 2 3" xfId="22660"/>
    <cellStyle name="Normal 10 3 2 2 3 3 2 3 2" xfId="45082"/>
    <cellStyle name="Normal 10 3 2 2 3 3 2 4" xfId="33238"/>
    <cellStyle name="Normal 10 3 2 2 3 3 3" xfId="13133"/>
    <cellStyle name="Normal 10 3 2 2 3 3 3 2" xfId="36554"/>
    <cellStyle name="Normal 10 3 2 2 3 3 4" xfId="19823"/>
    <cellStyle name="Normal 10 3 2 2 3 3 4 2" xfId="42358"/>
    <cellStyle name="Normal 10 3 2 2 3 3 5" xfId="29922"/>
    <cellStyle name="Normal 10 3 2 2 3 4" xfId="8078"/>
    <cellStyle name="Normal 10 3 2 2 3 4 2" xfId="14791"/>
    <cellStyle name="Normal 10 3 2 2 3 4 2 2" xfId="38212"/>
    <cellStyle name="Normal 10 3 2 2 3 4 3" xfId="20718"/>
    <cellStyle name="Normal 10 3 2 2 3 4 3 2" xfId="43169"/>
    <cellStyle name="Normal 10 3 2 2 3 4 4" xfId="31580"/>
    <cellStyle name="Normal 10 3 2 2 3 5" xfId="11473"/>
    <cellStyle name="Normal 10 3 2 2 3 5 2" xfId="21818"/>
    <cellStyle name="Normal 10 3 2 2 3 5 2 2" xfId="44260"/>
    <cellStyle name="Normal 10 3 2 2 3 5 3" xfId="34896"/>
    <cellStyle name="Normal 10 3 2 2 3 6" xfId="18573"/>
    <cellStyle name="Normal 10 3 2 2 3 6 2" xfId="41517"/>
    <cellStyle name="Normal 10 3 2 2 3 7" xfId="23472"/>
    <cellStyle name="Normal 10 3 2 2 3 7 2" xfId="45816"/>
    <cellStyle name="Normal 10 3 2 2 3 8" xfId="28264"/>
    <cellStyle name="Normal 10 3 2 2 4" xfId="2705"/>
    <cellStyle name="Normal 10 3 2 2 4 2" xfId="5798"/>
    <cellStyle name="Normal 10 3 2 2 4 2 2" xfId="7580"/>
    <cellStyle name="Normal 10 3 2 2 4 2 2 2" xfId="10909"/>
    <cellStyle name="Normal 10 3 2 2 4 2 2 2 2" xfId="17613"/>
    <cellStyle name="Normal 10 3 2 2 4 2 2 2 2 2" xfId="41034"/>
    <cellStyle name="Normal 10 3 2 2 4 2 2 2 3" xfId="34402"/>
    <cellStyle name="Normal 10 3 2 2 4 2 2 3" xfId="14297"/>
    <cellStyle name="Normal 10 3 2 2 4 2 2 3 2" xfId="37718"/>
    <cellStyle name="Normal 10 3 2 2 4 2 2 4" xfId="22867"/>
    <cellStyle name="Normal 10 3 2 2 4 2 2 4 2" xfId="45289"/>
    <cellStyle name="Normal 10 3 2 2 4 2 2 5" xfId="31086"/>
    <cellStyle name="Normal 10 3 2 2 4 2 3" xfId="9251"/>
    <cellStyle name="Normal 10 3 2 2 4 2 3 2" xfId="15955"/>
    <cellStyle name="Normal 10 3 2 2 4 2 3 2 2" xfId="39376"/>
    <cellStyle name="Normal 10 3 2 2 4 2 3 3" xfId="32744"/>
    <cellStyle name="Normal 10 3 2 2 4 2 4" xfId="12639"/>
    <cellStyle name="Normal 10 3 2 2 4 2 4 2" xfId="36060"/>
    <cellStyle name="Normal 10 3 2 2 4 2 5" xfId="20031"/>
    <cellStyle name="Normal 10 3 2 2 4 2 5 2" xfId="42566"/>
    <cellStyle name="Normal 10 3 2 2 4 2 6" xfId="27959"/>
    <cellStyle name="Normal 10 3 2 2 4 2 6 2" xfId="50204"/>
    <cellStyle name="Normal 10 3 2 2 4 2 7" xfId="29428"/>
    <cellStyle name="Normal 10 3 2 2 4 3" xfId="6681"/>
    <cellStyle name="Normal 10 3 2 2 4 3 2" xfId="10013"/>
    <cellStyle name="Normal 10 3 2 2 4 3 2 2" xfId="16717"/>
    <cellStyle name="Normal 10 3 2 2 4 3 2 2 2" xfId="40138"/>
    <cellStyle name="Normal 10 3 2 2 4 3 2 3" xfId="33506"/>
    <cellStyle name="Normal 10 3 2 2 4 3 3" xfId="13401"/>
    <cellStyle name="Normal 10 3 2 2 4 3 3 2" xfId="36822"/>
    <cellStyle name="Normal 10 3 2 2 4 3 4" xfId="21174"/>
    <cellStyle name="Normal 10 3 2 2 4 3 4 2" xfId="43625"/>
    <cellStyle name="Normal 10 3 2 2 4 3 5" xfId="30190"/>
    <cellStyle name="Normal 10 3 2 2 4 4" xfId="8347"/>
    <cellStyle name="Normal 10 3 2 2 4 4 2" xfId="15059"/>
    <cellStyle name="Normal 10 3 2 2 4 4 2 2" xfId="38480"/>
    <cellStyle name="Normal 10 3 2 2 4 4 3" xfId="22039"/>
    <cellStyle name="Normal 10 3 2 2 4 4 3 2" xfId="44467"/>
    <cellStyle name="Normal 10 3 2 2 4 4 4" xfId="31848"/>
    <cellStyle name="Normal 10 3 2 2 4 5" xfId="11741"/>
    <cellStyle name="Normal 10 3 2 2 4 5 2" xfId="35164"/>
    <cellStyle name="Normal 10 3 2 2 4 6" xfId="19177"/>
    <cellStyle name="Normal 10 3 2 2 4 6 2" xfId="41734"/>
    <cellStyle name="Normal 10 3 2 2 4 7" xfId="25654"/>
    <cellStyle name="Normal 10 3 2 2 4 7 2" xfId="47899"/>
    <cellStyle name="Normal 10 3 2 2 4 8" xfId="28532"/>
    <cellStyle name="Normal 10 3 2 2 5" xfId="3828"/>
    <cellStyle name="Normal 10 3 2 2 5 2" xfId="6965"/>
    <cellStyle name="Normal 10 3 2 2 5 2 2" xfId="10297"/>
    <cellStyle name="Normal 10 3 2 2 5 2 2 2" xfId="17001"/>
    <cellStyle name="Normal 10 3 2 2 5 2 2 2 2" xfId="40422"/>
    <cellStyle name="Normal 10 3 2 2 5 2 2 3" xfId="33790"/>
    <cellStyle name="Normal 10 3 2 2 5 2 3" xfId="13685"/>
    <cellStyle name="Normal 10 3 2 2 5 2 3 2" xfId="37106"/>
    <cellStyle name="Normal 10 3 2 2 5 2 4" xfId="22460"/>
    <cellStyle name="Normal 10 3 2 2 5 2 4 2" xfId="44882"/>
    <cellStyle name="Normal 10 3 2 2 5 2 5" xfId="30474"/>
    <cellStyle name="Normal 10 3 2 2 5 3" xfId="8632"/>
    <cellStyle name="Normal 10 3 2 2 5 3 2" xfId="15343"/>
    <cellStyle name="Normal 10 3 2 2 5 3 2 2" xfId="38764"/>
    <cellStyle name="Normal 10 3 2 2 5 3 3" xfId="32132"/>
    <cellStyle name="Normal 10 3 2 2 5 4" xfId="12025"/>
    <cellStyle name="Normal 10 3 2 2 5 4 2" xfId="35448"/>
    <cellStyle name="Normal 10 3 2 2 5 5" xfId="19613"/>
    <cellStyle name="Normal 10 3 2 2 5 5 2" xfId="42150"/>
    <cellStyle name="Normal 10 3 2 2 5 6" xfId="25691"/>
    <cellStyle name="Normal 10 3 2 2 5 6 2" xfId="47936"/>
    <cellStyle name="Normal 10 3 2 2 5 7" xfId="28816"/>
    <cellStyle name="Normal 10 3 2 2 6" xfId="6208"/>
    <cellStyle name="Normal 10 3 2 2 6 2" xfId="9542"/>
    <cellStyle name="Normal 10 3 2 2 6 2 2" xfId="16246"/>
    <cellStyle name="Normal 10 3 2 2 6 2 2 2" xfId="39667"/>
    <cellStyle name="Normal 10 3 2 2 6 2 3" xfId="33035"/>
    <cellStyle name="Normal 10 3 2 2 6 3" xfId="12930"/>
    <cellStyle name="Normal 10 3 2 2 6 3 2" xfId="36351"/>
    <cellStyle name="Normal 10 3 2 2 6 4" xfId="20715"/>
    <cellStyle name="Normal 10 3 2 2 6 4 2" xfId="43166"/>
    <cellStyle name="Normal 10 3 2 2 6 5" xfId="29719"/>
    <cellStyle name="Normal 10 3 2 2 7" xfId="7874"/>
    <cellStyle name="Normal 10 3 2 2 7 2" xfId="14588"/>
    <cellStyle name="Normal 10 3 2 2 7 2 2" xfId="38009"/>
    <cellStyle name="Normal 10 3 2 2 7 3" xfId="21609"/>
    <cellStyle name="Normal 10 3 2 2 7 3 2" xfId="44058"/>
    <cellStyle name="Normal 10 3 2 2 7 4" xfId="31377"/>
    <cellStyle name="Normal 10 3 2 2 8" xfId="11270"/>
    <cellStyle name="Normal 10 3 2 2 8 2" xfId="34693"/>
    <cellStyle name="Normal 10 3 2 2 9" xfId="17972"/>
    <cellStyle name="Normal 10 3 2 2 9 2" xfId="41281"/>
    <cellStyle name="Normal 10 3 2 3" xfId="1809"/>
    <cellStyle name="Normal 10 3 2 3 10" xfId="28161"/>
    <cellStyle name="Normal 10 3 2 3 2" xfId="2221"/>
    <cellStyle name="Normal 10 3 2 3 2 2" xfId="5494"/>
    <cellStyle name="Normal 10 3 2 3 2 2 2" xfId="7320"/>
    <cellStyle name="Normal 10 3 2 3 2 2 2 2" xfId="10651"/>
    <cellStyle name="Normal 10 3 2 3 2 2 2 2 2" xfId="17355"/>
    <cellStyle name="Normal 10 3 2 3 2 2 2 2 2 2" xfId="40776"/>
    <cellStyle name="Normal 10 3 2 3 2 2 2 2 3" xfId="23069"/>
    <cellStyle name="Normal 10 3 2 3 2 2 2 2 3 2" xfId="45491"/>
    <cellStyle name="Normal 10 3 2 3 2 2 2 2 4" xfId="34144"/>
    <cellStyle name="Normal 10 3 2 3 2 2 2 3" xfId="14039"/>
    <cellStyle name="Normal 10 3 2 3 2 2 2 3 2" xfId="37460"/>
    <cellStyle name="Normal 10 3 2 3 2 2 2 4" xfId="20241"/>
    <cellStyle name="Normal 10 3 2 3 2 2 2 4 2" xfId="42776"/>
    <cellStyle name="Normal 10 3 2 3 2 2 2 5" xfId="30828"/>
    <cellStyle name="Normal 10 3 2 3 2 2 3" xfId="8993"/>
    <cellStyle name="Normal 10 3 2 3 2 2 3 2" xfId="15697"/>
    <cellStyle name="Normal 10 3 2 3 2 2 3 2 2" xfId="39118"/>
    <cellStyle name="Normal 10 3 2 3 2 2 3 3" xfId="21179"/>
    <cellStyle name="Normal 10 3 2 3 2 2 3 3 2" xfId="43630"/>
    <cellStyle name="Normal 10 3 2 3 2 2 3 4" xfId="32486"/>
    <cellStyle name="Normal 10 3 2 3 2 2 4" xfId="12381"/>
    <cellStyle name="Normal 10 3 2 3 2 2 4 2" xfId="22254"/>
    <cellStyle name="Normal 10 3 2 3 2 2 4 2 2" xfId="44676"/>
    <cellStyle name="Normal 10 3 2 3 2 2 4 3" xfId="35802"/>
    <cellStyle name="Normal 10 3 2 3 2 2 5" xfId="19402"/>
    <cellStyle name="Normal 10 3 2 3 2 2 5 2" xfId="41944"/>
    <cellStyle name="Normal 10 3 2 3 2 2 6" xfId="29170"/>
    <cellStyle name="Normal 10 3 2 3 2 3" xfId="6413"/>
    <cellStyle name="Normal 10 3 2 3 2 3 2" xfId="9747"/>
    <cellStyle name="Normal 10 3 2 3 2 3 2 2" xfId="16451"/>
    <cellStyle name="Normal 10 3 2 3 2 3 2 2 2" xfId="39872"/>
    <cellStyle name="Normal 10 3 2 3 2 3 2 3" xfId="22662"/>
    <cellStyle name="Normal 10 3 2 3 2 3 2 3 2" xfId="45084"/>
    <cellStyle name="Normal 10 3 2 3 2 3 2 4" xfId="33240"/>
    <cellStyle name="Normal 10 3 2 3 2 3 3" xfId="13135"/>
    <cellStyle name="Normal 10 3 2 3 2 3 3 2" xfId="36556"/>
    <cellStyle name="Normal 10 3 2 3 2 3 4" xfId="19825"/>
    <cellStyle name="Normal 10 3 2 3 2 3 4 2" xfId="42360"/>
    <cellStyle name="Normal 10 3 2 3 2 3 5" xfId="29924"/>
    <cellStyle name="Normal 10 3 2 3 2 4" xfId="8080"/>
    <cellStyle name="Normal 10 3 2 3 2 4 2" xfId="14793"/>
    <cellStyle name="Normal 10 3 2 3 2 4 2 2" xfId="38214"/>
    <cellStyle name="Normal 10 3 2 3 2 4 3" xfId="20720"/>
    <cellStyle name="Normal 10 3 2 3 2 4 3 2" xfId="43171"/>
    <cellStyle name="Normal 10 3 2 3 2 4 4" xfId="31582"/>
    <cellStyle name="Normal 10 3 2 3 2 5" xfId="11475"/>
    <cellStyle name="Normal 10 3 2 3 2 5 2" xfId="21820"/>
    <cellStyle name="Normal 10 3 2 3 2 5 2 2" xfId="44262"/>
    <cellStyle name="Normal 10 3 2 3 2 5 3" xfId="34898"/>
    <cellStyle name="Normal 10 3 2 3 2 6" xfId="18575"/>
    <cellStyle name="Normal 10 3 2 3 2 6 2" xfId="41519"/>
    <cellStyle name="Normal 10 3 2 3 2 7" xfId="25818"/>
    <cellStyle name="Normal 10 3 2 3 2 7 2" xfId="48063"/>
    <cellStyle name="Normal 10 3 2 3 2 8" xfId="28266"/>
    <cellStyle name="Normal 10 3 2 3 3" xfId="2806"/>
    <cellStyle name="Normal 10 3 2 3 3 2" xfId="5898"/>
    <cellStyle name="Normal 10 3 2 3 3 2 2" xfId="7680"/>
    <cellStyle name="Normal 10 3 2 3 3 2 2 2" xfId="11009"/>
    <cellStyle name="Normal 10 3 2 3 3 2 2 2 2" xfId="17713"/>
    <cellStyle name="Normal 10 3 2 3 3 2 2 2 2 2" xfId="41134"/>
    <cellStyle name="Normal 10 3 2 3 3 2 2 2 3" xfId="34502"/>
    <cellStyle name="Normal 10 3 2 3 3 2 2 3" xfId="14397"/>
    <cellStyle name="Normal 10 3 2 3 3 2 2 3 2" xfId="37818"/>
    <cellStyle name="Normal 10 3 2 3 3 2 2 4" xfId="22869"/>
    <cellStyle name="Normal 10 3 2 3 3 2 2 4 2" xfId="45291"/>
    <cellStyle name="Normal 10 3 2 3 3 2 2 5" xfId="31186"/>
    <cellStyle name="Normal 10 3 2 3 3 2 3" xfId="9351"/>
    <cellStyle name="Normal 10 3 2 3 3 2 3 2" xfId="16055"/>
    <cellStyle name="Normal 10 3 2 3 3 2 3 2 2" xfId="39476"/>
    <cellStyle name="Normal 10 3 2 3 3 2 3 3" xfId="32844"/>
    <cellStyle name="Normal 10 3 2 3 3 2 4" xfId="12739"/>
    <cellStyle name="Normal 10 3 2 3 3 2 4 2" xfId="36160"/>
    <cellStyle name="Normal 10 3 2 3 3 2 5" xfId="20033"/>
    <cellStyle name="Normal 10 3 2 3 3 2 5 2" xfId="42568"/>
    <cellStyle name="Normal 10 3 2 3 3 2 6" xfId="29528"/>
    <cellStyle name="Normal 10 3 2 3 3 3" xfId="6781"/>
    <cellStyle name="Normal 10 3 2 3 3 3 2" xfId="10113"/>
    <cellStyle name="Normal 10 3 2 3 3 3 2 2" xfId="16817"/>
    <cellStyle name="Normal 10 3 2 3 3 3 2 2 2" xfId="40238"/>
    <cellStyle name="Normal 10 3 2 3 3 3 2 3" xfId="33606"/>
    <cellStyle name="Normal 10 3 2 3 3 3 3" xfId="13501"/>
    <cellStyle name="Normal 10 3 2 3 3 3 3 2" xfId="36922"/>
    <cellStyle name="Normal 10 3 2 3 3 3 4" xfId="21178"/>
    <cellStyle name="Normal 10 3 2 3 3 3 4 2" xfId="43629"/>
    <cellStyle name="Normal 10 3 2 3 3 3 5" xfId="30290"/>
    <cellStyle name="Normal 10 3 2 3 3 4" xfId="8447"/>
    <cellStyle name="Normal 10 3 2 3 3 4 2" xfId="15159"/>
    <cellStyle name="Normal 10 3 2 3 3 4 2 2" xfId="38580"/>
    <cellStyle name="Normal 10 3 2 3 3 4 3" xfId="22041"/>
    <cellStyle name="Normal 10 3 2 3 3 4 3 2" xfId="44469"/>
    <cellStyle name="Normal 10 3 2 3 3 4 4" xfId="31948"/>
    <cellStyle name="Normal 10 3 2 3 3 5" xfId="11841"/>
    <cellStyle name="Normal 10 3 2 3 3 5 2" xfId="35264"/>
    <cellStyle name="Normal 10 3 2 3 3 6" xfId="19179"/>
    <cellStyle name="Normal 10 3 2 3 3 6 2" xfId="41736"/>
    <cellStyle name="Normal 10 3 2 3 3 7" xfId="28632"/>
    <cellStyle name="Normal 10 3 2 3 4" xfId="3830"/>
    <cellStyle name="Normal 10 3 2 3 4 2" xfId="6967"/>
    <cellStyle name="Normal 10 3 2 3 4 2 2" xfId="10299"/>
    <cellStyle name="Normal 10 3 2 3 4 2 2 2" xfId="17003"/>
    <cellStyle name="Normal 10 3 2 3 4 2 2 2 2" xfId="40424"/>
    <cellStyle name="Normal 10 3 2 3 4 2 2 3" xfId="33792"/>
    <cellStyle name="Normal 10 3 2 3 4 2 3" xfId="13687"/>
    <cellStyle name="Normal 10 3 2 3 4 2 3 2" xfId="37108"/>
    <cellStyle name="Normal 10 3 2 3 4 2 4" xfId="22462"/>
    <cellStyle name="Normal 10 3 2 3 4 2 4 2" xfId="44884"/>
    <cellStyle name="Normal 10 3 2 3 4 2 5" xfId="30476"/>
    <cellStyle name="Normal 10 3 2 3 4 3" xfId="8634"/>
    <cellStyle name="Normal 10 3 2 3 4 3 2" xfId="15345"/>
    <cellStyle name="Normal 10 3 2 3 4 3 2 2" xfId="38766"/>
    <cellStyle name="Normal 10 3 2 3 4 3 3" xfId="32134"/>
    <cellStyle name="Normal 10 3 2 3 4 4" xfId="12027"/>
    <cellStyle name="Normal 10 3 2 3 4 4 2" xfId="35450"/>
    <cellStyle name="Normal 10 3 2 3 4 5" xfId="19615"/>
    <cellStyle name="Normal 10 3 2 3 4 5 2" xfId="42152"/>
    <cellStyle name="Normal 10 3 2 3 4 6" xfId="28818"/>
    <cellStyle name="Normal 10 3 2 3 5" xfId="6308"/>
    <cellStyle name="Normal 10 3 2 3 5 2" xfId="9642"/>
    <cellStyle name="Normal 10 3 2 3 5 2 2" xfId="16346"/>
    <cellStyle name="Normal 10 3 2 3 5 2 2 2" xfId="39767"/>
    <cellStyle name="Normal 10 3 2 3 5 2 3" xfId="33135"/>
    <cellStyle name="Normal 10 3 2 3 5 3" xfId="13030"/>
    <cellStyle name="Normal 10 3 2 3 5 3 2" xfId="36451"/>
    <cellStyle name="Normal 10 3 2 3 5 4" xfId="20719"/>
    <cellStyle name="Normal 10 3 2 3 5 4 2" xfId="43170"/>
    <cellStyle name="Normal 10 3 2 3 5 5" xfId="29819"/>
    <cellStyle name="Normal 10 3 2 3 6" xfId="7974"/>
    <cellStyle name="Normal 10 3 2 3 6 2" xfId="14688"/>
    <cellStyle name="Normal 10 3 2 3 6 2 2" xfId="38109"/>
    <cellStyle name="Normal 10 3 2 3 6 3" xfId="21611"/>
    <cellStyle name="Normal 10 3 2 3 6 3 2" xfId="44060"/>
    <cellStyle name="Normal 10 3 2 3 6 4" xfId="31477"/>
    <cellStyle name="Normal 10 3 2 3 7" xfId="11370"/>
    <cellStyle name="Normal 10 3 2 3 7 2" xfId="34793"/>
    <cellStyle name="Normal 10 3 2 3 8" xfId="17974"/>
    <cellStyle name="Normal 10 3 2 3 8 2" xfId="41283"/>
    <cellStyle name="Normal 10 3 2 3 9" xfId="23541"/>
    <cellStyle name="Normal 10 3 2 3 9 2" xfId="45874"/>
    <cellStyle name="Normal 10 3 2 4" xfId="2218"/>
    <cellStyle name="Normal 10 3 2 4 2" xfId="3831"/>
    <cellStyle name="Normal 10 3 2 4 2 2" xfId="6968"/>
    <cellStyle name="Normal 10 3 2 4 2 2 2" xfId="10300"/>
    <cellStyle name="Normal 10 3 2 4 2 2 2 2" xfId="17004"/>
    <cellStyle name="Normal 10 3 2 4 2 2 2 2 2" xfId="40425"/>
    <cellStyle name="Normal 10 3 2 4 2 2 2 3" xfId="23066"/>
    <cellStyle name="Normal 10 3 2 4 2 2 2 3 2" xfId="45488"/>
    <cellStyle name="Normal 10 3 2 4 2 2 2 4" xfId="33793"/>
    <cellStyle name="Normal 10 3 2 4 2 2 3" xfId="13688"/>
    <cellStyle name="Normal 10 3 2 4 2 2 3 2" xfId="37109"/>
    <cellStyle name="Normal 10 3 2 4 2 2 4" xfId="20238"/>
    <cellStyle name="Normal 10 3 2 4 2 2 4 2" xfId="42773"/>
    <cellStyle name="Normal 10 3 2 4 2 2 5" xfId="30477"/>
    <cellStyle name="Normal 10 3 2 4 2 3" xfId="8635"/>
    <cellStyle name="Normal 10 3 2 4 2 3 2" xfId="15346"/>
    <cellStyle name="Normal 10 3 2 4 2 3 2 2" xfId="38767"/>
    <cellStyle name="Normal 10 3 2 4 2 3 3" xfId="21180"/>
    <cellStyle name="Normal 10 3 2 4 2 3 3 2" xfId="43631"/>
    <cellStyle name="Normal 10 3 2 4 2 3 4" xfId="32135"/>
    <cellStyle name="Normal 10 3 2 4 2 4" xfId="12028"/>
    <cellStyle name="Normal 10 3 2 4 2 4 2" xfId="22251"/>
    <cellStyle name="Normal 10 3 2 4 2 4 2 2" xfId="44673"/>
    <cellStyle name="Normal 10 3 2 4 2 4 3" xfId="35451"/>
    <cellStyle name="Normal 10 3 2 4 2 5" xfId="19399"/>
    <cellStyle name="Normal 10 3 2 4 2 5 2" xfId="41941"/>
    <cellStyle name="Normal 10 3 2 4 2 6" xfId="25819"/>
    <cellStyle name="Normal 10 3 2 4 2 6 2" xfId="48064"/>
    <cellStyle name="Normal 10 3 2 4 2 7" xfId="28819"/>
    <cellStyle name="Normal 10 3 2 4 3" xfId="6410"/>
    <cellStyle name="Normal 10 3 2 4 3 2" xfId="9744"/>
    <cellStyle name="Normal 10 3 2 4 3 2 2" xfId="16448"/>
    <cellStyle name="Normal 10 3 2 4 3 2 2 2" xfId="39869"/>
    <cellStyle name="Normal 10 3 2 4 3 2 3" xfId="22659"/>
    <cellStyle name="Normal 10 3 2 4 3 2 3 2" xfId="45081"/>
    <cellStyle name="Normal 10 3 2 4 3 2 4" xfId="33237"/>
    <cellStyle name="Normal 10 3 2 4 3 3" xfId="13132"/>
    <cellStyle name="Normal 10 3 2 4 3 3 2" xfId="36553"/>
    <cellStyle name="Normal 10 3 2 4 3 4" xfId="19822"/>
    <cellStyle name="Normal 10 3 2 4 3 4 2" xfId="42357"/>
    <cellStyle name="Normal 10 3 2 4 3 5" xfId="29921"/>
    <cellStyle name="Normal 10 3 2 4 4" xfId="8077"/>
    <cellStyle name="Normal 10 3 2 4 4 2" xfId="14790"/>
    <cellStyle name="Normal 10 3 2 4 4 2 2" xfId="38211"/>
    <cellStyle name="Normal 10 3 2 4 4 3" xfId="20721"/>
    <cellStyle name="Normal 10 3 2 4 4 3 2" xfId="43172"/>
    <cellStyle name="Normal 10 3 2 4 4 4" xfId="31579"/>
    <cellStyle name="Normal 10 3 2 4 5" xfId="11472"/>
    <cellStyle name="Normal 10 3 2 4 5 2" xfId="21817"/>
    <cellStyle name="Normal 10 3 2 4 5 2 2" xfId="44259"/>
    <cellStyle name="Normal 10 3 2 4 5 3" xfId="34895"/>
    <cellStyle name="Normal 10 3 2 4 6" xfId="18572"/>
    <cellStyle name="Normal 10 3 2 4 6 2" xfId="41516"/>
    <cellStyle name="Normal 10 3 2 4 7" xfId="23542"/>
    <cellStyle name="Normal 10 3 2 4 7 2" xfId="45875"/>
    <cellStyle name="Normal 10 3 2 4 8" xfId="28263"/>
    <cellStyle name="Normal 10 3 2 5" xfId="2674"/>
    <cellStyle name="Normal 10 3 2 5 2" xfId="5767"/>
    <cellStyle name="Normal 10 3 2 5 2 2" xfId="7549"/>
    <cellStyle name="Normal 10 3 2 5 2 2 2" xfId="10878"/>
    <cellStyle name="Normal 10 3 2 5 2 2 2 2" xfId="17582"/>
    <cellStyle name="Normal 10 3 2 5 2 2 2 2 2" xfId="41003"/>
    <cellStyle name="Normal 10 3 2 5 2 2 2 3" xfId="34371"/>
    <cellStyle name="Normal 10 3 2 5 2 2 3" xfId="14266"/>
    <cellStyle name="Normal 10 3 2 5 2 2 3 2" xfId="37687"/>
    <cellStyle name="Normal 10 3 2 5 2 2 4" xfId="20619"/>
    <cellStyle name="Normal 10 3 2 5 2 2 4 2" xfId="43070"/>
    <cellStyle name="Normal 10 3 2 5 2 2 5" xfId="31055"/>
    <cellStyle name="Normal 10 3 2 5 2 3" xfId="9220"/>
    <cellStyle name="Normal 10 3 2 5 2 3 2" xfId="15924"/>
    <cellStyle name="Normal 10 3 2 5 2 3 2 2" xfId="39345"/>
    <cellStyle name="Normal 10 3 2 5 2 3 3" xfId="21537"/>
    <cellStyle name="Normal 10 3 2 5 2 3 3 2" xfId="43988"/>
    <cellStyle name="Normal 10 3 2 5 2 3 4" xfId="32713"/>
    <cellStyle name="Normal 10 3 2 5 2 4" xfId="12608"/>
    <cellStyle name="Normal 10 3 2 5 2 4 2" xfId="22866"/>
    <cellStyle name="Normal 10 3 2 5 2 4 2 2" xfId="45288"/>
    <cellStyle name="Normal 10 3 2 5 2 4 3" xfId="36029"/>
    <cellStyle name="Normal 10 3 2 5 2 5" xfId="20030"/>
    <cellStyle name="Normal 10 3 2 5 2 5 2" xfId="42565"/>
    <cellStyle name="Normal 10 3 2 5 2 6" xfId="29397"/>
    <cellStyle name="Normal 10 3 2 5 3" xfId="6650"/>
    <cellStyle name="Normal 10 3 2 5 3 2" xfId="9982"/>
    <cellStyle name="Normal 10 3 2 5 3 2 2" xfId="16686"/>
    <cellStyle name="Normal 10 3 2 5 3 2 2 2" xfId="40107"/>
    <cellStyle name="Normal 10 3 2 5 3 2 3" xfId="33475"/>
    <cellStyle name="Normal 10 3 2 5 3 3" xfId="13370"/>
    <cellStyle name="Normal 10 3 2 5 3 3 2" xfId="36791"/>
    <cellStyle name="Normal 10 3 2 5 3 4" xfId="20521"/>
    <cellStyle name="Normal 10 3 2 5 3 4 2" xfId="42974"/>
    <cellStyle name="Normal 10 3 2 5 3 5" xfId="30159"/>
    <cellStyle name="Normal 10 3 2 5 4" xfId="8316"/>
    <cellStyle name="Normal 10 3 2 5 4 2" xfId="15028"/>
    <cellStyle name="Normal 10 3 2 5 4 2 2" xfId="38449"/>
    <cellStyle name="Normal 10 3 2 5 4 3" xfId="21078"/>
    <cellStyle name="Normal 10 3 2 5 4 3 2" xfId="43529"/>
    <cellStyle name="Normal 10 3 2 5 4 4" xfId="31817"/>
    <cellStyle name="Normal 10 3 2 5 5" xfId="11710"/>
    <cellStyle name="Normal 10 3 2 5 5 2" xfId="22038"/>
    <cellStyle name="Normal 10 3 2 5 5 2 2" xfId="44466"/>
    <cellStyle name="Normal 10 3 2 5 5 3" xfId="35133"/>
    <cellStyle name="Normal 10 3 2 5 6" xfId="19176"/>
    <cellStyle name="Normal 10 3 2 5 6 2" xfId="41733"/>
    <cellStyle name="Normal 10 3 2 5 7" xfId="23471"/>
    <cellStyle name="Normal 10 3 2 5 8" xfId="28501"/>
    <cellStyle name="Normal 10 3 2 6" xfId="3827"/>
    <cellStyle name="Normal 10 3 2 6 2" xfId="19612"/>
    <cellStyle name="Normal 10 3 2 6 2 2" xfId="27940"/>
    <cellStyle name="Normal 10 3 2 6 2 2 2" xfId="50185"/>
    <cellStyle name="Normal 10 3 2 6 2 3" xfId="42149"/>
    <cellStyle name="Normal 10 3 2 6 3" xfId="21173"/>
    <cellStyle name="Normal 10 3 2 6 3 2" xfId="43624"/>
    <cellStyle name="Normal 10 3 2 6 4" xfId="22459"/>
    <cellStyle name="Normal 10 3 2 6 4 2" xfId="44881"/>
    <cellStyle name="Normal 10 3 2 6 5" xfId="25635"/>
    <cellStyle name="Normal 10 3 2 6 5 2" xfId="47880"/>
    <cellStyle name="Normal 10 3 2 7" xfId="6177"/>
    <cellStyle name="Normal 10 3 2 7 2" xfId="9511"/>
    <cellStyle name="Normal 10 3 2 7 2 2" xfId="16215"/>
    <cellStyle name="Normal 10 3 2 7 2 2 2" xfId="39636"/>
    <cellStyle name="Normal 10 3 2 7 2 3" xfId="33004"/>
    <cellStyle name="Normal 10 3 2 7 3" xfId="12899"/>
    <cellStyle name="Normal 10 3 2 7 3 2" xfId="36320"/>
    <cellStyle name="Normal 10 3 2 7 4" xfId="18338"/>
    <cellStyle name="Normal 10 3 2 7 4 2" xfId="41471"/>
    <cellStyle name="Normal 10 3 2 7 5" xfId="25673"/>
    <cellStyle name="Normal 10 3 2 7 5 2" xfId="47918"/>
    <cellStyle name="Normal 10 3 2 7 6" xfId="29688"/>
    <cellStyle name="Normal 10 3 2 8" xfId="7843"/>
    <cellStyle name="Normal 10 3 2 8 2" xfId="14557"/>
    <cellStyle name="Normal 10 3 2 8 2 2" xfId="37978"/>
    <cellStyle name="Normal 10 3 2 8 3" xfId="20714"/>
    <cellStyle name="Normal 10 3 2 8 3 2" xfId="43165"/>
    <cellStyle name="Normal 10 3 2 8 4" xfId="31346"/>
    <cellStyle name="Normal 10 3 2 9" xfId="11239"/>
    <cellStyle name="Normal 10 3 2 9 2" xfId="21608"/>
    <cellStyle name="Normal 10 3 2 9 2 2" xfId="44057"/>
    <cellStyle name="Normal 10 3 2 9 3" xfId="34662"/>
    <cellStyle name="Normal 10 3 3" xfId="1617"/>
    <cellStyle name="Normal 10 3 3 10" xfId="23543"/>
    <cellStyle name="Normal 10 3 3 10 2" xfId="45876"/>
    <cellStyle name="Normal 10 3 3 11" xfId="28060"/>
    <cellStyle name="Normal 10 3 3 2" xfId="1839"/>
    <cellStyle name="Normal 10 3 3 2 10" xfId="28191"/>
    <cellStyle name="Normal 10 3 3 2 2" xfId="2223"/>
    <cellStyle name="Normal 10 3 3 2 2 2" xfId="5496"/>
    <cellStyle name="Normal 10 3 3 2 2 2 2" xfId="7322"/>
    <cellStyle name="Normal 10 3 3 2 2 2 2 2" xfId="10653"/>
    <cellStyle name="Normal 10 3 3 2 2 2 2 2 2" xfId="17357"/>
    <cellStyle name="Normal 10 3 3 2 2 2 2 2 2 2" xfId="40778"/>
    <cellStyle name="Normal 10 3 3 2 2 2 2 2 3" xfId="23071"/>
    <cellStyle name="Normal 10 3 3 2 2 2 2 2 3 2" xfId="45493"/>
    <cellStyle name="Normal 10 3 3 2 2 2 2 2 4" xfId="34146"/>
    <cellStyle name="Normal 10 3 3 2 2 2 2 3" xfId="14041"/>
    <cellStyle name="Normal 10 3 3 2 2 2 2 3 2" xfId="37462"/>
    <cellStyle name="Normal 10 3 3 2 2 2 2 4" xfId="20243"/>
    <cellStyle name="Normal 10 3 3 2 2 2 2 4 2" xfId="42778"/>
    <cellStyle name="Normal 10 3 3 2 2 2 2 5" xfId="30830"/>
    <cellStyle name="Normal 10 3 3 2 2 2 3" xfId="8995"/>
    <cellStyle name="Normal 10 3 3 2 2 2 3 2" xfId="15699"/>
    <cellStyle name="Normal 10 3 3 2 2 2 3 2 2" xfId="39120"/>
    <cellStyle name="Normal 10 3 3 2 2 2 3 3" xfId="21183"/>
    <cellStyle name="Normal 10 3 3 2 2 2 3 3 2" xfId="43634"/>
    <cellStyle name="Normal 10 3 3 2 2 2 3 4" xfId="32488"/>
    <cellStyle name="Normal 10 3 3 2 2 2 4" xfId="12383"/>
    <cellStyle name="Normal 10 3 3 2 2 2 4 2" xfId="22256"/>
    <cellStyle name="Normal 10 3 3 2 2 2 4 2 2" xfId="44678"/>
    <cellStyle name="Normal 10 3 3 2 2 2 4 3" xfId="35804"/>
    <cellStyle name="Normal 10 3 3 2 2 2 5" xfId="19404"/>
    <cellStyle name="Normal 10 3 3 2 2 2 5 2" xfId="41946"/>
    <cellStyle name="Normal 10 3 3 2 2 2 6" xfId="25821"/>
    <cellStyle name="Normal 10 3 3 2 2 2 6 2" xfId="48066"/>
    <cellStyle name="Normal 10 3 3 2 2 2 7" xfId="29172"/>
    <cellStyle name="Normal 10 3 3 2 2 3" xfId="6415"/>
    <cellStyle name="Normal 10 3 3 2 2 3 2" xfId="9749"/>
    <cellStyle name="Normal 10 3 3 2 2 3 2 2" xfId="16453"/>
    <cellStyle name="Normal 10 3 3 2 2 3 2 2 2" xfId="39874"/>
    <cellStyle name="Normal 10 3 3 2 2 3 2 3" xfId="22664"/>
    <cellStyle name="Normal 10 3 3 2 2 3 2 3 2" xfId="45086"/>
    <cellStyle name="Normal 10 3 3 2 2 3 2 4" xfId="33242"/>
    <cellStyle name="Normal 10 3 3 2 2 3 3" xfId="13137"/>
    <cellStyle name="Normal 10 3 3 2 2 3 3 2" xfId="36558"/>
    <cellStyle name="Normal 10 3 3 2 2 3 4" xfId="19827"/>
    <cellStyle name="Normal 10 3 3 2 2 3 4 2" xfId="42362"/>
    <cellStyle name="Normal 10 3 3 2 2 3 5" xfId="29926"/>
    <cellStyle name="Normal 10 3 3 2 2 4" xfId="8082"/>
    <cellStyle name="Normal 10 3 3 2 2 4 2" xfId="14795"/>
    <cellStyle name="Normal 10 3 3 2 2 4 2 2" xfId="38216"/>
    <cellStyle name="Normal 10 3 3 2 2 4 3" xfId="20724"/>
    <cellStyle name="Normal 10 3 3 2 2 4 3 2" xfId="43175"/>
    <cellStyle name="Normal 10 3 3 2 2 4 4" xfId="31584"/>
    <cellStyle name="Normal 10 3 3 2 2 5" xfId="11477"/>
    <cellStyle name="Normal 10 3 3 2 2 5 2" xfId="21822"/>
    <cellStyle name="Normal 10 3 3 2 2 5 2 2" xfId="44264"/>
    <cellStyle name="Normal 10 3 3 2 2 5 3" xfId="34900"/>
    <cellStyle name="Normal 10 3 3 2 2 6" xfId="18577"/>
    <cellStyle name="Normal 10 3 3 2 2 6 2" xfId="41521"/>
    <cellStyle name="Normal 10 3 3 2 2 7" xfId="23473"/>
    <cellStyle name="Normal 10 3 3 2 2 7 2" xfId="45817"/>
    <cellStyle name="Normal 10 3 3 2 2 8" xfId="28268"/>
    <cellStyle name="Normal 10 3 3 2 3" xfId="2836"/>
    <cellStyle name="Normal 10 3 3 2 3 2" xfId="5928"/>
    <cellStyle name="Normal 10 3 3 2 3 2 2" xfId="7710"/>
    <cellStyle name="Normal 10 3 3 2 3 2 2 2" xfId="11039"/>
    <cellStyle name="Normal 10 3 3 2 3 2 2 2 2" xfId="17743"/>
    <cellStyle name="Normal 10 3 3 2 3 2 2 2 2 2" xfId="41164"/>
    <cellStyle name="Normal 10 3 3 2 3 2 2 2 3" xfId="34532"/>
    <cellStyle name="Normal 10 3 3 2 3 2 2 3" xfId="14427"/>
    <cellStyle name="Normal 10 3 3 2 3 2 2 3 2" xfId="37848"/>
    <cellStyle name="Normal 10 3 3 2 3 2 2 4" xfId="22871"/>
    <cellStyle name="Normal 10 3 3 2 3 2 2 4 2" xfId="45293"/>
    <cellStyle name="Normal 10 3 3 2 3 2 2 5" xfId="31216"/>
    <cellStyle name="Normal 10 3 3 2 3 2 3" xfId="9381"/>
    <cellStyle name="Normal 10 3 3 2 3 2 3 2" xfId="16085"/>
    <cellStyle name="Normal 10 3 3 2 3 2 3 2 2" xfId="39506"/>
    <cellStyle name="Normal 10 3 3 2 3 2 3 3" xfId="32874"/>
    <cellStyle name="Normal 10 3 3 2 3 2 4" xfId="12769"/>
    <cellStyle name="Normal 10 3 3 2 3 2 4 2" xfId="36190"/>
    <cellStyle name="Normal 10 3 3 2 3 2 5" xfId="20035"/>
    <cellStyle name="Normal 10 3 3 2 3 2 5 2" xfId="42570"/>
    <cellStyle name="Normal 10 3 3 2 3 2 6" xfId="27963"/>
    <cellStyle name="Normal 10 3 3 2 3 2 6 2" xfId="50208"/>
    <cellStyle name="Normal 10 3 3 2 3 2 7" xfId="29558"/>
    <cellStyle name="Normal 10 3 3 2 3 3" xfId="6811"/>
    <cellStyle name="Normal 10 3 3 2 3 3 2" xfId="10143"/>
    <cellStyle name="Normal 10 3 3 2 3 3 2 2" xfId="16847"/>
    <cellStyle name="Normal 10 3 3 2 3 3 2 2 2" xfId="40268"/>
    <cellStyle name="Normal 10 3 3 2 3 3 2 3" xfId="33636"/>
    <cellStyle name="Normal 10 3 3 2 3 3 3" xfId="13531"/>
    <cellStyle name="Normal 10 3 3 2 3 3 3 2" xfId="36952"/>
    <cellStyle name="Normal 10 3 3 2 3 3 4" xfId="21182"/>
    <cellStyle name="Normal 10 3 3 2 3 3 4 2" xfId="43633"/>
    <cellStyle name="Normal 10 3 3 2 3 3 5" xfId="30320"/>
    <cellStyle name="Normal 10 3 3 2 3 4" xfId="8477"/>
    <cellStyle name="Normal 10 3 3 2 3 4 2" xfId="15189"/>
    <cellStyle name="Normal 10 3 3 2 3 4 2 2" xfId="38610"/>
    <cellStyle name="Normal 10 3 3 2 3 4 3" xfId="22043"/>
    <cellStyle name="Normal 10 3 3 2 3 4 3 2" xfId="44471"/>
    <cellStyle name="Normal 10 3 3 2 3 4 4" xfId="31978"/>
    <cellStyle name="Normal 10 3 3 2 3 5" xfId="11871"/>
    <cellStyle name="Normal 10 3 3 2 3 5 2" xfId="35294"/>
    <cellStyle name="Normal 10 3 3 2 3 6" xfId="19181"/>
    <cellStyle name="Normal 10 3 3 2 3 6 2" xfId="41738"/>
    <cellStyle name="Normal 10 3 3 2 3 7" xfId="25658"/>
    <cellStyle name="Normal 10 3 3 2 3 7 2" xfId="47903"/>
    <cellStyle name="Normal 10 3 3 2 3 8" xfId="28662"/>
    <cellStyle name="Normal 10 3 3 2 4" xfId="3833"/>
    <cellStyle name="Normal 10 3 3 2 4 2" xfId="6970"/>
    <cellStyle name="Normal 10 3 3 2 4 2 2" xfId="10302"/>
    <cellStyle name="Normal 10 3 3 2 4 2 2 2" xfId="17006"/>
    <cellStyle name="Normal 10 3 3 2 4 2 2 2 2" xfId="40427"/>
    <cellStyle name="Normal 10 3 3 2 4 2 2 3" xfId="33795"/>
    <cellStyle name="Normal 10 3 3 2 4 2 3" xfId="13690"/>
    <cellStyle name="Normal 10 3 3 2 4 2 3 2" xfId="37111"/>
    <cellStyle name="Normal 10 3 3 2 4 2 4" xfId="22464"/>
    <cellStyle name="Normal 10 3 3 2 4 2 4 2" xfId="44886"/>
    <cellStyle name="Normal 10 3 3 2 4 2 5" xfId="30479"/>
    <cellStyle name="Normal 10 3 3 2 4 3" xfId="8637"/>
    <cellStyle name="Normal 10 3 3 2 4 3 2" xfId="15348"/>
    <cellStyle name="Normal 10 3 3 2 4 3 2 2" xfId="38769"/>
    <cellStyle name="Normal 10 3 3 2 4 3 3" xfId="32137"/>
    <cellStyle name="Normal 10 3 3 2 4 4" xfId="12030"/>
    <cellStyle name="Normal 10 3 3 2 4 4 2" xfId="35453"/>
    <cellStyle name="Normal 10 3 3 2 4 5" xfId="19617"/>
    <cellStyle name="Normal 10 3 3 2 4 5 2" xfId="42154"/>
    <cellStyle name="Normal 10 3 3 2 4 6" xfId="25695"/>
    <cellStyle name="Normal 10 3 3 2 4 6 2" xfId="47940"/>
    <cellStyle name="Normal 10 3 3 2 4 7" xfId="28821"/>
    <cellStyle name="Normal 10 3 3 2 5" xfId="6338"/>
    <cellStyle name="Normal 10 3 3 2 5 2" xfId="9672"/>
    <cellStyle name="Normal 10 3 3 2 5 2 2" xfId="16376"/>
    <cellStyle name="Normal 10 3 3 2 5 2 2 2" xfId="39797"/>
    <cellStyle name="Normal 10 3 3 2 5 2 3" xfId="33165"/>
    <cellStyle name="Normal 10 3 3 2 5 3" xfId="13060"/>
    <cellStyle name="Normal 10 3 3 2 5 3 2" xfId="36481"/>
    <cellStyle name="Normal 10 3 3 2 5 4" xfId="20723"/>
    <cellStyle name="Normal 10 3 3 2 5 4 2" xfId="43174"/>
    <cellStyle name="Normal 10 3 3 2 5 5" xfId="29849"/>
    <cellStyle name="Normal 10 3 3 2 6" xfId="8004"/>
    <cellStyle name="Normal 10 3 3 2 6 2" xfId="14718"/>
    <cellStyle name="Normal 10 3 3 2 6 2 2" xfId="38139"/>
    <cellStyle name="Normal 10 3 3 2 6 3" xfId="21613"/>
    <cellStyle name="Normal 10 3 3 2 6 3 2" xfId="44062"/>
    <cellStyle name="Normal 10 3 3 2 6 4" xfId="31507"/>
    <cellStyle name="Normal 10 3 3 2 7" xfId="11400"/>
    <cellStyle name="Normal 10 3 3 2 7 2" xfId="34823"/>
    <cellStyle name="Normal 10 3 3 2 8" xfId="17976"/>
    <cellStyle name="Normal 10 3 3 2 8 2" xfId="41285"/>
    <cellStyle name="Normal 10 3 3 2 9" xfId="23544"/>
    <cellStyle name="Normal 10 3 3 2 9 2" xfId="45877"/>
    <cellStyle name="Normal 10 3 3 3" xfId="2222"/>
    <cellStyle name="Normal 10 3 3 3 2" xfId="5495"/>
    <cellStyle name="Normal 10 3 3 3 2 2" xfId="7321"/>
    <cellStyle name="Normal 10 3 3 3 2 2 2" xfId="10652"/>
    <cellStyle name="Normal 10 3 3 3 2 2 2 2" xfId="17356"/>
    <cellStyle name="Normal 10 3 3 3 2 2 2 2 2" xfId="40777"/>
    <cellStyle name="Normal 10 3 3 3 2 2 2 3" xfId="23070"/>
    <cellStyle name="Normal 10 3 3 3 2 2 2 3 2" xfId="45492"/>
    <cellStyle name="Normal 10 3 3 3 2 2 2 4" xfId="34145"/>
    <cellStyle name="Normal 10 3 3 3 2 2 3" xfId="14040"/>
    <cellStyle name="Normal 10 3 3 3 2 2 3 2" xfId="37461"/>
    <cellStyle name="Normal 10 3 3 3 2 2 4" xfId="20242"/>
    <cellStyle name="Normal 10 3 3 3 2 2 4 2" xfId="42777"/>
    <cellStyle name="Normal 10 3 3 3 2 2 5" xfId="30829"/>
    <cellStyle name="Normal 10 3 3 3 2 3" xfId="8994"/>
    <cellStyle name="Normal 10 3 3 3 2 3 2" xfId="15698"/>
    <cellStyle name="Normal 10 3 3 3 2 3 2 2" xfId="39119"/>
    <cellStyle name="Normal 10 3 3 3 2 3 3" xfId="21184"/>
    <cellStyle name="Normal 10 3 3 3 2 3 3 2" xfId="43635"/>
    <cellStyle name="Normal 10 3 3 3 2 3 4" xfId="32487"/>
    <cellStyle name="Normal 10 3 3 3 2 4" xfId="12382"/>
    <cellStyle name="Normal 10 3 3 3 2 4 2" xfId="22255"/>
    <cellStyle name="Normal 10 3 3 3 2 4 2 2" xfId="44677"/>
    <cellStyle name="Normal 10 3 3 3 2 4 3" xfId="35803"/>
    <cellStyle name="Normal 10 3 3 3 2 5" xfId="19403"/>
    <cellStyle name="Normal 10 3 3 3 2 5 2" xfId="41945"/>
    <cellStyle name="Normal 10 3 3 3 2 6" xfId="25820"/>
    <cellStyle name="Normal 10 3 3 3 2 6 2" xfId="48065"/>
    <cellStyle name="Normal 10 3 3 3 2 7" xfId="29171"/>
    <cellStyle name="Normal 10 3 3 3 3" xfId="6414"/>
    <cellStyle name="Normal 10 3 3 3 3 2" xfId="9748"/>
    <cellStyle name="Normal 10 3 3 3 3 2 2" xfId="16452"/>
    <cellStyle name="Normal 10 3 3 3 3 2 2 2" xfId="39873"/>
    <cellStyle name="Normal 10 3 3 3 3 2 3" xfId="22663"/>
    <cellStyle name="Normal 10 3 3 3 3 2 3 2" xfId="45085"/>
    <cellStyle name="Normal 10 3 3 3 3 2 4" xfId="33241"/>
    <cellStyle name="Normal 10 3 3 3 3 3" xfId="13136"/>
    <cellStyle name="Normal 10 3 3 3 3 3 2" xfId="36557"/>
    <cellStyle name="Normal 10 3 3 3 3 4" xfId="19826"/>
    <cellStyle name="Normal 10 3 3 3 3 4 2" xfId="42361"/>
    <cellStyle name="Normal 10 3 3 3 3 5" xfId="29925"/>
    <cellStyle name="Normal 10 3 3 3 4" xfId="8081"/>
    <cellStyle name="Normal 10 3 3 3 4 2" xfId="14794"/>
    <cellStyle name="Normal 10 3 3 3 4 2 2" xfId="38215"/>
    <cellStyle name="Normal 10 3 3 3 4 3" xfId="20725"/>
    <cellStyle name="Normal 10 3 3 3 4 3 2" xfId="43176"/>
    <cellStyle name="Normal 10 3 3 3 4 4" xfId="31583"/>
    <cellStyle name="Normal 10 3 3 3 5" xfId="11476"/>
    <cellStyle name="Normal 10 3 3 3 5 2" xfId="21821"/>
    <cellStyle name="Normal 10 3 3 3 5 2 2" xfId="44263"/>
    <cellStyle name="Normal 10 3 3 3 5 3" xfId="34899"/>
    <cellStyle name="Normal 10 3 3 3 6" xfId="18576"/>
    <cellStyle name="Normal 10 3 3 3 6 2" xfId="41520"/>
    <cellStyle name="Normal 10 3 3 3 7" xfId="23283"/>
    <cellStyle name="Normal 10 3 3 3 7 2" xfId="45683"/>
    <cellStyle name="Normal 10 3 3 3 8" xfId="28267"/>
    <cellStyle name="Normal 10 3 3 4" xfId="2704"/>
    <cellStyle name="Normal 10 3 3 4 2" xfId="5797"/>
    <cellStyle name="Normal 10 3 3 4 2 2" xfId="7579"/>
    <cellStyle name="Normal 10 3 3 4 2 2 2" xfId="10908"/>
    <cellStyle name="Normal 10 3 3 4 2 2 2 2" xfId="17612"/>
    <cellStyle name="Normal 10 3 3 4 2 2 2 2 2" xfId="41033"/>
    <cellStyle name="Normal 10 3 3 4 2 2 2 3" xfId="34401"/>
    <cellStyle name="Normal 10 3 3 4 2 2 3" xfId="14296"/>
    <cellStyle name="Normal 10 3 3 4 2 2 3 2" xfId="37717"/>
    <cellStyle name="Normal 10 3 3 4 2 2 4" xfId="22870"/>
    <cellStyle name="Normal 10 3 3 4 2 2 4 2" xfId="45292"/>
    <cellStyle name="Normal 10 3 3 4 2 2 5" xfId="31085"/>
    <cellStyle name="Normal 10 3 3 4 2 3" xfId="9250"/>
    <cellStyle name="Normal 10 3 3 4 2 3 2" xfId="15954"/>
    <cellStyle name="Normal 10 3 3 4 2 3 2 2" xfId="39375"/>
    <cellStyle name="Normal 10 3 3 4 2 3 3" xfId="32743"/>
    <cellStyle name="Normal 10 3 3 4 2 4" xfId="12638"/>
    <cellStyle name="Normal 10 3 3 4 2 4 2" xfId="36059"/>
    <cellStyle name="Normal 10 3 3 4 2 5" xfId="20034"/>
    <cellStyle name="Normal 10 3 3 4 2 5 2" xfId="42569"/>
    <cellStyle name="Normal 10 3 3 4 2 6" xfId="27944"/>
    <cellStyle name="Normal 10 3 3 4 2 6 2" xfId="50189"/>
    <cellStyle name="Normal 10 3 3 4 2 7" xfId="29427"/>
    <cellStyle name="Normal 10 3 3 4 3" xfId="6680"/>
    <cellStyle name="Normal 10 3 3 4 3 2" xfId="10012"/>
    <cellStyle name="Normal 10 3 3 4 3 2 2" xfId="16716"/>
    <cellStyle name="Normal 10 3 3 4 3 2 2 2" xfId="40137"/>
    <cellStyle name="Normal 10 3 3 4 3 2 3" xfId="33505"/>
    <cellStyle name="Normal 10 3 3 4 3 3" xfId="13400"/>
    <cellStyle name="Normal 10 3 3 4 3 3 2" xfId="36821"/>
    <cellStyle name="Normal 10 3 3 4 3 4" xfId="21181"/>
    <cellStyle name="Normal 10 3 3 4 3 4 2" xfId="43632"/>
    <cellStyle name="Normal 10 3 3 4 3 5" xfId="30189"/>
    <cellStyle name="Normal 10 3 3 4 4" xfId="8346"/>
    <cellStyle name="Normal 10 3 3 4 4 2" xfId="15058"/>
    <cellStyle name="Normal 10 3 3 4 4 2 2" xfId="38479"/>
    <cellStyle name="Normal 10 3 3 4 4 3" xfId="22042"/>
    <cellStyle name="Normal 10 3 3 4 4 3 2" xfId="44470"/>
    <cellStyle name="Normal 10 3 3 4 4 4" xfId="31847"/>
    <cellStyle name="Normal 10 3 3 4 5" xfId="11740"/>
    <cellStyle name="Normal 10 3 3 4 5 2" xfId="35163"/>
    <cellStyle name="Normal 10 3 3 4 6" xfId="19180"/>
    <cellStyle name="Normal 10 3 3 4 6 2" xfId="41737"/>
    <cellStyle name="Normal 10 3 3 4 7" xfId="25639"/>
    <cellStyle name="Normal 10 3 3 4 7 2" xfId="47884"/>
    <cellStyle name="Normal 10 3 3 4 8" xfId="28531"/>
    <cellStyle name="Normal 10 3 3 5" xfId="3832"/>
    <cellStyle name="Normal 10 3 3 5 2" xfId="6969"/>
    <cellStyle name="Normal 10 3 3 5 2 2" xfId="10301"/>
    <cellStyle name="Normal 10 3 3 5 2 2 2" xfId="17005"/>
    <cellStyle name="Normal 10 3 3 5 2 2 2 2" xfId="40426"/>
    <cellStyle name="Normal 10 3 3 5 2 2 3" xfId="33794"/>
    <cellStyle name="Normal 10 3 3 5 2 3" xfId="13689"/>
    <cellStyle name="Normal 10 3 3 5 2 3 2" xfId="37110"/>
    <cellStyle name="Normal 10 3 3 5 2 4" xfId="22463"/>
    <cellStyle name="Normal 10 3 3 5 2 4 2" xfId="44885"/>
    <cellStyle name="Normal 10 3 3 5 2 5" xfId="30478"/>
    <cellStyle name="Normal 10 3 3 5 3" xfId="8636"/>
    <cellStyle name="Normal 10 3 3 5 3 2" xfId="15347"/>
    <cellStyle name="Normal 10 3 3 5 3 2 2" xfId="38768"/>
    <cellStyle name="Normal 10 3 3 5 3 3" xfId="32136"/>
    <cellStyle name="Normal 10 3 3 5 4" xfId="12029"/>
    <cellStyle name="Normal 10 3 3 5 4 2" xfId="35452"/>
    <cellStyle name="Normal 10 3 3 5 5" xfId="19616"/>
    <cellStyle name="Normal 10 3 3 5 5 2" xfId="42153"/>
    <cellStyle name="Normal 10 3 3 5 6" xfId="25677"/>
    <cellStyle name="Normal 10 3 3 5 6 2" xfId="47922"/>
    <cellStyle name="Normal 10 3 3 5 7" xfId="28820"/>
    <cellStyle name="Normal 10 3 3 6" xfId="6207"/>
    <cellStyle name="Normal 10 3 3 6 2" xfId="9541"/>
    <cellStyle name="Normal 10 3 3 6 2 2" xfId="16245"/>
    <cellStyle name="Normal 10 3 3 6 2 2 2" xfId="39666"/>
    <cellStyle name="Normal 10 3 3 6 2 3" xfId="33034"/>
    <cellStyle name="Normal 10 3 3 6 3" xfId="12929"/>
    <cellStyle name="Normal 10 3 3 6 3 2" xfId="36350"/>
    <cellStyle name="Normal 10 3 3 6 4" xfId="20722"/>
    <cellStyle name="Normal 10 3 3 6 4 2" xfId="43173"/>
    <cellStyle name="Normal 10 3 3 6 5" xfId="29718"/>
    <cellStyle name="Normal 10 3 3 7" xfId="7873"/>
    <cellStyle name="Normal 10 3 3 7 2" xfId="14587"/>
    <cellStyle name="Normal 10 3 3 7 2 2" xfId="38008"/>
    <cellStyle name="Normal 10 3 3 7 3" xfId="21612"/>
    <cellStyle name="Normal 10 3 3 7 3 2" xfId="44061"/>
    <cellStyle name="Normal 10 3 3 7 4" xfId="31376"/>
    <cellStyle name="Normal 10 3 3 8" xfId="11269"/>
    <cellStyle name="Normal 10 3 3 8 2" xfId="34692"/>
    <cellStyle name="Normal 10 3 3 9" xfId="17975"/>
    <cellStyle name="Normal 10 3 3 9 2" xfId="41284"/>
    <cellStyle name="Normal 10 3 4" xfId="1773"/>
    <cellStyle name="Normal 10 3 4 10" xfId="28125"/>
    <cellStyle name="Normal 10 3 4 2" xfId="2224"/>
    <cellStyle name="Normal 10 3 4 2 2" xfId="5497"/>
    <cellStyle name="Normal 10 3 4 2 2 2" xfId="7323"/>
    <cellStyle name="Normal 10 3 4 2 2 2 2" xfId="10654"/>
    <cellStyle name="Normal 10 3 4 2 2 2 2 2" xfId="17358"/>
    <cellStyle name="Normal 10 3 4 2 2 2 2 2 2" xfId="40779"/>
    <cellStyle name="Normal 10 3 4 2 2 2 2 3" xfId="23072"/>
    <cellStyle name="Normal 10 3 4 2 2 2 2 3 2" xfId="45494"/>
    <cellStyle name="Normal 10 3 4 2 2 2 2 4" xfId="34147"/>
    <cellStyle name="Normal 10 3 4 2 2 2 3" xfId="14042"/>
    <cellStyle name="Normal 10 3 4 2 2 2 3 2" xfId="37463"/>
    <cellStyle name="Normal 10 3 4 2 2 2 4" xfId="20244"/>
    <cellStyle name="Normal 10 3 4 2 2 2 4 2" xfId="42779"/>
    <cellStyle name="Normal 10 3 4 2 2 2 5" xfId="27967"/>
    <cellStyle name="Normal 10 3 4 2 2 2 5 2" xfId="50212"/>
    <cellStyle name="Normal 10 3 4 2 2 2 6" xfId="30831"/>
    <cellStyle name="Normal 10 3 4 2 2 3" xfId="8996"/>
    <cellStyle name="Normal 10 3 4 2 2 3 2" xfId="15700"/>
    <cellStyle name="Normal 10 3 4 2 2 3 2 2" xfId="39121"/>
    <cellStyle name="Normal 10 3 4 2 2 3 3" xfId="21186"/>
    <cellStyle name="Normal 10 3 4 2 2 3 3 2" xfId="43637"/>
    <cellStyle name="Normal 10 3 4 2 2 3 4" xfId="32489"/>
    <cellStyle name="Normal 10 3 4 2 2 4" xfId="12384"/>
    <cellStyle name="Normal 10 3 4 2 2 4 2" xfId="22257"/>
    <cellStyle name="Normal 10 3 4 2 2 4 2 2" xfId="44679"/>
    <cellStyle name="Normal 10 3 4 2 2 4 3" xfId="35805"/>
    <cellStyle name="Normal 10 3 4 2 2 5" xfId="19405"/>
    <cellStyle name="Normal 10 3 4 2 2 5 2" xfId="41947"/>
    <cellStyle name="Normal 10 3 4 2 2 6" xfId="25662"/>
    <cellStyle name="Normal 10 3 4 2 2 6 2" xfId="47907"/>
    <cellStyle name="Normal 10 3 4 2 2 7" xfId="29173"/>
    <cellStyle name="Normal 10 3 4 2 3" xfId="6416"/>
    <cellStyle name="Normal 10 3 4 2 3 2" xfId="9750"/>
    <cellStyle name="Normal 10 3 4 2 3 2 2" xfId="16454"/>
    <cellStyle name="Normal 10 3 4 2 3 2 2 2" xfId="39875"/>
    <cellStyle name="Normal 10 3 4 2 3 2 3" xfId="22665"/>
    <cellStyle name="Normal 10 3 4 2 3 2 3 2" xfId="45087"/>
    <cellStyle name="Normal 10 3 4 2 3 2 4" xfId="33243"/>
    <cellStyle name="Normal 10 3 4 2 3 3" xfId="13138"/>
    <cellStyle name="Normal 10 3 4 2 3 3 2" xfId="36559"/>
    <cellStyle name="Normal 10 3 4 2 3 4" xfId="19828"/>
    <cellStyle name="Normal 10 3 4 2 3 4 2" xfId="42363"/>
    <cellStyle name="Normal 10 3 4 2 3 5" xfId="25699"/>
    <cellStyle name="Normal 10 3 4 2 3 5 2" xfId="47944"/>
    <cellStyle name="Normal 10 3 4 2 3 6" xfId="29927"/>
    <cellStyle name="Normal 10 3 4 2 4" xfId="8083"/>
    <cellStyle name="Normal 10 3 4 2 4 2" xfId="14796"/>
    <cellStyle name="Normal 10 3 4 2 4 2 2" xfId="38217"/>
    <cellStyle name="Normal 10 3 4 2 4 3" xfId="20727"/>
    <cellStyle name="Normal 10 3 4 2 4 3 2" xfId="43178"/>
    <cellStyle name="Normal 10 3 4 2 4 4" xfId="31585"/>
    <cellStyle name="Normal 10 3 4 2 5" xfId="11478"/>
    <cellStyle name="Normal 10 3 4 2 5 2" xfId="21823"/>
    <cellStyle name="Normal 10 3 4 2 5 2 2" xfId="44265"/>
    <cellStyle name="Normal 10 3 4 2 5 3" xfId="34901"/>
    <cellStyle name="Normal 10 3 4 2 6" xfId="18578"/>
    <cellStyle name="Normal 10 3 4 2 6 2" xfId="41522"/>
    <cellStyle name="Normal 10 3 4 2 7" xfId="23392"/>
    <cellStyle name="Normal 10 3 4 2 7 2" xfId="45739"/>
    <cellStyle name="Normal 10 3 4 2 8" xfId="28269"/>
    <cellStyle name="Normal 10 3 4 3" xfId="2770"/>
    <cellStyle name="Normal 10 3 4 3 2" xfId="5862"/>
    <cellStyle name="Normal 10 3 4 3 2 2" xfId="7644"/>
    <cellStyle name="Normal 10 3 4 3 2 2 2" xfId="10973"/>
    <cellStyle name="Normal 10 3 4 3 2 2 2 2" xfId="17677"/>
    <cellStyle name="Normal 10 3 4 3 2 2 2 2 2" xfId="41098"/>
    <cellStyle name="Normal 10 3 4 3 2 2 2 3" xfId="34466"/>
    <cellStyle name="Normal 10 3 4 3 2 2 3" xfId="14361"/>
    <cellStyle name="Normal 10 3 4 3 2 2 3 2" xfId="37782"/>
    <cellStyle name="Normal 10 3 4 3 2 2 4" xfId="22872"/>
    <cellStyle name="Normal 10 3 4 3 2 2 4 2" xfId="45294"/>
    <cellStyle name="Normal 10 3 4 3 2 2 5" xfId="31150"/>
    <cellStyle name="Normal 10 3 4 3 2 3" xfId="9315"/>
    <cellStyle name="Normal 10 3 4 3 2 3 2" xfId="16019"/>
    <cellStyle name="Normal 10 3 4 3 2 3 2 2" xfId="39440"/>
    <cellStyle name="Normal 10 3 4 3 2 3 3" xfId="32808"/>
    <cellStyle name="Normal 10 3 4 3 2 4" xfId="12703"/>
    <cellStyle name="Normal 10 3 4 3 2 4 2" xfId="36124"/>
    <cellStyle name="Normal 10 3 4 3 2 5" xfId="20036"/>
    <cellStyle name="Normal 10 3 4 3 2 5 2" xfId="42571"/>
    <cellStyle name="Normal 10 3 4 3 2 6" xfId="25822"/>
    <cellStyle name="Normal 10 3 4 3 2 6 2" xfId="48067"/>
    <cellStyle name="Normal 10 3 4 3 2 7" xfId="29492"/>
    <cellStyle name="Normal 10 3 4 3 3" xfId="6745"/>
    <cellStyle name="Normal 10 3 4 3 3 2" xfId="10077"/>
    <cellStyle name="Normal 10 3 4 3 3 2 2" xfId="16781"/>
    <cellStyle name="Normal 10 3 4 3 3 2 2 2" xfId="40202"/>
    <cellStyle name="Normal 10 3 4 3 3 2 3" xfId="33570"/>
    <cellStyle name="Normal 10 3 4 3 3 3" xfId="13465"/>
    <cellStyle name="Normal 10 3 4 3 3 3 2" xfId="36886"/>
    <cellStyle name="Normal 10 3 4 3 3 4" xfId="21185"/>
    <cellStyle name="Normal 10 3 4 3 3 4 2" xfId="43636"/>
    <cellStyle name="Normal 10 3 4 3 3 5" xfId="30254"/>
    <cellStyle name="Normal 10 3 4 3 4" xfId="8411"/>
    <cellStyle name="Normal 10 3 4 3 4 2" xfId="15123"/>
    <cellStyle name="Normal 10 3 4 3 4 2 2" xfId="38544"/>
    <cellStyle name="Normal 10 3 4 3 4 3" xfId="22044"/>
    <cellStyle name="Normal 10 3 4 3 4 3 2" xfId="44472"/>
    <cellStyle name="Normal 10 3 4 3 4 4" xfId="31912"/>
    <cellStyle name="Normal 10 3 4 3 5" xfId="11805"/>
    <cellStyle name="Normal 10 3 4 3 5 2" xfId="35228"/>
    <cellStyle name="Normal 10 3 4 3 6" xfId="19182"/>
    <cellStyle name="Normal 10 3 4 3 6 2" xfId="41739"/>
    <cellStyle name="Normal 10 3 4 3 7" xfId="23474"/>
    <cellStyle name="Normal 10 3 4 3 7 2" xfId="45818"/>
    <cellStyle name="Normal 10 3 4 3 8" xfId="28596"/>
    <cellStyle name="Normal 10 3 4 4" xfId="3834"/>
    <cellStyle name="Normal 10 3 4 4 2" xfId="6971"/>
    <cellStyle name="Normal 10 3 4 4 2 2" xfId="10303"/>
    <cellStyle name="Normal 10 3 4 4 2 2 2" xfId="17007"/>
    <cellStyle name="Normal 10 3 4 4 2 2 2 2" xfId="40428"/>
    <cellStyle name="Normal 10 3 4 4 2 2 3" xfId="33796"/>
    <cellStyle name="Normal 10 3 4 4 2 3" xfId="13691"/>
    <cellStyle name="Normal 10 3 4 4 2 3 2" xfId="37112"/>
    <cellStyle name="Normal 10 3 4 4 2 4" xfId="22465"/>
    <cellStyle name="Normal 10 3 4 4 2 4 2" xfId="44887"/>
    <cellStyle name="Normal 10 3 4 4 2 5" xfId="27948"/>
    <cellStyle name="Normal 10 3 4 4 2 5 2" xfId="50193"/>
    <cellStyle name="Normal 10 3 4 4 2 6" xfId="30480"/>
    <cellStyle name="Normal 10 3 4 4 3" xfId="8638"/>
    <cellStyle name="Normal 10 3 4 4 3 2" xfId="15349"/>
    <cellStyle name="Normal 10 3 4 4 3 2 2" xfId="38770"/>
    <cellStyle name="Normal 10 3 4 4 3 3" xfId="32138"/>
    <cellStyle name="Normal 10 3 4 4 4" xfId="12031"/>
    <cellStyle name="Normal 10 3 4 4 4 2" xfId="35454"/>
    <cellStyle name="Normal 10 3 4 4 5" xfId="19618"/>
    <cellStyle name="Normal 10 3 4 4 5 2" xfId="42155"/>
    <cellStyle name="Normal 10 3 4 4 6" xfId="25643"/>
    <cellStyle name="Normal 10 3 4 4 6 2" xfId="47888"/>
    <cellStyle name="Normal 10 3 4 4 7" xfId="28822"/>
    <cellStyle name="Normal 10 3 4 5" xfId="6272"/>
    <cellStyle name="Normal 10 3 4 5 2" xfId="9606"/>
    <cellStyle name="Normal 10 3 4 5 2 2" xfId="16310"/>
    <cellStyle name="Normal 10 3 4 5 2 2 2" xfId="39731"/>
    <cellStyle name="Normal 10 3 4 5 2 3" xfId="33099"/>
    <cellStyle name="Normal 10 3 4 5 3" xfId="12994"/>
    <cellStyle name="Normal 10 3 4 5 3 2" xfId="36415"/>
    <cellStyle name="Normal 10 3 4 5 4" xfId="20726"/>
    <cellStyle name="Normal 10 3 4 5 4 2" xfId="43177"/>
    <cellStyle name="Normal 10 3 4 5 5" xfId="25680"/>
    <cellStyle name="Normal 10 3 4 5 5 2" xfId="47925"/>
    <cellStyle name="Normal 10 3 4 5 6" xfId="29783"/>
    <cellStyle name="Normal 10 3 4 6" xfId="7938"/>
    <cellStyle name="Normal 10 3 4 6 2" xfId="14652"/>
    <cellStyle name="Normal 10 3 4 6 2 2" xfId="38073"/>
    <cellStyle name="Normal 10 3 4 6 3" xfId="21614"/>
    <cellStyle name="Normal 10 3 4 6 3 2" xfId="44063"/>
    <cellStyle name="Normal 10 3 4 6 4" xfId="31441"/>
    <cellStyle name="Normal 10 3 4 7" xfId="11334"/>
    <cellStyle name="Normal 10 3 4 7 2" xfId="34757"/>
    <cellStyle name="Normal 10 3 4 8" xfId="17977"/>
    <cellStyle name="Normal 10 3 4 8 2" xfId="41286"/>
    <cellStyle name="Normal 10 3 4 9" xfId="23545"/>
    <cellStyle name="Normal 10 3 4 9 2" xfId="45878"/>
    <cellStyle name="Normal 10 3 5" xfId="2217"/>
    <cellStyle name="Normal 10 3 5 2" xfId="5151"/>
    <cellStyle name="Normal 10 3 5 2 2" xfId="7223"/>
    <cellStyle name="Normal 10 3 5 2 2 2" xfId="10554"/>
    <cellStyle name="Normal 10 3 5 2 2 2 2" xfId="17258"/>
    <cellStyle name="Normal 10 3 5 2 2 2 2 2" xfId="40679"/>
    <cellStyle name="Normal 10 3 5 2 2 2 3" xfId="23065"/>
    <cellStyle name="Normal 10 3 5 2 2 2 3 2" xfId="45487"/>
    <cellStyle name="Normal 10 3 5 2 2 2 4" xfId="27969"/>
    <cellStyle name="Normal 10 3 5 2 2 2 4 2" xfId="50214"/>
    <cellStyle name="Normal 10 3 5 2 2 2 5" xfId="34047"/>
    <cellStyle name="Normal 10 3 5 2 2 3" xfId="13942"/>
    <cellStyle name="Normal 10 3 5 2 2 3 2" xfId="37363"/>
    <cellStyle name="Normal 10 3 5 2 2 4" xfId="20237"/>
    <cellStyle name="Normal 10 3 5 2 2 4 2" xfId="42772"/>
    <cellStyle name="Normal 10 3 5 2 2 5" xfId="25664"/>
    <cellStyle name="Normal 10 3 5 2 2 5 2" xfId="47909"/>
    <cellStyle name="Normal 10 3 5 2 2 6" xfId="30731"/>
    <cellStyle name="Normal 10 3 5 2 3" xfId="8894"/>
    <cellStyle name="Normal 10 3 5 2 3 2" xfId="15600"/>
    <cellStyle name="Normal 10 3 5 2 3 2 2" xfId="39021"/>
    <cellStyle name="Normal 10 3 5 2 3 3" xfId="21187"/>
    <cellStyle name="Normal 10 3 5 2 3 3 2" xfId="43638"/>
    <cellStyle name="Normal 10 3 5 2 3 4" xfId="25701"/>
    <cellStyle name="Normal 10 3 5 2 3 4 2" xfId="47946"/>
    <cellStyle name="Normal 10 3 5 2 3 5" xfId="32389"/>
    <cellStyle name="Normal 10 3 5 2 4" xfId="12283"/>
    <cellStyle name="Normal 10 3 5 2 4 2" xfId="22250"/>
    <cellStyle name="Normal 10 3 5 2 4 2 2" xfId="44672"/>
    <cellStyle name="Normal 10 3 5 2 4 3" xfId="35705"/>
    <cellStyle name="Normal 10 3 5 2 5" xfId="19398"/>
    <cellStyle name="Normal 10 3 5 2 5 2" xfId="41940"/>
    <cellStyle name="Normal 10 3 5 2 6" xfId="23394"/>
    <cellStyle name="Normal 10 3 5 2 6 2" xfId="45741"/>
    <cellStyle name="Normal 10 3 5 2 7" xfId="29073"/>
    <cellStyle name="Normal 10 3 5 3" xfId="6409"/>
    <cellStyle name="Normal 10 3 5 3 2" xfId="9743"/>
    <cellStyle name="Normal 10 3 5 3 2 2" xfId="16447"/>
    <cellStyle name="Normal 10 3 5 3 2 2 2" xfId="39868"/>
    <cellStyle name="Normal 10 3 5 3 2 3" xfId="22658"/>
    <cellStyle name="Normal 10 3 5 3 2 3 2" xfId="45080"/>
    <cellStyle name="Normal 10 3 5 3 2 4" xfId="26065"/>
    <cellStyle name="Normal 10 3 5 3 2 4 2" xfId="48310"/>
    <cellStyle name="Normal 10 3 5 3 2 5" xfId="33236"/>
    <cellStyle name="Normal 10 3 5 3 3" xfId="13131"/>
    <cellStyle name="Normal 10 3 5 3 3 2" xfId="36552"/>
    <cellStyle name="Normal 10 3 5 3 4" xfId="19821"/>
    <cellStyle name="Normal 10 3 5 3 4 2" xfId="42356"/>
    <cellStyle name="Normal 10 3 5 3 5" xfId="23878"/>
    <cellStyle name="Normal 10 3 5 3 5 2" xfId="46125"/>
    <cellStyle name="Normal 10 3 5 3 6" xfId="29920"/>
    <cellStyle name="Normal 10 3 5 4" xfId="8076"/>
    <cellStyle name="Normal 10 3 5 4 2" xfId="14789"/>
    <cellStyle name="Normal 10 3 5 4 2 2" xfId="27950"/>
    <cellStyle name="Normal 10 3 5 4 2 2 2" xfId="50195"/>
    <cellStyle name="Normal 10 3 5 4 2 3" xfId="38210"/>
    <cellStyle name="Normal 10 3 5 4 3" xfId="20728"/>
    <cellStyle name="Normal 10 3 5 4 3 2" xfId="43179"/>
    <cellStyle name="Normal 10 3 5 4 4" xfId="25645"/>
    <cellStyle name="Normal 10 3 5 4 4 2" xfId="47890"/>
    <cellStyle name="Normal 10 3 5 4 5" xfId="31578"/>
    <cellStyle name="Normal 10 3 5 5" xfId="11471"/>
    <cellStyle name="Normal 10 3 5 5 2" xfId="21816"/>
    <cellStyle name="Normal 10 3 5 5 2 2" xfId="44258"/>
    <cellStyle name="Normal 10 3 5 5 3" xfId="25682"/>
    <cellStyle name="Normal 10 3 5 5 3 2" xfId="47927"/>
    <cellStyle name="Normal 10 3 5 5 4" xfId="34894"/>
    <cellStyle name="Normal 10 3 5 6" xfId="18571"/>
    <cellStyle name="Normal 10 3 5 6 2" xfId="41515"/>
    <cellStyle name="Normal 10 3 5 7" xfId="23853"/>
    <cellStyle name="Normal 10 3 5 7 2" xfId="46118"/>
    <cellStyle name="Normal 10 3 5 8" xfId="28262"/>
    <cellStyle name="Normal 10 3 6" xfId="2173"/>
    <cellStyle name="Normal 10 3 6 2" xfId="20029"/>
    <cellStyle name="Normal 10 3 6 2 2" xfId="22865"/>
    <cellStyle name="Normal 10 3 6 2 2 2" xfId="27955"/>
    <cellStyle name="Normal 10 3 6 2 2 2 2" xfId="50200"/>
    <cellStyle name="Normal 10 3 6 2 2 3" xfId="45287"/>
    <cellStyle name="Normal 10 3 6 2 3" xfId="18269"/>
    <cellStyle name="Normal 10 3 6 2 4" xfId="25650"/>
    <cellStyle name="Normal 10 3 6 2 4 2" xfId="47895"/>
    <cellStyle name="Normal 10 3 6 2 5" xfId="42564"/>
    <cellStyle name="Normal 10 3 6 3" xfId="19175"/>
    <cellStyle name="Normal 10 3 6 3 2" xfId="25687"/>
    <cellStyle name="Normal 10 3 6 3 2 2" xfId="47932"/>
    <cellStyle name="Normal 10 3 6 3 3" xfId="41732"/>
    <cellStyle name="Normal 10 3 6 4" xfId="23386"/>
    <cellStyle name="Normal 10 3 6 4 2" xfId="45734"/>
    <cellStyle name="Normal 10 3 7" xfId="2637"/>
    <cellStyle name="Normal 10 3 7 2" xfId="5731"/>
    <cellStyle name="Normal 10 3 7 2 2" xfId="7514"/>
    <cellStyle name="Normal 10 3 7 2 2 2" xfId="10843"/>
    <cellStyle name="Normal 10 3 7 2 2 2 2" xfId="17547"/>
    <cellStyle name="Normal 10 3 7 2 2 2 2 2" xfId="40968"/>
    <cellStyle name="Normal 10 3 7 2 2 2 3" xfId="34336"/>
    <cellStyle name="Normal 10 3 7 2 2 3" xfId="14231"/>
    <cellStyle name="Normal 10 3 7 2 2 3 2" xfId="37652"/>
    <cellStyle name="Normal 10 3 7 2 2 4" xfId="20618"/>
    <cellStyle name="Normal 10 3 7 2 2 4 2" xfId="43069"/>
    <cellStyle name="Normal 10 3 7 2 2 5" xfId="31020"/>
    <cellStyle name="Normal 10 3 7 2 3" xfId="9185"/>
    <cellStyle name="Normal 10 3 7 2 3 2" xfId="15889"/>
    <cellStyle name="Normal 10 3 7 2 3 2 2" xfId="39310"/>
    <cellStyle name="Normal 10 3 7 2 3 3" xfId="21536"/>
    <cellStyle name="Normal 10 3 7 2 3 3 2" xfId="43987"/>
    <cellStyle name="Normal 10 3 7 2 3 4" xfId="32678"/>
    <cellStyle name="Normal 10 3 7 2 4" xfId="12573"/>
    <cellStyle name="Normal 10 3 7 2 4 2" xfId="35994"/>
    <cellStyle name="Normal 10 3 7 2 5" xfId="17885"/>
    <cellStyle name="Normal 10 3 7 2 5 2" xfId="41238"/>
    <cellStyle name="Normal 10 3 7 2 6" xfId="25815"/>
    <cellStyle name="Normal 10 3 7 2 6 2" xfId="48060"/>
    <cellStyle name="Normal 10 3 7 2 7" xfId="29362"/>
    <cellStyle name="Normal 10 3 7 3" xfId="6614"/>
    <cellStyle name="Normal 10 3 7 3 2" xfId="9946"/>
    <cellStyle name="Normal 10 3 7 3 2 2" xfId="16650"/>
    <cellStyle name="Normal 10 3 7 3 2 2 2" xfId="40071"/>
    <cellStyle name="Normal 10 3 7 3 2 3" xfId="33439"/>
    <cellStyle name="Normal 10 3 7 3 3" xfId="13334"/>
    <cellStyle name="Normal 10 3 7 3 3 2" xfId="36755"/>
    <cellStyle name="Normal 10 3 7 3 4" xfId="20520"/>
    <cellStyle name="Normal 10 3 7 3 4 2" xfId="42973"/>
    <cellStyle name="Normal 10 3 7 3 5" xfId="30123"/>
    <cellStyle name="Normal 10 3 7 4" xfId="8280"/>
    <cellStyle name="Normal 10 3 7 4 2" xfId="14992"/>
    <cellStyle name="Normal 10 3 7 4 2 2" xfId="38413"/>
    <cellStyle name="Normal 10 3 7 4 3" xfId="21077"/>
    <cellStyle name="Normal 10 3 7 4 3 2" xfId="43528"/>
    <cellStyle name="Normal 10 3 7 4 4" xfId="31781"/>
    <cellStyle name="Normal 10 3 7 5" xfId="11674"/>
    <cellStyle name="Normal 10 3 7 5 2" xfId="22458"/>
    <cellStyle name="Normal 10 3 7 5 2 2" xfId="44880"/>
    <cellStyle name="Normal 10 3 7 5 3" xfId="35097"/>
    <cellStyle name="Normal 10 3 7 6" xfId="19611"/>
    <cellStyle name="Normal 10 3 7 6 2" xfId="42148"/>
    <cellStyle name="Normal 10 3 7 7" xfId="23470"/>
    <cellStyle name="Normal 10 3 7 7 2" xfId="45815"/>
    <cellStyle name="Normal 10 3 7 8" xfId="28465"/>
    <cellStyle name="Normal 10 3 8" xfId="3826"/>
    <cellStyle name="Normal 10 3 8 2" xfId="6964"/>
    <cellStyle name="Normal 10 3 8 2 2" xfId="10296"/>
    <cellStyle name="Normal 10 3 8 2 2 2" xfId="17000"/>
    <cellStyle name="Normal 10 3 8 2 2 2 2" xfId="40421"/>
    <cellStyle name="Normal 10 3 8 2 2 3" xfId="33789"/>
    <cellStyle name="Normal 10 3 8 2 3" xfId="13684"/>
    <cellStyle name="Normal 10 3 8 2 3 2" xfId="37105"/>
    <cellStyle name="Normal 10 3 8 2 4" xfId="20569"/>
    <cellStyle name="Normal 10 3 8 2 4 2" xfId="43022"/>
    <cellStyle name="Normal 10 3 8 2 5" xfId="27936"/>
    <cellStyle name="Normal 10 3 8 2 5 2" xfId="50181"/>
    <cellStyle name="Normal 10 3 8 2 6" xfId="30473"/>
    <cellStyle name="Normal 10 3 8 3" xfId="8631"/>
    <cellStyle name="Normal 10 3 8 3 2" xfId="15342"/>
    <cellStyle name="Normal 10 3 8 3 2 2" xfId="38763"/>
    <cellStyle name="Normal 10 3 8 3 3" xfId="21172"/>
    <cellStyle name="Normal 10 3 8 3 3 2" xfId="43623"/>
    <cellStyle name="Normal 10 3 8 3 4" xfId="32131"/>
    <cellStyle name="Normal 10 3 8 4" xfId="12024"/>
    <cellStyle name="Normal 10 3 8 4 2" xfId="35447"/>
    <cellStyle name="Normal 10 3 8 5" xfId="17873"/>
    <cellStyle name="Normal 10 3 8 5 2" xfId="41237"/>
    <cellStyle name="Normal 10 3 8 6" xfId="25631"/>
    <cellStyle name="Normal 10 3 8 6 2" xfId="47876"/>
    <cellStyle name="Normal 10 3 8 7" xfId="28815"/>
    <cellStyle name="Normal 10 3 9" xfId="6141"/>
    <cellStyle name="Normal 10 3 9 2" xfId="9475"/>
    <cellStyle name="Normal 10 3 9 2 2" xfId="16179"/>
    <cellStyle name="Normal 10 3 9 2 2 2" xfId="39600"/>
    <cellStyle name="Normal 10 3 9 2 3" xfId="32968"/>
    <cellStyle name="Normal 10 3 9 3" xfId="12863"/>
    <cellStyle name="Normal 10 3 9 3 2" xfId="36284"/>
    <cellStyle name="Normal 10 3 9 4" xfId="17891"/>
    <cellStyle name="Normal 10 3 9 4 2" xfId="41241"/>
    <cellStyle name="Normal 10 3 9 5" xfId="25669"/>
    <cellStyle name="Normal 10 3 9 5 2" xfId="47914"/>
    <cellStyle name="Normal 10 3 9 6" xfId="29652"/>
    <cellStyle name="Normal 10 4" xfId="1619"/>
    <cellStyle name="Normal 10 4 2" xfId="3836"/>
    <cellStyle name="Normal 10 4 2 2" xfId="23475"/>
    <cellStyle name="Normal 10 4 2 3" xfId="23366"/>
    <cellStyle name="Normal 10 4 3" xfId="5405"/>
    <cellStyle name="Normal 10 4 3 2" xfId="7260"/>
    <cellStyle name="Normal 10 4 3 2 2" xfId="10591"/>
    <cellStyle name="Normal 10 4 3 2 2 2" xfId="17295"/>
    <cellStyle name="Normal 10 4 3 2 2 2 2" xfId="27965"/>
    <cellStyle name="Normal 10 4 3 2 2 2 2 2" xfId="50210"/>
    <cellStyle name="Normal 10 4 3 2 2 2 3" xfId="40716"/>
    <cellStyle name="Normal 10 4 3 2 2 3" xfId="25660"/>
    <cellStyle name="Normal 10 4 3 2 2 3 2" xfId="47905"/>
    <cellStyle name="Normal 10 4 3 2 2 4" xfId="34084"/>
    <cellStyle name="Normal 10 4 3 2 3" xfId="13979"/>
    <cellStyle name="Normal 10 4 3 2 3 2" xfId="25697"/>
    <cellStyle name="Normal 10 4 3 2 3 2 2" xfId="47942"/>
    <cellStyle name="Normal 10 4 3 2 3 3" xfId="37400"/>
    <cellStyle name="Normal 10 4 3 2 4" xfId="23391"/>
    <cellStyle name="Normal 10 4 3 2 4 2" xfId="45738"/>
    <cellStyle name="Normal 10 4 3 2 5" xfId="30768"/>
    <cellStyle name="Normal 10 4 3 3" xfId="8933"/>
    <cellStyle name="Normal 10 4 3 3 2" xfId="15637"/>
    <cellStyle name="Normal 10 4 3 3 2 2" xfId="27946"/>
    <cellStyle name="Normal 10 4 3 3 2 2 2" xfId="50191"/>
    <cellStyle name="Normal 10 4 3 3 2 3" xfId="39058"/>
    <cellStyle name="Normal 10 4 3 3 3" xfId="25641"/>
    <cellStyle name="Normal 10 4 3 3 3 2" xfId="47886"/>
    <cellStyle name="Normal 10 4 3 3 4" xfId="32426"/>
    <cellStyle name="Normal 10 4 3 4" xfId="12320"/>
    <cellStyle name="Normal 10 4 3 4 2" xfId="25678"/>
    <cellStyle name="Normal 10 4 3 4 2 2" xfId="47923"/>
    <cellStyle name="Normal 10 4 3 4 3" xfId="35742"/>
    <cellStyle name="Normal 10 4 3 5" xfId="23379"/>
    <cellStyle name="Normal 10 4 3 5 2" xfId="45733"/>
    <cellStyle name="Normal 10 4 3 6" xfId="29110"/>
    <cellStyle name="Normal 10 4 4" xfId="3835"/>
    <cellStyle name="Normal 10 4 4 2" xfId="25652"/>
    <cellStyle name="Normal 10 4 4 2 2" xfId="27957"/>
    <cellStyle name="Normal 10 4 4 2 2 2" xfId="50202"/>
    <cellStyle name="Normal 10 4 4 2 3" xfId="47897"/>
    <cellStyle name="Normal 10 4 4 3" xfId="25689"/>
    <cellStyle name="Normal 10 4 4 3 2" xfId="47934"/>
    <cellStyle name="Normal 10 4 4 4" xfId="23838"/>
    <cellStyle name="Normal 10 4 4 4 2" xfId="46104"/>
    <cellStyle name="Normal 10 4 5" xfId="24392"/>
    <cellStyle name="Normal 10 4 5 2" xfId="26595"/>
    <cellStyle name="Normal 10 4 5 2 2" xfId="48840"/>
    <cellStyle name="Normal 10 4 5 3" xfId="46637"/>
    <cellStyle name="Normal 10 4 6" xfId="25633"/>
    <cellStyle name="Normal 10 4 6 2" xfId="27938"/>
    <cellStyle name="Normal 10 4 6 2 2" xfId="50183"/>
    <cellStyle name="Normal 10 4 6 3" xfId="47878"/>
    <cellStyle name="Normal 10 4 7" xfId="25671"/>
    <cellStyle name="Normal 10 4 7 2" xfId="47916"/>
    <cellStyle name="Normal 10 4 8" xfId="23651"/>
    <cellStyle name="Normal 10 4 8 2" xfId="45941"/>
    <cellStyle name="Normal 10 5" xfId="1610"/>
    <cellStyle name="Normal 10 5 2" xfId="3838"/>
    <cellStyle name="Normal 10 5 2 2" xfId="23476"/>
    <cellStyle name="Normal 10 5 2 3" xfId="25656"/>
    <cellStyle name="Normal 10 5 2 3 2" xfId="27961"/>
    <cellStyle name="Normal 10 5 2 3 2 2" xfId="50206"/>
    <cellStyle name="Normal 10 5 2 3 3" xfId="47901"/>
    <cellStyle name="Normal 10 5 2 4" xfId="25693"/>
    <cellStyle name="Normal 10 5 2 4 2" xfId="47938"/>
    <cellStyle name="Normal 10 5 2 5" xfId="23389"/>
    <cellStyle name="Normal 10 5 2 5 2" xfId="45736"/>
    <cellStyle name="Normal 10 5 3" xfId="3837"/>
    <cellStyle name="Normal 10 5 4" xfId="25637"/>
    <cellStyle name="Normal 10 5 4 2" xfId="27942"/>
    <cellStyle name="Normal 10 5 4 2 2" xfId="50187"/>
    <cellStyle name="Normal 10 5 4 3" xfId="47882"/>
    <cellStyle name="Normal 10 5 5" xfId="25675"/>
    <cellStyle name="Normal 10 5 5 2" xfId="47920"/>
    <cellStyle name="Normal 10 5 6" xfId="23378"/>
    <cellStyle name="Normal 10 5 6 2" xfId="45732"/>
    <cellStyle name="Normal 10 6" xfId="6112"/>
    <cellStyle name="Normal 10 6 2" xfId="7778"/>
    <cellStyle name="Normal 10 6 2 2" xfId="11107"/>
    <cellStyle name="Normal 10 6 2 2 2" xfId="17811"/>
    <cellStyle name="Normal 10 6 2 2 2 2" xfId="41232"/>
    <cellStyle name="Normal 10 6 2 2 3" xfId="27953"/>
    <cellStyle name="Normal 10 6 2 2 3 2" xfId="50198"/>
    <cellStyle name="Normal 10 6 2 2 4" xfId="34600"/>
    <cellStyle name="Normal 10 6 2 3" xfId="14495"/>
    <cellStyle name="Normal 10 6 2 3 2" xfId="37916"/>
    <cellStyle name="Normal 10 6 2 4" xfId="21789"/>
    <cellStyle name="Normal 10 6 2 5" xfId="25648"/>
    <cellStyle name="Normal 10 6 2 5 2" xfId="47893"/>
    <cellStyle name="Normal 10 6 2 6" xfId="31284"/>
    <cellStyle name="Normal 10 6 3" xfId="9449"/>
    <cellStyle name="Normal 10 6 3 2" xfId="16153"/>
    <cellStyle name="Normal 10 6 3 2 2" xfId="39574"/>
    <cellStyle name="Normal 10 6 3 3" xfId="25685"/>
    <cellStyle name="Normal 10 6 3 3 2" xfId="47930"/>
    <cellStyle name="Normal 10 6 3 4" xfId="32942"/>
    <cellStyle name="Normal 10 6 4" xfId="12837"/>
    <cellStyle name="Normal 10 6 4 2" xfId="36258"/>
    <cellStyle name="Normal 10 6 5" xfId="18543"/>
    <cellStyle name="Normal 10 6 6" xfId="20460"/>
    <cellStyle name="Normal 10 6 7" xfId="23274"/>
    <cellStyle name="Normal 10 6 7 2" xfId="45676"/>
    <cellStyle name="Normal 10 6 8" xfId="29626"/>
    <cellStyle name="Normal 10 7" xfId="25629"/>
    <cellStyle name="Normal 10 7 2" xfId="27934"/>
    <cellStyle name="Normal 10 7 2 2" xfId="50179"/>
    <cellStyle name="Normal 10 7 3" xfId="47874"/>
    <cellStyle name="Normal 10 8" xfId="25667"/>
    <cellStyle name="Normal 10 8 2" xfId="47912"/>
    <cellStyle name="Normal 10_Exhibits" xfId="1035"/>
    <cellStyle name="Normal 100" xfId="1228"/>
    <cellStyle name="Normal 100 2" xfId="3840"/>
    <cellStyle name="Normal 100 3" xfId="3839"/>
    <cellStyle name="Normal 101" xfId="1258"/>
    <cellStyle name="Normal 101 2" xfId="3842"/>
    <cellStyle name="Normal 101 3" xfId="3841"/>
    <cellStyle name="Normal 102" xfId="1260"/>
    <cellStyle name="Normal 102 2" xfId="3844"/>
    <cellStyle name="Normal 102 3" xfId="3843"/>
    <cellStyle name="Normal 103" xfId="1261"/>
    <cellStyle name="Normal 103 2" xfId="3846"/>
    <cellStyle name="Normal 103 3" xfId="3845"/>
    <cellStyle name="Normal 104" xfId="1262"/>
    <cellStyle name="Normal 104 2" xfId="3848"/>
    <cellStyle name="Normal 104 3" xfId="3847"/>
    <cellStyle name="Normal 105" xfId="1263"/>
    <cellStyle name="Normal 105 2" xfId="3850"/>
    <cellStyle name="Normal 105 3" xfId="3849"/>
    <cellStyle name="Normal 106" xfId="1264"/>
    <cellStyle name="Normal 106 2" xfId="3852"/>
    <cellStyle name="Normal 106 3" xfId="3851"/>
    <cellStyle name="Normal 107" xfId="1266"/>
    <cellStyle name="Normal 107 2" xfId="3854"/>
    <cellStyle name="Normal 107 3" xfId="3853"/>
    <cellStyle name="Normal 108" xfId="1267"/>
    <cellStyle name="Normal 108 2" xfId="23478"/>
    <cellStyle name="Normal 108 3" xfId="23371"/>
    <cellStyle name="Normal 109" xfId="1268"/>
    <cellStyle name="Normal 109 2" xfId="23299"/>
    <cellStyle name="Normal 109 3" xfId="23372"/>
    <cellStyle name="Normal 11" xfId="520"/>
    <cellStyle name="Normal 11 10" xfId="25668"/>
    <cellStyle name="Normal 11 10 2" xfId="47913"/>
    <cellStyle name="Normal 11 2" xfId="521"/>
    <cellStyle name="Normal 11 2 2" xfId="3855"/>
    <cellStyle name="Normal 11 3" xfId="1184"/>
    <cellStyle name="Normal 11 3 2" xfId="3857"/>
    <cellStyle name="Normal 11 3 2 2" xfId="23525"/>
    <cellStyle name="Normal 11 3 2 2 2" xfId="25655"/>
    <cellStyle name="Normal 11 3 2 2 2 2" xfId="27960"/>
    <cellStyle name="Normal 11 3 2 2 2 2 2" xfId="50205"/>
    <cellStyle name="Normal 11 3 2 2 2 3" xfId="47900"/>
    <cellStyle name="Normal 11 3 2 2 3" xfId="25692"/>
    <cellStyle name="Normal 11 3 2 2 3 2" xfId="47937"/>
    <cellStyle name="Normal 11 3 2 2 4" xfId="45859"/>
    <cellStyle name="Normal 11 3 2 3" xfId="23480"/>
    <cellStyle name="Normal 11 3 2 4" xfId="25636"/>
    <cellStyle name="Normal 11 3 2 4 2" xfId="27941"/>
    <cellStyle name="Normal 11 3 2 4 2 2" xfId="50186"/>
    <cellStyle name="Normal 11 3 2 4 3" xfId="47881"/>
    <cellStyle name="Normal 11 3 2 5" xfId="25674"/>
    <cellStyle name="Normal 11 3 2 5 2" xfId="47919"/>
    <cellStyle name="Normal 11 3 3" xfId="5153"/>
    <cellStyle name="Normal 11 3 3 2" xfId="7224"/>
    <cellStyle name="Normal 11 3 3 2 2" xfId="10555"/>
    <cellStyle name="Normal 11 3 3 2 2 2" xfId="17259"/>
    <cellStyle name="Normal 11 3 3 2 2 2 2" xfId="27964"/>
    <cellStyle name="Normal 11 3 3 2 2 2 2 2" xfId="50209"/>
    <cellStyle name="Normal 11 3 3 2 2 2 3" xfId="40680"/>
    <cellStyle name="Normal 11 3 3 2 2 3" xfId="25659"/>
    <cellStyle name="Normal 11 3 3 2 2 3 2" xfId="47904"/>
    <cellStyle name="Normal 11 3 3 2 2 4" xfId="34048"/>
    <cellStyle name="Normal 11 3 3 2 3" xfId="13943"/>
    <cellStyle name="Normal 11 3 3 2 3 2" xfId="25696"/>
    <cellStyle name="Normal 11 3 3 2 3 2 2" xfId="47941"/>
    <cellStyle name="Normal 11 3 3 2 3 3" xfId="37364"/>
    <cellStyle name="Normal 11 3 3 2 4" xfId="23390"/>
    <cellStyle name="Normal 11 3 3 2 4 2" xfId="45737"/>
    <cellStyle name="Normal 11 3 3 2 5" xfId="30732"/>
    <cellStyle name="Normal 11 3 3 3" xfId="8895"/>
    <cellStyle name="Normal 11 3 3 3 2" xfId="15601"/>
    <cellStyle name="Normal 11 3 3 3 2 2" xfId="26066"/>
    <cellStyle name="Normal 11 3 3 3 2 2 2" xfId="48311"/>
    <cellStyle name="Normal 11 3 3 3 2 3" xfId="39022"/>
    <cellStyle name="Normal 11 3 3 3 3" xfId="23879"/>
    <cellStyle name="Normal 11 3 3 3 3 2" xfId="46126"/>
    <cellStyle name="Normal 11 3 3 3 4" xfId="32390"/>
    <cellStyle name="Normal 11 3 3 4" xfId="12284"/>
    <cellStyle name="Normal 11 3 3 4 2" xfId="27945"/>
    <cellStyle name="Normal 11 3 3 4 2 2" xfId="50190"/>
    <cellStyle name="Normal 11 3 3 4 3" xfId="25640"/>
    <cellStyle name="Normal 11 3 3 4 3 2" xfId="47885"/>
    <cellStyle name="Normal 11 3 3 4 4" xfId="35706"/>
    <cellStyle name="Normal 11 3 3 5" xfId="23855"/>
    <cellStyle name="Normal 11 3 3 5 2" xfId="46119"/>
    <cellStyle name="Normal 11 3 3 6" xfId="29074"/>
    <cellStyle name="Normal 11 3 4" xfId="3856"/>
    <cellStyle name="Normal 11 3 4 2" xfId="6972"/>
    <cellStyle name="Normal 11 3 4 2 2" xfId="10304"/>
    <cellStyle name="Normal 11 3 4 2 2 2" xfId="17008"/>
    <cellStyle name="Normal 11 3 4 2 2 2 2" xfId="27968"/>
    <cellStyle name="Normal 11 3 4 2 2 2 2 2" xfId="50213"/>
    <cellStyle name="Normal 11 3 4 2 2 2 3" xfId="40429"/>
    <cellStyle name="Normal 11 3 4 2 2 3" xfId="25663"/>
    <cellStyle name="Normal 11 3 4 2 2 3 2" xfId="47908"/>
    <cellStyle name="Normal 11 3 4 2 2 4" xfId="33797"/>
    <cellStyle name="Normal 11 3 4 2 3" xfId="13692"/>
    <cellStyle name="Normal 11 3 4 2 3 2" xfId="25700"/>
    <cellStyle name="Normal 11 3 4 2 3 2 2" xfId="47945"/>
    <cellStyle name="Normal 11 3 4 2 3 3" xfId="37113"/>
    <cellStyle name="Normal 11 3 4 2 4" xfId="23393"/>
    <cellStyle name="Normal 11 3 4 2 4 2" xfId="45740"/>
    <cellStyle name="Normal 11 3 4 2 5" xfId="30481"/>
    <cellStyle name="Normal 11 3 4 3" xfId="8639"/>
    <cellStyle name="Normal 11 3 4 3 2" xfId="15350"/>
    <cellStyle name="Normal 11 3 4 3 2 2" xfId="27949"/>
    <cellStyle name="Normal 11 3 4 3 2 2 2" xfId="50194"/>
    <cellStyle name="Normal 11 3 4 3 2 3" xfId="38771"/>
    <cellStyle name="Normal 11 3 4 3 3" xfId="25644"/>
    <cellStyle name="Normal 11 3 4 3 3 2" xfId="47889"/>
    <cellStyle name="Normal 11 3 4 3 4" xfId="32139"/>
    <cellStyle name="Normal 11 3 4 4" xfId="12032"/>
    <cellStyle name="Normal 11 3 4 4 2" xfId="25681"/>
    <cellStyle name="Normal 11 3 4 4 2 2" xfId="47926"/>
    <cellStyle name="Normal 11 3 4 4 3" xfId="35455"/>
    <cellStyle name="Normal 11 3 4 5" xfId="23312"/>
    <cellStyle name="Normal 11 3 4 5 2" xfId="45704"/>
    <cellStyle name="Normal 11 3 4 6" xfId="28823"/>
    <cellStyle name="Normal 11 3 5" xfId="23411"/>
    <cellStyle name="Normal 11 3 5 2" xfId="23395"/>
    <cellStyle name="Normal 11 3 5 2 2" xfId="25665"/>
    <cellStyle name="Normal 11 3 5 2 2 2" xfId="27970"/>
    <cellStyle name="Normal 11 3 5 2 2 2 2" xfId="50215"/>
    <cellStyle name="Normal 11 3 5 2 2 3" xfId="47910"/>
    <cellStyle name="Normal 11 3 5 2 3" xfId="25702"/>
    <cellStyle name="Normal 11 3 5 2 3 2" xfId="47947"/>
    <cellStyle name="Normal 11 3 5 2 4" xfId="45742"/>
    <cellStyle name="Normal 11 3 5 3" xfId="25646"/>
    <cellStyle name="Normal 11 3 5 3 2" xfId="27951"/>
    <cellStyle name="Normal 11 3 5 3 2 2" xfId="50196"/>
    <cellStyle name="Normal 11 3 5 3 3" xfId="47891"/>
    <cellStyle name="Normal 11 3 5 4" xfId="25683"/>
    <cellStyle name="Normal 11 3 5 4 2" xfId="47928"/>
    <cellStyle name="Normal 11 3 5 5" xfId="45756"/>
    <cellStyle name="Normal 11 3 6" xfId="23387"/>
    <cellStyle name="Normal 11 3 6 2" xfId="25651"/>
    <cellStyle name="Normal 11 3 6 2 2" xfId="27956"/>
    <cellStyle name="Normal 11 3 6 2 2 2" xfId="50201"/>
    <cellStyle name="Normal 11 3 6 2 3" xfId="47896"/>
    <cellStyle name="Normal 11 3 6 3" xfId="25688"/>
    <cellStyle name="Normal 11 3 6 3 2" xfId="47933"/>
    <cellStyle name="Normal 11 3 6 4" xfId="45735"/>
    <cellStyle name="Normal 11 3 7" xfId="23479"/>
    <cellStyle name="Normal 11 3 7 2" xfId="25823"/>
    <cellStyle name="Normal 11 3 7 2 2" xfId="48068"/>
    <cellStyle name="Normal 11 3 7 3" xfId="45820"/>
    <cellStyle name="Normal 11 3 8" xfId="25632"/>
    <cellStyle name="Normal 11 3 8 2" xfId="27937"/>
    <cellStyle name="Normal 11 3 8 2 2" xfId="50182"/>
    <cellStyle name="Normal 11 3 8 3" xfId="47877"/>
    <cellStyle name="Normal 11 3 9" xfId="25670"/>
    <cellStyle name="Normal 11 3 9 2" xfId="47915"/>
    <cellStyle name="Normal 11 4" xfId="1118"/>
    <cellStyle name="Normal 11 4 10" xfId="7788"/>
    <cellStyle name="Normal 11 4 10 2" xfId="14503"/>
    <cellStyle name="Normal 11 4 10 2 2" xfId="37924"/>
    <cellStyle name="Normal 11 4 10 3" xfId="20729"/>
    <cellStyle name="Normal 11 4 10 3 2" xfId="43180"/>
    <cellStyle name="Normal 11 4 10 4" xfId="31292"/>
    <cellStyle name="Normal 11 4 11" xfId="11185"/>
    <cellStyle name="Normal 11 4 11 2" xfId="21615"/>
    <cellStyle name="Normal 11 4 11 2 2" xfId="44064"/>
    <cellStyle name="Normal 11 4 11 3" xfId="34608"/>
    <cellStyle name="Normal 11 4 12" xfId="17979"/>
    <cellStyle name="Normal 11 4 12 2" xfId="41287"/>
    <cellStyle name="Normal 11 4 13" xfId="27976"/>
    <cellStyle name="Normal 11 4 2" xfId="1464"/>
    <cellStyle name="Normal 11 4 2 10" xfId="11213"/>
    <cellStyle name="Normal 11 4 2 10 2" xfId="21616"/>
    <cellStyle name="Normal 11 4 2 10 2 2" xfId="44065"/>
    <cellStyle name="Normal 11 4 2 10 3" xfId="34636"/>
    <cellStyle name="Normal 11 4 2 11" xfId="17980"/>
    <cellStyle name="Normal 11 4 2 11 2" xfId="41288"/>
    <cellStyle name="Normal 11 4 2 12" xfId="28004"/>
    <cellStyle name="Normal 11 4 2 2" xfId="1504"/>
    <cellStyle name="Normal 11 4 2 2 10" xfId="17981"/>
    <cellStyle name="Normal 11 4 2 2 10 2" xfId="41289"/>
    <cellStyle name="Normal 11 4 2 2 11" xfId="23559"/>
    <cellStyle name="Normal 11 4 2 2 11 2" xfId="45879"/>
    <cellStyle name="Normal 11 4 2 2 12" xfId="28040"/>
    <cellStyle name="Normal 11 4 2 2 2" xfId="1623"/>
    <cellStyle name="Normal 11 4 2 2 2 10" xfId="23560"/>
    <cellStyle name="Normal 11 4 2 2 2 10 2" xfId="45880"/>
    <cellStyle name="Normal 11 4 2 2 2 11" xfId="28064"/>
    <cellStyle name="Normal 11 4 2 2 2 2" xfId="1843"/>
    <cellStyle name="Normal 11 4 2 2 2 2 10" xfId="28195"/>
    <cellStyle name="Normal 11 4 2 2 2 2 2" xfId="2229"/>
    <cellStyle name="Normal 11 4 2 2 2 2 2 2" xfId="5500"/>
    <cellStyle name="Normal 11 4 2 2 2 2 2 2 2" xfId="7326"/>
    <cellStyle name="Normal 11 4 2 2 2 2 2 2 2 2" xfId="10657"/>
    <cellStyle name="Normal 11 4 2 2 2 2 2 2 2 2 2" xfId="17361"/>
    <cellStyle name="Normal 11 4 2 2 2 2 2 2 2 2 2 2" xfId="40782"/>
    <cellStyle name="Normal 11 4 2 2 2 2 2 2 2 2 3" xfId="23077"/>
    <cellStyle name="Normal 11 4 2 2 2 2 2 2 2 2 3 2" xfId="45499"/>
    <cellStyle name="Normal 11 4 2 2 2 2 2 2 2 2 4" xfId="34150"/>
    <cellStyle name="Normal 11 4 2 2 2 2 2 2 2 3" xfId="14045"/>
    <cellStyle name="Normal 11 4 2 2 2 2 2 2 2 3 2" xfId="37466"/>
    <cellStyle name="Normal 11 4 2 2 2 2 2 2 2 4" xfId="20249"/>
    <cellStyle name="Normal 11 4 2 2 2 2 2 2 2 4 2" xfId="42784"/>
    <cellStyle name="Normal 11 4 2 2 2 2 2 2 2 5" xfId="30834"/>
    <cellStyle name="Normal 11 4 2 2 2 2 2 2 3" xfId="8999"/>
    <cellStyle name="Normal 11 4 2 2 2 2 2 2 3 2" xfId="15703"/>
    <cellStyle name="Normal 11 4 2 2 2 2 2 2 3 2 2" xfId="39124"/>
    <cellStyle name="Normal 11 4 2 2 2 2 2 2 3 3" xfId="21193"/>
    <cellStyle name="Normal 11 4 2 2 2 2 2 2 3 3 2" xfId="43644"/>
    <cellStyle name="Normal 11 4 2 2 2 2 2 2 3 4" xfId="32492"/>
    <cellStyle name="Normal 11 4 2 2 2 2 2 2 4" xfId="12387"/>
    <cellStyle name="Normal 11 4 2 2 2 2 2 2 4 2" xfId="22262"/>
    <cellStyle name="Normal 11 4 2 2 2 2 2 2 4 2 2" xfId="44684"/>
    <cellStyle name="Normal 11 4 2 2 2 2 2 2 4 3" xfId="35808"/>
    <cellStyle name="Normal 11 4 2 2 2 2 2 2 5" xfId="19410"/>
    <cellStyle name="Normal 11 4 2 2 2 2 2 2 5 2" xfId="41952"/>
    <cellStyle name="Normal 11 4 2 2 2 2 2 2 6" xfId="29176"/>
    <cellStyle name="Normal 11 4 2 2 2 2 2 3" xfId="6421"/>
    <cellStyle name="Normal 11 4 2 2 2 2 2 3 2" xfId="9755"/>
    <cellStyle name="Normal 11 4 2 2 2 2 2 3 2 2" xfId="16459"/>
    <cellStyle name="Normal 11 4 2 2 2 2 2 3 2 2 2" xfId="39880"/>
    <cellStyle name="Normal 11 4 2 2 2 2 2 3 2 3" xfId="22670"/>
    <cellStyle name="Normal 11 4 2 2 2 2 2 3 2 3 2" xfId="45092"/>
    <cellStyle name="Normal 11 4 2 2 2 2 2 3 2 4" xfId="33248"/>
    <cellStyle name="Normal 11 4 2 2 2 2 2 3 3" xfId="13143"/>
    <cellStyle name="Normal 11 4 2 2 2 2 2 3 3 2" xfId="36564"/>
    <cellStyle name="Normal 11 4 2 2 2 2 2 3 4" xfId="19833"/>
    <cellStyle name="Normal 11 4 2 2 2 2 2 3 4 2" xfId="42368"/>
    <cellStyle name="Normal 11 4 2 2 2 2 2 3 5" xfId="29932"/>
    <cellStyle name="Normal 11 4 2 2 2 2 2 4" xfId="8088"/>
    <cellStyle name="Normal 11 4 2 2 2 2 2 4 2" xfId="14801"/>
    <cellStyle name="Normal 11 4 2 2 2 2 2 4 2 2" xfId="38222"/>
    <cellStyle name="Normal 11 4 2 2 2 2 2 4 3" xfId="20734"/>
    <cellStyle name="Normal 11 4 2 2 2 2 2 4 3 2" xfId="43185"/>
    <cellStyle name="Normal 11 4 2 2 2 2 2 4 4" xfId="31590"/>
    <cellStyle name="Normal 11 4 2 2 2 2 2 5" xfId="11483"/>
    <cellStyle name="Normal 11 4 2 2 2 2 2 5 2" xfId="21828"/>
    <cellStyle name="Normal 11 4 2 2 2 2 2 5 2 2" xfId="44270"/>
    <cellStyle name="Normal 11 4 2 2 2 2 2 5 3" xfId="34906"/>
    <cellStyle name="Normal 11 4 2 2 2 2 2 6" xfId="18583"/>
    <cellStyle name="Normal 11 4 2 2 2 2 2 6 2" xfId="41527"/>
    <cellStyle name="Normal 11 4 2 2 2 2 2 7" xfId="25826"/>
    <cellStyle name="Normal 11 4 2 2 2 2 2 7 2" xfId="48071"/>
    <cellStyle name="Normal 11 4 2 2 2 2 2 8" xfId="28274"/>
    <cellStyle name="Normal 11 4 2 2 2 2 3" xfId="2840"/>
    <cellStyle name="Normal 11 4 2 2 2 2 3 2" xfId="5932"/>
    <cellStyle name="Normal 11 4 2 2 2 2 3 2 2" xfId="7714"/>
    <cellStyle name="Normal 11 4 2 2 2 2 3 2 2 2" xfId="11043"/>
    <cellStyle name="Normal 11 4 2 2 2 2 3 2 2 2 2" xfId="17747"/>
    <cellStyle name="Normal 11 4 2 2 2 2 3 2 2 2 2 2" xfId="41168"/>
    <cellStyle name="Normal 11 4 2 2 2 2 3 2 2 2 3" xfId="34536"/>
    <cellStyle name="Normal 11 4 2 2 2 2 3 2 2 3" xfId="14431"/>
    <cellStyle name="Normal 11 4 2 2 2 2 3 2 2 3 2" xfId="37852"/>
    <cellStyle name="Normal 11 4 2 2 2 2 3 2 2 4" xfId="22877"/>
    <cellStyle name="Normal 11 4 2 2 2 2 3 2 2 4 2" xfId="45299"/>
    <cellStyle name="Normal 11 4 2 2 2 2 3 2 2 5" xfId="31220"/>
    <cellStyle name="Normal 11 4 2 2 2 2 3 2 3" xfId="9385"/>
    <cellStyle name="Normal 11 4 2 2 2 2 3 2 3 2" xfId="16089"/>
    <cellStyle name="Normal 11 4 2 2 2 2 3 2 3 2 2" xfId="39510"/>
    <cellStyle name="Normal 11 4 2 2 2 2 3 2 3 3" xfId="32878"/>
    <cellStyle name="Normal 11 4 2 2 2 2 3 2 4" xfId="12773"/>
    <cellStyle name="Normal 11 4 2 2 2 2 3 2 4 2" xfId="36194"/>
    <cellStyle name="Normal 11 4 2 2 2 2 3 2 5" xfId="20041"/>
    <cellStyle name="Normal 11 4 2 2 2 2 3 2 5 2" xfId="42576"/>
    <cellStyle name="Normal 11 4 2 2 2 2 3 2 6" xfId="29562"/>
    <cellStyle name="Normal 11 4 2 2 2 2 3 3" xfId="6815"/>
    <cellStyle name="Normal 11 4 2 2 2 2 3 3 2" xfId="10147"/>
    <cellStyle name="Normal 11 4 2 2 2 2 3 3 2 2" xfId="16851"/>
    <cellStyle name="Normal 11 4 2 2 2 2 3 3 2 2 2" xfId="40272"/>
    <cellStyle name="Normal 11 4 2 2 2 2 3 3 2 3" xfId="33640"/>
    <cellStyle name="Normal 11 4 2 2 2 2 3 3 3" xfId="13535"/>
    <cellStyle name="Normal 11 4 2 2 2 2 3 3 3 2" xfId="36956"/>
    <cellStyle name="Normal 11 4 2 2 2 2 3 3 4" xfId="21192"/>
    <cellStyle name="Normal 11 4 2 2 2 2 3 3 4 2" xfId="43643"/>
    <cellStyle name="Normal 11 4 2 2 2 2 3 3 5" xfId="30324"/>
    <cellStyle name="Normal 11 4 2 2 2 2 3 4" xfId="8481"/>
    <cellStyle name="Normal 11 4 2 2 2 2 3 4 2" xfId="15193"/>
    <cellStyle name="Normal 11 4 2 2 2 2 3 4 2 2" xfId="38614"/>
    <cellStyle name="Normal 11 4 2 2 2 2 3 4 3" xfId="22049"/>
    <cellStyle name="Normal 11 4 2 2 2 2 3 4 3 2" xfId="44477"/>
    <cellStyle name="Normal 11 4 2 2 2 2 3 4 4" xfId="31982"/>
    <cellStyle name="Normal 11 4 2 2 2 2 3 5" xfId="11875"/>
    <cellStyle name="Normal 11 4 2 2 2 2 3 5 2" xfId="35298"/>
    <cellStyle name="Normal 11 4 2 2 2 2 3 6" xfId="19187"/>
    <cellStyle name="Normal 11 4 2 2 2 2 3 6 2" xfId="41744"/>
    <cellStyle name="Normal 11 4 2 2 2 2 3 7" xfId="28666"/>
    <cellStyle name="Normal 11 4 2 2 2 2 4" xfId="3862"/>
    <cellStyle name="Normal 11 4 2 2 2 2 4 2" xfId="6975"/>
    <cellStyle name="Normal 11 4 2 2 2 2 4 2 2" xfId="10307"/>
    <cellStyle name="Normal 11 4 2 2 2 2 4 2 2 2" xfId="17011"/>
    <cellStyle name="Normal 11 4 2 2 2 2 4 2 2 2 2" xfId="40432"/>
    <cellStyle name="Normal 11 4 2 2 2 2 4 2 2 3" xfId="33800"/>
    <cellStyle name="Normal 11 4 2 2 2 2 4 2 3" xfId="13695"/>
    <cellStyle name="Normal 11 4 2 2 2 2 4 2 3 2" xfId="37116"/>
    <cellStyle name="Normal 11 4 2 2 2 2 4 2 4" xfId="22470"/>
    <cellStyle name="Normal 11 4 2 2 2 2 4 2 4 2" xfId="44892"/>
    <cellStyle name="Normal 11 4 2 2 2 2 4 2 5" xfId="30484"/>
    <cellStyle name="Normal 11 4 2 2 2 2 4 3" xfId="8642"/>
    <cellStyle name="Normal 11 4 2 2 2 2 4 3 2" xfId="15353"/>
    <cellStyle name="Normal 11 4 2 2 2 2 4 3 2 2" xfId="38774"/>
    <cellStyle name="Normal 11 4 2 2 2 2 4 3 3" xfId="32142"/>
    <cellStyle name="Normal 11 4 2 2 2 2 4 4" xfId="12035"/>
    <cellStyle name="Normal 11 4 2 2 2 2 4 4 2" xfId="35458"/>
    <cellStyle name="Normal 11 4 2 2 2 2 4 5" xfId="19623"/>
    <cellStyle name="Normal 11 4 2 2 2 2 4 5 2" xfId="42160"/>
    <cellStyle name="Normal 11 4 2 2 2 2 4 6" xfId="28826"/>
    <cellStyle name="Normal 11 4 2 2 2 2 5" xfId="6342"/>
    <cellStyle name="Normal 11 4 2 2 2 2 5 2" xfId="9676"/>
    <cellStyle name="Normal 11 4 2 2 2 2 5 2 2" xfId="16380"/>
    <cellStyle name="Normal 11 4 2 2 2 2 5 2 2 2" xfId="39801"/>
    <cellStyle name="Normal 11 4 2 2 2 2 5 2 3" xfId="33169"/>
    <cellStyle name="Normal 11 4 2 2 2 2 5 3" xfId="13064"/>
    <cellStyle name="Normal 11 4 2 2 2 2 5 3 2" xfId="36485"/>
    <cellStyle name="Normal 11 4 2 2 2 2 5 4" xfId="20733"/>
    <cellStyle name="Normal 11 4 2 2 2 2 5 4 2" xfId="43184"/>
    <cellStyle name="Normal 11 4 2 2 2 2 5 5" xfId="29853"/>
    <cellStyle name="Normal 11 4 2 2 2 2 6" xfId="8008"/>
    <cellStyle name="Normal 11 4 2 2 2 2 6 2" xfId="14722"/>
    <cellStyle name="Normal 11 4 2 2 2 2 6 2 2" xfId="38143"/>
    <cellStyle name="Normal 11 4 2 2 2 2 6 3" xfId="21619"/>
    <cellStyle name="Normal 11 4 2 2 2 2 6 3 2" xfId="44068"/>
    <cellStyle name="Normal 11 4 2 2 2 2 6 4" xfId="31511"/>
    <cellStyle name="Normal 11 4 2 2 2 2 7" xfId="11404"/>
    <cellStyle name="Normal 11 4 2 2 2 2 7 2" xfId="34827"/>
    <cellStyle name="Normal 11 4 2 2 2 2 8" xfId="17983"/>
    <cellStyle name="Normal 11 4 2 2 2 2 8 2" xfId="41291"/>
    <cellStyle name="Normal 11 4 2 2 2 2 9" xfId="23561"/>
    <cellStyle name="Normal 11 4 2 2 2 2 9 2" xfId="45881"/>
    <cellStyle name="Normal 11 4 2 2 2 3" xfId="2228"/>
    <cellStyle name="Normal 11 4 2 2 2 3 2" xfId="5499"/>
    <cellStyle name="Normal 11 4 2 2 2 3 2 2" xfId="7325"/>
    <cellStyle name="Normal 11 4 2 2 2 3 2 2 2" xfId="10656"/>
    <cellStyle name="Normal 11 4 2 2 2 3 2 2 2 2" xfId="17360"/>
    <cellStyle name="Normal 11 4 2 2 2 3 2 2 2 2 2" xfId="40781"/>
    <cellStyle name="Normal 11 4 2 2 2 3 2 2 2 3" xfId="23076"/>
    <cellStyle name="Normal 11 4 2 2 2 3 2 2 2 3 2" xfId="45498"/>
    <cellStyle name="Normal 11 4 2 2 2 3 2 2 2 4" xfId="34149"/>
    <cellStyle name="Normal 11 4 2 2 2 3 2 2 3" xfId="14044"/>
    <cellStyle name="Normal 11 4 2 2 2 3 2 2 3 2" xfId="37465"/>
    <cellStyle name="Normal 11 4 2 2 2 3 2 2 4" xfId="20248"/>
    <cellStyle name="Normal 11 4 2 2 2 3 2 2 4 2" xfId="42783"/>
    <cellStyle name="Normal 11 4 2 2 2 3 2 2 5" xfId="30833"/>
    <cellStyle name="Normal 11 4 2 2 2 3 2 3" xfId="8998"/>
    <cellStyle name="Normal 11 4 2 2 2 3 2 3 2" xfId="15702"/>
    <cellStyle name="Normal 11 4 2 2 2 3 2 3 2 2" xfId="39123"/>
    <cellStyle name="Normal 11 4 2 2 2 3 2 3 3" xfId="21194"/>
    <cellStyle name="Normal 11 4 2 2 2 3 2 3 3 2" xfId="43645"/>
    <cellStyle name="Normal 11 4 2 2 2 3 2 3 4" xfId="32491"/>
    <cellStyle name="Normal 11 4 2 2 2 3 2 4" xfId="12386"/>
    <cellStyle name="Normal 11 4 2 2 2 3 2 4 2" xfId="22261"/>
    <cellStyle name="Normal 11 4 2 2 2 3 2 4 2 2" xfId="44683"/>
    <cellStyle name="Normal 11 4 2 2 2 3 2 4 3" xfId="35807"/>
    <cellStyle name="Normal 11 4 2 2 2 3 2 5" xfId="19409"/>
    <cellStyle name="Normal 11 4 2 2 2 3 2 5 2" xfId="41951"/>
    <cellStyle name="Normal 11 4 2 2 2 3 2 6" xfId="29175"/>
    <cellStyle name="Normal 11 4 2 2 2 3 3" xfId="6420"/>
    <cellStyle name="Normal 11 4 2 2 2 3 3 2" xfId="9754"/>
    <cellStyle name="Normal 11 4 2 2 2 3 3 2 2" xfId="16458"/>
    <cellStyle name="Normal 11 4 2 2 2 3 3 2 2 2" xfId="39879"/>
    <cellStyle name="Normal 11 4 2 2 2 3 3 2 3" xfId="22669"/>
    <cellStyle name="Normal 11 4 2 2 2 3 3 2 3 2" xfId="45091"/>
    <cellStyle name="Normal 11 4 2 2 2 3 3 2 4" xfId="33247"/>
    <cellStyle name="Normal 11 4 2 2 2 3 3 3" xfId="13142"/>
    <cellStyle name="Normal 11 4 2 2 2 3 3 3 2" xfId="36563"/>
    <cellStyle name="Normal 11 4 2 2 2 3 3 4" xfId="19832"/>
    <cellStyle name="Normal 11 4 2 2 2 3 3 4 2" xfId="42367"/>
    <cellStyle name="Normal 11 4 2 2 2 3 3 5" xfId="29931"/>
    <cellStyle name="Normal 11 4 2 2 2 3 4" xfId="8087"/>
    <cellStyle name="Normal 11 4 2 2 2 3 4 2" xfId="14800"/>
    <cellStyle name="Normal 11 4 2 2 2 3 4 2 2" xfId="38221"/>
    <cellStyle name="Normal 11 4 2 2 2 3 4 3" xfId="20735"/>
    <cellStyle name="Normal 11 4 2 2 2 3 4 3 2" xfId="43186"/>
    <cellStyle name="Normal 11 4 2 2 2 3 4 4" xfId="31589"/>
    <cellStyle name="Normal 11 4 2 2 2 3 5" xfId="11482"/>
    <cellStyle name="Normal 11 4 2 2 2 3 5 2" xfId="21827"/>
    <cellStyle name="Normal 11 4 2 2 2 3 5 2 2" xfId="44269"/>
    <cellStyle name="Normal 11 4 2 2 2 3 5 3" xfId="34905"/>
    <cellStyle name="Normal 11 4 2 2 2 3 6" xfId="18582"/>
    <cellStyle name="Normal 11 4 2 2 2 3 6 2" xfId="41526"/>
    <cellStyle name="Normal 11 4 2 2 2 3 7" xfId="25825"/>
    <cellStyle name="Normal 11 4 2 2 2 3 7 2" xfId="48070"/>
    <cellStyle name="Normal 11 4 2 2 2 3 8" xfId="28273"/>
    <cellStyle name="Normal 11 4 2 2 2 4" xfId="2708"/>
    <cellStyle name="Normal 11 4 2 2 2 4 2" xfId="5801"/>
    <cellStyle name="Normal 11 4 2 2 2 4 2 2" xfId="7583"/>
    <cellStyle name="Normal 11 4 2 2 2 4 2 2 2" xfId="10912"/>
    <cellStyle name="Normal 11 4 2 2 2 4 2 2 2 2" xfId="17616"/>
    <cellStyle name="Normal 11 4 2 2 2 4 2 2 2 2 2" xfId="41037"/>
    <cellStyle name="Normal 11 4 2 2 2 4 2 2 2 3" xfId="34405"/>
    <cellStyle name="Normal 11 4 2 2 2 4 2 2 3" xfId="14300"/>
    <cellStyle name="Normal 11 4 2 2 2 4 2 2 3 2" xfId="37721"/>
    <cellStyle name="Normal 11 4 2 2 2 4 2 2 4" xfId="22876"/>
    <cellStyle name="Normal 11 4 2 2 2 4 2 2 4 2" xfId="45298"/>
    <cellStyle name="Normal 11 4 2 2 2 4 2 2 5" xfId="31089"/>
    <cellStyle name="Normal 11 4 2 2 2 4 2 3" xfId="9254"/>
    <cellStyle name="Normal 11 4 2 2 2 4 2 3 2" xfId="15958"/>
    <cellStyle name="Normal 11 4 2 2 2 4 2 3 2 2" xfId="39379"/>
    <cellStyle name="Normal 11 4 2 2 2 4 2 3 3" xfId="32747"/>
    <cellStyle name="Normal 11 4 2 2 2 4 2 4" xfId="12642"/>
    <cellStyle name="Normal 11 4 2 2 2 4 2 4 2" xfId="36063"/>
    <cellStyle name="Normal 11 4 2 2 2 4 2 5" xfId="20040"/>
    <cellStyle name="Normal 11 4 2 2 2 4 2 5 2" xfId="42575"/>
    <cellStyle name="Normal 11 4 2 2 2 4 2 6" xfId="29431"/>
    <cellStyle name="Normal 11 4 2 2 2 4 3" xfId="6684"/>
    <cellStyle name="Normal 11 4 2 2 2 4 3 2" xfId="10016"/>
    <cellStyle name="Normal 11 4 2 2 2 4 3 2 2" xfId="16720"/>
    <cellStyle name="Normal 11 4 2 2 2 4 3 2 2 2" xfId="40141"/>
    <cellStyle name="Normal 11 4 2 2 2 4 3 2 3" xfId="33509"/>
    <cellStyle name="Normal 11 4 2 2 2 4 3 3" xfId="13404"/>
    <cellStyle name="Normal 11 4 2 2 2 4 3 3 2" xfId="36825"/>
    <cellStyle name="Normal 11 4 2 2 2 4 3 4" xfId="21191"/>
    <cellStyle name="Normal 11 4 2 2 2 4 3 4 2" xfId="43642"/>
    <cellStyle name="Normal 11 4 2 2 2 4 3 5" xfId="30193"/>
    <cellStyle name="Normal 11 4 2 2 2 4 4" xfId="8350"/>
    <cellStyle name="Normal 11 4 2 2 2 4 4 2" xfId="15062"/>
    <cellStyle name="Normal 11 4 2 2 2 4 4 2 2" xfId="38483"/>
    <cellStyle name="Normal 11 4 2 2 2 4 4 3" xfId="22048"/>
    <cellStyle name="Normal 11 4 2 2 2 4 4 3 2" xfId="44476"/>
    <cellStyle name="Normal 11 4 2 2 2 4 4 4" xfId="31851"/>
    <cellStyle name="Normal 11 4 2 2 2 4 5" xfId="11744"/>
    <cellStyle name="Normal 11 4 2 2 2 4 5 2" xfId="35167"/>
    <cellStyle name="Normal 11 4 2 2 2 4 6" xfId="19186"/>
    <cellStyle name="Normal 11 4 2 2 2 4 6 2" xfId="41743"/>
    <cellStyle name="Normal 11 4 2 2 2 4 7" xfId="28535"/>
    <cellStyle name="Normal 11 4 2 2 2 5" xfId="3861"/>
    <cellStyle name="Normal 11 4 2 2 2 5 2" xfId="6974"/>
    <cellStyle name="Normal 11 4 2 2 2 5 2 2" xfId="10306"/>
    <cellStyle name="Normal 11 4 2 2 2 5 2 2 2" xfId="17010"/>
    <cellStyle name="Normal 11 4 2 2 2 5 2 2 2 2" xfId="40431"/>
    <cellStyle name="Normal 11 4 2 2 2 5 2 2 3" xfId="33799"/>
    <cellStyle name="Normal 11 4 2 2 2 5 2 3" xfId="13694"/>
    <cellStyle name="Normal 11 4 2 2 2 5 2 3 2" xfId="37115"/>
    <cellStyle name="Normal 11 4 2 2 2 5 2 4" xfId="22469"/>
    <cellStyle name="Normal 11 4 2 2 2 5 2 4 2" xfId="44891"/>
    <cellStyle name="Normal 11 4 2 2 2 5 2 5" xfId="30483"/>
    <cellStyle name="Normal 11 4 2 2 2 5 3" xfId="8641"/>
    <cellStyle name="Normal 11 4 2 2 2 5 3 2" xfId="15352"/>
    <cellStyle name="Normal 11 4 2 2 2 5 3 2 2" xfId="38773"/>
    <cellStyle name="Normal 11 4 2 2 2 5 3 3" xfId="32141"/>
    <cellStyle name="Normal 11 4 2 2 2 5 4" xfId="12034"/>
    <cellStyle name="Normal 11 4 2 2 2 5 4 2" xfId="35457"/>
    <cellStyle name="Normal 11 4 2 2 2 5 5" xfId="19622"/>
    <cellStyle name="Normal 11 4 2 2 2 5 5 2" xfId="42159"/>
    <cellStyle name="Normal 11 4 2 2 2 5 6" xfId="28825"/>
    <cellStyle name="Normal 11 4 2 2 2 6" xfId="6211"/>
    <cellStyle name="Normal 11 4 2 2 2 6 2" xfId="9545"/>
    <cellStyle name="Normal 11 4 2 2 2 6 2 2" xfId="16249"/>
    <cellStyle name="Normal 11 4 2 2 2 6 2 2 2" xfId="39670"/>
    <cellStyle name="Normal 11 4 2 2 2 6 2 3" xfId="33038"/>
    <cellStyle name="Normal 11 4 2 2 2 6 3" xfId="12933"/>
    <cellStyle name="Normal 11 4 2 2 2 6 3 2" xfId="36354"/>
    <cellStyle name="Normal 11 4 2 2 2 6 4" xfId="20732"/>
    <cellStyle name="Normal 11 4 2 2 2 6 4 2" xfId="43183"/>
    <cellStyle name="Normal 11 4 2 2 2 6 5" xfId="29722"/>
    <cellStyle name="Normal 11 4 2 2 2 7" xfId="7877"/>
    <cellStyle name="Normal 11 4 2 2 2 7 2" xfId="14591"/>
    <cellStyle name="Normal 11 4 2 2 2 7 2 2" xfId="38012"/>
    <cellStyle name="Normal 11 4 2 2 2 7 3" xfId="21618"/>
    <cellStyle name="Normal 11 4 2 2 2 7 3 2" xfId="44067"/>
    <cellStyle name="Normal 11 4 2 2 2 7 4" xfId="31380"/>
    <cellStyle name="Normal 11 4 2 2 2 8" xfId="11273"/>
    <cellStyle name="Normal 11 4 2 2 2 8 2" xfId="34696"/>
    <cellStyle name="Normal 11 4 2 2 2 9" xfId="17982"/>
    <cellStyle name="Normal 11 4 2 2 2 9 2" xfId="41290"/>
    <cellStyle name="Normal 11 4 2 2 3" xfId="1819"/>
    <cellStyle name="Normal 11 4 2 2 3 10" xfId="28171"/>
    <cellStyle name="Normal 11 4 2 2 3 2" xfId="2230"/>
    <cellStyle name="Normal 11 4 2 2 3 2 2" xfId="5501"/>
    <cellStyle name="Normal 11 4 2 2 3 2 2 2" xfId="7327"/>
    <cellStyle name="Normal 11 4 2 2 3 2 2 2 2" xfId="10658"/>
    <cellStyle name="Normal 11 4 2 2 3 2 2 2 2 2" xfId="17362"/>
    <cellStyle name="Normal 11 4 2 2 3 2 2 2 2 2 2" xfId="40783"/>
    <cellStyle name="Normal 11 4 2 2 3 2 2 2 2 3" xfId="23078"/>
    <cellStyle name="Normal 11 4 2 2 3 2 2 2 2 3 2" xfId="45500"/>
    <cellStyle name="Normal 11 4 2 2 3 2 2 2 2 4" xfId="34151"/>
    <cellStyle name="Normal 11 4 2 2 3 2 2 2 3" xfId="14046"/>
    <cellStyle name="Normal 11 4 2 2 3 2 2 2 3 2" xfId="37467"/>
    <cellStyle name="Normal 11 4 2 2 3 2 2 2 4" xfId="20250"/>
    <cellStyle name="Normal 11 4 2 2 3 2 2 2 4 2" xfId="42785"/>
    <cellStyle name="Normal 11 4 2 2 3 2 2 2 5" xfId="30835"/>
    <cellStyle name="Normal 11 4 2 2 3 2 2 3" xfId="9000"/>
    <cellStyle name="Normal 11 4 2 2 3 2 2 3 2" xfId="15704"/>
    <cellStyle name="Normal 11 4 2 2 3 2 2 3 2 2" xfId="39125"/>
    <cellStyle name="Normal 11 4 2 2 3 2 2 3 3" xfId="21196"/>
    <cellStyle name="Normal 11 4 2 2 3 2 2 3 3 2" xfId="43647"/>
    <cellStyle name="Normal 11 4 2 2 3 2 2 3 4" xfId="32493"/>
    <cellStyle name="Normal 11 4 2 2 3 2 2 4" xfId="12388"/>
    <cellStyle name="Normal 11 4 2 2 3 2 2 4 2" xfId="22263"/>
    <cellStyle name="Normal 11 4 2 2 3 2 2 4 2 2" xfId="44685"/>
    <cellStyle name="Normal 11 4 2 2 3 2 2 4 3" xfId="35809"/>
    <cellStyle name="Normal 11 4 2 2 3 2 2 5" xfId="19411"/>
    <cellStyle name="Normal 11 4 2 2 3 2 2 5 2" xfId="41953"/>
    <cellStyle name="Normal 11 4 2 2 3 2 2 6" xfId="29177"/>
    <cellStyle name="Normal 11 4 2 2 3 2 3" xfId="6422"/>
    <cellStyle name="Normal 11 4 2 2 3 2 3 2" xfId="9756"/>
    <cellStyle name="Normal 11 4 2 2 3 2 3 2 2" xfId="16460"/>
    <cellStyle name="Normal 11 4 2 2 3 2 3 2 2 2" xfId="39881"/>
    <cellStyle name="Normal 11 4 2 2 3 2 3 2 3" xfId="22671"/>
    <cellStyle name="Normal 11 4 2 2 3 2 3 2 3 2" xfId="45093"/>
    <cellStyle name="Normal 11 4 2 2 3 2 3 2 4" xfId="33249"/>
    <cellStyle name="Normal 11 4 2 2 3 2 3 3" xfId="13144"/>
    <cellStyle name="Normal 11 4 2 2 3 2 3 3 2" xfId="36565"/>
    <cellStyle name="Normal 11 4 2 2 3 2 3 4" xfId="19834"/>
    <cellStyle name="Normal 11 4 2 2 3 2 3 4 2" xfId="42369"/>
    <cellStyle name="Normal 11 4 2 2 3 2 3 5" xfId="29933"/>
    <cellStyle name="Normal 11 4 2 2 3 2 4" xfId="8089"/>
    <cellStyle name="Normal 11 4 2 2 3 2 4 2" xfId="14802"/>
    <cellStyle name="Normal 11 4 2 2 3 2 4 2 2" xfId="38223"/>
    <cellStyle name="Normal 11 4 2 2 3 2 4 3" xfId="20737"/>
    <cellStyle name="Normal 11 4 2 2 3 2 4 3 2" xfId="43188"/>
    <cellStyle name="Normal 11 4 2 2 3 2 4 4" xfId="31591"/>
    <cellStyle name="Normal 11 4 2 2 3 2 5" xfId="11484"/>
    <cellStyle name="Normal 11 4 2 2 3 2 5 2" xfId="21829"/>
    <cellStyle name="Normal 11 4 2 2 3 2 5 2 2" xfId="44271"/>
    <cellStyle name="Normal 11 4 2 2 3 2 5 3" xfId="34907"/>
    <cellStyle name="Normal 11 4 2 2 3 2 6" xfId="18584"/>
    <cellStyle name="Normal 11 4 2 2 3 2 6 2" xfId="41528"/>
    <cellStyle name="Normal 11 4 2 2 3 2 7" xfId="25827"/>
    <cellStyle name="Normal 11 4 2 2 3 2 7 2" xfId="48072"/>
    <cellStyle name="Normal 11 4 2 2 3 2 8" xfId="28275"/>
    <cellStyle name="Normal 11 4 2 2 3 3" xfId="2816"/>
    <cellStyle name="Normal 11 4 2 2 3 3 2" xfId="5908"/>
    <cellStyle name="Normal 11 4 2 2 3 3 2 2" xfId="7690"/>
    <cellStyle name="Normal 11 4 2 2 3 3 2 2 2" xfId="11019"/>
    <cellStyle name="Normal 11 4 2 2 3 3 2 2 2 2" xfId="17723"/>
    <cellStyle name="Normal 11 4 2 2 3 3 2 2 2 2 2" xfId="41144"/>
    <cellStyle name="Normal 11 4 2 2 3 3 2 2 2 3" xfId="34512"/>
    <cellStyle name="Normal 11 4 2 2 3 3 2 2 3" xfId="14407"/>
    <cellStyle name="Normal 11 4 2 2 3 3 2 2 3 2" xfId="37828"/>
    <cellStyle name="Normal 11 4 2 2 3 3 2 2 4" xfId="22878"/>
    <cellStyle name="Normal 11 4 2 2 3 3 2 2 4 2" xfId="45300"/>
    <cellStyle name="Normal 11 4 2 2 3 3 2 2 5" xfId="31196"/>
    <cellStyle name="Normal 11 4 2 2 3 3 2 3" xfId="9361"/>
    <cellStyle name="Normal 11 4 2 2 3 3 2 3 2" xfId="16065"/>
    <cellStyle name="Normal 11 4 2 2 3 3 2 3 2 2" xfId="39486"/>
    <cellStyle name="Normal 11 4 2 2 3 3 2 3 3" xfId="32854"/>
    <cellStyle name="Normal 11 4 2 2 3 3 2 4" xfId="12749"/>
    <cellStyle name="Normal 11 4 2 2 3 3 2 4 2" xfId="36170"/>
    <cellStyle name="Normal 11 4 2 2 3 3 2 5" xfId="20042"/>
    <cellStyle name="Normal 11 4 2 2 3 3 2 5 2" xfId="42577"/>
    <cellStyle name="Normal 11 4 2 2 3 3 2 6" xfId="29538"/>
    <cellStyle name="Normal 11 4 2 2 3 3 3" xfId="6791"/>
    <cellStyle name="Normal 11 4 2 2 3 3 3 2" xfId="10123"/>
    <cellStyle name="Normal 11 4 2 2 3 3 3 2 2" xfId="16827"/>
    <cellStyle name="Normal 11 4 2 2 3 3 3 2 2 2" xfId="40248"/>
    <cellStyle name="Normal 11 4 2 2 3 3 3 2 3" xfId="33616"/>
    <cellStyle name="Normal 11 4 2 2 3 3 3 3" xfId="13511"/>
    <cellStyle name="Normal 11 4 2 2 3 3 3 3 2" xfId="36932"/>
    <cellStyle name="Normal 11 4 2 2 3 3 3 4" xfId="21195"/>
    <cellStyle name="Normal 11 4 2 2 3 3 3 4 2" xfId="43646"/>
    <cellStyle name="Normal 11 4 2 2 3 3 3 5" xfId="30300"/>
    <cellStyle name="Normal 11 4 2 2 3 3 4" xfId="8457"/>
    <cellStyle name="Normal 11 4 2 2 3 3 4 2" xfId="15169"/>
    <cellStyle name="Normal 11 4 2 2 3 3 4 2 2" xfId="38590"/>
    <cellStyle name="Normal 11 4 2 2 3 3 4 3" xfId="22050"/>
    <cellStyle name="Normal 11 4 2 2 3 3 4 3 2" xfId="44478"/>
    <cellStyle name="Normal 11 4 2 2 3 3 4 4" xfId="31958"/>
    <cellStyle name="Normal 11 4 2 2 3 3 5" xfId="11851"/>
    <cellStyle name="Normal 11 4 2 2 3 3 5 2" xfId="35274"/>
    <cellStyle name="Normal 11 4 2 2 3 3 6" xfId="19188"/>
    <cellStyle name="Normal 11 4 2 2 3 3 6 2" xfId="41745"/>
    <cellStyle name="Normal 11 4 2 2 3 3 7" xfId="28642"/>
    <cellStyle name="Normal 11 4 2 2 3 4" xfId="3863"/>
    <cellStyle name="Normal 11 4 2 2 3 4 2" xfId="6976"/>
    <cellStyle name="Normal 11 4 2 2 3 4 2 2" xfId="10308"/>
    <cellStyle name="Normal 11 4 2 2 3 4 2 2 2" xfId="17012"/>
    <cellStyle name="Normal 11 4 2 2 3 4 2 2 2 2" xfId="40433"/>
    <cellStyle name="Normal 11 4 2 2 3 4 2 2 3" xfId="33801"/>
    <cellStyle name="Normal 11 4 2 2 3 4 2 3" xfId="13696"/>
    <cellStyle name="Normal 11 4 2 2 3 4 2 3 2" xfId="37117"/>
    <cellStyle name="Normal 11 4 2 2 3 4 2 4" xfId="22471"/>
    <cellStyle name="Normal 11 4 2 2 3 4 2 4 2" xfId="44893"/>
    <cellStyle name="Normal 11 4 2 2 3 4 2 5" xfId="30485"/>
    <cellStyle name="Normal 11 4 2 2 3 4 3" xfId="8643"/>
    <cellStyle name="Normal 11 4 2 2 3 4 3 2" xfId="15354"/>
    <cellStyle name="Normal 11 4 2 2 3 4 3 2 2" xfId="38775"/>
    <cellStyle name="Normal 11 4 2 2 3 4 3 3" xfId="32143"/>
    <cellStyle name="Normal 11 4 2 2 3 4 4" xfId="12036"/>
    <cellStyle name="Normal 11 4 2 2 3 4 4 2" xfId="35459"/>
    <cellStyle name="Normal 11 4 2 2 3 4 5" xfId="19624"/>
    <cellStyle name="Normal 11 4 2 2 3 4 5 2" xfId="42161"/>
    <cellStyle name="Normal 11 4 2 2 3 4 6" xfId="28827"/>
    <cellStyle name="Normal 11 4 2 2 3 5" xfId="6318"/>
    <cellStyle name="Normal 11 4 2 2 3 5 2" xfId="9652"/>
    <cellStyle name="Normal 11 4 2 2 3 5 2 2" xfId="16356"/>
    <cellStyle name="Normal 11 4 2 2 3 5 2 2 2" xfId="39777"/>
    <cellStyle name="Normal 11 4 2 2 3 5 2 3" xfId="33145"/>
    <cellStyle name="Normal 11 4 2 2 3 5 3" xfId="13040"/>
    <cellStyle name="Normal 11 4 2 2 3 5 3 2" xfId="36461"/>
    <cellStyle name="Normal 11 4 2 2 3 5 4" xfId="20736"/>
    <cellStyle name="Normal 11 4 2 2 3 5 4 2" xfId="43187"/>
    <cellStyle name="Normal 11 4 2 2 3 5 5" xfId="29829"/>
    <cellStyle name="Normal 11 4 2 2 3 6" xfId="7984"/>
    <cellStyle name="Normal 11 4 2 2 3 6 2" xfId="14698"/>
    <cellStyle name="Normal 11 4 2 2 3 6 2 2" xfId="38119"/>
    <cellStyle name="Normal 11 4 2 2 3 6 3" xfId="21620"/>
    <cellStyle name="Normal 11 4 2 2 3 6 3 2" xfId="44069"/>
    <cellStyle name="Normal 11 4 2 2 3 6 4" xfId="31487"/>
    <cellStyle name="Normal 11 4 2 2 3 7" xfId="11380"/>
    <cellStyle name="Normal 11 4 2 2 3 7 2" xfId="34803"/>
    <cellStyle name="Normal 11 4 2 2 3 8" xfId="17984"/>
    <cellStyle name="Normal 11 4 2 2 3 8 2" xfId="41292"/>
    <cellStyle name="Normal 11 4 2 2 3 9" xfId="23562"/>
    <cellStyle name="Normal 11 4 2 2 3 9 2" xfId="45882"/>
    <cellStyle name="Normal 11 4 2 2 4" xfId="2227"/>
    <cellStyle name="Normal 11 4 2 2 4 2" xfId="5498"/>
    <cellStyle name="Normal 11 4 2 2 4 2 2" xfId="7324"/>
    <cellStyle name="Normal 11 4 2 2 4 2 2 2" xfId="10655"/>
    <cellStyle name="Normal 11 4 2 2 4 2 2 2 2" xfId="17359"/>
    <cellStyle name="Normal 11 4 2 2 4 2 2 2 2 2" xfId="40780"/>
    <cellStyle name="Normal 11 4 2 2 4 2 2 2 3" xfId="23075"/>
    <cellStyle name="Normal 11 4 2 2 4 2 2 2 3 2" xfId="45497"/>
    <cellStyle name="Normal 11 4 2 2 4 2 2 2 4" xfId="34148"/>
    <cellStyle name="Normal 11 4 2 2 4 2 2 3" xfId="14043"/>
    <cellStyle name="Normal 11 4 2 2 4 2 2 3 2" xfId="37464"/>
    <cellStyle name="Normal 11 4 2 2 4 2 2 4" xfId="20247"/>
    <cellStyle name="Normal 11 4 2 2 4 2 2 4 2" xfId="42782"/>
    <cellStyle name="Normal 11 4 2 2 4 2 2 5" xfId="30832"/>
    <cellStyle name="Normal 11 4 2 2 4 2 3" xfId="8997"/>
    <cellStyle name="Normal 11 4 2 2 4 2 3 2" xfId="15701"/>
    <cellStyle name="Normal 11 4 2 2 4 2 3 2 2" xfId="39122"/>
    <cellStyle name="Normal 11 4 2 2 4 2 3 3" xfId="21197"/>
    <cellStyle name="Normal 11 4 2 2 4 2 3 3 2" xfId="43648"/>
    <cellStyle name="Normal 11 4 2 2 4 2 3 4" xfId="32490"/>
    <cellStyle name="Normal 11 4 2 2 4 2 4" xfId="12385"/>
    <cellStyle name="Normal 11 4 2 2 4 2 4 2" xfId="22260"/>
    <cellStyle name="Normal 11 4 2 2 4 2 4 2 2" xfId="44682"/>
    <cellStyle name="Normal 11 4 2 2 4 2 4 3" xfId="35806"/>
    <cellStyle name="Normal 11 4 2 2 4 2 5" xfId="19408"/>
    <cellStyle name="Normal 11 4 2 2 4 2 5 2" xfId="41950"/>
    <cellStyle name="Normal 11 4 2 2 4 2 6" xfId="29174"/>
    <cellStyle name="Normal 11 4 2 2 4 3" xfId="6419"/>
    <cellStyle name="Normal 11 4 2 2 4 3 2" xfId="9753"/>
    <cellStyle name="Normal 11 4 2 2 4 3 2 2" xfId="16457"/>
    <cellStyle name="Normal 11 4 2 2 4 3 2 2 2" xfId="39878"/>
    <cellStyle name="Normal 11 4 2 2 4 3 2 3" xfId="22668"/>
    <cellStyle name="Normal 11 4 2 2 4 3 2 3 2" xfId="45090"/>
    <cellStyle name="Normal 11 4 2 2 4 3 2 4" xfId="33246"/>
    <cellStyle name="Normal 11 4 2 2 4 3 3" xfId="13141"/>
    <cellStyle name="Normal 11 4 2 2 4 3 3 2" xfId="36562"/>
    <cellStyle name="Normal 11 4 2 2 4 3 4" xfId="19831"/>
    <cellStyle name="Normal 11 4 2 2 4 3 4 2" xfId="42366"/>
    <cellStyle name="Normal 11 4 2 2 4 3 5" xfId="29930"/>
    <cellStyle name="Normal 11 4 2 2 4 4" xfId="8086"/>
    <cellStyle name="Normal 11 4 2 2 4 4 2" xfId="14799"/>
    <cellStyle name="Normal 11 4 2 2 4 4 2 2" xfId="38220"/>
    <cellStyle name="Normal 11 4 2 2 4 4 3" xfId="20738"/>
    <cellStyle name="Normal 11 4 2 2 4 4 3 2" xfId="43189"/>
    <cellStyle name="Normal 11 4 2 2 4 4 4" xfId="31588"/>
    <cellStyle name="Normal 11 4 2 2 4 5" xfId="11481"/>
    <cellStyle name="Normal 11 4 2 2 4 5 2" xfId="21826"/>
    <cellStyle name="Normal 11 4 2 2 4 5 2 2" xfId="44268"/>
    <cellStyle name="Normal 11 4 2 2 4 5 3" xfId="34904"/>
    <cellStyle name="Normal 11 4 2 2 4 6" xfId="18581"/>
    <cellStyle name="Normal 11 4 2 2 4 6 2" xfId="41525"/>
    <cellStyle name="Normal 11 4 2 2 4 7" xfId="25824"/>
    <cellStyle name="Normal 11 4 2 2 4 7 2" xfId="48069"/>
    <cellStyle name="Normal 11 4 2 2 4 8" xfId="28272"/>
    <cellStyle name="Normal 11 4 2 2 5" xfId="2684"/>
    <cellStyle name="Normal 11 4 2 2 5 2" xfId="5777"/>
    <cellStyle name="Normal 11 4 2 2 5 2 2" xfId="7559"/>
    <cellStyle name="Normal 11 4 2 2 5 2 2 2" xfId="10888"/>
    <cellStyle name="Normal 11 4 2 2 5 2 2 2 2" xfId="17592"/>
    <cellStyle name="Normal 11 4 2 2 5 2 2 2 2 2" xfId="41013"/>
    <cellStyle name="Normal 11 4 2 2 5 2 2 2 3" xfId="34381"/>
    <cellStyle name="Normal 11 4 2 2 5 2 2 3" xfId="14276"/>
    <cellStyle name="Normal 11 4 2 2 5 2 2 3 2" xfId="37697"/>
    <cellStyle name="Normal 11 4 2 2 5 2 2 4" xfId="20622"/>
    <cellStyle name="Normal 11 4 2 2 5 2 2 4 2" xfId="43073"/>
    <cellStyle name="Normal 11 4 2 2 5 2 2 5" xfId="31065"/>
    <cellStyle name="Normal 11 4 2 2 5 2 3" xfId="9230"/>
    <cellStyle name="Normal 11 4 2 2 5 2 3 2" xfId="15934"/>
    <cellStyle name="Normal 11 4 2 2 5 2 3 2 2" xfId="39355"/>
    <cellStyle name="Normal 11 4 2 2 5 2 3 3" xfId="21540"/>
    <cellStyle name="Normal 11 4 2 2 5 2 3 3 2" xfId="43991"/>
    <cellStyle name="Normal 11 4 2 2 5 2 3 4" xfId="32723"/>
    <cellStyle name="Normal 11 4 2 2 5 2 4" xfId="12618"/>
    <cellStyle name="Normal 11 4 2 2 5 2 4 2" xfId="22875"/>
    <cellStyle name="Normal 11 4 2 2 5 2 4 2 2" xfId="45297"/>
    <cellStyle name="Normal 11 4 2 2 5 2 4 3" xfId="36039"/>
    <cellStyle name="Normal 11 4 2 2 5 2 5" xfId="20039"/>
    <cellStyle name="Normal 11 4 2 2 5 2 5 2" xfId="42574"/>
    <cellStyle name="Normal 11 4 2 2 5 2 6" xfId="29407"/>
    <cellStyle name="Normal 11 4 2 2 5 3" xfId="6660"/>
    <cellStyle name="Normal 11 4 2 2 5 3 2" xfId="9992"/>
    <cellStyle name="Normal 11 4 2 2 5 3 2 2" xfId="16696"/>
    <cellStyle name="Normal 11 4 2 2 5 3 2 2 2" xfId="40117"/>
    <cellStyle name="Normal 11 4 2 2 5 3 2 3" xfId="33485"/>
    <cellStyle name="Normal 11 4 2 2 5 3 3" xfId="13380"/>
    <cellStyle name="Normal 11 4 2 2 5 3 3 2" xfId="36801"/>
    <cellStyle name="Normal 11 4 2 2 5 3 4" xfId="20524"/>
    <cellStyle name="Normal 11 4 2 2 5 3 4 2" xfId="42977"/>
    <cellStyle name="Normal 11 4 2 2 5 3 5" xfId="30169"/>
    <cellStyle name="Normal 11 4 2 2 5 4" xfId="8326"/>
    <cellStyle name="Normal 11 4 2 2 5 4 2" xfId="15038"/>
    <cellStyle name="Normal 11 4 2 2 5 4 2 2" xfId="38459"/>
    <cellStyle name="Normal 11 4 2 2 5 4 3" xfId="21081"/>
    <cellStyle name="Normal 11 4 2 2 5 4 3 2" xfId="43532"/>
    <cellStyle name="Normal 11 4 2 2 5 4 4" xfId="31827"/>
    <cellStyle name="Normal 11 4 2 2 5 5" xfId="11720"/>
    <cellStyle name="Normal 11 4 2 2 5 5 2" xfId="22047"/>
    <cellStyle name="Normal 11 4 2 2 5 5 2 2" xfId="44475"/>
    <cellStyle name="Normal 11 4 2 2 5 5 3" xfId="35143"/>
    <cellStyle name="Normal 11 4 2 2 5 6" xfId="19185"/>
    <cellStyle name="Normal 11 4 2 2 5 6 2" xfId="41742"/>
    <cellStyle name="Normal 11 4 2 2 5 7" xfId="28511"/>
    <cellStyle name="Normal 11 4 2 2 6" xfId="3860"/>
    <cellStyle name="Normal 11 4 2 2 6 2" xfId="6973"/>
    <cellStyle name="Normal 11 4 2 2 6 2 2" xfId="10305"/>
    <cellStyle name="Normal 11 4 2 2 6 2 2 2" xfId="17009"/>
    <cellStyle name="Normal 11 4 2 2 6 2 2 2 2" xfId="40430"/>
    <cellStyle name="Normal 11 4 2 2 6 2 2 3" xfId="33798"/>
    <cellStyle name="Normal 11 4 2 2 6 2 3" xfId="13693"/>
    <cellStyle name="Normal 11 4 2 2 6 2 3 2" xfId="37114"/>
    <cellStyle name="Normal 11 4 2 2 6 2 4" xfId="20570"/>
    <cellStyle name="Normal 11 4 2 2 6 2 4 2" xfId="43023"/>
    <cellStyle name="Normal 11 4 2 2 6 2 5" xfId="30482"/>
    <cellStyle name="Normal 11 4 2 2 6 3" xfId="8640"/>
    <cellStyle name="Normal 11 4 2 2 6 3 2" xfId="15351"/>
    <cellStyle name="Normal 11 4 2 2 6 3 2 2" xfId="38772"/>
    <cellStyle name="Normal 11 4 2 2 6 3 3" xfId="21190"/>
    <cellStyle name="Normal 11 4 2 2 6 3 3 2" xfId="43641"/>
    <cellStyle name="Normal 11 4 2 2 6 3 4" xfId="32140"/>
    <cellStyle name="Normal 11 4 2 2 6 4" xfId="12033"/>
    <cellStyle name="Normal 11 4 2 2 6 4 2" xfId="22468"/>
    <cellStyle name="Normal 11 4 2 2 6 4 2 2" xfId="44890"/>
    <cellStyle name="Normal 11 4 2 2 6 4 3" xfId="35456"/>
    <cellStyle name="Normal 11 4 2 2 6 5" xfId="19621"/>
    <cellStyle name="Normal 11 4 2 2 6 5 2" xfId="42158"/>
    <cellStyle name="Normal 11 4 2 2 6 6" xfId="28824"/>
    <cellStyle name="Normal 11 4 2 2 7" xfId="6187"/>
    <cellStyle name="Normal 11 4 2 2 7 2" xfId="9521"/>
    <cellStyle name="Normal 11 4 2 2 7 2 2" xfId="16225"/>
    <cellStyle name="Normal 11 4 2 2 7 2 2 2" xfId="39646"/>
    <cellStyle name="Normal 11 4 2 2 7 2 3" xfId="33014"/>
    <cellStyle name="Normal 11 4 2 2 7 3" xfId="12909"/>
    <cellStyle name="Normal 11 4 2 2 7 3 2" xfId="36330"/>
    <cellStyle name="Normal 11 4 2 2 7 4" xfId="19120"/>
    <cellStyle name="Normal 11 4 2 2 7 4 2" xfId="41699"/>
    <cellStyle name="Normal 11 4 2 2 7 5" xfId="29698"/>
    <cellStyle name="Normal 11 4 2 2 8" xfId="7853"/>
    <cellStyle name="Normal 11 4 2 2 8 2" xfId="14567"/>
    <cellStyle name="Normal 11 4 2 2 8 2 2" xfId="37988"/>
    <cellStyle name="Normal 11 4 2 2 8 3" xfId="20731"/>
    <cellStyle name="Normal 11 4 2 2 8 3 2" xfId="43182"/>
    <cellStyle name="Normal 11 4 2 2 8 4" xfId="31356"/>
    <cellStyle name="Normal 11 4 2 2 9" xfId="11249"/>
    <cellStyle name="Normal 11 4 2 2 9 2" xfId="21617"/>
    <cellStyle name="Normal 11 4 2 2 9 2 2" xfId="44066"/>
    <cellStyle name="Normal 11 4 2 2 9 3" xfId="34672"/>
    <cellStyle name="Normal 11 4 2 3" xfId="1622"/>
    <cellStyle name="Normal 11 4 2 3 10" xfId="23563"/>
    <cellStyle name="Normal 11 4 2 3 10 2" xfId="45883"/>
    <cellStyle name="Normal 11 4 2 3 11" xfId="28063"/>
    <cellStyle name="Normal 11 4 2 3 2" xfId="1842"/>
    <cellStyle name="Normal 11 4 2 3 2 10" xfId="28194"/>
    <cellStyle name="Normal 11 4 2 3 2 2" xfId="2232"/>
    <cellStyle name="Normal 11 4 2 3 2 2 2" xfId="5503"/>
    <cellStyle name="Normal 11 4 2 3 2 2 2 2" xfId="7329"/>
    <cellStyle name="Normal 11 4 2 3 2 2 2 2 2" xfId="10660"/>
    <cellStyle name="Normal 11 4 2 3 2 2 2 2 2 2" xfId="17364"/>
    <cellStyle name="Normal 11 4 2 3 2 2 2 2 2 2 2" xfId="40785"/>
    <cellStyle name="Normal 11 4 2 3 2 2 2 2 2 3" xfId="23080"/>
    <cellStyle name="Normal 11 4 2 3 2 2 2 2 2 3 2" xfId="45502"/>
    <cellStyle name="Normal 11 4 2 3 2 2 2 2 2 4" xfId="34153"/>
    <cellStyle name="Normal 11 4 2 3 2 2 2 2 3" xfId="14048"/>
    <cellStyle name="Normal 11 4 2 3 2 2 2 2 3 2" xfId="37469"/>
    <cellStyle name="Normal 11 4 2 3 2 2 2 2 4" xfId="20252"/>
    <cellStyle name="Normal 11 4 2 3 2 2 2 2 4 2" xfId="42787"/>
    <cellStyle name="Normal 11 4 2 3 2 2 2 2 5" xfId="30837"/>
    <cellStyle name="Normal 11 4 2 3 2 2 2 3" xfId="9002"/>
    <cellStyle name="Normal 11 4 2 3 2 2 2 3 2" xfId="15706"/>
    <cellStyle name="Normal 11 4 2 3 2 2 2 3 2 2" xfId="39127"/>
    <cellStyle name="Normal 11 4 2 3 2 2 2 3 3" xfId="21200"/>
    <cellStyle name="Normal 11 4 2 3 2 2 2 3 3 2" xfId="43651"/>
    <cellStyle name="Normal 11 4 2 3 2 2 2 3 4" xfId="32495"/>
    <cellStyle name="Normal 11 4 2 3 2 2 2 4" xfId="12390"/>
    <cellStyle name="Normal 11 4 2 3 2 2 2 4 2" xfId="22265"/>
    <cellStyle name="Normal 11 4 2 3 2 2 2 4 2 2" xfId="44687"/>
    <cellStyle name="Normal 11 4 2 3 2 2 2 4 3" xfId="35811"/>
    <cellStyle name="Normal 11 4 2 3 2 2 2 5" xfId="19413"/>
    <cellStyle name="Normal 11 4 2 3 2 2 2 5 2" xfId="41955"/>
    <cellStyle name="Normal 11 4 2 3 2 2 2 6" xfId="29179"/>
    <cellStyle name="Normal 11 4 2 3 2 2 3" xfId="6424"/>
    <cellStyle name="Normal 11 4 2 3 2 2 3 2" xfId="9758"/>
    <cellStyle name="Normal 11 4 2 3 2 2 3 2 2" xfId="16462"/>
    <cellStyle name="Normal 11 4 2 3 2 2 3 2 2 2" xfId="39883"/>
    <cellStyle name="Normal 11 4 2 3 2 2 3 2 3" xfId="22673"/>
    <cellStyle name="Normal 11 4 2 3 2 2 3 2 3 2" xfId="45095"/>
    <cellStyle name="Normal 11 4 2 3 2 2 3 2 4" xfId="33251"/>
    <cellStyle name="Normal 11 4 2 3 2 2 3 3" xfId="13146"/>
    <cellStyle name="Normal 11 4 2 3 2 2 3 3 2" xfId="36567"/>
    <cellStyle name="Normal 11 4 2 3 2 2 3 4" xfId="19836"/>
    <cellStyle name="Normal 11 4 2 3 2 2 3 4 2" xfId="42371"/>
    <cellStyle name="Normal 11 4 2 3 2 2 3 5" xfId="29935"/>
    <cellStyle name="Normal 11 4 2 3 2 2 4" xfId="8091"/>
    <cellStyle name="Normal 11 4 2 3 2 2 4 2" xfId="14804"/>
    <cellStyle name="Normal 11 4 2 3 2 2 4 2 2" xfId="38225"/>
    <cellStyle name="Normal 11 4 2 3 2 2 4 3" xfId="20741"/>
    <cellStyle name="Normal 11 4 2 3 2 2 4 3 2" xfId="43192"/>
    <cellStyle name="Normal 11 4 2 3 2 2 4 4" xfId="31593"/>
    <cellStyle name="Normal 11 4 2 3 2 2 5" xfId="11486"/>
    <cellStyle name="Normal 11 4 2 3 2 2 5 2" xfId="21831"/>
    <cellStyle name="Normal 11 4 2 3 2 2 5 2 2" xfId="44273"/>
    <cellStyle name="Normal 11 4 2 3 2 2 5 3" xfId="34909"/>
    <cellStyle name="Normal 11 4 2 3 2 2 6" xfId="18586"/>
    <cellStyle name="Normal 11 4 2 3 2 2 6 2" xfId="41530"/>
    <cellStyle name="Normal 11 4 2 3 2 2 7" xfId="25829"/>
    <cellStyle name="Normal 11 4 2 3 2 2 7 2" xfId="48074"/>
    <cellStyle name="Normal 11 4 2 3 2 2 8" xfId="28277"/>
    <cellStyle name="Normal 11 4 2 3 2 3" xfId="2839"/>
    <cellStyle name="Normal 11 4 2 3 2 3 2" xfId="5931"/>
    <cellStyle name="Normal 11 4 2 3 2 3 2 2" xfId="7713"/>
    <cellStyle name="Normal 11 4 2 3 2 3 2 2 2" xfId="11042"/>
    <cellStyle name="Normal 11 4 2 3 2 3 2 2 2 2" xfId="17746"/>
    <cellStyle name="Normal 11 4 2 3 2 3 2 2 2 2 2" xfId="41167"/>
    <cellStyle name="Normal 11 4 2 3 2 3 2 2 2 3" xfId="34535"/>
    <cellStyle name="Normal 11 4 2 3 2 3 2 2 3" xfId="14430"/>
    <cellStyle name="Normal 11 4 2 3 2 3 2 2 3 2" xfId="37851"/>
    <cellStyle name="Normal 11 4 2 3 2 3 2 2 4" xfId="22880"/>
    <cellStyle name="Normal 11 4 2 3 2 3 2 2 4 2" xfId="45302"/>
    <cellStyle name="Normal 11 4 2 3 2 3 2 2 5" xfId="31219"/>
    <cellStyle name="Normal 11 4 2 3 2 3 2 3" xfId="9384"/>
    <cellStyle name="Normal 11 4 2 3 2 3 2 3 2" xfId="16088"/>
    <cellStyle name="Normal 11 4 2 3 2 3 2 3 2 2" xfId="39509"/>
    <cellStyle name="Normal 11 4 2 3 2 3 2 3 3" xfId="32877"/>
    <cellStyle name="Normal 11 4 2 3 2 3 2 4" xfId="12772"/>
    <cellStyle name="Normal 11 4 2 3 2 3 2 4 2" xfId="36193"/>
    <cellStyle name="Normal 11 4 2 3 2 3 2 5" xfId="20044"/>
    <cellStyle name="Normal 11 4 2 3 2 3 2 5 2" xfId="42579"/>
    <cellStyle name="Normal 11 4 2 3 2 3 2 6" xfId="29561"/>
    <cellStyle name="Normal 11 4 2 3 2 3 3" xfId="6814"/>
    <cellStyle name="Normal 11 4 2 3 2 3 3 2" xfId="10146"/>
    <cellStyle name="Normal 11 4 2 3 2 3 3 2 2" xfId="16850"/>
    <cellStyle name="Normal 11 4 2 3 2 3 3 2 2 2" xfId="40271"/>
    <cellStyle name="Normal 11 4 2 3 2 3 3 2 3" xfId="33639"/>
    <cellStyle name="Normal 11 4 2 3 2 3 3 3" xfId="13534"/>
    <cellStyle name="Normal 11 4 2 3 2 3 3 3 2" xfId="36955"/>
    <cellStyle name="Normal 11 4 2 3 2 3 3 4" xfId="21199"/>
    <cellStyle name="Normal 11 4 2 3 2 3 3 4 2" xfId="43650"/>
    <cellStyle name="Normal 11 4 2 3 2 3 3 5" xfId="30323"/>
    <cellStyle name="Normal 11 4 2 3 2 3 4" xfId="8480"/>
    <cellStyle name="Normal 11 4 2 3 2 3 4 2" xfId="15192"/>
    <cellStyle name="Normal 11 4 2 3 2 3 4 2 2" xfId="38613"/>
    <cellStyle name="Normal 11 4 2 3 2 3 4 3" xfId="22052"/>
    <cellStyle name="Normal 11 4 2 3 2 3 4 3 2" xfId="44480"/>
    <cellStyle name="Normal 11 4 2 3 2 3 4 4" xfId="31981"/>
    <cellStyle name="Normal 11 4 2 3 2 3 5" xfId="11874"/>
    <cellStyle name="Normal 11 4 2 3 2 3 5 2" xfId="35297"/>
    <cellStyle name="Normal 11 4 2 3 2 3 6" xfId="19190"/>
    <cellStyle name="Normal 11 4 2 3 2 3 6 2" xfId="41747"/>
    <cellStyle name="Normal 11 4 2 3 2 3 7" xfId="28665"/>
    <cellStyle name="Normal 11 4 2 3 2 4" xfId="3865"/>
    <cellStyle name="Normal 11 4 2 3 2 4 2" xfId="6978"/>
    <cellStyle name="Normal 11 4 2 3 2 4 2 2" xfId="10310"/>
    <cellStyle name="Normal 11 4 2 3 2 4 2 2 2" xfId="17014"/>
    <cellStyle name="Normal 11 4 2 3 2 4 2 2 2 2" xfId="40435"/>
    <cellStyle name="Normal 11 4 2 3 2 4 2 2 3" xfId="33803"/>
    <cellStyle name="Normal 11 4 2 3 2 4 2 3" xfId="13698"/>
    <cellStyle name="Normal 11 4 2 3 2 4 2 3 2" xfId="37119"/>
    <cellStyle name="Normal 11 4 2 3 2 4 2 4" xfId="22473"/>
    <cellStyle name="Normal 11 4 2 3 2 4 2 4 2" xfId="44895"/>
    <cellStyle name="Normal 11 4 2 3 2 4 2 5" xfId="30487"/>
    <cellStyle name="Normal 11 4 2 3 2 4 3" xfId="8645"/>
    <cellStyle name="Normal 11 4 2 3 2 4 3 2" xfId="15356"/>
    <cellStyle name="Normal 11 4 2 3 2 4 3 2 2" xfId="38777"/>
    <cellStyle name="Normal 11 4 2 3 2 4 3 3" xfId="32145"/>
    <cellStyle name="Normal 11 4 2 3 2 4 4" xfId="12038"/>
    <cellStyle name="Normal 11 4 2 3 2 4 4 2" xfId="35461"/>
    <cellStyle name="Normal 11 4 2 3 2 4 5" xfId="19626"/>
    <cellStyle name="Normal 11 4 2 3 2 4 5 2" xfId="42163"/>
    <cellStyle name="Normal 11 4 2 3 2 4 6" xfId="28829"/>
    <cellStyle name="Normal 11 4 2 3 2 5" xfId="6341"/>
    <cellStyle name="Normal 11 4 2 3 2 5 2" xfId="9675"/>
    <cellStyle name="Normal 11 4 2 3 2 5 2 2" xfId="16379"/>
    <cellStyle name="Normal 11 4 2 3 2 5 2 2 2" xfId="39800"/>
    <cellStyle name="Normal 11 4 2 3 2 5 2 3" xfId="33168"/>
    <cellStyle name="Normal 11 4 2 3 2 5 3" xfId="13063"/>
    <cellStyle name="Normal 11 4 2 3 2 5 3 2" xfId="36484"/>
    <cellStyle name="Normal 11 4 2 3 2 5 4" xfId="20740"/>
    <cellStyle name="Normal 11 4 2 3 2 5 4 2" xfId="43191"/>
    <cellStyle name="Normal 11 4 2 3 2 5 5" xfId="29852"/>
    <cellStyle name="Normal 11 4 2 3 2 6" xfId="8007"/>
    <cellStyle name="Normal 11 4 2 3 2 6 2" xfId="14721"/>
    <cellStyle name="Normal 11 4 2 3 2 6 2 2" xfId="38142"/>
    <cellStyle name="Normal 11 4 2 3 2 6 3" xfId="21622"/>
    <cellStyle name="Normal 11 4 2 3 2 6 3 2" xfId="44071"/>
    <cellStyle name="Normal 11 4 2 3 2 6 4" xfId="31510"/>
    <cellStyle name="Normal 11 4 2 3 2 7" xfId="11403"/>
    <cellStyle name="Normal 11 4 2 3 2 7 2" xfId="34826"/>
    <cellStyle name="Normal 11 4 2 3 2 8" xfId="17986"/>
    <cellStyle name="Normal 11 4 2 3 2 8 2" xfId="41294"/>
    <cellStyle name="Normal 11 4 2 3 2 9" xfId="23564"/>
    <cellStyle name="Normal 11 4 2 3 2 9 2" xfId="45884"/>
    <cellStyle name="Normal 11 4 2 3 3" xfId="2231"/>
    <cellStyle name="Normal 11 4 2 3 3 2" xfId="5502"/>
    <cellStyle name="Normal 11 4 2 3 3 2 2" xfId="7328"/>
    <cellStyle name="Normal 11 4 2 3 3 2 2 2" xfId="10659"/>
    <cellStyle name="Normal 11 4 2 3 3 2 2 2 2" xfId="17363"/>
    <cellStyle name="Normal 11 4 2 3 3 2 2 2 2 2" xfId="40784"/>
    <cellStyle name="Normal 11 4 2 3 3 2 2 2 3" xfId="23079"/>
    <cellStyle name="Normal 11 4 2 3 3 2 2 2 3 2" xfId="45501"/>
    <cellStyle name="Normal 11 4 2 3 3 2 2 2 4" xfId="34152"/>
    <cellStyle name="Normal 11 4 2 3 3 2 2 3" xfId="14047"/>
    <cellStyle name="Normal 11 4 2 3 3 2 2 3 2" xfId="37468"/>
    <cellStyle name="Normal 11 4 2 3 3 2 2 4" xfId="20251"/>
    <cellStyle name="Normal 11 4 2 3 3 2 2 4 2" xfId="42786"/>
    <cellStyle name="Normal 11 4 2 3 3 2 2 5" xfId="30836"/>
    <cellStyle name="Normal 11 4 2 3 3 2 3" xfId="9001"/>
    <cellStyle name="Normal 11 4 2 3 3 2 3 2" xfId="15705"/>
    <cellStyle name="Normal 11 4 2 3 3 2 3 2 2" xfId="39126"/>
    <cellStyle name="Normal 11 4 2 3 3 2 3 3" xfId="21201"/>
    <cellStyle name="Normal 11 4 2 3 3 2 3 3 2" xfId="43652"/>
    <cellStyle name="Normal 11 4 2 3 3 2 3 4" xfId="32494"/>
    <cellStyle name="Normal 11 4 2 3 3 2 4" xfId="12389"/>
    <cellStyle name="Normal 11 4 2 3 3 2 4 2" xfId="22264"/>
    <cellStyle name="Normal 11 4 2 3 3 2 4 2 2" xfId="44686"/>
    <cellStyle name="Normal 11 4 2 3 3 2 4 3" xfId="35810"/>
    <cellStyle name="Normal 11 4 2 3 3 2 5" xfId="19412"/>
    <cellStyle name="Normal 11 4 2 3 3 2 5 2" xfId="41954"/>
    <cellStyle name="Normal 11 4 2 3 3 2 6" xfId="29178"/>
    <cellStyle name="Normal 11 4 2 3 3 3" xfId="6423"/>
    <cellStyle name="Normal 11 4 2 3 3 3 2" xfId="9757"/>
    <cellStyle name="Normal 11 4 2 3 3 3 2 2" xfId="16461"/>
    <cellStyle name="Normal 11 4 2 3 3 3 2 2 2" xfId="39882"/>
    <cellStyle name="Normal 11 4 2 3 3 3 2 3" xfId="22672"/>
    <cellStyle name="Normal 11 4 2 3 3 3 2 3 2" xfId="45094"/>
    <cellStyle name="Normal 11 4 2 3 3 3 2 4" xfId="33250"/>
    <cellStyle name="Normal 11 4 2 3 3 3 3" xfId="13145"/>
    <cellStyle name="Normal 11 4 2 3 3 3 3 2" xfId="36566"/>
    <cellStyle name="Normal 11 4 2 3 3 3 4" xfId="19835"/>
    <cellStyle name="Normal 11 4 2 3 3 3 4 2" xfId="42370"/>
    <cellStyle name="Normal 11 4 2 3 3 3 5" xfId="29934"/>
    <cellStyle name="Normal 11 4 2 3 3 4" xfId="8090"/>
    <cellStyle name="Normal 11 4 2 3 3 4 2" xfId="14803"/>
    <cellStyle name="Normal 11 4 2 3 3 4 2 2" xfId="38224"/>
    <cellStyle name="Normal 11 4 2 3 3 4 3" xfId="20742"/>
    <cellStyle name="Normal 11 4 2 3 3 4 3 2" xfId="43193"/>
    <cellStyle name="Normal 11 4 2 3 3 4 4" xfId="31592"/>
    <cellStyle name="Normal 11 4 2 3 3 5" xfId="11485"/>
    <cellStyle name="Normal 11 4 2 3 3 5 2" xfId="21830"/>
    <cellStyle name="Normal 11 4 2 3 3 5 2 2" xfId="44272"/>
    <cellStyle name="Normal 11 4 2 3 3 5 3" xfId="34908"/>
    <cellStyle name="Normal 11 4 2 3 3 6" xfId="18585"/>
    <cellStyle name="Normal 11 4 2 3 3 6 2" xfId="41529"/>
    <cellStyle name="Normal 11 4 2 3 3 7" xfId="25828"/>
    <cellStyle name="Normal 11 4 2 3 3 7 2" xfId="48073"/>
    <cellStyle name="Normal 11 4 2 3 3 8" xfId="28276"/>
    <cellStyle name="Normal 11 4 2 3 4" xfId="2707"/>
    <cellStyle name="Normal 11 4 2 3 4 2" xfId="5800"/>
    <cellStyle name="Normal 11 4 2 3 4 2 2" xfId="7582"/>
    <cellStyle name="Normal 11 4 2 3 4 2 2 2" xfId="10911"/>
    <cellStyle name="Normal 11 4 2 3 4 2 2 2 2" xfId="17615"/>
    <cellStyle name="Normal 11 4 2 3 4 2 2 2 2 2" xfId="41036"/>
    <cellStyle name="Normal 11 4 2 3 4 2 2 2 3" xfId="34404"/>
    <cellStyle name="Normal 11 4 2 3 4 2 2 3" xfId="14299"/>
    <cellStyle name="Normal 11 4 2 3 4 2 2 3 2" xfId="37720"/>
    <cellStyle name="Normal 11 4 2 3 4 2 2 4" xfId="22879"/>
    <cellStyle name="Normal 11 4 2 3 4 2 2 4 2" xfId="45301"/>
    <cellStyle name="Normal 11 4 2 3 4 2 2 5" xfId="31088"/>
    <cellStyle name="Normal 11 4 2 3 4 2 3" xfId="9253"/>
    <cellStyle name="Normal 11 4 2 3 4 2 3 2" xfId="15957"/>
    <cellStyle name="Normal 11 4 2 3 4 2 3 2 2" xfId="39378"/>
    <cellStyle name="Normal 11 4 2 3 4 2 3 3" xfId="32746"/>
    <cellStyle name="Normal 11 4 2 3 4 2 4" xfId="12641"/>
    <cellStyle name="Normal 11 4 2 3 4 2 4 2" xfId="36062"/>
    <cellStyle name="Normal 11 4 2 3 4 2 5" xfId="20043"/>
    <cellStyle name="Normal 11 4 2 3 4 2 5 2" xfId="42578"/>
    <cellStyle name="Normal 11 4 2 3 4 2 6" xfId="29430"/>
    <cellStyle name="Normal 11 4 2 3 4 3" xfId="6683"/>
    <cellStyle name="Normal 11 4 2 3 4 3 2" xfId="10015"/>
    <cellStyle name="Normal 11 4 2 3 4 3 2 2" xfId="16719"/>
    <cellStyle name="Normal 11 4 2 3 4 3 2 2 2" xfId="40140"/>
    <cellStyle name="Normal 11 4 2 3 4 3 2 3" xfId="33508"/>
    <cellStyle name="Normal 11 4 2 3 4 3 3" xfId="13403"/>
    <cellStyle name="Normal 11 4 2 3 4 3 3 2" xfId="36824"/>
    <cellStyle name="Normal 11 4 2 3 4 3 4" xfId="21198"/>
    <cellStyle name="Normal 11 4 2 3 4 3 4 2" xfId="43649"/>
    <cellStyle name="Normal 11 4 2 3 4 3 5" xfId="30192"/>
    <cellStyle name="Normal 11 4 2 3 4 4" xfId="8349"/>
    <cellStyle name="Normal 11 4 2 3 4 4 2" xfId="15061"/>
    <cellStyle name="Normal 11 4 2 3 4 4 2 2" xfId="38482"/>
    <cellStyle name="Normal 11 4 2 3 4 4 3" xfId="22051"/>
    <cellStyle name="Normal 11 4 2 3 4 4 3 2" xfId="44479"/>
    <cellStyle name="Normal 11 4 2 3 4 4 4" xfId="31850"/>
    <cellStyle name="Normal 11 4 2 3 4 5" xfId="11743"/>
    <cellStyle name="Normal 11 4 2 3 4 5 2" xfId="35166"/>
    <cellStyle name="Normal 11 4 2 3 4 6" xfId="19189"/>
    <cellStyle name="Normal 11 4 2 3 4 6 2" xfId="41746"/>
    <cellStyle name="Normal 11 4 2 3 4 7" xfId="28534"/>
    <cellStyle name="Normal 11 4 2 3 5" xfId="3864"/>
    <cellStyle name="Normal 11 4 2 3 5 2" xfId="6977"/>
    <cellStyle name="Normal 11 4 2 3 5 2 2" xfId="10309"/>
    <cellStyle name="Normal 11 4 2 3 5 2 2 2" xfId="17013"/>
    <cellStyle name="Normal 11 4 2 3 5 2 2 2 2" xfId="40434"/>
    <cellStyle name="Normal 11 4 2 3 5 2 2 3" xfId="33802"/>
    <cellStyle name="Normal 11 4 2 3 5 2 3" xfId="13697"/>
    <cellStyle name="Normal 11 4 2 3 5 2 3 2" xfId="37118"/>
    <cellStyle name="Normal 11 4 2 3 5 2 4" xfId="22472"/>
    <cellStyle name="Normal 11 4 2 3 5 2 4 2" xfId="44894"/>
    <cellStyle name="Normal 11 4 2 3 5 2 5" xfId="30486"/>
    <cellStyle name="Normal 11 4 2 3 5 3" xfId="8644"/>
    <cellStyle name="Normal 11 4 2 3 5 3 2" xfId="15355"/>
    <cellStyle name="Normal 11 4 2 3 5 3 2 2" xfId="38776"/>
    <cellStyle name="Normal 11 4 2 3 5 3 3" xfId="32144"/>
    <cellStyle name="Normal 11 4 2 3 5 4" xfId="12037"/>
    <cellStyle name="Normal 11 4 2 3 5 4 2" xfId="35460"/>
    <cellStyle name="Normal 11 4 2 3 5 5" xfId="19625"/>
    <cellStyle name="Normal 11 4 2 3 5 5 2" xfId="42162"/>
    <cellStyle name="Normal 11 4 2 3 5 6" xfId="28828"/>
    <cellStyle name="Normal 11 4 2 3 6" xfId="6210"/>
    <cellStyle name="Normal 11 4 2 3 6 2" xfId="9544"/>
    <cellStyle name="Normal 11 4 2 3 6 2 2" xfId="16248"/>
    <cellStyle name="Normal 11 4 2 3 6 2 2 2" xfId="39669"/>
    <cellStyle name="Normal 11 4 2 3 6 2 3" xfId="33037"/>
    <cellStyle name="Normal 11 4 2 3 6 3" xfId="12932"/>
    <cellStyle name="Normal 11 4 2 3 6 3 2" xfId="36353"/>
    <cellStyle name="Normal 11 4 2 3 6 4" xfId="20739"/>
    <cellStyle name="Normal 11 4 2 3 6 4 2" xfId="43190"/>
    <cellStyle name="Normal 11 4 2 3 6 5" xfId="29721"/>
    <cellStyle name="Normal 11 4 2 3 7" xfId="7876"/>
    <cellStyle name="Normal 11 4 2 3 7 2" xfId="14590"/>
    <cellStyle name="Normal 11 4 2 3 7 2 2" xfId="38011"/>
    <cellStyle name="Normal 11 4 2 3 7 3" xfId="21621"/>
    <cellStyle name="Normal 11 4 2 3 7 3 2" xfId="44070"/>
    <cellStyle name="Normal 11 4 2 3 7 4" xfId="31379"/>
    <cellStyle name="Normal 11 4 2 3 8" xfId="11272"/>
    <cellStyle name="Normal 11 4 2 3 8 2" xfId="34695"/>
    <cellStyle name="Normal 11 4 2 3 9" xfId="17985"/>
    <cellStyle name="Normal 11 4 2 3 9 2" xfId="41293"/>
    <cellStyle name="Normal 11 4 2 4" xfId="1783"/>
    <cellStyle name="Normal 11 4 2 4 10" xfId="28135"/>
    <cellStyle name="Normal 11 4 2 4 2" xfId="2233"/>
    <cellStyle name="Normal 11 4 2 4 2 2" xfId="5504"/>
    <cellStyle name="Normal 11 4 2 4 2 2 2" xfId="7330"/>
    <cellStyle name="Normal 11 4 2 4 2 2 2 2" xfId="10661"/>
    <cellStyle name="Normal 11 4 2 4 2 2 2 2 2" xfId="17365"/>
    <cellStyle name="Normal 11 4 2 4 2 2 2 2 2 2" xfId="40786"/>
    <cellStyle name="Normal 11 4 2 4 2 2 2 2 3" xfId="23081"/>
    <cellStyle name="Normal 11 4 2 4 2 2 2 2 3 2" xfId="45503"/>
    <cellStyle name="Normal 11 4 2 4 2 2 2 2 4" xfId="34154"/>
    <cellStyle name="Normal 11 4 2 4 2 2 2 3" xfId="14049"/>
    <cellStyle name="Normal 11 4 2 4 2 2 2 3 2" xfId="37470"/>
    <cellStyle name="Normal 11 4 2 4 2 2 2 4" xfId="20253"/>
    <cellStyle name="Normal 11 4 2 4 2 2 2 4 2" xfId="42788"/>
    <cellStyle name="Normal 11 4 2 4 2 2 2 5" xfId="30838"/>
    <cellStyle name="Normal 11 4 2 4 2 2 3" xfId="9003"/>
    <cellStyle name="Normal 11 4 2 4 2 2 3 2" xfId="15707"/>
    <cellStyle name="Normal 11 4 2 4 2 2 3 2 2" xfId="39128"/>
    <cellStyle name="Normal 11 4 2 4 2 2 3 3" xfId="21203"/>
    <cellStyle name="Normal 11 4 2 4 2 2 3 3 2" xfId="43654"/>
    <cellStyle name="Normal 11 4 2 4 2 2 3 4" xfId="32496"/>
    <cellStyle name="Normal 11 4 2 4 2 2 4" xfId="12391"/>
    <cellStyle name="Normal 11 4 2 4 2 2 4 2" xfId="22266"/>
    <cellStyle name="Normal 11 4 2 4 2 2 4 2 2" xfId="44688"/>
    <cellStyle name="Normal 11 4 2 4 2 2 4 3" xfId="35812"/>
    <cellStyle name="Normal 11 4 2 4 2 2 5" xfId="19414"/>
    <cellStyle name="Normal 11 4 2 4 2 2 5 2" xfId="41956"/>
    <cellStyle name="Normal 11 4 2 4 2 2 6" xfId="29180"/>
    <cellStyle name="Normal 11 4 2 4 2 3" xfId="6425"/>
    <cellStyle name="Normal 11 4 2 4 2 3 2" xfId="9759"/>
    <cellStyle name="Normal 11 4 2 4 2 3 2 2" xfId="16463"/>
    <cellStyle name="Normal 11 4 2 4 2 3 2 2 2" xfId="39884"/>
    <cellStyle name="Normal 11 4 2 4 2 3 2 3" xfId="22674"/>
    <cellStyle name="Normal 11 4 2 4 2 3 2 3 2" xfId="45096"/>
    <cellStyle name="Normal 11 4 2 4 2 3 2 4" xfId="33252"/>
    <cellStyle name="Normal 11 4 2 4 2 3 3" xfId="13147"/>
    <cellStyle name="Normal 11 4 2 4 2 3 3 2" xfId="36568"/>
    <cellStyle name="Normal 11 4 2 4 2 3 4" xfId="19837"/>
    <cellStyle name="Normal 11 4 2 4 2 3 4 2" xfId="42372"/>
    <cellStyle name="Normal 11 4 2 4 2 3 5" xfId="29936"/>
    <cellStyle name="Normal 11 4 2 4 2 4" xfId="8092"/>
    <cellStyle name="Normal 11 4 2 4 2 4 2" xfId="14805"/>
    <cellStyle name="Normal 11 4 2 4 2 4 2 2" xfId="38226"/>
    <cellStyle name="Normal 11 4 2 4 2 4 3" xfId="20744"/>
    <cellStyle name="Normal 11 4 2 4 2 4 3 2" xfId="43195"/>
    <cellStyle name="Normal 11 4 2 4 2 4 4" xfId="31594"/>
    <cellStyle name="Normal 11 4 2 4 2 5" xfId="11487"/>
    <cellStyle name="Normal 11 4 2 4 2 5 2" xfId="21832"/>
    <cellStyle name="Normal 11 4 2 4 2 5 2 2" xfId="44274"/>
    <cellStyle name="Normal 11 4 2 4 2 5 3" xfId="34910"/>
    <cellStyle name="Normal 11 4 2 4 2 6" xfId="18587"/>
    <cellStyle name="Normal 11 4 2 4 2 6 2" xfId="41531"/>
    <cellStyle name="Normal 11 4 2 4 2 7" xfId="25830"/>
    <cellStyle name="Normal 11 4 2 4 2 7 2" xfId="48075"/>
    <cellStyle name="Normal 11 4 2 4 2 8" xfId="28278"/>
    <cellStyle name="Normal 11 4 2 4 3" xfId="2780"/>
    <cellStyle name="Normal 11 4 2 4 3 2" xfId="5872"/>
    <cellStyle name="Normal 11 4 2 4 3 2 2" xfId="7654"/>
    <cellStyle name="Normal 11 4 2 4 3 2 2 2" xfId="10983"/>
    <cellStyle name="Normal 11 4 2 4 3 2 2 2 2" xfId="17687"/>
    <cellStyle name="Normal 11 4 2 4 3 2 2 2 2 2" xfId="41108"/>
    <cellStyle name="Normal 11 4 2 4 3 2 2 2 3" xfId="34476"/>
    <cellStyle name="Normal 11 4 2 4 3 2 2 3" xfId="14371"/>
    <cellStyle name="Normal 11 4 2 4 3 2 2 3 2" xfId="37792"/>
    <cellStyle name="Normal 11 4 2 4 3 2 2 4" xfId="22881"/>
    <cellStyle name="Normal 11 4 2 4 3 2 2 4 2" xfId="45303"/>
    <cellStyle name="Normal 11 4 2 4 3 2 2 5" xfId="31160"/>
    <cellStyle name="Normal 11 4 2 4 3 2 3" xfId="9325"/>
    <cellStyle name="Normal 11 4 2 4 3 2 3 2" xfId="16029"/>
    <cellStyle name="Normal 11 4 2 4 3 2 3 2 2" xfId="39450"/>
    <cellStyle name="Normal 11 4 2 4 3 2 3 3" xfId="32818"/>
    <cellStyle name="Normal 11 4 2 4 3 2 4" xfId="12713"/>
    <cellStyle name="Normal 11 4 2 4 3 2 4 2" xfId="36134"/>
    <cellStyle name="Normal 11 4 2 4 3 2 5" xfId="20045"/>
    <cellStyle name="Normal 11 4 2 4 3 2 5 2" xfId="42580"/>
    <cellStyle name="Normal 11 4 2 4 3 2 6" xfId="29502"/>
    <cellStyle name="Normal 11 4 2 4 3 3" xfId="6755"/>
    <cellStyle name="Normal 11 4 2 4 3 3 2" xfId="10087"/>
    <cellStyle name="Normal 11 4 2 4 3 3 2 2" xfId="16791"/>
    <cellStyle name="Normal 11 4 2 4 3 3 2 2 2" xfId="40212"/>
    <cellStyle name="Normal 11 4 2 4 3 3 2 3" xfId="33580"/>
    <cellStyle name="Normal 11 4 2 4 3 3 3" xfId="13475"/>
    <cellStyle name="Normal 11 4 2 4 3 3 3 2" xfId="36896"/>
    <cellStyle name="Normal 11 4 2 4 3 3 4" xfId="21202"/>
    <cellStyle name="Normal 11 4 2 4 3 3 4 2" xfId="43653"/>
    <cellStyle name="Normal 11 4 2 4 3 3 5" xfId="30264"/>
    <cellStyle name="Normal 11 4 2 4 3 4" xfId="8421"/>
    <cellStyle name="Normal 11 4 2 4 3 4 2" xfId="15133"/>
    <cellStyle name="Normal 11 4 2 4 3 4 2 2" xfId="38554"/>
    <cellStyle name="Normal 11 4 2 4 3 4 3" xfId="22053"/>
    <cellStyle name="Normal 11 4 2 4 3 4 3 2" xfId="44481"/>
    <cellStyle name="Normal 11 4 2 4 3 4 4" xfId="31922"/>
    <cellStyle name="Normal 11 4 2 4 3 5" xfId="11815"/>
    <cellStyle name="Normal 11 4 2 4 3 5 2" xfId="35238"/>
    <cellStyle name="Normal 11 4 2 4 3 6" xfId="19191"/>
    <cellStyle name="Normal 11 4 2 4 3 6 2" xfId="41748"/>
    <cellStyle name="Normal 11 4 2 4 3 7" xfId="28606"/>
    <cellStyle name="Normal 11 4 2 4 4" xfId="3866"/>
    <cellStyle name="Normal 11 4 2 4 4 2" xfId="6979"/>
    <cellStyle name="Normal 11 4 2 4 4 2 2" xfId="10311"/>
    <cellStyle name="Normal 11 4 2 4 4 2 2 2" xfId="17015"/>
    <cellStyle name="Normal 11 4 2 4 4 2 2 2 2" xfId="40436"/>
    <cellStyle name="Normal 11 4 2 4 4 2 2 3" xfId="33804"/>
    <cellStyle name="Normal 11 4 2 4 4 2 3" xfId="13699"/>
    <cellStyle name="Normal 11 4 2 4 4 2 3 2" xfId="37120"/>
    <cellStyle name="Normal 11 4 2 4 4 2 4" xfId="22474"/>
    <cellStyle name="Normal 11 4 2 4 4 2 4 2" xfId="44896"/>
    <cellStyle name="Normal 11 4 2 4 4 2 5" xfId="30488"/>
    <cellStyle name="Normal 11 4 2 4 4 3" xfId="8646"/>
    <cellStyle name="Normal 11 4 2 4 4 3 2" xfId="15357"/>
    <cellStyle name="Normal 11 4 2 4 4 3 2 2" xfId="38778"/>
    <cellStyle name="Normal 11 4 2 4 4 3 3" xfId="32146"/>
    <cellStyle name="Normal 11 4 2 4 4 4" xfId="12039"/>
    <cellStyle name="Normal 11 4 2 4 4 4 2" xfId="35462"/>
    <cellStyle name="Normal 11 4 2 4 4 5" xfId="19627"/>
    <cellStyle name="Normal 11 4 2 4 4 5 2" xfId="42164"/>
    <cellStyle name="Normal 11 4 2 4 4 6" xfId="28830"/>
    <cellStyle name="Normal 11 4 2 4 5" xfId="6282"/>
    <cellStyle name="Normal 11 4 2 4 5 2" xfId="9616"/>
    <cellStyle name="Normal 11 4 2 4 5 2 2" xfId="16320"/>
    <cellStyle name="Normal 11 4 2 4 5 2 2 2" xfId="39741"/>
    <cellStyle name="Normal 11 4 2 4 5 2 3" xfId="33109"/>
    <cellStyle name="Normal 11 4 2 4 5 3" xfId="13004"/>
    <cellStyle name="Normal 11 4 2 4 5 3 2" xfId="36425"/>
    <cellStyle name="Normal 11 4 2 4 5 4" xfId="20743"/>
    <cellStyle name="Normal 11 4 2 4 5 4 2" xfId="43194"/>
    <cellStyle name="Normal 11 4 2 4 5 5" xfId="29793"/>
    <cellStyle name="Normal 11 4 2 4 6" xfId="7948"/>
    <cellStyle name="Normal 11 4 2 4 6 2" xfId="14662"/>
    <cellStyle name="Normal 11 4 2 4 6 2 2" xfId="38083"/>
    <cellStyle name="Normal 11 4 2 4 6 3" xfId="21623"/>
    <cellStyle name="Normal 11 4 2 4 6 3 2" xfId="44072"/>
    <cellStyle name="Normal 11 4 2 4 6 4" xfId="31451"/>
    <cellStyle name="Normal 11 4 2 4 7" xfId="11344"/>
    <cellStyle name="Normal 11 4 2 4 7 2" xfId="34767"/>
    <cellStyle name="Normal 11 4 2 4 8" xfId="17987"/>
    <cellStyle name="Normal 11 4 2 4 8 2" xfId="41295"/>
    <cellStyle name="Normal 11 4 2 4 9" xfId="23565"/>
    <cellStyle name="Normal 11 4 2 4 9 2" xfId="45885"/>
    <cellStyle name="Normal 11 4 2 5" xfId="2226"/>
    <cellStyle name="Normal 11 4 2 5 2" xfId="3867"/>
    <cellStyle name="Normal 11 4 2 5 2 2" xfId="6980"/>
    <cellStyle name="Normal 11 4 2 5 2 2 2" xfId="10312"/>
    <cellStyle name="Normal 11 4 2 5 2 2 2 2" xfId="17016"/>
    <cellStyle name="Normal 11 4 2 5 2 2 2 2 2" xfId="40437"/>
    <cellStyle name="Normal 11 4 2 5 2 2 2 3" xfId="23074"/>
    <cellStyle name="Normal 11 4 2 5 2 2 2 3 2" xfId="45496"/>
    <cellStyle name="Normal 11 4 2 5 2 2 2 4" xfId="33805"/>
    <cellStyle name="Normal 11 4 2 5 2 2 3" xfId="13700"/>
    <cellStyle name="Normal 11 4 2 5 2 2 3 2" xfId="37121"/>
    <cellStyle name="Normal 11 4 2 5 2 2 4" xfId="20246"/>
    <cellStyle name="Normal 11 4 2 5 2 2 4 2" xfId="42781"/>
    <cellStyle name="Normal 11 4 2 5 2 2 5" xfId="30489"/>
    <cellStyle name="Normal 11 4 2 5 2 3" xfId="8647"/>
    <cellStyle name="Normal 11 4 2 5 2 3 2" xfId="15358"/>
    <cellStyle name="Normal 11 4 2 5 2 3 2 2" xfId="38779"/>
    <cellStyle name="Normal 11 4 2 5 2 3 3" xfId="21204"/>
    <cellStyle name="Normal 11 4 2 5 2 3 3 2" xfId="43655"/>
    <cellStyle name="Normal 11 4 2 5 2 3 4" xfId="32147"/>
    <cellStyle name="Normal 11 4 2 5 2 4" xfId="12040"/>
    <cellStyle name="Normal 11 4 2 5 2 4 2" xfId="22259"/>
    <cellStyle name="Normal 11 4 2 5 2 4 2 2" xfId="44681"/>
    <cellStyle name="Normal 11 4 2 5 2 4 3" xfId="35463"/>
    <cellStyle name="Normal 11 4 2 5 2 5" xfId="19407"/>
    <cellStyle name="Normal 11 4 2 5 2 5 2" xfId="41949"/>
    <cellStyle name="Normal 11 4 2 5 2 6" xfId="25831"/>
    <cellStyle name="Normal 11 4 2 5 2 6 2" xfId="48076"/>
    <cellStyle name="Normal 11 4 2 5 2 7" xfId="28831"/>
    <cellStyle name="Normal 11 4 2 5 3" xfId="6418"/>
    <cellStyle name="Normal 11 4 2 5 3 2" xfId="9752"/>
    <cellStyle name="Normal 11 4 2 5 3 2 2" xfId="16456"/>
    <cellStyle name="Normal 11 4 2 5 3 2 2 2" xfId="39877"/>
    <cellStyle name="Normal 11 4 2 5 3 2 3" xfId="22667"/>
    <cellStyle name="Normal 11 4 2 5 3 2 3 2" xfId="45089"/>
    <cellStyle name="Normal 11 4 2 5 3 2 4" xfId="33245"/>
    <cellStyle name="Normal 11 4 2 5 3 3" xfId="13140"/>
    <cellStyle name="Normal 11 4 2 5 3 3 2" xfId="36561"/>
    <cellStyle name="Normal 11 4 2 5 3 4" xfId="19830"/>
    <cellStyle name="Normal 11 4 2 5 3 4 2" xfId="42365"/>
    <cellStyle name="Normal 11 4 2 5 3 5" xfId="29929"/>
    <cellStyle name="Normal 11 4 2 5 4" xfId="8085"/>
    <cellStyle name="Normal 11 4 2 5 4 2" xfId="14798"/>
    <cellStyle name="Normal 11 4 2 5 4 2 2" xfId="38219"/>
    <cellStyle name="Normal 11 4 2 5 4 3" xfId="20745"/>
    <cellStyle name="Normal 11 4 2 5 4 3 2" xfId="43196"/>
    <cellStyle name="Normal 11 4 2 5 4 4" xfId="31587"/>
    <cellStyle name="Normal 11 4 2 5 5" xfId="11480"/>
    <cellStyle name="Normal 11 4 2 5 5 2" xfId="21825"/>
    <cellStyle name="Normal 11 4 2 5 5 2 2" xfId="44267"/>
    <cellStyle name="Normal 11 4 2 5 5 3" xfId="34903"/>
    <cellStyle name="Normal 11 4 2 5 6" xfId="18580"/>
    <cellStyle name="Normal 11 4 2 5 6 2" xfId="41524"/>
    <cellStyle name="Normal 11 4 2 5 7" xfId="23566"/>
    <cellStyle name="Normal 11 4 2 5 7 2" xfId="45886"/>
    <cellStyle name="Normal 11 4 2 5 8" xfId="28271"/>
    <cellStyle name="Normal 11 4 2 6" xfId="2648"/>
    <cellStyle name="Normal 11 4 2 6 2" xfId="5741"/>
    <cellStyle name="Normal 11 4 2 6 2 2" xfId="7523"/>
    <cellStyle name="Normal 11 4 2 6 2 2 2" xfId="10852"/>
    <cellStyle name="Normal 11 4 2 6 2 2 2 2" xfId="17556"/>
    <cellStyle name="Normal 11 4 2 6 2 2 2 2 2" xfId="40977"/>
    <cellStyle name="Normal 11 4 2 6 2 2 2 3" xfId="34345"/>
    <cellStyle name="Normal 11 4 2 6 2 2 3" xfId="14240"/>
    <cellStyle name="Normal 11 4 2 6 2 2 3 2" xfId="37661"/>
    <cellStyle name="Normal 11 4 2 6 2 2 4" xfId="20621"/>
    <cellStyle name="Normal 11 4 2 6 2 2 4 2" xfId="43072"/>
    <cellStyle name="Normal 11 4 2 6 2 2 5" xfId="31029"/>
    <cellStyle name="Normal 11 4 2 6 2 3" xfId="9194"/>
    <cellStyle name="Normal 11 4 2 6 2 3 2" xfId="15898"/>
    <cellStyle name="Normal 11 4 2 6 2 3 2 2" xfId="39319"/>
    <cellStyle name="Normal 11 4 2 6 2 3 3" xfId="21539"/>
    <cellStyle name="Normal 11 4 2 6 2 3 3 2" xfId="43990"/>
    <cellStyle name="Normal 11 4 2 6 2 3 4" xfId="32687"/>
    <cellStyle name="Normal 11 4 2 6 2 4" xfId="12582"/>
    <cellStyle name="Normal 11 4 2 6 2 4 2" xfId="22874"/>
    <cellStyle name="Normal 11 4 2 6 2 4 2 2" xfId="45296"/>
    <cellStyle name="Normal 11 4 2 6 2 4 3" xfId="36003"/>
    <cellStyle name="Normal 11 4 2 6 2 5" xfId="20038"/>
    <cellStyle name="Normal 11 4 2 6 2 5 2" xfId="42573"/>
    <cellStyle name="Normal 11 4 2 6 2 6" xfId="29371"/>
    <cellStyle name="Normal 11 4 2 6 3" xfId="6624"/>
    <cellStyle name="Normal 11 4 2 6 3 2" xfId="9956"/>
    <cellStyle name="Normal 11 4 2 6 3 2 2" xfId="16660"/>
    <cellStyle name="Normal 11 4 2 6 3 2 2 2" xfId="40081"/>
    <cellStyle name="Normal 11 4 2 6 3 2 3" xfId="33449"/>
    <cellStyle name="Normal 11 4 2 6 3 3" xfId="13344"/>
    <cellStyle name="Normal 11 4 2 6 3 3 2" xfId="36765"/>
    <cellStyle name="Normal 11 4 2 6 3 4" xfId="20523"/>
    <cellStyle name="Normal 11 4 2 6 3 4 2" xfId="42976"/>
    <cellStyle name="Normal 11 4 2 6 3 5" xfId="30133"/>
    <cellStyle name="Normal 11 4 2 6 4" xfId="8290"/>
    <cellStyle name="Normal 11 4 2 6 4 2" xfId="15002"/>
    <cellStyle name="Normal 11 4 2 6 4 2 2" xfId="38423"/>
    <cellStyle name="Normal 11 4 2 6 4 3" xfId="21080"/>
    <cellStyle name="Normal 11 4 2 6 4 3 2" xfId="43531"/>
    <cellStyle name="Normal 11 4 2 6 4 4" xfId="31791"/>
    <cellStyle name="Normal 11 4 2 6 5" xfId="11684"/>
    <cellStyle name="Normal 11 4 2 6 5 2" xfId="22046"/>
    <cellStyle name="Normal 11 4 2 6 5 2 2" xfId="44474"/>
    <cellStyle name="Normal 11 4 2 6 5 3" xfId="35107"/>
    <cellStyle name="Normal 11 4 2 6 6" xfId="19184"/>
    <cellStyle name="Normal 11 4 2 6 6 2" xfId="41741"/>
    <cellStyle name="Normal 11 4 2 6 7" xfId="28475"/>
    <cellStyle name="Normal 11 4 2 7" xfId="3859"/>
    <cellStyle name="Normal 11 4 2 7 2" xfId="19620"/>
    <cellStyle name="Normal 11 4 2 7 2 2" xfId="42157"/>
    <cellStyle name="Normal 11 4 2 7 3" xfId="21189"/>
    <cellStyle name="Normal 11 4 2 7 3 2" xfId="43640"/>
    <cellStyle name="Normal 11 4 2 7 4" xfId="22467"/>
    <cellStyle name="Normal 11 4 2 7 4 2" xfId="44889"/>
    <cellStyle name="Normal 11 4 2 8" xfId="6151"/>
    <cellStyle name="Normal 11 4 2 8 2" xfId="9485"/>
    <cellStyle name="Normal 11 4 2 8 2 2" xfId="16189"/>
    <cellStyle name="Normal 11 4 2 8 2 2 2" xfId="39610"/>
    <cellStyle name="Normal 11 4 2 8 2 3" xfId="32978"/>
    <cellStyle name="Normal 11 4 2 8 3" xfId="12873"/>
    <cellStyle name="Normal 11 4 2 8 3 2" xfId="36294"/>
    <cellStyle name="Normal 11 4 2 8 4" xfId="17892"/>
    <cellStyle name="Normal 11 4 2 8 4 2" xfId="41242"/>
    <cellStyle name="Normal 11 4 2 8 5" xfId="29662"/>
    <cellStyle name="Normal 11 4 2 9" xfId="7817"/>
    <cellStyle name="Normal 11 4 2 9 2" xfId="14531"/>
    <cellStyle name="Normal 11 4 2 9 2 2" xfId="37952"/>
    <cellStyle name="Normal 11 4 2 9 3" xfId="20730"/>
    <cellStyle name="Normal 11 4 2 9 3 2" xfId="43181"/>
    <cellStyle name="Normal 11 4 2 9 4" xfId="31320"/>
    <cellStyle name="Normal 11 4 3" xfId="1476"/>
    <cellStyle name="Normal 11 4 3 10" xfId="17988"/>
    <cellStyle name="Normal 11 4 3 10 2" xfId="41296"/>
    <cellStyle name="Normal 11 4 3 11" xfId="23567"/>
    <cellStyle name="Normal 11 4 3 11 2" xfId="45887"/>
    <cellStyle name="Normal 11 4 3 12" xfId="28012"/>
    <cellStyle name="Normal 11 4 3 2" xfId="1624"/>
    <cellStyle name="Normal 11 4 3 2 10" xfId="23568"/>
    <cellStyle name="Normal 11 4 3 2 10 2" xfId="45888"/>
    <cellStyle name="Normal 11 4 3 2 11" xfId="28065"/>
    <cellStyle name="Normal 11 4 3 2 2" xfId="1844"/>
    <cellStyle name="Normal 11 4 3 2 2 10" xfId="28196"/>
    <cellStyle name="Normal 11 4 3 2 2 2" xfId="2236"/>
    <cellStyle name="Normal 11 4 3 2 2 2 2" xfId="5507"/>
    <cellStyle name="Normal 11 4 3 2 2 2 2 2" xfId="7333"/>
    <cellStyle name="Normal 11 4 3 2 2 2 2 2 2" xfId="10664"/>
    <cellStyle name="Normal 11 4 3 2 2 2 2 2 2 2" xfId="17368"/>
    <cellStyle name="Normal 11 4 3 2 2 2 2 2 2 2 2" xfId="40789"/>
    <cellStyle name="Normal 11 4 3 2 2 2 2 2 2 3" xfId="23084"/>
    <cellStyle name="Normal 11 4 3 2 2 2 2 2 2 3 2" xfId="45506"/>
    <cellStyle name="Normal 11 4 3 2 2 2 2 2 2 4" xfId="34157"/>
    <cellStyle name="Normal 11 4 3 2 2 2 2 2 3" xfId="14052"/>
    <cellStyle name="Normal 11 4 3 2 2 2 2 2 3 2" xfId="37473"/>
    <cellStyle name="Normal 11 4 3 2 2 2 2 2 4" xfId="20256"/>
    <cellStyle name="Normal 11 4 3 2 2 2 2 2 4 2" xfId="42791"/>
    <cellStyle name="Normal 11 4 3 2 2 2 2 2 5" xfId="30841"/>
    <cellStyle name="Normal 11 4 3 2 2 2 2 3" xfId="9006"/>
    <cellStyle name="Normal 11 4 3 2 2 2 2 3 2" xfId="15710"/>
    <cellStyle name="Normal 11 4 3 2 2 2 2 3 2 2" xfId="39131"/>
    <cellStyle name="Normal 11 4 3 2 2 2 2 3 3" xfId="21208"/>
    <cellStyle name="Normal 11 4 3 2 2 2 2 3 3 2" xfId="43659"/>
    <cellStyle name="Normal 11 4 3 2 2 2 2 3 4" xfId="32499"/>
    <cellStyle name="Normal 11 4 3 2 2 2 2 4" xfId="12394"/>
    <cellStyle name="Normal 11 4 3 2 2 2 2 4 2" xfId="22269"/>
    <cellStyle name="Normal 11 4 3 2 2 2 2 4 2 2" xfId="44691"/>
    <cellStyle name="Normal 11 4 3 2 2 2 2 4 3" xfId="35815"/>
    <cellStyle name="Normal 11 4 3 2 2 2 2 5" xfId="19417"/>
    <cellStyle name="Normal 11 4 3 2 2 2 2 5 2" xfId="41959"/>
    <cellStyle name="Normal 11 4 3 2 2 2 2 6" xfId="29183"/>
    <cellStyle name="Normal 11 4 3 2 2 2 3" xfId="6428"/>
    <cellStyle name="Normal 11 4 3 2 2 2 3 2" xfId="9762"/>
    <cellStyle name="Normal 11 4 3 2 2 2 3 2 2" xfId="16466"/>
    <cellStyle name="Normal 11 4 3 2 2 2 3 2 2 2" xfId="39887"/>
    <cellStyle name="Normal 11 4 3 2 2 2 3 2 3" xfId="22677"/>
    <cellStyle name="Normal 11 4 3 2 2 2 3 2 3 2" xfId="45099"/>
    <cellStyle name="Normal 11 4 3 2 2 2 3 2 4" xfId="33255"/>
    <cellStyle name="Normal 11 4 3 2 2 2 3 3" xfId="13150"/>
    <cellStyle name="Normal 11 4 3 2 2 2 3 3 2" xfId="36571"/>
    <cellStyle name="Normal 11 4 3 2 2 2 3 4" xfId="19840"/>
    <cellStyle name="Normal 11 4 3 2 2 2 3 4 2" xfId="42375"/>
    <cellStyle name="Normal 11 4 3 2 2 2 3 5" xfId="29939"/>
    <cellStyle name="Normal 11 4 3 2 2 2 4" xfId="8095"/>
    <cellStyle name="Normal 11 4 3 2 2 2 4 2" xfId="14808"/>
    <cellStyle name="Normal 11 4 3 2 2 2 4 2 2" xfId="38229"/>
    <cellStyle name="Normal 11 4 3 2 2 2 4 3" xfId="20749"/>
    <cellStyle name="Normal 11 4 3 2 2 2 4 3 2" xfId="43200"/>
    <cellStyle name="Normal 11 4 3 2 2 2 4 4" xfId="31597"/>
    <cellStyle name="Normal 11 4 3 2 2 2 5" xfId="11490"/>
    <cellStyle name="Normal 11 4 3 2 2 2 5 2" xfId="21835"/>
    <cellStyle name="Normal 11 4 3 2 2 2 5 2 2" xfId="44277"/>
    <cellStyle name="Normal 11 4 3 2 2 2 5 3" xfId="34913"/>
    <cellStyle name="Normal 11 4 3 2 2 2 6" xfId="18590"/>
    <cellStyle name="Normal 11 4 3 2 2 2 6 2" xfId="41534"/>
    <cellStyle name="Normal 11 4 3 2 2 2 7" xfId="25834"/>
    <cellStyle name="Normal 11 4 3 2 2 2 7 2" xfId="48079"/>
    <cellStyle name="Normal 11 4 3 2 2 2 8" xfId="28281"/>
    <cellStyle name="Normal 11 4 3 2 2 3" xfId="2841"/>
    <cellStyle name="Normal 11 4 3 2 2 3 2" xfId="5933"/>
    <cellStyle name="Normal 11 4 3 2 2 3 2 2" xfId="7715"/>
    <cellStyle name="Normal 11 4 3 2 2 3 2 2 2" xfId="11044"/>
    <cellStyle name="Normal 11 4 3 2 2 3 2 2 2 2" xfId="17748"/>
    <cellStyle name="Normal 11 4 3 2 2 3 2 2 2 2 2" xfId="41169"/>
    <cellStyle name="Normal 11 4 3 2 2 3 2 2 2 3" xfId="34537"/>
    <cellStyle name="Normal 11 4 3 2 2 3 2 2 3" xfId="14432"/>
    <cellStyle name="Normal 11 4 3 2 2 3 2 2 3 2" xfId="37853"/>
    <cellStyle name="Normal 11 4 3 2 2 3 2 2 4" xfId="22884"/>
    <cellStyle name="Normal 11 4 3 2 2 3 2 2 4 2" xfId="45306"/>
    <cellStyle name="Normal 11 4 3 2 2 3 2 2 5" xfId="31221"/>
    <cellStyle name="Normal 11 4 3 2 2 3 2 3" xfId="9386"/>
    <cellStyle name="Normal 11 4 3 2 2 3 2 3 2" xfId="16090"/>
    <cellStyle name="Normal 11 4 3 2 2 3 2 3 2 2" xfId="39511"/>
    <cellStyle name="Normal 11 4 3 2 2 3 2 3 3" xfId="32879"/>
    <cellStyle name="Normal 11 4 3 2 2 3 2 4" xfId="12774"/>
    <cellStyle name="Normal 11 4 3 2 2 3 2 4 2" xfId="36195"/>
    <cellStyle name="Normal 11 4 3 2 2 3 2 5" xfId="20048"/>
    <cellStyle name="Normal 11 4 3 2 2 3 2 5 2" xfId="42583"/>
    <cellStyle name="Normal 11 4 3 2 2 3 2 6" xfId="29563"/>
    <cellStyle name="Normal 11 4 3 2 2 3 3" xfId="6816"/>
    <cellStyle name="Normal 11 4 3 2 2 3 3 2" xfId="10148"/>
    <cellStyle name="Normal 11 4 3 2 2 3 3 2 2" xfId="16852"/>
    <cellStyle name="Normal 11 4 3 2 2 3 3 2 2 2" xfId="40273"/>
    <cellStyle name="Normal 11 4 3 2 2 3 3 2 3" xfId="33641"/>
    <cellStyle name="Normal 11 4 3 2 2 3 3 3" xfId="13536"/>
    <cellStyle name="Normal 11 4 3 2 2 3 3 3 2" xfId="36957"/>
    <cellStyle name="Normal 11 4 3 2 2 3 3 4" xfId="21207"/>
    <cellStyle name="Normal 11 4 3 2 2 3 3 4 2" xfId="43658"/>
    <cellStyle name="Normal 11 4 3 2 2 3 3 5" xfId="30325"/>
    <cellStyle name="Normal 11 4 3 2 2 3 4" xfId="8482"/>
    <cellStyle name="Normal 11 4 3 2 2 3 4 2" xfId="15194"/>
    <cellStyle name="Normal 11 4 3 2 2 3 4 2 2" xfId="38615"/>
    <cellStyle name="Normal 11 4 3 2 2 3 4 3" xfId="22056"/>
    <cellStyle name="Normal 11 4 3 2 2 3 4 3 2" xfId="44484"/>
    <cellStyle name="Normal 11 4 3 2 2 3 4 4" xfId="31983"/>
    <cellStyle name="Normal 11 4 3 2 2 3 5" xfId="11876"/>
    <cellStyle name="Normal 11 4 3 2 2 3 5 2" xfId="35299"/>
    <cellStyle name="Normal 11 4 3 2 2 3 6" xfId="19194"/>
    <cellStyle name="Normal 11 4 3 2 2 3 6 2" xfId="41751"/>
    <cellStyle name="Normal 11 4 3 2 2 3 7" xfId="28667"/>
    <cellStyle name="Normal 11 4 3 2 2 4" xfId="3870"/>
    <cellStyle name="Normal 11 4 3 2 2 4 2" xfId="6983"/>
    <cellStyle name="Normal 11 4 3 2 2 4 2 2" xfId="10315"/>
    <cellStyle name="Normal 11 4 3 2 2 4 2 2 2" xfId="17019"/>
    <cellStyle name="Normal 11 4 3 2 2 4 2 2 2 2" xfId="40440"/>
    <cellStyle name="Normal 11 4 3 2 2 4 2 2 3" xfId="33808"/>
    <cellStyle name="Normal 11 4 3 2 2 4 2 3" xfId="13703"/>
    <cellStyle name="Normal 11 4 3 2 2 4 2 3 2" xfId="37124"/>
    <cellStyle name="Normal 11 4 3 2 2 4 2 4" xfId="22477"/>
    <cellStyle name="Normal 11 4 3 2 2 4 2 4 2" xfId="44899"/>
    <cellStyle name="Normal 11 4 3 2 2 4 2 5" xfId="30492"/>
    <cellStyle name="Normal 11 4 3 2 2 4 3" xfId="8650"/>
    <cellStyle name="Normal 11 4 3 2 2 4 3 2" xfId="15361"/>
    <cellStyle name="Normal 11 4 3 2 2 4 3 2 2" xfId="38782"/>
    <cellStyle name="Normal 11 4 3 2 2 4 3 3" xfId="32150"/>
    <cellStyle name="Normal 11 4 3 2 2 4 4" xfId="12043"/>
    <cellStyle name="Normal 11 4 3 2 2 4 4 2" xfId="35466"/>
    <cellStyle name="Normal 11 4 3 2 2 4 5" xfId="19630"/>
    <cellStyle name="Normal 11 4 3 2 2 4 5 2" xfId="42167"/>
    <cellStyle name="Normal 11 4 3 2 2 4 6" xfId="28834"/>
    <cellStyle name="Normal 11 4 3 2 2 5" xfId="6343"/>
    <cellStyle name="Normal 11 4 3 2 2 5 2" xfId="9677"/>
    <cellStyle name="Normal 11 4 3 2 2 5 2 2" xfId="16381"/>
    <cellStyle name="Normal 11 4 3 2 2 5 2 2 2" xfId="39802"/>
    <cellStyle name="Normal 11 4 3 2 2 5 2 3" xfId="33170"/>
    <cellStyle name="Normal 11 4 3 2 2 5 3" xfId="13065"/>
    <cellStyle name="Normal 11 4 3 2 2 5 3 2" xfId="36486"/>
    <cellStyle name="Normal 11 4 3 2 2 5 4" xfId="20748"/>
    <cellStyle name="Normal 11 4 3 2 2 5 4 2" xfId="43199"/>
    <cellStyle name="Normal 11 4 3 2 2 5 5" xfId="29854"/>
    <cellStyle name="Normal 11 4 3 2 2 6" xfId="8009"/>
    <cellStyle name="Normal 11 4 3 2 2 6 2" xfId="14723"/>
    <cellStyle name="Normal 11 4 3 2 2 6 2 2" xfId="38144"/>
    <cellStyle name="Normal 11 4 3 2 2 6 3" xfId="21626"/>
    <cellStyle name="Normal 11 4 3 2 2 6 3 2" xfId="44075"/>
    <cellStyle name="Normal 11 4 3 2 2 6 4" xfId="31512"/>
    <cellStyle name="Normal 11 4 3 2 2 7" xfId="11405"/>
    <cellStyle name="Normal 11 4 3 2 2 7 2" xfId="34828"/>
    <cellStyle name="Normal 11 4 3 2 2 8" xfId="17990"/>
    <cellStyle name="Normal 11 4 3 2 2 8 2" xfId="41298"/>
    <cellStyle name="Normal 11 4 3 2 2 9" xfId="23569"/>
    <cellStyle name="Normal 11 4 3 2 2 9 2" xfId="45889"/>
    <cellStyle name="Normal 11 4 3 2 3" xfId="2235"/>
    <cellStyle name="Normal 11 4 3 2 3 2" xfId="5506"/>
    <cellStyle name="Normal 11 4 3 2 3 2 2" xfId="7332"/>
    <cellStyle name="Normal 11 4 3 2 3 2 2 2" xfId="10663"/>
    <cellStyle name="Normal 11 4 3 2 3 2 2 2 2" xfId="17367"/>
    <cellStyle name="Normal 11 4 3 2 3 2 2 2 2 2" xfId="40788"/>
    <cellStyle name="Normal 11 4 3 2 3 2 2 2 3" xfId="23083"/>
    <cellStyle name="Normal 11 4 3 2 3 2 2 2 3 2" xfId="45505"/>
    <cellStyle name="Normal 11 4 3 2 3 2 2 2 4" xfId="34156"/>
    <cellStyle name="Normal 11 4 3 2 3 2 2 3" xfId="14051"/>
    <cellStyle name="Normal 11 4 3 2 3 2 2 3 2" xfId="37472"/>
    <cellStyle name="Normal 11 4 3 2 3 2 2 4" xfId="20255"/>
    <cellStyle name="Normal 11 4 3 2 3 2 2 4 2" xfId="42790"/>
    <cellStyle name="Normal 11 4 3 2 3 2 2 5" xfId="30840"/>
    <cellStyle name="Normal 11 4 3 2 3 2 3" xfId="9005"/>
    <cellStyle name="Normal 11 4 3 2 3 2 3 2" xfId="15709"/>
    <cellStyle name="Normal 11 4 3 2 3 2 3 2 2" xfId="39130"/>
    <cellStyle name="Normal 11 4 3 2 3 2 3 3" xfId="21209"/>
    <cellStyle name="Normal 11 4 3 2 3 2 3 3 2" xfId="43660"/>
    <cellStyle name="Normal 11 4 3 2 3 2 3 4" xfId="32498"/>
    <cellStyle name="Normal 11 4 3 2 3 2 4" xfId="12393"/>
    <cellStyle name="Normal 11 4 3 2 3 2 4 2" xfId="22268"/>
    <cellStyle name="Normal 11 4 3 2 3 2 4 2 2" xfId="44690"/>
    <cellStyle name="Normal 11 4 3 2 3 2 4 3" xfId="35814"/>
    <cellStyle name="Normal 11 4 3 2 3 2 5" xfId="19416"/>
    <cellStyle name="Normal 11 4 3 2 3 2 5 2" xfId="41958"/>
    <cellStyle name="Normal 11 4 3 2 3 2 6" xfId="25833"/>
    <cellStyle name="Normal 11 4 3 2 3 2 6 2" xfId="48078"/>
    <cellStyle name="Normal 11 4 3 2 3 2 7" xfId="29182"/>
    <cellStyle name="Normal 11 4 3 2 3 3" xfId="6427"/>
    <cellStyle name="Normal 11 4 3 2 3 3 2" xfId="9761"/>
    <cellStyle name="Normal 11 4 3 2 3 3 2 2" xfId="16465"/>
    <cellStyle name="Normal 11 4 3 2 3 3 2 2 2" xfId="39886"/>
    <cellStyle name="Normal 11 4 3 2 3 3 2 3" xfId="22676"/>
    <cellStyle name="Normal 11 4 3 2 3 3 2 3 2" xfId="45098"/>
    <cellStyle name="Normal 11 4 3 2 3 3 2 4" xfId="33254"/>
    <cellStyle name="Normal 11 4 3 2 3 3 3" xfId="13149"/>
    <cellStyle name="Normal 11 4 3 2 3 3 3 2" xfId="36570"/>
    <cellStyle name="Normal 11 4 3 2 3 3 4" xfId="19839"/>
    <cellStyle name="Normal 11 4 3 2 3 3 4 2" xfId="42374"/>
    <cellStyle name="Normal 11 4 3 2 3 3 5" xfId="29938"/>
    <cellStyle name="Normal 11 4 3 2 3 4" xfId="8094"/>
    <cellStyle name="Normal 11 4 3 2 3 4 2" xfId="14807"/>
    <cellStyle name="Normal 11 4 3 2 3 4 2 2" xfId="38228"/>
    <cellStyle name="Normal 11 4 3 2 3 4 3" xfId="20750"/>
    <cellStyle name="Normal 11 4 3 2 3 4 3 2" xfId="43201"/>
    <cellStyle name="Normal 11 4 3 2 3 4 4" xfId="31596"/>
    <cellStyle name="Normal 11 4 3 2 3 5" xfId="11489"/>
    <cellStyle name="Normal 11 4 3 2 3 5 2" xfId="21834"/>
    <cellStyle name="Normal 11 4 3 2 3 5 2 2" xfId="44276"/>
    <cellStyle name="Normal 11 4 3 2 3 5 3" xfId="34912"/>
    <cellStyle name="Normal 11 4 3 2 3 6" xfId="18589"/>
    <cellStyle name="Normal 11 4 3 2 3 6 2" xfId="41533"/>
    <cellStyle name="Normal 11 4 3 2 3 7" xfId="23482"/>
    <cellStyle name="Normal 11 4 3 2 3 7 2" xfId="45822"/>
    <cellStyle name="Normal 11 4 3 2 3 8" xfId="28280"/>
    <cellStyle name="Normal 11 4 3 2 4" xfId="2709"/>
    <cellStyle name="Normal 11 4 3 2 4 2" xfId="5802"/>
    <cellStyle name="Normal 11 4 3 2 4 2 2" xfId="7584"/>
    <cellStyle name="Normal 11 4 3 2 4 2 2 2" xfId="10913"/>
    <cellStyle name="Normal 11 4 3 2 4 2 2 2 2" xfId="17617"/>
    <cellStyle name="Normal 11 4 3 2 4 2 2 2 2 2" xfId="41038"/>
    <cellStyle name="Normal 11 4 3 2 4 2 2 2 3" xfId="34406"/>
    <cellStyle name="Normal 11 4 3 2 4 2 2 3" xfId="14301"/>
    <cellStyle name="Normal 11 4 3 2 4 2 2 3 2" xfId="37722"/>
    <cellStyle name="Normal 11 4 3 2 4 2 2 4" xfId="22883"/>
    <cellStyle name="Normal 11 4 3 2 4 2 2 4 2" xfId="45305"/>
    <cellStyle name="Normal 11 4 3 2 4 2 2 5" xfId="31090"/>
    <cellStyle name="Normal 11 4 3 2 4 2 3" xfId="9255"/>
    <cellStyle name="Normal 11 4 3 2 4 2 3 2" xfId="15959"/>
    <cellStyle name="Normal 11 4 3 2 4 2 3 2 2" xfId="39380"/>
    <cellStyle name="Normal 11 4 3 2 4 2 3 3" xfId="32748"/>
    <cellStyle name="Normal 11 4 3 2 4 2 4" xfId="12643"/>
    <cellStyle name="Normal 11 4 3 2 4 2 4 2" xfId="36064"/>
    <cellStyle name="Normal 11 4 3 2 4 2 5" xfId="20047"/>
    <cellStyle name="Normal 11 4 3 2 4 2 5 2" xfId="42582"/>
    <cellStyle name="Normal 11 4 3 2 4 2 6" xfId="27966"/>
    <cellStyle name="Normal 11 4 3 2 4 2 6 2" xfId="50211"/>
    <cellStyle name="Normal 11 4 3 2 4 2 7" xfId="29432"/>
    <cellStyle name="Normal 11 4 3 2 4 3" xfId="6685"/>
    <cellStyle name="Normal 11 4 3 2 4 3 2" xfId="10017"/>
    <cellStyle name="Normal 11 4 3 2 4 3 2 2" xfId="16721"/>
    <cellStyle name="Normal 11 4 3 2 4 3 2 2 2" xfId="40142"/>
    <cellStyle name="Normal 11 4 3 2 4 3 2 3" xfId="33510"/>
    <cellStyle name="Normal 11 4 3 2 4 3 3" xfId="13405"/>
    <cellStyle name="Normal 11 4 3 2 4 3 3 2" xfId="36826"/>
    <cellStyle name="Normal 11 4 3 2 4 3 4" xfId="21206"/>
    <cellStyle name="Normal 11 4 3 2 4 3 4 2" xfId="43657"/>
    <cellStyle name="Normal 11 4 3 2 4 3 5" xfId="30194"/>
    <cellStyle name="Normal 11 4 3 2 4 4" xfId="8351"/>
    <cellStyle name="Normal 11 4 3 2 4 4 2" xfId="15063"/>
    <cellStyle name="Normal 11 4 3 2 4 4 2 2" xfId="38484"/>
    <cellStyle name="Normal 11 4 3 2 4 4 3" xfId="22055"/>
    <cellStyle name="Normal 11 4 3 2 4 4 3 2" xfId="44483"/>
    <cellStyle name="Normal 11 4 3 2 4 4 4" xfId="31852"/>
    <cellStyle name="Normal 11 4 3 2 4 5" xfId="11745"/>
    <cellStyle name="Normal 11 4 3 2 4 5 2" xfId="35168"/>
    <cellStyle name="Normal 11 4 3 2 4 6" xfId="19193"/>
    <cellStyle name="Normal 11 4 3 2 4 6 2" xfId="41750"/>
    <cellStyle name="Normal 11 4 3 2 4 7" xfId="25661"/>
    <cellStyle name="Normal 11 4 3 2 4 7 2" xfId="47906"/>
    <cellStyle name="Normal 11 4 3 2 4 8" xfId="28536"/>
    <cellStyle name="Normal 11 4 3 2 5" xfId="3869"/>
    <cellStyle name="Normal 11 4 3 2 5 2" xfId="6982"/>
    <cellStyle name="Normal 11 4 3 2 5 2 2" xfId="10314"/>
    <cellStyle name="Normal 11 4 3 2 5 2 2 2" xfId="17018"/>
    <cellStyle name="Normal 11 4 3 2 5 2 2 2 2" xfId="40439"/>
    <cellStyle name="Normal 11 4 3 2 5 2 2 3" xfId="33807"/>
    <cellStyle name="Normal 11 4 3 2 5 2 3" xfId="13702"/>
    <cellStyle name="Normal 11 4 3 2 5 2 3 2" xfId="37123"/>
    <cellStyle name="Normal 11 4 3 2 5 2 4" xfId="22476"/>
    <cellStyle name="Normal 11 4 3 2 5 2 4 2" xfId="44898"/>
    <cellStyle name="Normal 11 4 3 2 5 2 5" xfId="30491"/>
    <cellStyle name="Normal 11 4 3 2 5 3" xfId="8649"/>
    <cellStyle name="Normal 11 4 3 2 5 3 2" xfId="15360"/>
    <cellStyle name="Normal 11 4 3 2 5 3 2 2" xfId="38781"/>
    <cellStyle name="Normal 11 4 3 2 5 3 3" xfId="32149"/>
    <cellStyle name="Normal 11 4 3 2 5 4" xfId="12042"/>
    <cellStyle name="Normal 11 4 3 2 5 4 2" xfId="35465"/>
    <cellStyle name="Normal 11 4 3 2 5 5" xfId="19629"/>
    <cellStyle name="Normal 11 4 3 2 5 5 2" xfId="42166"/>
    <cellStyle name="Normal 11 4 3 2 5 6" xfId="25698"/>
    <cellStyle name="Normal 11 4 3 2 5 6 2" xfId="47943"/>
    <cellStyle name="Normal 11 4 3 2 5 7" xfId="28833"/>
    <cellStyle name="Normal 11 4 3 2 6" xfId="6212"/>
    <cellStyle name="Normal 11 4 3 2 6 2" xfId="9546"/>
    <cellStyle name="Normal 11 4 3 2 6 2 2" xfId="16250"/>
    <cellStyle name="Normal 11 4 3 2 6 2 2 2" xfId="39671"/>
    <cellStyle name="Normal 11 4 3 2 6 2 3" xfId="33039"/>
    <cellStyle name="Normal 11 4 3 2 6 3" xfId="12934"/>
    <cellStyle name="Normal 11 4 3 2 6 3 2" xfId="36355"/>
    <cellStyle name="Normal 11 4 3 2 6 4" xfId="20747"/>
    <cellStyle name="Normal 11 4 3 2 6 4 2" xfId="43198"/>
    <cellStyle name="Normal 11 4 3 2 6 5" xfId="29723"/>
    <cellStyle name="Normal 11 4 3 2 7" xfId="7878"/>
    <cellStyle name="Normal 11 4 3 2 7 2" xfId="14592"/>
    <cellStyle name="Normal 11 4 3 2 7 2 2" xfId="38013"/>
    <cellStyle name="Normal 11 4 3 2 7 3" xfId="21625"/>
    <cellStyle name="Normal 11 4 3 2 7 3 2" xfId="44074"/>
    <cellStyle name="Normal 11 4 3 2 7 4" xfId="31381"/>
    <cellStyle name="Normal 11 4 3 2 8" xfId="11274"/>
    <cellStyle name="Normal 11 4 3 2 8 2" xfId="34697"/>
    <cellStyle name="Normal 11 4 3 2 9" xfId="17989"/>
    <cellStyle name="Normal 11 4 3 2 9 2" xfId="41297"/>
    <cellStyle name="Normal 11 4 3 3" xfId="1791"/>
    <cellStyle name="Normal 11 4 3 3 10" xfId="28143"/>
    <cellStyle name="Normal 11 4 3 3 2" xfId="2237"/>
    <cellStyle name="Normal 11 4 3 3 2 2" xfId="5508"/>
    <cellStyle name="Normal 11 4 3 3 2 2 2" xfId="7334"/>
    <cellStyle name="Normal 11 4 3 3 2 2 2 2" xfId="10665"/>
    <cellStyle name="Normal 11 4 3 3 2 2 2 2 2" xfId="17369"/>
    <cellStyle name="Normal 11 4 3 3 2 2 2 2 2 2" xfId="40790"/>
    <cellStyle name="Normal 11 4 3 3 2 2 2 2 3" xfId="23085"/>
    <cellStyle name="Normal 11 4 3 3 2 2 2 2 3 2" xfId="45507"/>
    <cellStyle name="Normal 11 4 3 3 2 2 2 2 4" xfId="34158"/>
    <cellStyle name="Normal 11 4 3 3 2 2 2 3" xfId="14053"/>
    <cellStyle name="Normal 11 4 3 3 2 2 2 3 2" xfId="37474"/>
    <cellStyle name="Normal 11 4 3 3 2 2 2 4" xfId="20257"/>
    <cellStyle name="Normal 11 4 3 3 2 2 2 4 2" xfId="42792"/>
    <cellStyle name="Normal 11 4 3 3 2 2 2 5" xfId="30842"/>
    <cellStyle name="Normal 11 4 3 3 2 2 3" xfId="9007"/>
    <cellStyle name="Normal 11 4 3 3 2 2 3 2" xfId="15711"/>
    <cellStyle name="Normal 11 4 3 3 2 2 3 2 2" xfId="39132"/>
    <cellStyle name="Normal 11 4 3 3 2 2 3 3" xfId="21211"/>
    <cellStyle name="Normal 11 4 3 3 2 2 3 3 2" xfId="43662"/>
    <cellStyle name="Normal 11 4 3 3 2 2 3 4" xfId="32500"/>
    <cellStyle name="Normal 11 4 3 3 2 2 4" xfId="12395"/>
    <cellStyle name="Normal 11 4 3 3 2 2 4 2" xfId="22270"/>
    <cellStyle name="Normal 11 4 3 3 2 2 4 2 2" xfId="44692"/>
    <cellStyle name="Normal 11 4 3 3 2 2 4 3" xfId="35816"/>
    <cellStyle name="Normal 11 4 3 3 2 2 5" xfId="19418"/>
    <cellStyle name="Normal 11 4 3 3 2 2 5 2" xfId="41960"/>
    <cellStyle name="Normal 11 4 3 3 2 2 6" xfId="29184"/>
    <cellStyle name="Normal 11 4 3 3 2 3" xfId="6429"/>
    <cellStyle name="Normal 11 4 3 3 2 3 2" xfId="9763"/>
    <cellStyle name="Normal 11 4 3 3 2 3 2 2" xfId="16467"/>
    <cellStyle name="Normal 11 4 3 3 2 3 2 2 2" xfId="39888"/>
    <cellStyle name="Normal 11 4 3 3 2 3 2 3" xfId="22678"/>
    <cellStyle name="Normal 11 4 3 3 2 3 2 3 2" xfId="45100"/>
    <cellStyle name="Normal 11 4 3 3 2 3 2 4" xfId="33256"/>
    <cellStyle name="Normal 11 4 3 3 2 3 3" xfId="13151"/>
    <cellStyle name="Normal 11 4 3 3 2 3 3 2" xfId="36572"/>
    <cellStyle name="Normal 11 4 3 3 2 3 4" xfId="19841"/>
    <cellStyle name="Normal 11 4 3 3 2 3 4 2" xfId="42376"/>
    <cellStyle name="Normal 11 4 3 3 2 3 5" xfId="29940"/>
    <cellStyle name="Normal 11 4 3 3 2 4" xfId="8096"/>
    <cellStyle name="Normal 11 4 3 3 2 4 2" xfId="14809"/>
    <cellStyle name="Normal 11 4 3 3 2 4 2 2" xfId="38230"/>
    <cellStyle name="Normal 11 4 3 3 2 4 3" xfId="20752"/>
    <cellStyle name="Normal 11 4 3 3 2 4 3 2" xfId="43203"/>
    <cellStyle name="Normal 11 4 3 3 2 4 4" xfId="31598"/>
    <cellStyle name="Normal 11 4 3 3 2 5" xfId="11491"/>
    <cellStyle name="Normal 11 4 3 3 2 5 2" xfId="21836"/>
    <cellStyle name="Normal 11 4 3 3 2 5 2 2" xfId="44278"/>
    <cellStyle name="Normal 11 4 3 3 2 5 3" xfId="34914"/>
    <cellStyle name="Normal 11 4 3 3 2 6" xfId="18591"/>
    <cellStyle name="Normal 11 4 3 3 2 6 2" xfId="41535"/>
    <cellStyle name="Normal 11 4 3 3 2 7" xfId="25835"/>
    <cellStyle name="Normal 11 4 3 3 2 7 2" xfId="48080"/>
    <cellStyle name="Normal 11 4 3 3 2 8" xfId="28282"/>
    <cellStyle name="Normal 11 4 3 3 3" xfId="2788"/>
    <cellStyle name="Normal 11 4 3 3 3 2" xfId="5880"/>
    <cellStyle name="Normal 11 4 3 3 3 2 2" xfId="7662"/>
    <cellStyle name="Normal 11 4 3 3 3 2 2 2" xfId="10991"/>
    <cellStyle name="Normal 11 4 3 3 3 2 2 2 2" xfId="17695"/>
    <cellStyle name="Normal 11 4 3 3 3 2 2 2 2 2" xfId="41116"/>
    <cellStyle name="Normal 11 4 3 3 3 2 2 2 3" xfId="34484"/>
    <cellStyle name="Normal 11 4 3 3 3 2 2 3" xfId="14379"/>
    <cellStyle name="Normal 11 4 3 3 3 2 2 3 2" xfId="37800"/>
    <cellStyle name="Normal 11 4 3 3 3 2 2 4" xfId="22885"/>
    <cellStyle name="Normal 11 4 3 3 3 2 2 4 2" xfId="45307"/>
    <cellStyle name="Normal 11 4 3 3 3 2 2 5" xfId="31168"/>
    <cellStyle name="Normal 11 4 3 3 3 2 3" xfId="9333"/>
    <cellStyle name="Normal 11 4 3 3 3 2 3 2" xfId="16037"/>
    <cellStyle name="Normal 11 4 3 3 3 2 3 2 2" xfId="39458"/>
    <cellStyle name="Normal 11 4 3 3 3 2 3 3" xfId="32826"/>
    <cellStyle name="Normal 11 4 3 3 3 2 4" xfId="12721"/>
    <cellStyle name="Normal 11 4 3 3 3 2 4 2" xfId="36142"/>
    <cellStyle name="Normal 11 4 3 3 3 2 5" xfId="20049"/>
    <cellStyle name="Normal 11 4 3 3 3 2 5 2" xfId="42584"/>
    <cellStyle name="Normal 11 4 3 3 3 2 6" xfId="29510"/>
    <cellStyle name="Normal 11 4 3 3 3 3" xfId="6763"/>
    <cellStyle name="Normal 11 4 3 3 3 3 2" xfId="10095"/>
    <cellStyle name="Normal 11 4 3 3 3 3 2 2" xfId="16799"/>
    <cellStyle name="Normal 11 4 3 3 3 3 2 2 2" xfId="40220"/>
    <cellStyle name="Normal 11 4 3 3 3 3 2 3" xfId="33588"/>
    <cellStyle name="Normal 11 4 3 3 3 3 3" xfId="13483"/>
    <cellStyle name="Normal 11 4 3 3 3 3 3 2" xfId="36904"/>
    <cellStyle name="Normal 11 4 3 3 3 3 4" xfId="21210"/>
    <cellStyle name="Normal 11 4 3 3 3 3 4 2" xfId="43661"/>
    <cellStyle name="Normal 11 4 3 3 3 3 5" xfId="30272"/>
    <cellStyle name="Normal 11 4 3 3 3 4" xfId="8429"/>
    <cellStyle name="Normal 11 4 3 3 3 4 2" xfId="15141"/>
    <cellStyle name="Normal 11 4 3 3 3 4 2 2" xfId="38562"/>
    <cellStyle name="Normal 11 4 3 3 3 4 3" xfId="22057"/>
    <cellStyle name="Normal 11 4 3 3 3 4 3 2" xfId="44485"/>
    <cellStyle name="Normal 11 4 3 3 3 4 4" xfId="31930"/>
    <cellStyle name="Normal 11 4 3 3 3 5" xfId="11823"/>
    <cellStyle name="Normal 11 4 3 3 3 5 2" xfId="35246"/>
    <cellStyle name="Normal 11 4 3 3 3 6" xfId="19195"/>
    <cellStyle name="Normal 11 4 3 3 3 6 2" xfId="41752"/>
    <cellStyle name="Normal 11 4 3 3 3 7" xfId="28614"/>
    <cellStyle name="Normal 11 4 3 3 4" xfId="3871"/>
    <cellStyle name="Normal 11 4 3 3 4 2" xfId="6984"/>
    <cellStyle name="Normal 11 4 3 3 4 2 2" xfId="10316"/>
    <cellStyle name="Normal 11 4 3 3 4 2 2 2" xfId="17020"/>
    <cellStyle name="Normal 11 4 3 3 4 2 2 2 2" xfId="40441"/>
    <cellStyle name="Normal 11 4 3 3 4 2 2 3" xfId="33809"/>
    <cellStyle name="Normal 11 4 3 3 4 2 3" xfId="13704"/>
    <cellStyle name="Normal 11 4 3 3 4 2 3 2" xfId="37125"/>
    <cellStyle name="Normal 11 4 3 3 4 2 4" xfId="22478"/>
    <cellStyle name="Normal 11 4 3 3 4 2 4 2" xfId="44900"/>
    <cellStyle name="Normal 11 4 3 3 4 2 5" xfId="30493"/>
    <cellStyle name="Normal 11 4 3 3 4 3" xfId="8651"/>
    <cellStyle name="Normal 11 4 3 3 4 3 2" xfId="15362"/>
    <cellStyle name="Normal 11 4 3 3 4 3 2 2" xfId="38783"/>
    <cellStyle name="Normal 11 4 3 3 4 3 3" xfId="32151"/>
    <cellStyle name="Normal 11 4 3 3 4 4" xfId="12044"/>
    <cellStyle name="Normal 11 4 3 3 4 4 2" xfId="35467"/>
    <cellStyle name="Normal 11 4 3 3 4 5" xfId="19631"/>
    <cellStyle name="Normal 11 4 3 3 4 5 2" xfId="42168"/>
    <cellStyle name="Normal 11 4 3 3 4 6" xfId="28835"/>
    <cellStyle name="Normal 11 4 3 3 5" xfId="6290"/>
    <cellStyle name="Normal 11 4 3 3 5 2" xfId="9624"/>
    <cellStyle name="Normal 11 4 3 3 5 2 2" xfId="16328"/>
    <cellStyle name="Normal 11 4 3 3 5 2 2 2" xfId="39749"/>
    <cellStyle name="Normal 11 4 3 3 5 2 3" xfId="33117"/>
    <cellStyle name="Normal 11 4 3 3 5 3" xfId="13012"/>
    <cellStyle name="Normal 11 4 3 3 5 3 2" xfId="36433"/>
    <cellStyle name="Normal 11 4 3 3 5 4" xfId="20751"/>
    <cellStyle name="Normal 11 4 3 3 5 4 2" xfId="43202"/>
    <cellStyle name="Normal 11 4 3 3 5 5" xfId="29801"/>
    <cellStyle name="Normal 11 4 3 3 6" xfId="7956"/>
    <cellStyle name="Normal 11 4 3 3 6 2" xfId="14670"/>
    <cellStyle name="Normal 11 4 3 3 6 2 2" xfId="38091"/>
    <cellStyle name="Normal 11 4 3 3 6 3" xfId="21627"/>
    <cellStyle name="Normal 11 4 3 3 6 3 2" xfId="44076"/>
    <cellStyle name="Normal 11 4 3 3 6 4" xfId="31459"/>
    <cellStyle name="Normal 11 4 3 3 7" xfId="11352"/>
    <cellStyle name="Normal 11 4 3 3 7 2" xfId="34775"/>
    <cellStyle name="Normal 11 4 3 3 8" xfId="17991"/>
    <cellStyle name="Normal 11 4 3 3 8 2" xfId="41299"/>
    <cellStyle name="Normal 11 4 3 3 9" xfId="23570"/>
    <cellStyle name="Normal 11 4 3 3 9 2" xfId="45890"/>
    <cellStyle name="Normal 11 4 3 4" xfId="2234"/>
    <cellStyle name="Normal 11 4 3 4 2" xfId="5505"/>
    <cellStyle name="Normal 11 4 3 4 2 2" xfId="7331"/>
    <cellStyle name="Normal 11 4 3 4 2 2 2" xfId="10662"/>
    <cellStyle name="Normal 11 4 3 4 2 2 2 2" xfId="17366"/>
    <cellStyle name="Normal 11 4 3 4 2 2 2 2 2" xfId="40787"/>
    <cellStyle name="Normal 11 4 3 4 2 2 2 3" xfId="23082"/>
    <cellStyle name="Normal 11 4 3 4 2 2 2 3 2" xfId="45504"/>
    <cellStyle name="Normal 11 4 3 4 2 2 2 4" xfId="34155"/>
    <cellStyle name="Normal 11 4 3 4 2 2 3" xfId="14050"/>
    <cellStyle name="Normal 11 4 3 4 2 2 3 2" xfId="37471"/>
    <cellStyle name="Normal 11 4 3 4 2 2 4" xfId="20254"/>
    <cellStyle name="Normal 11 4 3 4 2 2 4 2" xfId="42789"/>
    <cellStyle name="Normal 11 4 3 4 2 2 5" xfId="30839"/>
    <cellStyle name="Normal 11 4 3 4 2 3" xfId="9004"/>
    <cellStyle name="Normal 11 4 3 4 2 3 2" xfId="15708"/>
    <cellStyle name="Normal 11 4 3 4 2 3 2 2" xfId="39129"/>
    <cellStyle name="Normal 11 4 3 4 2 3 3" xfId="21212"/>
    <cellStyle name="Normal 11 4 3 4 2 3 3 2" xfId="43663"/>
    <cellStyle name="Normal 11 4 3 4 2 3 4" xfId="32497"/>
    <cellStyle name="Normal 11 4 3 4 2 4" xfId="12392"/>
    <cellStyle name="Normal 11 4 3 4 2 4 2" xfId="22267"/>
    <cellStyle name="Normal 11 4 3 4 2 4 2 2" xfId="44689"/>
    <cellStyle name="Normal 11 4 3 4 2 4 3" xfId="35813"/>
    <cellStyle name="Normal 11 4 3 4 2 5" xfId="19415"/>
    <cellStyle name="Normal 11 4 3 4 2 5 2" xfId="41957"/>
    <cellStyle name="Normal 11 4 3 4 2 6" xfId="25832"/>
    <cellStyle name="Normal 11 4 3 4 2 6 2" xfId="48077"/>
    <cellStyle name="Normal 11 4 3 4 2 7" xfId="29181"/>
    <cellStyle name="Normal 11 4 3 4 3" xfId="6426"/>
    <cellStyle name="Normal 11 4 3 4 3 2" xfId="9760"/>
    <cellStyle name="Normal 11 4 3 4 3 2 2" xfId="16464"/>
    <cellStyle name="Normal 11 4 3 4 3 2 2 2" xfId="39885"/>
    <cellStyle name="Normal 11 4 3 4 3 2 3" xfId="22675"/>
    <cellStyle name="Normal 11 4 3 4 3 2 3 2" xfId="45097"/>
    <cellStyle name="Normal 11 4 3 4 3 2 4" xfId="33253"/>
    <cellStyle name="Normal 11 4 3 4 3 3" xfId="13148"/>
    <cellStyle name="Normal 11 4 3 4 3 3 2" xfId="36569"/>
    <cellStyle name="Normal 11 4 3 4 3 4" xfId="19838"/>
    <cellStyle name="Normal 11 4 3 4 3 4 2" xfId="42373"/>
    <cellStyle name="Normal 11 4 3 4 3 5" xfId="29937"/>
    <cellStyle name="Normal 11 4 3 4 4" xfId="8093"/>
    <cellStyle name="Normal 11 4 3 4 4 2" xfId="14806"/>
    <cellStyle name="Normal 11 4 3 4 4 2 2" xfId="38227"/>
    <cellStyle name="Normal 11 4 3 4 4 3" xfId="20753"/>
    <cellStyle name="Normal 11 4 3 4 4 3 2" xfId="43204"/>
    <cellStyle name="Normal 11 4 3 4 4 4" xfId="31595"/>
    <cellStyle name="Normal 11 4 3 4 5" xfId="11488"/>
    <cellStyle name="Normal 11 4 3 4 5 2" xfId="21833"/>
    <cellStyle name="Normal 11 4 3 4 5 2 2" xfId="44275"/>
    <cellStyle name="Normal 11 4 3 4 5 3" xfId="34911"/>
    <cellStyle name="Normal 11 4 3 4 6" xfId="18588"/>
    <cellStyle name="Normal 11 4 3 4 6 2" xfId="41532"/>
    <cellStyle name="Normal 11 4 3 4 7" xfId="23481"/>
    <cellStyle name="Normal 11 4 3 4 7 2" xfId="45821"/>
    <cellStyle name="Normal 11 4 3 4 8" xfId="28279"/>
    <cellStyle name="Normal 11 4 3 5" xfId="2656"/>
    <cellStyle name="Normal 11 4 3 5 2" xfId="5749"/>
    <cellStyle name="Normal 11 4 3 5 2 2" xfId="7531"/>
    <cellStyle name="Normal 11 4 3 5 2 2 2" xfId="10860"/>
    <cellStyle name="Normal 11 4 3 5 2 2 2 2" xfId="17564"/>
    <cellStyle name="Normal 11 4 3 5 2 2 2 2 2" xfId="40985"/>
    <cellStyle name="Normal 11 4 3 5 2 2 2 3" xfId="34353"/>
    <cellStyle name="Normal 11 4 3 5 2 2 3" xfId="14248"/>
    <cellStyle name="Normal 11 4 3 5 2 2 3 2" xfId="37669"/>
    <cellStyle name="Normal 11 4 3 5 2 2 4" xfId="20623"/>
    <cellStyle name="Normal 11 4 3 5 2 2 4 2" xfId="43074"/>
    <cellStyle name="Normal 11 4 3 5 2 2 5" xfId="31037"/>
    <cellStyle name="Normal 11 4 3 5 2 3" xfId="9202"/>
    <cellStyle name="Normal 11 4 3 5 2 3 2" xfId="15906"/>
    <cellStyle name="Normal 11 4 3 5 2 3 2 2" xfId="39327"/>
    <cellStyle name="Normal 11 4 3 5 2 3 3" xfId="21541"/>
    <cellStyle name="Normal 11 4 3 5 2 3 3 2" xfId="43992"/>
    <cellStyle name="Normal 11 4 3 5 2 3 4" xfId="32695"/>
    <cellStyle name="Normal 11 4 3 5 2 4" xfId="12590"/>
    <cellStyle name="Normal 11 4 3 5 2 4 2" xfId="22882"/>
    <cellStyle name="Normal 11 4 3 5 2 4 2 2" xfId="45304"/>
    <cellStyle name="Normal 11 4 3 5 2 4 3" xfId="36011"/>
    <cellStyle name="Normal 11 4 3 5 2 5" xfId="20046"/>
    <cellStyle name="Normal 11 4 3 5 2 5 2" xfId="42581"/>
    <cellStyle name="Normal 11 4 3 5 2 6" xfId="27947"/>
    <cellStyle name="Normal 11 4 3 5 2 6 2" xfId="50192"/>
    <cellStyle name="Normal 11 4 3 5 2 7" xfId="29379"/>
    <cellStyle name="Normal 11 4 3 5 3" xfId="6632"/>
    <cellStyle name="Normal 11 4 3 5 3 2" xfId="9964"/>
    <cellStyle name="Normal 11 4 3 5 3 2 2" xfId="16668"/>
    <cellStyle name="Normal 11 4 3 5 3 2 2 2" xfId="40089"/>
    <cellStyle name="Normal 11 4 3 5 3 2 3" xfId="33457"/>
    <cellStyle name="Normal 11 4 3 5 3 3" xfId="13352"/>
    <cellStyle name="Normal 11 4 3 5 3 3 2" xfId="36773"/>
    <cellStyle name="Normal 11 4 3 5 3 4" xfId="20525"/>
    <cellStyle name="Normal 11 4 3 5 3 4 2" xfId="42978"/>
    <cellStyle name="Normal 11 4 3 5 3 5" xfId="30141"/>
    <cellStyle name="Normal 11 4 3 5 4" xfId="8298"/>
    <cellStyle name="Normal 11 4 3 5 4 2" xfId="15010"/>
    <cellStyle name="Normal 11 4 3 5 4 2 2" xfId="38431"/>
    <cellStyle name="Normal 11 4 3 5 4 3" xfId="21082"/>
    <cellStyle name="Normal 11 4 3 5 4 3 2" xfId="43533"/>
    <cellStyle name="Normal 11 4 3 5 4 4" xfId="31799"/>
    <cellStyle name="Normal 11 4 3 5 5" xfId="11692"/>
    <cellStyle name="Normal 11 4 3 5 5 2" xfId="22054"/>
    <cellStyle name="Normal 11 4 3 5 5 2 2" xfId="44482"/>
    <cellStyle name="Normal 11 4 3 5 5 3" xfId="35115"/>
    <cellStyle name="Normal 11 4 3 5 6" xfId="19192"/>
    <cellStyle name="Normal 11 4 3 5 6 2" xfId="41749"/>
    <cellStyle name="Normal 11 4 3 5 7" xfId="25642"/>
    <cellStyle name="Normal 11 4 3 5 7 2" xfId="47887"/>
    <cellStyle name="Normal 11 4 3 5 8" xfId="28483"/>
    <cellStyle name="Normal 11 4 3 6" xfId="3868"/>
    <cellStyle name="Normal 11 4 3 6 2" xfId="6981"/>
    <cellStyle name="Normal 11 4 3 6 2 2" xfId="10313"/>
    <cellStyle name="Normal 11 4 3 6 2 2 2" xfId="17017"/>
    <cellStyle name="Normal 11 4 3 6 2 2 2 2" xfId="40438"/>
    <cellStyle name="Normal 11 4 3 6 2 2 3" xfId="33806"/>
    <cellStyle name="Normal 11 4 3 6 2 3" xfId="13701"/>
    <cellStyle name="Normal 11 4 3 6 2 3 2" xfId="37122"/>
    <cellStyle name="Normal 11 4 3 6 2 4" xfId="20571"/>
    <cellStyle name="Normal 11 4 3 6 2 4 2" xfId="43024"/>
    <cellStyle name="Normal 11 4 3 6 2 5" xfId="30490"/>
    <cellStyle name="Normal 11 4 3 6 3" xfId="8648"/>
    <cellStyle name="Normal 11 4 3 6 3 2" xfId="15359"/>
    <cellStyle name="Normal 11 4 3 6 3 2 2" xfId="38780"/>
    <cellStyle name="Normal 11 4 3 6 3 3" xfId="21205"/>
    <cellStyle name="Normal 11 4 3 6 3 3 2" xfId="43656"/>
    <cellStyle name="Normal 11 4 3 6 3 4" xfId="32148"/>
    <cellStyle name="Normal 11 4 3 6 4" xfId="12041"/>
    <cellStyle name="Normal 11 4 3 6 4 2" xfId="22475"/>
    <cellStyle name="Normal 11 4 3 6 4 2 2" xfId="44897"/>
    <cellStyle name="Normal 11 4 3 6 4 3" xfId="35464"/>
    <cellStyle name="Normal 11 4 3 6 5" xfId="19628"/>
    <cellStyle name="Normal 11 4 3 6 5 2" xfId="42165"/>
    <cellStyle name="Normal 11 4 3 6 6" xfId="25679"/>
    <cellStyle name="Normal 11 4 3 6 6 2" xfId="47924"/>
    <cellStyle name="Normal 11 4 3 6 7" xfId="28832"/>
    <cellStyle name="Normal 11 4 3 7" xfId="6159"/>
    <cellStyle name="Normal 11 4 3 7 2" xfId="9493"/>
    <cellStyle name="Normal 11 4 3 7 2 2" xfId="16197"/>
    <cellStyle name="Normal 11 4 3 7 2 2 2" xfId="39618"/>
    <cellStyle name="Normal 11 4 3 7 2 3" xfId="32986"/>
    <cellStyle name="Normal 11 4 3 7 3" xfId="12881"/>
    <cellStyle name="Normal 11 4 3 7 3 2" xfId="36302"/>
    <cellStyle name="Normal 11 4 3 7 4" xfId="18340"/>
    <cellStyle name="Normal 11 4 3 7 4 2" xfId="41473"/>
    <cellStyle name="Normal 11 4 3 7 5" xfId="29670"/>
    <cellStyle name="Normal 11 4 3 8" xfId="7825"/>
    <cellStyle name="Normal 11 4 3 8 2" xfId="14539"/>
    <cellStyle name="Normal 11 4 3 8 2 2" xfId="37960"/>
    <cellStyle name="Normal 11 4 3 8 3" xfId="20746"/>
    <cellStyle name="Normal 11 4 3 8 3 2" xfId="43197"/>
    <cellStyle name="Normal 11 4 3 8 4" xfId="31328"/>
    <cellStyle name="Normal 11 4 3 9" xfId="11221"/>
    <cellStyle name="Normal 11 4 3 9 2" xfId="21624"/>
    <cellStyle name="Normal 11 4 3 9 2 2" xfId="44073"/>
    <cellStyle name="Normal 11 4 3 9 3" xfId="34644"/>
    <cellStyle name="Normal 11 4 4" xfId="1621"/>
    <cellStyle name="Normal 11 4 4 10" xfId="23571"/>
    <cellStyle name="Normal 11 4 4 10 2" xfId="45891"/>
    <cellStyle name="Normal 11 4 4 11" xfId="28062"/>
    <cellStyle name="Normal 11 4 4 2" xfId="1841"/>
    <cellStyle name="Normal 11 4 4 2 10" xfId="28193"/>
    <cellStyle name="Normal 11 4 4 2 2" xfId="2239"/>
    <cellStyle name="Normal 11 4 4 2 2 2" xfId="5510"/>
    <cellStyle name="Normal 11 4 4 2 2 2 2" xfId="7336"/>
    <cellStyle name="Normal 11 4 4 2 2 2 2 2" xfId="10667"/>
    <cellStyle name="Normal 11 4 4 2 2 2 2 2 2" xfId="17371"/>
    <cellStyle name="Normal 11 4 4 2 2 2 2 2 2 2" xfId="40792"/>
    <cellStyle name="Normal 11 4 4 2 2 2 2 2 3" xfId="23087"/>
    <cellStyle name="Normal 11 4 4 2 2 2 2 2 3 2" xfId="45509"/>
    <cellStyle name="Normal 11 4 4 2 2 2 2 2 4" xfId="34160"/>
    <cellStyle name="Normal 11 4 4 2 2 2 2 3" xfId="14055"/>
    <cellStyle name="Normal 11 4 4 2 2 2 2 3 2" xfId="37476"/>
    <cellStyle name="Normal 11 4 4 2 2 2 2 4" xfId="20259"/>
    <cellStyle name="Normal 11 4 4 2 2 2 2 4 2" xfId="42794"/>
    <cellStyle name="Normal 11 4 4 2 2 2 2 5" xfId="30844"/>
    <cellStyle name="Normal 11 4 4 2 2 2 3" xfId="9009"/>
    <cellStyle name="Normal 11 4 4 2 2 2 3 2" xfId="15713"/>
    <cellStyle name="Normal 11 4 4 2 2 2 3 2 2" xfId="39134"/>
    <cellStyle name="Normal 11 4 4 2 2 2 3 3" xfId="21215"/>
    <cellStyle name="Normal 11 4 4 2 2 2 3 3 2" xfId="43666"/>
    <cellStyle name="Normal 11 4 4 2 2 2 3 4" xfId="32502"/>
    <cellStyle name="Normal 11 4 4 2 2 2 4" xfId="12397"/>
    <cellStyle name="Normal 11 4 4 2 2 2 4 2" xfId="22272"/>
    <cellStyle name="Normal 11 4 4 2 2 2 4 2 2" xfId="44694"/>
    <cellStyle name="Normal 11 4 4 2 2 2 4 3" xfId="35818"/>
    <cellStyle name="Normal 11 4 4 2 2 2 5" xfId="19420"/>
    <cellStyle name="Normal 11 4 4 2 2 2 5 2" xfId="41962"/>
    <cellStyle name="Normal 11 4 4 2 2 2 6" xfId="29186"/>
    <cellStyle name="Normal 11 4 4 2 2 3" xfId="6431"/>
    <cellStyle name="Normal 11 4 4 2 2 3 2" xfId="9765"/>
    <cellStyle name="Normal 11 4 4 2 2 3 2 2" xfId="16469"/>
    <cellStyle name="Normal 11 4 4 2 2 3 2 2 2" xfId="39890"/>
    <cellStyle name="Normal 11 4 4 2 2 3 2 3" xfId="22680"/>
    <cellStyle name="Normal 11 4 4 2 2 3 2 3 2" xfId="45102"/>
    <cellStyle name="Normal 11 4 4 2 2 3 2 4" xfId="33258"/>
    <cellStyle name="Normal 11 4 4 2 2 3 3" xfId="13153"/>
    <cellStyle name="Normal 11 4 4 2 2 3 3 2" xfId="36574"/>
    <cellStyle name="Normal 11 4 4 2 2 3 4" xfId="19843"/>
    <cellStyle name="Normal 11 4 4 2 2 3 4 2" xfId="42378"/>
    <cellStyle name="Normal 11 4 4 2 2 3 5" xfId="29942"/>
    <cellStyle name="Normal 11 4 4 2 2 4" xfId="8098"/>
    <cellStyle name="Normal 11 4 4 2 2 4 2" xfId="14811"/>
    <cellStyle name="Normal 11 4 4 2 2 4 2 2" xfId="38232"/>
    <cellStyle name="Normal 11 4 4 2 2 4 3" xfId="20756"/>
    <cellStyle name="Normal 11 4 4 2 2 4 3 2" xfId="43207"/>
    <cellStyle name="Normal 11 4 4 2 2 4 4" xfId="31600"/>
    <cellStyle name="Normal 11 4 4 2 2 5" xfId="11493"/>
    <cellStyle name="Normal 11 4 4 2 2 5 2" xfId="21838"/>
    <cellStyle name="Normal 11 4 4 2 2 5 2 2" xfId="44280"/>
    <cellStyle name="Normal 11 4 4 2 2 5 3" xfId="34916"/>
    <cellStyle name="Normal 11 4 4 2 2 6" xfId="18593"/>
    <cellStyle name="Normal 11 4 4 2 2 6 2" xfId="41537"/>
    <cellStyle name="Normal 11 4 4 2 2 7" xfId="25837"/>
    <cellStyle name="Normal 11 4 4 2 2 7 2" xfId="48082"/>
    <cellStyle name="Normal 11 4 4 2 2 8" xfId="28284"/>
    <cellStyle name="Normal 11 4 4 2 3" xfId="2838"/>
    <cellStyle name="Normal 11 4 4 2 3 2" xfId="5930"/>
    <cellStyle name="Normal 11 4 4 2 3 2 2" xfId="7712"/>
    <cellStyle name="Normal 11 4 4 2 3 2 2 2" xfId="11041"/>
    <cellStyle name="Normal 11 4 4 2 3 2 2 2 2" xfId="17745"/>
    <cellStyle name="Normal 11 4 4 2 3 2 2 2 2 2" xfId="41166"/>
    <cellStyle name="Normal 11 4 4 2 3 2 2 2 3" xfId="34534"/>
    <cellStyle name="Normal 11 4 4 2 3 2 2 3" xfId="14429"/>
    <cellStyle name="Normal 11 4 4 2 3 2 2 3 2" xfId="37850"/>
    <cellStyle name="Normal 11 4 4 2 3 2 2 4" xfId="22887"/>
    <cellStyle name="Normal 11 4 4 2 3 2 2 4 2" xfId="45309"/>
    <cellStyle name="Normal 11 4 4 2 3 2 2 5" xfId="31218"/>
    <cellStyle name="Normal 11 4 4 2 3 2 3" xfId="9383"/>
    <cellStyle name="Normal 11 4 4 2 3 2 3 2" xfId="16087"/>
    <cellStyle name="Normal 11 4 4 2 3 2 3 2 2" xfId="39508"/>
    <cellStyle name="Normal 11 4 4 2 3 2 3 3" xfId="32876"/>
    <cellStyle name="Normal 11 4 4 2 3 2 4" xfId="12771"/>
    <cellStyle name="Normal 11 4 4 2 3 2 4 2" xfId="36192"/>
    <cellStyle name="Normal 11 4 4 2 3 2 5" xfId="20051"/>
    <cellStyle name="Normal 11 4 4 2 3 2 5 2" xfId="42586"/>
    <cellStyle name="Normal 11 4 4 2 3 2 6" xfId="29560"/>
    <cellStyle name="Normal 11 4 4 2 3 3" xfId="6813"/>
    <cellStyle name="Normal 11 4 4 2 3 3 2" xfId="10145"/>
    <cellStyle name="Normal 11 4 4 2 3 3 2 2" xfId="16849"/>
    <cellStyle name="Normal 11 4 4 2 3 3 2 2 2" xfId="40270"/>
    <cellStyle name="Normal 11 4 4 2 3 3 2 3" xfId="33638"/>
    <cellStyle name="Normal 11 4 4 2 3 3 3" xfId="13533"/>
    <cellStyle name="Normal 11 4 4 2 3 3 3 2" xfId="36954"/>
    <cellStyle name="Normal 11 4 4 2 3 3 4" xfId="21214"/>
    <cellStyle name="Normal 11 4 4 2 3 3 4 2" xfId="43665"/>
    <cellStyle name="Normal 11 4 4 2 3 3 5" xfId="30322"/>
    <cellStyle name="Normal 11 4 4 2 3 4" xfId="8479"/>
    <cellStyle name="Normal 11 4 4 2 3 4 2" xfId="15191"/>
    <cellStyle name="Normal 11 4 4 2 3 4 2 2" xfId="38612"/>
    <cellStyle name="Normal 11 4 4 2 3 4 3" xfId="22059"/>
    <cellStyle name="Normal 11 4 4 2 3 4 3 2" xfId="44487"/>
    <cellStyle name="Normal 11 4 4 2 3 4 4" xfId="31980"/>
    <cellStyle name="Normal 11 4 4 2 3 5" xfId="11873"/>
    <cellStyle name="Normal 11 4 4 2 3 5 2" xfId="35296"/>
    <cellStyle name="Normal 11 4 4 2 3 6" xfId="19197"/>
    <cellStyle name="Normal 11 4 4 2 3 6 2" xfId="41754"/>
    <cellStyle name="Normal 11 4 4 2 3 7" xfId="28664"/>
    <cellStyle name="Normal 11 4 4 2 4" xfId="3873"/>
    <cellStyle name="Normal 11 4 4 2 4 2" xfId="6986"/>
    <cellStyle name="Normal 11 4 4 2 4 2 2" xfId="10318"/>
    <cellStyle name="Normal 11 4 4 2 4 2 2 2" xfId="17022"/>
    <cellStyle name="Normal 11 4 4 2 4 2 2 2 2" xfId="40443"/>
    <cellStyle name="Normal 11 4 4 2 4 2 2 3" xfId="33811"/>
    <cellStyle name="Normal 11 4 4 2 4 2 3" xfId="13706"/>
    <cellStyle name="Normal 11 4 4 2 4 2 3 2" xfId="37127"/>
    <cellStyle name="Normal 11 4 4 2 4 2 4" xfId="22480"/>
    <cellStyle name="Normal 11 4 4 2 4 2 4 2" xfId="44902"/>
    <cellStyle name="Normal 11 4 4 2 4 2 5" xfId="30495"/>
    <cellStyle name="Normal 11 4 4 2 4 3" xfId="8653"/>
    <cellStyle name="Normal 11 4 4 2 4 3 2" xfId="15364"/>
    <cellStyle name="Normal 11 4 4 2 4 3 2 2" xfId="38785"/>
    <cellStyle name="Normal 11 4 4 2 4 3 3" xfId="32153"/>
    <cellStyle name="Normal 11 4 4 2 4 4" xfId="12046"/>
    <cellStyle name="Normal 11 4 4 2 4 4 2" xfId="35469"/>
    <cellStyle name="Normal 11 4 4 2 4 5" xfId="19633"/>
    <cellStyle name="Normal 11 4 4 2 4 5 2" xfId="42170"/>
    <cellStyle name="Normal 11 4 4 2 4 6" xfId="28837"/>
    <cellStyle name="Normal 11 4 4 2 5" xfId="6340"/>
    <cellStyle name="Normal 11 4 4 2 5 2" xfId="9674"/>
    <cellStyle name="Normal 11 4 4 2 5 2 2" xfId="16378"/>
    <cellStyle name="Normal 11 4 4 2 5 2 2 2" xfId="39799"/>
    <cellStyle name="Normal 11 4 4 2 5 2 3" xfId="33167"/>
    <cellStyle name="Normal 11 4 4 2 5 3" xfId="13062"/>
    <cellStyle name="Normal 11 4 4 2 5 3 2" xfId="36483"/>
    <cellStyle name="Normal 11 4 4 2 5 4" xfId="20755"/>
    <cellStyle name="Normal 11 4 4 2 5 4 2" xfId="43206"/>
    <cellStyle name="Normal 11 4 4 2 5 5" xfId="29851"/>
    <cellStyle name="Normal 11 4 4 2 6" xfId="8006"/>
    <cellStyle name="Normal 11 4 4 2 6 2" xfId="14720"/>
    <cellStyle name="Normal 11 4 4 2 6 2 2" xfId="38141"/>
    <cellStyle name="Normal 11 4 4 2 6 3" xfId="21629"/>
    <cellStyle name="Normal 11 4 4 2 6 3 2" xfId="44078"/>
    <cellStyle name="Normal 11 4 4 2 6 4" xfId="31509"/>
    <cellStyle name="Normal 11 4 4 2 7" xfId="11402"/>
    <cellStyle name="Normal 11 4 4 2 7 2" xfId="34825"/>
    <cellStyle name="Normal 11 4 4 2 8" xfId="17993"/>
    <cellStyle name="Normal 11 4 4 2 8 2" xfId="41301"/>
    <cellStyle name="Normal 11 4 4 2 9" xfId="23572"/>
    <cellStyle name="Normal 11 4 4 2 9 2" xfId="45892"/>
    <cellStyle name="Normal 11 4 4 3" xfId="2238"/>
    <cellStyle name="Normal 11 4 4 3 2" xfId="5509"/>
    <cellStyle name="Normal 11 4 4 3 2 2" xfId="7335"/>
    <cellStyle name="Normal 11 4 4 3 2 2 2" xfId="10666"/>
    <cellStyle name="Normal 11 4 4 3 2 2 2 2" xfId="17370"/>
    <cellStyle name="Normal 11 4 4 3 2 2 2 2 2" xfId="40791"/>
    <cellStyle name="Normal 11 4 4 3 2 2 2 3" xfId="23086"/>
    <cellStyle name="Normal 11 4 4 3 2 2 2 3 2" xfId="45508"/>
    <cellStyle name="Normal 11 4 4 3 2 2 2 4" xfId="34159"/>
    <cellStyle name="Normal 11 4 4 3 2 2 3" xfId="14054"/>
    <cellStyle name="Normal 11 4 4 3 2 2 3 2" xfId="37475"/>
    <cellStyle name="Normal 11 4 4 3 2 2 4" xfId="20258"/>
    <cellStyle name="Normal 11 4 4 3 2 2 4 2" xfId="42793"/>
    <cellStyle name="Normal 11 4 4 3 2 2 5" xfId="30843"/>
    <cellStyle name="Normal 11 4 4 3 2 3" xfId="9008"/>
    <cellStyle name="Normal 11 4 4 3 2 3 2" xfId="15712"/>
    <cellStyle name="Normal 11 4 4 3 2 3 2 2" xfId="39133"/>
    <cellStyle name="Normal 11 4 4 3 2 3 3" xfId="21216"/>
    <cellStyle name="Normal 11 4 4 3 2 3 3 2" xfId="43667"/>
    <cellStyle name="Normal 11 4 4 3 2 3 4" xfId="32501"/>
    <cellStyle name="Normal 11 4 4 3 2 4" xfId="12396"/>
    <cellStyle name="Normal 11 4 4 3 2 4 2" xfId="22271"/>
    <cellStyle name="Normal 11 4 4 3 2 4 2 2" xfId="44693"/>
    <cellStyle name="Normal 11 4 4 3 2 4 3" xfId="35817"/>
    <cellStyle name="Normal 11 4 4 3 2 5" xfId="19419"/>
    <cellStyle name="Normal 11 4 4 3 2 5 2" xfId="41961"/>
    <cellStyle name="Normal 11 4 4 3 2 6" xfId="25836"/>
    <cellStyle name="Normal 11 4 4 3 2 6 2" xfId="48081"/>
    <cellStyle name="Normal 11 4 4 3 2 7" xfId="29185"/>
    <cellStyle name="Normal 11 4 4 3 3" xfId="6430"/>
    <cellStyle name="Normal 11 4 4 3 3 2" xfId="9764"/>
    <cellStyle name="Normal 11 4 4 3 3 2 2" xfId="16468"/>
    <cellStyle name="Normal 11 4 4 3 3 2 2 2" xfId="39889"/>
    <cellStyle name="Normal 11 4 4 3 3 2 3" xfId="22679"/>
    <cellStyle name="Normal 11 4 4 3 3 2 3 2" xfId="45101"/>
    <cellStyle name="Normal 11 4 4 3 3 2 4" xfId="33257"/>
    <cellStyle name="Normal 11 4 4 3 3 3" xfId="13152"/>
    <cellStyle name="Normal 11 4 4 3 3 3 2" xfId="36573"/>
    <cellStyle name="Normal 11 4 4 3 3 4" xfId="19842"/>
    <cellStyle name="Normal 11 4 4 3 3 4 2" xfId="42377"/>
    <cellStyle name="Normal 11 4 4 3 3 5" xfId="29941"/>
    <cellStyle name="Normal 11 4 4 3 4" xfId="8097"/>
    <cellStyle name="Normal 11 4 4 3 4 2" xfId="14810"/>
    <cellStyle name="Normal 11 4 4 3 4 2 2" xfId="38231"/>
    <cellStyle name="Normal 11 4 4 3 4 3" xfId="20757"/>
    <cellStyle name="Normal 11 4 4 3 4 3 2" xfId="43208"/>
    <cellStyle name="Normal 11 4 4 3 4 4" xfId="31599"/>
    <cellStyle name="Normal 11 4 4 3 5" xfId="11492"/>
    <cellStyle name="Normal 11 4 4 3 5 2" xfId="21837"/>
    <cellStyle name="Normal 11 4 4 3 5 2 2" xfId="44279"/>
    <cellStyle name="Normal 11 4 4 3 5 3" xfId="34915"/>
    <cellStyle name="Normal 11 4 4 3 6" xfId="18592"/>
    <cellStyle name="Normal 11 4 4 3 6 2" xfId="41536"/>
    <cellStyle name="Normal 11 4 4 3 7" xfId="23300"/>
    <cellStyle name="Normal 11 4 4 3 7 2" xfId="45692"/>
    <cellStyle name="Normal 11 4 4 3 8" xfId="28283"/>
    <cellStyle name="Normal 11 4 4 4" xfId="2706"/>
    <cellStyle name="Normal 11 4 4 4 2" xfId="5799"/>
    <cellStyle name="Normal 11 4 4 4 2 2" xfId="7581"/>
    <cellStyle name="Normal 11 4 4 4 2 2 2" xfId="10910"/>
    <cellStyle name="Normal 11 4 4 4 2 2 2 2" xfId="17614"/>
    <cellStyle name="Normal 11 4 4 4 2 2 2 2 2" xfId="41035"/>
    <cellStyle name="Normal 11 4 4 4 2 2 2 3" xfId="34403"/>
    <cellStyle name="Normal 11 4 4 4 2 2 3" xfId="14298"/>
    <cellStyle name="Normal 11 4 4 4 2 2 3 2" xfId="37719"/>
    <cellStyle name="Normal 11 4 4 4 2 2 4" xfId="22886"/>
    <cellStyle name="Normal 11 4 4 4 2 2 4 2" xfId="45308"/>
    <cellStyle name="Normal 11 4 4 4 2 2 5" xfId="31087"/>
    <cellStyle name="Normal 11 4 4 4 2 3" xfId="9252"/>
    <cellStyle name="Normal 11 4 4 4 2 3 2" xfId="15956"/>
    <cellStyle name="Normal 11 4 4 4 2 3 2 2" xfId="39377"/>
    <cellStyle name="Normal 11 4 4 4 2 3 3" xfId="32745"/>
    <cellStyle name="Normal 11 4 4 4 2 4" xfId="12640"/>
    <cellStyle name="Normal 11 4 4 4 2 4 2" xfId="36061"/>
    <cellStyle name="Normal 11 4 4 4 2 5" xfId="20050"/>
    <cellStyle name="Normal 11 4 4 4 2 5 2" xfId="42585"/>
    <cellStyle name="Normal 11 4 4 4 2 6" xfId="27958"/>
    <cellStyle name="Normal 11 4 4 4 2 6 2" xfId="50203"/>
    <cellStyle name="Normal 11 4 4 4 2 7" xfId="29429"/>
    <cellStyle name="Normal 11 4 4 4 3" xfId="6682"/>
    <cellStyle name="Normal 11 4 4 4 3 2" xfId="10014"/>
    <cellStyle name="Normal 11 4 4 4 3 2 2" xfId="16718"/>
    <cellStyle name="Normal 11 4 4 4 3 2 2 2" xfId="40139"/>
    <cellStyle name="Normal 11 4 4 4 3 2 3" xfId="33507"/>
    <cellStyle name="Normal 11 4 4 4 3 3" xfId="13402"/>
    <cellStyle name="Normal 11 4 4 4 3 3 2" xfId="36823"/>
    <cellStyle name="Normal 11 4 4 4 3 4" xfId="21213"/>
    <cellStyle name="Normal 11 4 4 4 3 4 2" xfId="43664"/>
    <cellStyle name="Normal 11 4 4 4 3 5" xfId="30191"/>
    <cellStyle name="Normal 11 4 4 4 4" xfId="8348"/>
    <cellStyle name="Normal 11 4 4 4 4 2" xfId="15060"/>
    <cellStyle name="Normal 11 4 4 4 4 2 2" xfId="38481"/>
    <cellStyle name="Normal 11 4 4 4 4 3" xfId="22058"/>
    <cellStyle name="Normal 11 4 4 4 4 3 2" xfId="44486"/>
    <cellStyle name="Normal 11 4 4 4 4 4" xfId="31849"/>
    <cellStyle name="Normal 11 4 4 4 5" xfId="11742"/>
    <cellStyle name="Normal 11 4 4 4 5 2" xfId="35165"/>
    <cellStyle name="Normal 11 4 4 4 6" xfId="19196"/>
    <cellStyle name="Normal 11 4 4 4 6 2" xfId="41753"/>
    <cellStyle name="Normal 11 4 4 4 7" xfId="25653"/>
    <cellStyle name="Normal 11 4 4 4 7 2" xfId="47898"/>
    <cellStyle name="Normal 11 4 4 4 8" xfId="28533"/>
    <cellStyle name="Normal 11 4 4 5" xfId="3872"/>
    <cellStyle name="Normal 11 4 4 5 2" xfId="6985"/>
    <cellStyle name="Normal 11 4 4 5 2 2" xfId="10317"/>
    <cellStyle name="Normal 11 4 4 5 2 2 2" xfId="17021"/>
    <cellStyle name="Normal 11 4 4 5 2 2 2 2" xfId="40442"/>
    <cellStyle name="Normal 11 4 4 5 2 2 3" xfId="33810"/>
    <cellStyle name="Normal 11 4 4 5 2 3" xfId="13705"/>
    <cellStyle name="Normal 11 4 4 5 2 3 2" xfId="37126"/>
    <cellStyle name="Normal 11 4 4 5 2 4" xfId="22479"/>
    <cellStyle name="Normal 11 4 4 5 2 4 2" xfId="44901"/>
    <cellStyle name="Normal 11 4 4 5 2 5" xfId="30494"/>
    <cellStyle name="Normal 11 4 4 5 3" xfId="8652"/>
    <cellStyle name="Normal 11 4 4 5 3 2" xfId="15363"/>
    <cellStyle name="Normal 11 4 4 5 3 2 2" xfId="38784"/>
    <cellStyle name="Normal 11 4 4 5 3 3" xfId="32152"/>
    <cellStyle name="Normal 11 4 4 5 4" xfId="12045"/>
    <cellStyle name="Normal 11 4 4 5 4 2" xfId="35468"/>
    <cellStyle name="Normal 11 4 4 5 5" xfId="19632"/>
    <cellStyle name="Normal 11 4 4 5 5 2" xfId="42169"/>
    <cellStyle name="Normal 11 4 4 5 6" xfId="25690"/>
    <cellStyle name="Normal 11 4 4 5 6 2" xfId="47935"/>
    <cellStyle name="Normal 11 4 4 5 7" xfId="28836"/>
    <cellStyle name="Normal 11 4 4 6" xfId="6209"/>
    <cellStyle name="Normal 11 4 4 6 2" xfId="9543"/>
    <cellStyle name="Normal 11 4 4 6 2 2" xfId="16247"/>
    <cellStyle name="Normal 11 4 4 6 2 2 2" xfId="39668"/>
    <cellStyle name="Normal 11 4 4 6 2 3" xfId="33036"/>
    <cellStyle name="Normal 11 4 4 6 3" xfId="12931"/>
    <cellStyle name="Normal 11 4 4 6 3 2" xfId="36352"/>
    <cellStyle name="Normal 11 4 4 6 4" xfId="20754"/>
    <cellStyle name="Normal 11 4 4 6 4 2" xfId="43205"/>
    <cellStyle name="Normal 11 4 4 6 5" xfId="29720"/>
    <cellStyle name="Normal 11 4 4 7" xfId="7875"/>
    <cellStyle name="Normal 11 4 4 7 2" xfId="14589"/>
    <cellStyle name="Normal 11 4 4 7 2 2" xfId="38010"/>
    <cellStyle name="Normal 11 4 4 7 3" xfId="21628"/>
    <cellStyle name="Normal 11 4 4 7 3 2" xfId="44077"/>
    <cellStyle name="Normal 11 4 4 7 4" xfId="31378"/>
    <cellStyle name="Normal 11 4 4 8" xfId="11271"/>
    <cellStyle name="Normal 11 4 4 8 2" xfId="34694"/>
    <cellStyle name="Normal 11 4 4 9" xfId="17992"/>
    <cellStyle name="Normal 11 4 4 9 2" xfId="41300"/>
    <cellStyle name="Normal 11 4 5" xfId="1754"/>
    <cellStyle name="Normal 11 4 5 10" xfId="28107"/>
    <cellStyle name="Normal 11 4 5 2" xfId="2240"/>
    <cellStyle name="Normal 11 4 5 2 2" xfId="5511"/>
    <cellStyle name="Normal 11 4 5 2 2 2" xfId="7337"/>
    <cellStyle name="Normal 11 4 5 2 2 2 2" xfId="10668"/>
    <cellStyle name="Normal 11 4 5 2 2 2 2 2" xfId="17372"/>
    <cellStyle name="Normal 11 4 5 2 2 2 2 2 2" xfId="40793"/>
    <cellStyle name="Normal 11 4 5 2 2 2 2 3" xfId="23088"/>
    <cellStyle name="Normal 11 4 5 2 2 2 2 3 2" xfId="45510"/>
    <cellStyle name="Normal 11 4 5 2 2 2 2 4" xfId="34161"/>
    <cellStyle name="Normal 11 4 5 2 2 2 3" xfId="14056"/>
    <cellStyle name="Normal 11 4 5 2 2 2 3 2" xfId="37477"/>
    <cellStyle name="Normal 11 4 5 2 2 2 4" xfId="20260"/>
    <cellStyle name="Normal 11 4 5 2 2 2 4 2" xfId="42795"/>
    <cellStyle name="Normal 11 4 5 2 2 2 5" xfId="30845"/>
    <cellStyle name="Normal 11 4 5 2 2 3" xfId="9010"/>
    <cellStyle name="Normal 11 4 5 2 2 3 2" xfId="15714"/>
    <cellStyle name="Normal 11 4 5 2 2 3 2 2" xfId="39135"/>
    <cellStyle name="Normal 11 4 5 2 2 3 3" xfId="21218"/>
    <cellStyle name="Normal 11 4 5 2 2 3 3 2" xfId="43669"/>
    <cellStyle name="Normal 11 4 5 2 2 3 4" xfId="32503"/>
    <cellStyle name="Normal 11 4 5 2 2 4" xfId="12398"/>
    <cellStyle name="Normal 11 4 5 2 2 4 2" xfId="22273"/>
    <cellStyle name="Normal 11 4 5 2 2 4 2 2" xfId="44695"/>
    <cellStyle name="Normal 11 4 5 2 2 4 3" xfId="35819"/>
    <cellStyle name="Normal 11 4 5 2 2 5" xfId="19421"/>
    <cellStyle name="Normal 11 4 5 2 2 5 2" xfId="41963"/>
    <cellStyle name="Normal 11 4 5 2 2 6" xfId="29187"/>
    <cellStyle name="Normal 11 4 5 2 3" xfId="6432"/>
    <cellStyle name="Normal 11 4 5 2 3 2" xfId="9766"/>
    <cellStyle name="Normal 11 4 5 2 3 2 2" xfId="16470"/>
    <cellStyle name="Normal 11 4 5 2 3 2 2 2" xfId="39891"/>
    <cellStyle name="Normal 11 4 5 2 3 2 3" xfId="22681"/>
    <cellStyle name="Normal 11 4 5 2 3 2 3 2" xfId="45103"/>
    <cellStyle name="Normal 11 4 5 2 3 2 4" xfId="33259"/>
    <cellStyle name="Normal 11 4 5 2 3 3" xfId="13154"/>
    <cellStyle name="Normal 11 4 5 2 3 3 2" xfId="36575"/>
    <cellStyle name="Normal 11 4 5 2 3 4" xfId="19844"/>
    <cellStyle name="Normal 11 4 5 2 3 4 2" xfId="42379"/>
    <cellStyle name="Normal 11 4 5 2 3 5" xfId="29943"/>
    <cellStyle name="Normal 11 4 5 2 4" xfId="8099"/>
    <cellStyle name="Normal 11 4 5 2 4 2" xfId="14812"/>
    <cellStyle name="Normal 11 4 5 2 4 2 2" xfId="38233"/>
    <cellStyle name="Normal 11 4 5 2 4 3" xfId="20759"/>
    <cellStyle name="Normal 11 4 5 2 4 3 2" xfId="43210"/>
    <cellStyle name="Normal 11 4 5 2 4 4" xfId="31601"/>
    <cellStyle name="Normal 11 4 5 2 5" xfId="11494"/>
    <cellStyle name="Normal 11 4 5 2 5 2" xfId="21839"/>
    <cellStyle name="Normal 11 4 5 2 5 2 2" xfId="44281"/>
    <cellStyle name="Normal 11 4 5 2 5 3" xfId="34917"/>
    <cellStyle name="Normal 11 4 5 2 6" xfId="18594"/>
    <cellStyle name="Normal 11 4 5 2 6 2" xfId="41538"/>
    <cellStyle name="Normal 11 4 5 2 7" xfId="25838"/>
    <cellStyle name="Normal 11 4 5 2 7 2" xfId="48083"/>
    <cellStyle name="Normal 11 4 5 2 8" xfId="28285"/>
    <cellStyle name="Normal 11 4 5 3" xfId="2752"/>
    <cellStyle name="Normal 11 4 5 3 2" xfId="5844"/>
    <cellStyle name="Normal 11 4 5 3 2 2" xfId="7626"/>
    <cellStyle name="Normal 11 4 5 3 2 2 2" xfId="10955"/>
    <cellStyle name="Normal 11 4 5 3 2 2 2 2" xfId="17659"/>
    <cellStyle name="Normal 11 4 5 3 2 2 2 2 2" xfId="41080"/>
    <cellStyle name="Normal 11 4 5 3 2 2 2 3" xfId="34448"/>
    <cellStyle name="Normal 11 4 5 3 2 2 3" xfId="14343"/>
    <cellStyle name="Normal 11 4 5 3 2 2 3 2" xfId="37764"/>
    <cellStyle name="Normal 11 4 5 3 2 2 4" xfId="22888"/>
    <cellStyle name="Normal 11 4 5 3 2 2 4 2" xfId="45310"/>
    <cellStyle name="Normal 11 4 5 3 2 2 5" xfId="31132"/>
    <cellStyle name="Normal 11 4 5 3 2 3" xfId="9297"/>
    <cellStyle name="Normal 11 4 5 3 2 3 2" xfId="16001"/>
    <cellStyle name="Normal 11 4 5 3 2 3 2 2" xfId="39422"/>
    <cellStyle name="Normal 11 4 5 3 2 3 3" xfId="32790"/>
    <cellStyle name="Normal 11 4 5 3 2 4" xfId="12685"/>
    <cellStyle name="Normal 11 4 5 3 2 4 2" xfId="36106"/>
    <cellStyle name="Normal 11 4 5 3 2 5" xfId="20052"/>
    <cellStyle name="Normal 11 4 5 3 2 5 2" xfId="42587"/>
    <cellStyle name="Normal 11 4 5 3 2 6" xfId="29474"/>
    <cellStyle name="Normal 11 4 5 3 3" xfId="6727"/>
    <cellStyle name="Normal 11 4 5 3 3 2" xfId="10059"/>
    <cellStyle name="Normal 11 4 5 3 3 2 2" xfId="16763"/>
    <cellStyle name="Normal 11 4 5 3 3 2 2 2" xfId="40184"/>
    <cellStyle name="Normal 11 4 5 3 3 2 3" xfId="33552"/>
    <cellStyle name="Normal 11 4 5 3 3 3" xfId="13447"/>
    <cellStyle name="Normal 11 4 5 3 3 3 2" xfId="36868"/>
    <cellStyle name="Normal 11 4 5 3 3 4" xfId="21217"/>
    <cellStyle name="Normal 11 4 5 3 3 4 2" xfId="43668"/>
    <cellStyle name="Normal 11 4 5 3 3 5" xfId="30236"/>
    <cellStyle name="Normal 11 4 5 3 4" xfId="8393"/>
    <cellStyle name="Normal 11 4 5 3 4 2" xfId="15105"/>
    <cellStyle name="Normal 11 4 5 3 4 2 2" xfId="38526"/>
    <cellStyle name="Normal 11 4 5 3 4 3" xfId="22060"/>
    <cellStyle name="Normal 11 4 5 3 4 3 2" xfId="44488"/>
    <cellStyle name="Normal 11 4 5 3 4 4" xfId="31894"/>
    <cellStyle name="Normal 11 4 5 3 5" xfId="11787"/>
    <cellStyle name="Normal 11 4 5 3 5 2" xfId="35210"/>
    <cellStyle name="Normal 11 4 5 3 6" xfId="19198"/>
    <cellStyle name="Normal 11 4 5 3 6 2" xfId="41755"/>
    <cellStyle name="Normal 11 4 5 3 7" xfId="28578"/>
    <cellStyle name="Normal 11 4 5 4" xfId="3874"/>
    <cellStyle name="Normal 11 4 5 4 2" xfId="6987"/>
    <cellStyle name="Normal 11 4 5 4 2 2" xfId="10319"/>
    <cellStyle name="Normal 11 4 5 4 2 2 2" xfId="17023"/>
    <cellStyle name="Normal 11 4 5 4 2 2 2 2" xfId="40444"/>
    <cellStyle name="Normal 11 4 5 4 2 2 3" xfId="33812"/>
    <cellStyle name="Normal 11 4 5 4 2 3" xfId="13707"/>
    <cellStyle name="Normal 11 4 5 4 2 3 2" xfId="37128"/>
    <cellStyle name="Normal 11 4 5 4 2 4" xfId="22481"/>
    <cellStyle name="Normal 11 4 5 4 2 4 2" xfId="44903"/>
    <cellStyle name="Normal 11 4 5 4 2 5" xfId="30496"/>
    <cellStyle name="Normal 11 4 5 4 3" xfId="8654"/>
    <cellStyle name="Normal 11 4 5 4 3 2" xfId="15365"/>
    <cellStyle name="Normal 11 4 5 4 3 2 2" xfId="38786"/>
    <cellStyle name="Normal 11 4 5 4 3 3" xfId="32154"/>
    <cellStyle name="Normal 11 4 5 4 4" xfId="12047"/>
    <cellStyle name="Normal 11 4 5 4 4 2" xfId="35470"/>
    <cellStyle name="Normal 11 4 5 4 5" xfId="19634"/>
    <cellStyle name="Normal 11 4 5 4 5 2" xfId="42171"/>
    <cellStyle name="Normal 11 4 5 4 6" xfId="28838"/>
    <cellStyle name="Normal 11 4 5 5" xfId="6254"/>
    <cellStyle name="Normal 11 4 5 5 2" xfId="9588"/>
    <cellStyle name="Normal 11 4 5 5 2 2" xfId="16292"/>
    <cellStyle name="Normal 11 4 5 5 2 2 2" xfId="39713"/>
    <cellStyle name="Normal 11 4 5 5 2 3" xfId="33081"/>
    <cellStyle name="Normal 11 4 5 5 3" xfId="12976"/>
    <cellStyle name="Normal 11 4 5 5 3 2" xfId="36397"/>
    <cellStyle name="Normal 11 4 5 5 4" xfId="20758"/>
    <cellStyle name="Normal 11 4 5 5 4 2" xfId="43209"/>
    <cellStyle name="Normal 11 4 5 5 5" xfId="29765"/>
    <cellStyle name="Normal 11 4 5 6" xfId="7920"/>
    <cellStyle name="Normal 11 4 5 6 2" xfId="14634"/>
    <cellStyle name="Normal 11 4 5 6 2 2" xfId="38055"/>
    <cellStyle name="Normal 11 4 5 6 3" xfId="21630"/>
    <cellStyle name="Normal 11 4 5 6 3 2" xfId="44079"/>
    <cellStyle name="Normal 11 4 5 6 4" xfId="31423"/>
    <cellStyle name="Normal 11 4 5 7" xfId="11316"/>
    <cellStyle name="Normal 11 4 5 7 2" xfId="34739"/>
    <cellStyle name="Normal 11 4 5 8" xfId="17994"/>
    <cellStyle name="Normal 11 4 5 8 2" xfId="41302"/>
    <cellStyle name="Normal 11 4 5 9" xfId="23573"/>
    <cellStyle name="Normal 11 4 5 9 2" xfId="45893"/>
    <cellStyle name="Normal 11 4 6" xfId="2225"/>
    <cellStyle name="Normal 11 4 6 2" xfId="3875"/>
    <cellStyle name="Normal 11 4 6 2 2" xfId="6988"/>
    <cellStyle name="Normal 11 4 6 2 2 2" xfId="10320"/>
    <cellStyle name="Normal 11 4 6 2 2 2 2" xfId="17024"/>
    <cellStyle name="Normal 11 4 6 2 2 2 2 2" xfId="40445"/>
    <cellStyle name="Normal 11 4 6 2 2 2 3" xfId="23073"/>
    <cellStyle name="Normal 11 4 6 2 2 2 3 2" xfId="45495"/>
    <cellStyle name="Normal 11 4 6 2 2 2 4" xfId="33813"/>
    <cellStyle name="Normal 11 4 6 2 2 3" xfId="13708"/>
    <cellStyle name="Normal 11 4 6 2 2 3 2" xfId="37129"/>
    <cellStyle name="Normal 11 4 6 2 2 4" xfId="20245"/>
    <cellStyle name="Normal 11 4 6 2 2 4 2" xfId="42780"/>
    <cellStyle name="Normal 11 4 6 2 2 5" xfId="30497"/>
    <cellStyle name="Normal 11 4 6 2 3" xfId="8655"/>
    <cellStyle name="Normal 11 4 6 2 3 2" xfId="15366"/>
    <cellStyle name="Normal 11 4 6 2 3 2 2" xfId="38787"/>
    <cellStyle name="Normal 11 4 6 2 3 3" xfId="21219"/>
    <cellStyle name="Normal 11 4 6 2 3 3 2" xfId="43670"/>
    <cellStyle name="Normal 11 4 6 2 3 4" xfId="32155"/>
    <cellStyle name="Normal 11 4 6 2 4" xfId="12048"/>
    <cellStyle name="Normal 11 4 6 2 4 2" xfId="22258"/>
    <cellStyle name="Normal 11 4 6 2 4 2 2" xfId="44680"/>
    <cellStyle name="Normal 11 4 6 2 4 3" xfId="35471"/>
    <cellStyle name="Normal 11 4 6 2 5" xfId="19406"/>
    <cellStyle name="Normal 11 4 6 2 5 2" xfId="41948"/>
    <cellStyle name="Normal 11 4 6 2 6" xfId="25839"/>
    <cellStyle name="Normal 11 4 6 2 6 2" xfId="48084"/>
    <cellStyle name="Normal 11 4 6 2 7" xfId="28839"/>
    <cellStyle name="Normal 11 4 6 3" xfId="6417"/>
    <cellStyle name="Normal 11 4 6 3 2" xfId="9751"/>
    <cellStyle name="Normal 11 4 6 3 2 2" xfId="16455"/>
    <cellStyle name="Normal 11 4 6 3 2 2 2" xfId="39876"/>
    <cellStyle name="Normal 11 4 6 3 2 3" xfId="22666"/>
    <cellStyle name="Normal 11 4 6 3 2 3 2" xfId="45088"/>
    <cellStyle name="Normal 11 4 6 3 2 4" xfId="33244"/>
    <cellStyle name="Normal 11 4 6 3 3" xfId="13139"/>
    <cellStyle name="Normal 11 4 6 3 3 2" xfId="36560"/>
    <cellStyle name="Normal 11 4 6 3 4" xfId="19829"/>
    <cellStyle name="Normal 11 4 6 3 4 2" xfId="42364"/>
    <cellStyle name="Normal 11 4 6 3 5" xfId="29928"/>
    <cellStyle name="Normal 11 4 6 4" xfId="8084"/>
    <cellStyle name="Normal 11 4 6 4 2" xfId="14797"/>
    <cellStyle name="Normal 11 4 6 4 2 2" xfId="38218"/>
    <cellStyle name="Normal 11 4 6 4 3" xfId="20760"/>
    <cellStyle name="Normal 11 4 6 4 3 2" xfId="43211"/>
    <cellStyle name="Normal 11 4 6 4 4" xfId="31586"/>
    <cellStyle name="Normal 11 4 6 5" xfId="11479"/>
    <cellStyle name="Normal 11 4 6 5 2" xfId="21824"/>
    <cellStyle name="Normal 11 4 6 5 2 2" xfId="44266"/>
    <cellStyle name="Normal 11 4 6 5 3" xfId="34902"/>
    <cellStyle name="Normal 11 4 6 6" xfId="18579"/>
    <cellStyle name="Normal 11 4 6 6 2" xfId="41523"/>
    <cellStyle name="Normal 11 4 6 7" xfId="23574"/>
    <cellStyle name="Normal 11 4 6 7 2" xfId="45894"/>
    <cellStyle name="Normal 11 4 6 8" xfId="28270"/>
    <cellStyle name="Normal 11 4 7" xfId="2619"/>
    <cellStyle name="Normal 11 4 7 2" xfId="5713"/>
    <cellStyle name="Normal 11 4 7 2 2" xfId="7496"/>
    <cellStyle name="Normal 11 4 7 2 2 2" xfId="10825"/>
    <cellStyle name="Normal 11 4 7 2 2 2 2" xfId="17529"/>
    <cellStyle name="Normal 11 4 7 2 2 2 2 2" xfId="40950"/>
    <cellStyle name="Normal 11 4 7 2 2 2 3" xfId="34318"/>
    <cellStyle name="Normal 11 4 7 2 2 3" xfId="14213"/>
    <cellStyle name="Normal 11 4 7 2 2 3 2" xfId="37634"/>
    <cellStyle name="Normal 11 4 7 2 2 4" xfId="20620"/>
    <cellStyle name="Normal 11 4 7 2 2 4 2" xfId="43071"/>
    <cellStyle name="Normal 11 4 7 2 2 5" xfId="31002"/>
    <cellStyle name="Normal 11 4 7 2 3" xfId="9167"/>
    <cellStyle name="Normal 11 4 7 2 3 2" xfId="15871"/>
    <cellStyle name="Normal 11 4 7 2 3 2 2" xfId="39292"/>
    <cellStyle name="Normal 11 4 7 2 3 3" xfId="21538"/>
    <cellStyle name="Normal 11 4 7 2 3 3 2" xfId="43989"/>
    <cellStyle name="Normal 11 4 7 2 3 4" xfId="32660"/>
    <cellStyle name="Normal 11 4 7 2 4" xfId="12555"/>
    <cellStyle name="Normal 11 4 7 2 4 2" xfId="22873"/>
    <cellStyle name="Normal 11 4 7 2 4 2 2" xfId="45295"/>
    <cellStyle name="Normal 11 4 7 2 4 3" xfId="35976"/>
    <cellStyle name="Normal 11 4 7 2 5" xfId="20037"/>
    <cellStyle name="Normal 11 4 7 2 5 2" xfId="42572"/>
    <cellStyle name="Normal 11 4 7 2 6" xfId="27939"/>
    <cellStyle name="Normal 11 4 7 2 6 2" xfId="50184"/>
    <cellStyle name="Normal 11 4 7 2 7" xfId="29344"/>
    <cellStyle name="Normal 11 4 7 3" xfId="6596"/>
    <cellStyle name="Normal 11 4 7 3 2" xfId="9928"/>
    <cellStyle name="Normal 11 4 7 3 2 2" xfId="16632"/>
    <cellStyle name="Normal 11 4 7 3 2 2 2" xfId="40053"/>
    <cellStyle name="Normal 11 4 7 3 2 3" xfId="33421"/>
    <cellStyle name="Normal 11 4 7 3 3" xfId="13316"/>
    <cellStyle name="Normal 11 4 7 3 3 2" xfId="36737"/>
    <cellStyle name="Normal 11 4 7 3 4" xfId="20522"/>
    <cellStyle name="Normal 11 4 7 3 4 2" xfId="42975"/>
    <cellStyle name="Normal 11 4 7 3 5" xfId="30105"/>
    <cellStyle name="Normal 11 4 7 4" xfId="8262"/>
    <cellStyle name="Normal 11 4 7 4 2" xfId="14974"/>
    <cellStyle name="Normal 11 4 7 4 2 2" xfId="38395"/>
    <cellStyle name="Normal 11 4 7 4 3" xfId="21079"/>
    <cellStyle name="Normal 11 4 7 4 3 2" xfId="43530"/>
    <cellStyle name="Normal 11 4 7 4 4" xfId="31763"/>
    <cellStyle name="Normal 11 4 7 5" xfId="11656"/>
    <cellStyle name="Normal 11 4 7 5 2" xfId="22045"/>
    <cellStyle name="Normal 11 4 7 5 2 2" xfId="44473"/>
    <cellStyle name="Normal 11 4 7 5 3" xfId="35079"/>
    <cellStyle name="Normal 11 4 7 6" xfId="19183"/>
    <cellStyle name="Normal 11 4 7 6 2" xfId="41740"/>
    <cellStyle name="Normal 11 4 7 7" xfId="25634"/>
    <cellStyle name="Normal 11 4 7 7 2" xfId="47879"/>
    <cellStyle name="Normal 11 4 7 8" xfId="28447"/>
    <cellStyle name="Normal 11 4 8" xfId="3858"/>
    <cellStyle name="Normal 11 4 8 2" xfId="19619"/>
    <cellStyle name="Normal 11 4 8 2 2" xfId="42156"/>
    <cellStyle name="Normal 11 4 8 3" xfId="21188"/>
    <cellStyle name="Normal 11 4 8 3 2" xfId="43639"/>
    <cellStyle name="Normal 11 4 8 4" xfId="22466"/>
    <cellStyle name="Normal 11 4 8 4 2" xfId="44888"/>
    <cellStyle name="Normal 11 4 8 5" xfId="25672"/>
    <cellStyle name="Normal 11 4 8 5 2" xfId="47917"/>
    <cellStyle name="Normal 11 4 9" xfId="6123"/>
    <cellStyle name="Normal 11 4 9 2" xfId="9457"/>
    <cellStyle name="Normal 11 4 9 2 2" xfId="16161"/>
    <cellStyle name="Normal 11 4 9 2 2 2" xfId="39582"/>
    <cellStyle name="Normal 11 4 9 2 3" xfId="32950"/>
    <cellStyle name="Normal 11 4 9 3" xfId="12845"/>
    <cellStyle name="Normal 11 4 9 3 2" xfId="36266"/>
    <cellStyle name="Normal 11 4 9 4" xfId="18339"/>
    <cellStyle name="Normal 11 4 9 4 2" xfId="41472"/>
    <cellStyle name="Normal 11 4 9 5" xfId="29634"/>
    <cellStyle name="Normal 11 5" xfId="1292"/>
    <cellStyle name="Normal 11 5 10" xfId="11192"/>
    <cellStyle name="Normal 11 5 10 2" xfId="21631"/>
    <cellStyle name="Normal 11 5 10 2 2" xfId="44080"/>
    <cellStyle name="Normal 11 5 10 3" xfId="34615"/>
    <cellStyle name="Normal 11 5 11" xfId="17995"/>
    <cellStyle name="Normal 11 5 11 2" xfId="41303"/>
    <cellStyle name="Normal 11 5 12" xfId="27983"/>
    <cellStyle name="Normal 11 5 2" xfId="1483"/>
    <cellStyle name="Normal 11 5 2 10" xfId="17996"/>
    <cellStyle name="Normal 11 5 2 10 2" xfId="41304"/>
    <cellStyle name="Normal 11 5 2 11" xfId="23575"/>
    <cellStyle name="Normal 11 5 2 11 2" xfId="45895"/>
    <cellStyle name="Normal 11 5 2 12" xfId="28019"/>
    <cellStyle name="Normal 11 5 2 2" xfId="1626"/>
    <cellStyle name="Normal 11 5 2 2 10" xfId="23576"/>
    <cellStyle name="Normal 11 5 2 2 10 2" xfId="45896"/>
    <cellStyle name="Normal 11 5 2 2 11" xfId="28067"/>
    <cellStyle name="Normal 11 5 2 2 2" xfId="1846"/>
    <cellStyle name="Normal 11 5 2 2 2 10" xfId="28198"/>
    <cellStyle name="Normal 11 5 2 2 2 2" xfId="2244"/>
    <cellStyle name="Normal 11 5 2 2 2 2 2" xfId="5515"/>
    <cellStyle name="Normal 11 5 2 2 2 2 2 2" xfId="7340"/>
    <cellStyle name="Normal 11 5 2 2 2 2 2 2 2" xfId="10671"/>
    <cellStyle name="Normal 11 5 2 2 2 2 2 2 2 2" xfId="17375"/>
    <cellStyle name="Normal 11 5 2 2 2 2 2 2 2 2 2" xfId="40796"/>
    <cellStyle name="Normal 11 5 2 2 2 2 2 2 2 3" xfId="23092"/>
    <cellStyle name="Normal 11 5 2 2 2 2 2 2 2 3 2" xfId="45514"/>
    <cellStyle name="Normal 11 5 2 2 2 2 2 2 2 4" xfId="34164"/>
    <cellStyle name="Normal 11 5 2 2 2 2 2 2 3" xfId="14059"/>
    <cellStyle name="Normal 11 5 2 2 2 2 2 2 3 2" xfId="37480"/>
    <cellStyle name="Normal 11 5 2 2 2 2 2 2 4" xfId="20264"/>
    <cellStyle name="Normal 11 5 2 2 2 2 2 2 4 2" xfId="42799"/>
    <cellStyle name="Normal 11 5 2 2 2 2 2 2 5" xfId="30848"/>
    <cellStyle name="Normal 11 5 2 2 2 2 2 3" xfId="9013"/>
    <cellStyle name="Normal 11 5 2 2 2 2 2 3 2" xfId="15717"/>
    <cellStyle name="Normal 11 5 2 2 2 2 2 3 2 2" xfId="39138"/>
    <cellStyle name="Normal 11 5 2 2 2 2 2 3 3" xfId="21224"/>
    <cellStyle name="Normal 11 5 2 2 2 2 2 3 3 2" xfId="43675"/>
    <cellStyle name="Normal 11 5 2 2 2 2 2 3 4" xfId="32506"/>
    <cellStyle name="Normal 11 5 2 2 2 2 2 4" xfId="12401"/>
    <cellStyle name="Normal 11 5 2 2 2 2 2 4 2" xfId="22277"/>
    <cellStyle name="Normal 11 5 2 2 2 2 2 4 2 2" xfId="44699"/>
    <cellStyle name="Normal 11 5 2 2 2 2 2 4 3" xfId="35822"/>
    <cellStyle name="Normal 11 5 2 2 2 2 2 5" xfId="19425"/>
    <cellStyle name="Normal 11 5 2 2 2 2 2 5 2" xfId="41967"/>
    <cellStyle name="Normal 11 5 2 2 2 2 2 6" xfId="29190"/>
    <cellStyle name="Normal 11 5 2 2 2 2 3" xfId="6436"/>
    <cellStyle name="Normal 11 5 2 2 2 2 3 2" xfId="9770"/>
    <cellStyle name="Normal 11 5 2 2 2 2 3 2 2" xfId="16474"/>
    <cellStyle name="Normal 11 5 2 2 2 2 3 2 2 2" xfId="39895"/>
    <cellStyle name="Normal 11 5 2 2 2 2 3 2 3" xfId="22685"/>
    <cellStyle name="Normal 11 5 2 2 2 2 3 2 3 2" xfId="45107"/>
    <cellStyle name="Normal 11 5 2 2 2 2 3 2 4" xfId="33263"/>
    <cellStyle name="Normal 11 5 2 2 2 2 3 3" xfId="13158"/>
    <cellStyle name="Normal 11 5 2 2 2 2 3 3 2" xfId="36579"/>
    <cellStyle name="Normal 11 5 2 2 2 2 3 4" xfId="19848"/>
    <cellStyle name="Normal 11 5 2 2 2 2 3 4 2" xfId="42383"/>
    <cellStyle name="Normal 11 5 2 2 2 2 3 5" xfId="29947"/>
    <cellStyle name="Normal 11 5 2 2 2 2 4" xfId="8103"/>
    <cellStyle name="Normal 11 5 2 2 2 2 4 2" xfId="14816"/>
    <cellStyle name="Normal 11 5 2 2 2 2 4 2 2" xfId="38237"/>
    <cellStyle name="Normal 11 5 2 2 2 2 4 3" xfId="20765"/>
    <cellStyle name="Normal 11 5 2 2 2 2 4 3 2" xfId="43216"/>
    <cellStyle name="Normal 11 5 2 2 2 2 4 4" xfId="31605"/>
    <cellStyle name="Normal 11 5 2 2 2 2 5" xfId="11498"/>
    <cellStyle name="Normal 11 5 2 2 2 2 5 2" xfId="21843"/>
    <cellStyle name="Normal 11 5 2 2 2 2 5 2 2" xfId="44285"/>
    <cellStyle name="Normal 11 5 2 2 2 2 5 3" xfId="34921"/>
    <cellStyle name="Normal 11 5 2 2 2 2 6" xfId="18598"/>
    <cellStyle name="Normal 11 5 2 2 2 2 6 2" xfId="41542"/>
    <cellStyle name="Normal 11 5 2 2 2 2 7" xfId="25842"/>
    <cellStyle name="Normal 11 5 2 2 2 2 7 2" xfId="48087"/>
    <cellStyle name="Normal 11 5 2 2 2 2 8" xfId="28289"/>
    <cellStyle name="Normal 11 5 2 2 2 3" xfId="2843"/>
    <cellStyle name="Normal 11 5 2 2 2 3 2" xfId="5935"/>
    <cellStyle name="Normal 11 5 2 2 2 3 2 2" xfId="7717"/>
    <cellStyle name="Normal 11 5 2 2 2 3 2 2 2" xfId="11046"/>
    <cellStyle name="Normal 11 5 2 2 2 3 2 2 2 2" xfId="17750"/>
    <cellStyle name="Normal 11 5 2 2 2 3 2 2 2 2 2" xfId="41171"/>
    <cellStyle name="Normal 11 5 2 2 2 3 2 2 2 3" xfId="34539"/>
    <cellStyle name="Normal 11 5 2 2 2 3 2 2 3" xfId="14434"/>
    <cellStyle name="Normal 11 5 2 2 2 3 2 2 3 2" xfId="37855"/>
    <cellStyle name="Normal 11 5 2 2 2 3 2 2 4" xfId="22892"/>
    <cellStyle name="Normal 11 5 2 2 2 3 2 2 4 2" xfId="45314"/>
    <cellStyle name="Normal 11 5 2 2 2 3 2 2 5" xfId="31223"/>
    <cellStyle name="Normal 11 5 2 2 2 3 2 3" xfId="9388"/>
    <cellStyle name="Normal 11 5 2 2 2 3 2 3 2" xfId="16092"/>
    <cellStyle name="Normal 11 5 2 2 2 3 2 3 2 2" xfId="39513"/>
    <cellStyle name="Normal 11 5 2 2 2 3 2 3 3" xfId="32881"/>
    <cellStyle name="Normal 11 5 2 2 2 3 2 4" xfId="12776"/>
    <cellStyle name="Normal 11 5 2 2 2 3 2 4 2" xfId="36197"/>
    <cellStyle name="Normal 11 5 2 2 2 3 2 5" xfId="20056"/>
    <cellStyle name="Normal 11 5 2 2 2 3 2 5 2" xfId="42591"/>
    <cellStyle name="Normal 11 5 2 2 2 3 2 6" xfId="29565"/>
    <cellStyle name="Normal 11 5 2 2 2 3 3" xfId="6818"/>
    <cellStyle name="Normal 11 5 2 2 2 3 3 2" xfId="10150"/>
    <cellStyle name="Normal 11 5 2 2 2 3 3 2 2" xfId="16854"/>
    <cellStyle name="Normal 11 5 2 2 2 3 3 2 2 2" xfId="40275"/>
    <cellStyle name="Normal 11 5 2 2 2 3 3 2 3" xfId="33643"/>
    <cellStyle name="Normal 11 5 2 2 2 3 3 3" xfId="13538"/>
    <cellStyle name="Normal 11 5 2 2 2 3 3 3 2" xfId="36959"/>
    <cellStyle name="Normal 11 5 2 2 2 3 3 4" xfId="21223"/>
    <cellStyle name="Normal 11 5 2 2 2 3 3 4 2" xfId="43674"/>
    <cellStyle name="Normal 11 5 2 2 2 3 3 5" xfId="30327"/>
    <cellStyle name="Normal 11 5 2 2 2 3 4" xfId="8484"/>
    <cellStyle name="Normal 11 5 2 2 2 3 4 2" xfId="15196"/>
    <cellStyle name="Normal 11 5 2 2 2 3 4 2 2" xfId="38617"/>
    <cellStyle name="Normal 11 5 2 2 2 3 4 3" xfId="22064"/>
    <cellStyle name="Normal 11 5 2 2 2 3 4 3 2" xfId="44492"/>
    <cellStyle name="Normal 11 5 2 2 2 3 4 4" xfId="31985"/>
    <cellStyle name="Normal 11 5 2 2 2 3 5" xfId="11878"/>
    <cellStyle name="Normal 11 5 2 2 2 3 5 2" xfId="35301"/>
    <cellStyle name="Normal 11 5 2 2 2 3 6" xfId="19202"/>
    <cellStyle name="Normal 11 5 2 2 2 3 6 2" xfId="41759"/>
    <cellStyle name="Normal 11 5 2 2 2 3 7" xfId="28669"/>
    <cellStyle name="Normal 11 5 2 2 2 4" xfId="3879"/>
    <cellStyle name="Normal 11 5 2 2 2 4 2" xfId="6991"/>
    <cellStyle name="Normal 11 5 2 2 2 4 2 2" xfId="10323"/>
    <cellStyle name="Normal 11 5 2 2 2 4 2 2 2" xfId="17027"/>
    <cellStyle name="Normal 11 5 2 2 2 4 2 2 2 2" xfId="40448"/>
    <cellStyle name="Normal 11 5 2 2 2 4 2 2 3" xfId="33816"/>
    <cellStyle name="Normal 11 5 2 2 2 4 2 3" xfId="13711"/>
    <cellStyle name="Normal 11 5 2 2 2 4 2 3 2" xfId="37132"/>
    <cellStyle name="Normal 11 5 2 2 2 4 2 4" xfId="22485"/>
    <cellStyle name="Normal 11 5 2 2 2 4 2 4 2" xfId="44907"/>
    <cellStyle name="Normal 11 5 2 2 2 4 2 5" xfId="30500"/>
    <cellStyle name="Normal 11 5 2 2 2 4 3" xfId="8658"/>
    <cellStyle name="Normal 11 5 2 2 2 4 3 2" xfId="15369"/>
    <cellStyle name="Normal 11 5 2 2 2 4 3 2 2" xfId="38790"/>
    <cellStyle name="Normal 11 5 2 2 2 4 3 3" xfId="32158"/>
    <cellStyle name="Normal 11 5 2 2 2 4 4" xfId="12051"/>
    <cellStyle name="Normal 11 5 2 2 2 4 4 2" xfId="35474"/>
    <cellStyle name="Normal 11 5 2 2 2 4 5" xfId="19638"/>
    <cellStyle name="Normal 11 5 2 2 2 4 5 2" xfId="42175"/>
    <cellStyle name="Normal 11 5 2 2 2 4 6" xfId="28842"/>
    <cellStyle name="Normal 11 5 2 2 2 5" xfId="6345"/>
    <cellStyle name="Normal 11 5 2 2 2 5 2" xfId="9679"/>
    <cellStyle name="Normal 11 5 2 2 2 5 2 2" xfId="16383"/>
    <cellStyle name="Normal 11 5 2 2 2 5 2 2 2" xfId="39804"/>
    <cellStyle name="Normal 11 5 2 2 2 5 2 3" xfId="33172"/>
    <cellStyle name="Normal 11 5 2 2 2 5 3" xfId="13067"/>
    <cellStyle name="Normal 11 5 2 2 2 5 3 2" xfId="36488"/>
    <cellStyle name="Normal 11 5 2 2 2 5 4" xfId="20764"/>
    <cellStyle name="Normal 11 5 2 2 2 5 4 2" xfId="43215"/>
    <cellStyle name="Normal 11 5 2 2 2 5 5" xfId="29856"/>
    <cellStyle name="Normal 11 5 2 2 2 6" xfId="8011"/>
    <cellStyle name="Normal 11 5 2 2 2 6 2" xfId="14725"/>
    <cellStyle name="Normal 11 5 2 2 2 6 2 2" xfId="38146"/>
    <cellStyle name="Normal 11 5 2 2 2 6 3" xfId="21634"/>
    <cellStyle name="Normal 11 5 2 2 2 6 3 2" xfId="44083"/>
    <cellStyle name="Normal 11 5 2 2 2 6 4" xfId="31514"/>
    <cellStyle name="Normal 11 5 2 2 2 7" xfId="11407"/>
    <cellStyle name="Normal 11 5 2 2 2 7 2" xfId="34830"/>
    <cellStyle name="Normal 11 5 2 2 2 8" xfId="17998"/>
    <cellStyle name="Normal 11 5 2 2 2 8 2" xfId="41306"/>
    <cellStyle name="Normal 11 5 2 2 2 9" xfId="23577"/>
    <cellStyle name="Normal 11 5 2 2 2 9 2" xfId="45897"/>
    <cellStyle name="Normal 11 5 2 2 3" xfId="2243"/>
    <cellStyle name="Normal 11 5 2 2 3 2" xfId="5514"/>
    <cellStyle name="Normal 11 5 2 2 3 2 2" xfId="7339"/>
    <cellStyle name="Normal 11 5 2 2 3 2 2 2" xfId="10670"/>
    <cellStyle name="Normal 11 5 2 2 3 2 2 2 2" xfId="17374"/>
    <cellStyle name="Normal 11 5 2 2 3 2 2 2 2 2" xfId="40795"/>
    <cellStyle name="Normal 11 5 2 2 3 2 2 2 3" xfId="23091"/>
    <cellStyle name="Normal 11 5 2 2 3 2 2 2 3 2" xfId="45513"/>
    <cellStyle name="Normal 11 5 2 2 3 2 2 2 4" xfId="34163"/>
    <cellStyle name="Normal 11 5 2 2 3 2 2 3" xfId="14058"/>
    <cellStyle name="Normal 11 5 2 2 3 2 2 3 2" xfId="37479"/>
    <cellStyle name="Normal 11 5 2 2 3 2 2 4" xfId="20263"/>
    <cellStyle name="Normal 11 5 2 2 3 2 2 4 2" xfId="42798"/>
    <cellStyle name="Normal 11 5 2 2 3 2 2 5" xfId="30847"/>
    <cellStyle name="Normal 11 5 2 2 3 2 3" xfId="9012"/>
    <cellStyle name="Normal 11 5 2 2 3 2 3 2" xfId="15716"/>
    <cellStyle name="Normal 11 5 2 2 3 2 3 2 2" xfId="39137"/>
    <cellStyle name="Normal 11 5 2 2 3 2 3 3" xfId="21225"/>
    <cellStyle name="Normal 11 5 2 2 3 2 3 3 2" xfId="43676"/>
    <cellStyle name="Normal 11 5 2 2 3 2 3 4" xfId="32505"/>
    <cellStyle name="Normal 11 5 2 2 3 2 4" xfId="12400"/>
    <cellStyle name="Normal 11 5 2 2 3 2 4 2" xfId="22276"/>
    <cellStyle name="Normal 11 5 2 2 3 2 4 2 2" xfId="44698"/>
    <cellStyle name="Normal 11 5 2 2 3 2 4 3" xfId="35821"/>
    <cellStyle name="Normal 11 5 2 2 3 2 5" xfId="19424"/>
    <cellStyle name="Normal 11 5 2 2 3 2 5 2" xfId="41966"/>
    <cellStyle name="Normal 11 5 2 2 3 2 6" xfId="29189"/>
    <cellStyle name="Normal 11 5 2 2 3 3" xfId="6435"/>
    <cellStyle name="Normal 11 5 2 2 3 3 2" xfId="9769"/>
    <cellStyle name="Normal 11 5 2 2 3 3 2 2" xfId="16473"/>
    <cellStyle name="Normal 11 5 2 2 3 3 2 2 2" xfId="39894"/>
    <cellStyle name="Normal 11 5 2 2 3 3 2 3" xfId="22684"/>
    <cellStyle name="Normal 11 5 2 2 3 3 2 3 2" xfId="45106"/>
    <cellStyle name="Normal 11 5 2 2 3 3 2 4" xfId="33262"/>
    <cellStyle name="Normal 11 5 2 2 3 3 3" xfId="13157"/>
    <cellStyle name="Normal 11 5 2 2 3 3 3 2" xfId="36578"/>
    <cellStyle name="Normal 11 5 2 2 3 3 4" xfId="19847"/>
    <cellStyle name="Normal 11 5 2 2 3 3 4 2" xfId="42382"/>
    <cellStyle name="Normal 11 5 2 2 3 3 5" xfId="29946"/>
    <cellStyle name="Normal 11 5 2 2 3 4" xfId="8102"/>
    <cellStyle name="Normal 11 5 2 2 3 4 2" xfId="14815"/>
    <cellStyle name="Normal 11 5 2 2 3 4 2 2" xfId="38236"/>
    <cellStyle name="Normal 11 5 2 2 3 4 3" xfId="20766"/>
    <cellStyle name="Normal 11 5 2 2 3 4 3 2" xfId="43217"/>
    <cellStyle name="Normal 11 5 2 2 3 4 4" xfId="31604"/>
    <cellStyle name="Normal 11 5 2 2 3 5" xfId="11497"/>
    <cellStyle name="Normal 11 5 2 2 3 5 2" xfId="21842"/>
    <cellStyle name="Normal 11 5 2 2 3 5 2 2" xfId="44284"/>
    <cellStyle name="Normal 11 5 2 2 3 5 3" xfId="34920"/>
    <cellStyle name="Normal 11 5 2 2 3 6" xfId="18597"/>
    <cellStyle name="Normal 11 5 2 2 3 6 2" xfId="41541"/>
    <cellStyle name="Normal 11 5 2 2 3 7" xfId="25841"/>
    <cellStyle name="Normal 11 5 2 2 3 7 2" xfId="48086"/>
    <cellStyle name="Normal 11 5 2 2 3 8" xfId="28288"/>
    <cellStyle name="Normal 11 5 2 2 4" xfId="2711"/>
    <cellStyle name="Normal 11 5 2 2 4 2" xfId="5804"/>
    <cellStyle name="Normal 11 5 2 2 4 2 2" xfId="7586"/>
    <cellStyle name="Normal 11 5 2 2 4 2 2 2" xfId="10915"/>
    <cellStyle name="Normal 11 5 2 2 4 2 2 2 2" xfId="17619"/>
    <cellStyle name="Normal 11 5 2 2 4 2 2 2 2 2" xfId="41040"/>
    <cellStyle name="Normal 11 5 2 2 4 2 2 2 3" xfId="34408"/>
    <cellStyle name="Normal 11 5 2 2 4 2 2 3" xfId="14303"/>
    <cellStyle name="Normal 11 5 2 2 4 2 2 3 2" xfId="37724"/>
    <cellStyle name="Normal 11 5 2 2 4 2 2 4" xfId="22891"/>
    <cellStyle name="Normal 11 5 2 2 4 2 2 4 2" xfId="45313"/>
    <cellStyle name="Normal 11 5 2 2 4 2 2 5" xfId="31092"/>
    <cellStyle name="Normal 11 5 2 2 4 2 3" xfId="9257"/>
    <cellStyle name="Normal 11 5 2 2 4 2 3 2" xfId="15961"/>
    <cellStyle name="Normal 11 5 2 2 4 2 3 2 2" xfId="39382"/>
    <cellStyle name="Normal 11 5 2 2 4 2 3 3" xfId="32750"/>
    <cellStyle name="Normal 11 5 2 2 4 2 4" xfId="12645"/>
    <cellStyle name="Normal 11 5 2 2 4 2 4 2" xfId="36066"/>
    <cellStyle name="Normal 11 5 2 2 4 2 5" xfId="20055"/>
    <cellStyle name="Normal 11 5 2 2 4 2 5 2" xfId="42590"/>
    <cellStyle name="Normal 11 5 2 2 4 2 6" xfId="29434"/>
    <cellStyle name="Normal 11 5 2 2 4 3" xfId="6687"/>
    <cellStyle name="Normal 11 5 2 2 4 3 2" xfId="10019"/>
    <cellStyle name="Normal 11 5 2 2 4 3 2 2" xfId="16723"/>
    <cellStyle name="Normal 11 5 2 2 4 3 2 2 2" xfId="40144"/>
    <cellStyle name="Normal 11 5 2 2 4 3 2 3" xfId="33512"/>
    <cellStyle name="Normal 11 5 2 2 4 3 3" xfId="13407"/>
    <cellStyle name="Normal 11 5 2 2 4 3 3 2" xfId="36828"/>
    <cellStyle name="Normal 11 5 2 2 4 3 4" xfId="21222"/>
    <cellStyle name="Normal 11 5 2 2 4 3 4 2" xfId="43673"/>
    <cellStyle name="Normal 11 5 2 2 4 3 5" xfId="30196"/>
    <cellStyle name="Normal 11 5 2 2 4 4" xfId="8353"/>
    <cellStyle name="Normal 11 5 2 2 4 4 2" xfId="15065"/>
    <cellStyle name="Normal 11 5 2 2 4 4 2 2" xfId="38486"/>
    <cellStyle name="Normal 11 5 2 2 4 4 3" xfId="22063"/>
    <cellStyle name="Normal 11 5 2 2 4 4 3 2" xfId="44491"/>
    <cellStyle name="Normal 11 5 2 2 4 4 4" xfId="31854"/>
    <cellStyle name="Normal 11 5 2 2 4 5" xfId="11747"/>
    <cellStyle name="Normal 11 5 2 2 4 5 2" xfId="35170"/>
    <cellStyle name="Normal 11 5 2 2 4 6" xfId="19201"/>
    <cellStyle name="Normal 11 5 2 2 4 6 2" xfId="41758"/>
    <cellStyle name="Normal 11 5 2 2 4 7" xfId="28538"/>
    <cellStyle name="Normal 11 5 2 2 5" xfId="3878"/>
    <cellStyle name="Normal 11 5 2 2 5 2" xfId="6990"/>
    <cellStyle name="Normal 11 5 2 2 5 2 2" xfId="10322"/>
    <cellStyle name="Normal 11 5 2 2 5 2 2 2" xfId="17026"/>
    <cellStyle name="Normal 11 5 2 2 5 2 2 2 2" xfId="40447"/>
    <cellStyle name="Normal 11 5 2 2 5 2 2 3" xfId="33815"/>
    <cellStyle name="Normal 11 5 2 2 5 2 3" xfId="13710"/>
    <cellStyle name="Normal 11 5 2 2 5 2 3 2" xfId="37131"/>
    <cellStyle name="Normal 11 5 2 2 5 2 4" xfId="22484"/>
    <cellStyle name="Normal 11 5 2 2 5 2 4 2" xfId="44906"/>
    <cellStyle name="Normal 11 5 2 2 5 2 5" xfId="30499"/>
    <cellStyle name="Normal 11 5 2 2 5 3" xfId="8657"/>
    <cellStyle name="Normal 11 5 2 2 5 3 2" xfId="15368"/>
    <cellStyle name="Normal 11 5 2 2 5 3 2 2" xfId="38789"/>
    <cellStyle name="Normal 11 5 2 2 5 3 3" xfId="32157"/>
    <cellStyle name="Normal 11 5 2 2 5 4" xfId="12050"/>
    <cellStyle name="Normal 11 5 2 2 5 4 2" xfId="35473"/>
    <cellStyle name="Normal 11 5 2 2 5 5" xfId="19637"/>
    <cellStyle name="Normal 11 5 2 2 5 5 2" xfId="42174"/>
    <cellStyle name="Normal 11 5 2 2 5 6" xfId="28841"/>
    <cellStyle name="Normal 11 5 2 2 6" xfId="6214"/>
    <cellStyle name="Normal 11 5 2 2 6 2" xfId="9548"/>
    <cellStyle name="Normal 11 5 2 2 6 2 2" xfId="16252"/>
    <cellStyle name="Normal 11 5 2 2 6 2 2 2" xfId="39673"/>
    <cellStyle name="Normal 11 5 2 2 6 2 3" xfId="33041"/>
    <cellStyle name="Normal 11 5 2 2 6 3" xfId="12936"/>
    <cellStyle name="Normal 11 5 2 2 6 3 2" xfId="36357"/>
    <cellStyle name="Normal 11 5 2 2 6 4" xfId="20763"/>
    <cellStyle name="Normal 11 5 2 2 6 4 2" xfId="43214"/>
    <cellStyle name="Normal 11 5 2 2 6 5" xfId="29725"/>
    <cellStyle name="Normal 11 5 2 2 7" xfId="7880"/>
    <cellStyle name="Normal 11 5 2 2 7 2" xfId="14594"/>
    <cellStyle name="Normal 11 5 2 2 7 2 2" xfId="38015"/>
    <cellStyle name="Normal 11 5 2 2 7 3" xfId="21633"/>
    <cellStyle name="Normal 11 5 2 2 7 3 2" xfId="44082"/>
    <cellStyle name="Normal 11 5 2 2 7 4" xfId="31383"/>
    <cellStyle name="Normal 11 5 2 2 8" xfId="11276"/>
    <cellStyle name="Normal 11 5 2 2 8 2" xfId="34699"/>
    <cellStyle name="Normal 11 5 2 2 9" xfId="17997"/>
    <cellStyle name="Normal 11 5 2 2 9 2" xfId="41305"/>
    <cellStyle name="Normal 11 5 2 3" xfId="1798"/>
    <cellStyle name="Normal 11 5 2 3 10" xfId="28150"/>
    <cellStyle name="Normal 11 5 2 3 2" xfId="2245"/>
    <cellStyle name="Normal 11 5 2 3 2 2" xfId="5516"/>
    <cellStyle name="Normal 11 5 2 3 2 2 2" xfId="7341"/>
    <cellStyle name="Normal 11 5 2 3 2 2 2 2" xfId="10672"/>
    <cellStyle name="Normal 11 5 2 3 2 2 2 2 2" xfId="17376"/>
    <cellStyle name="Normal 11 5 2 3 2 2 2 2 2 2" xfId="40797"/>
    <cellStyle name="Normal 11 5 2 3 2 2 2 2 3" xfId="23093"/>
    <cellStyle name="Normal 11 5 2 3 2 2 2 2 3 2" xfId="45515"/>
    <cellStyle name="Normal 11 5 2 3 2 2 2 2 4" xfId="34165"/>
    <cellStyle name="Normal 11 5 2 3 2 2 2 3" xfId="14060"/>
    <cellStyle name="Normal 11 5 2 3 2 2 2 3 2" xfId="37481"/>
    <cellStyle name="Normal 11 5 2 3 2 2 2 4" xfId="20265"/>
    <cellStyle name="Normal 11 5 2 3 2 2 2 4 2" xfId="42800"/>
    <cellStyle name="Normal 11 5 2 3 2 2 2 5" xfId="30849"/>
    <cellStyle name="Normal 11 5 2 3 2 2 3" xfId="9014"/>
    <cellStyle name="Normal 11 5 2 3 2 2 3 2" xfId="15718"/>
    <cellStyle name="Normal 11 5 2 3 2 2 3 2 2" xfId="39139"/>
    <cellStyle name="Normal 11 5 2 3 2 2 3 3" xfId="21227"/>
    <cellStyle name="Normal 11 5 2 3 2 2 3 3 2" xfId="43678"/>
    <cellStyle name="Normal 11 5 2 3 2 2 3 4" xfId="32507"/>
    <cellStyle name="Normal 11 5 2 3 2 2 4" xfId="12402"/>
    <cellStyle name="Normal 11 5 2 3 2 2 4 2" xfId="22278"/>
    <cellStyle name="Normal 11 5 2 3 2 2 4 2 2" xfId="44700"/>
    <cellStyle name="Normal 11 5 2 3 2 2 4 3" xfId="35823"/>
    <cellStyle name="Normal 11 5 2 3 2 2 5" xfId="19426"/>
    <cellStyle name="Normal 11 5 2 3 2 2 5 2" xfId="41968"/>
    <cellStyle name="Normal 11 5 2 3 2 2 6" xfId="29191"/>
    <cellStyle name="Normal 11 5 2 3 2 3" xfId="6437"/>
    <cellStyle name="Normal 11 5 2 3 2 3 2" xfId="9771"/>
    <cellStyle name="Normal 11 5 2 3 2 3 2 2" xfId="16475"/>
    <cellStyle name="Normal 11 5 2 3 2 3 2 2 2" xfId="39896"/>
    <cellStyle name="Normal 11 5 2 3 2 3 2 3" xfId="22686"/>
    <cellStyle name="Normal 11 5 2 3 2 3 2 3 2" xfId="45108"/>
    <cellStyle name="Normal 11 5 2 3 2 3 2 4" xfId="33264"/>
    <cellStyle name="Normal 11 5 2 3 2 3 3" xfId="13159"/>
    <cellStyle name="Normal 11 5 2 3 2 3 3 2" xfId="36580"/>
    <cellStyle name="Normal 11 5 2 3 2 3 4" xfId="19849"/>
    <cellStyle name="Normal 11 5 2 3 2 3 4 2" xfId="42384"/>
    <cellStyle name="Normal 11 5 2 3 2 3 5" xfId="29948"/>
    <cellStyle name="Normal 11 5 2 3 2 4" xfId="8104"/>
    <cellStyle name="Normal 11 5 2 3 2 4 2" xfId="14817"/>
    <cellStyle name="Normal 11 5 2 3 2 4 2 2" xfId="38238"/>
    <cellStyle name="Normal 11 5 2 3 2 4 3" xfId="20768"/>
    <cellStyle name="Normal 11 5 2 3 2 4 3 2" xfId="43219"/>
    <cellStyle name="Normal 11 5 2 3 2 4 4" xfId="31606"/>
    <cellStyle name="Normal 11 5 2 3 2 5" xfId="11499"/>
    <cellStyle name="Normal 11 5 2 3 2 5 2" xfId="21844"/>
    <cellStyle name="Normal 11 5 2 3 2 5 2 2" xfId="44286"/>
    <cellStyle name="Normal 11 5 2 3 2 5 3" xfId="34922"/>
    <cellStyle name="Normal 11 5 2 3 2 6" xfId="18599"/>
    <cellStyle name="Normal 11 5 2 3 2 6 2" xfId="41543"/>
    <cellStyle name="Normal 11 5 2 3 2 7" xfId="25843"/>
    <cellStyle name="Normal 11 5 2 3 2 7 2" xfId="48088"/>
    <cellStyle name="Normal 11 5 2 3 2 8" xfId="28290"/>
    <cellStyle name="Normal 11 5 2 3 3" xfId="2795"/>
    <cellStyle name="Normal 11 5 2 3 3 2" xfId="5887"/>
    <cellStyle name="Normal 11 5 2 3 3 2 2" xfId="7669"/>
    <cellStyle name="Normal 11 5 2 3 3 2 2 2" xfId="10998"/>
    <cellStyle name="Normal 11 5 2 3 3 2 2 2 2" xfId="17702"/>
    <cellStyle name="Normal 11 5 2 3 3 2 2 2 2 2" xfId="41123"/>
    <cellStyle name="Normal 11 5 2 3 3 2 2 2 3" xfId="34491"/>
    <cellStyle name="Normal 11 5 2 3 3 2 2 3" xfId="14386"/>
    <cellStyle name="Normal 11 5 2 3 3 2 2 3 2" xfId="37807"/>
    <cellStyle name="Normal 11 5 2 3 3 2 2 4" xfId="22893"/>
    <cellStyle name="Normal 11 5 2 3 3 2 2 4 2" xfId="45315"/>
    <cellStyle name="Normal 11 5 2 3 3 2 2 5" xfId="31175"/>
    <cellStyle name="Normal 11 5 2 3 3 2 3" xfId="9340"/>
    <cellStyle name="Normal 11 5 2 3 3 2 3 2" xfId="16044"/>
    <cellStyle name="Normal 11 5 2 3 3 2 3 2 2" xfId="39465"/>
    <cellStyle name="Normal 11 5 2 3 3 2 3 3" xfId="32833"/>
    <cellStyle name="Normal 11 5 2 3 3 2 4" xfId="12728"/>
    <cellStyle name="Normal 11 5 2 3 3 2 4 2" xfId="36149"/>
    <cellStyle name="Normal 11 5 2 3 3 2 5" xfId="20057"/>
    <cellStyle name="Normal 11 5 2 3 3 2 5 2" xfId="42592"/>
    <cellStyle name="Normal 11 5 2 3 3 2 6" xfId="29517"/>
    <cellStyle name="Normal 11 5 2 3 3 3" xfId="6770"/>
    <cellStyle name="Normal 11 5 2 3 3 3 2" xfId="10102"/>
    <cellStyle name="Normal 11 5 2 3 3 3 2 2" xfId="16806"/>
    <cellStyle name="Normal 11 5 2 3 3 3 2 2 2" xfId="40227"/>
    <cellStyle name="Normal 11 5 2 3 3 3 2 3" xfId="33595"/>
    <cellStyle name="Normal 11 5 2 3 3 3 3" xfId="13490"/>
    <cellStyle name="Normal 11 5 2 3 3 3 3 2" xfId="36911"/>
    <cellStyle name="Normal 11 5 2 3 3 3 4" xfId="21226"/>
    <cellStyle name="Normal 11 5 2 3 3 3 4 2" xfId="43677"/>
    <cellStyle name="Normal 11 5 2 3 3 3 5" xfId="30279"/>
    <cellStyle name="Normal 11 5 2 3 3 4" xfId="8436"/>
    <cellStyle name="Normal 11 5 2 3 3 4 2" xfId="15148"/>
    <cellStyle name="Normal 11 5 2 3 3 4 2 2" xfId="38569"/>
    <cellStyle name="Normal 11 5 2 3 3 4 3" xfId="22065"/>
    <cellStyle name="Normal 11 5 2 3 3 4 3 2" xfId="44493"/>
    <cellStyle name="Normal 11 5 2 3 3 4 4" xfId="31937"/>
    <cellStyle name="Normal 11 5 2 3 3 5" xfId="11830"/>
    <cellStyle name="Normal 11 5 2 3 3 5 2" xfId="35253"/>
    <cellStyle name="Normal 11 5 2 3 3 6" xfId="19203"/>
    <cellStyle name="Normal 11 5 2 3 3 6 2" xfId="41760"/>
    <cellStyle name="Normal 11 5 2 3 3 7" xfId="28621"/>
    <cellStyle name="Normal 11 5 2 3 4" xfId="3880"/>
    <cellStyle name="Normal 11 5 2 3 4 2" xfId="6992"/>
    <cellStyle name="Normal 11 5 2 3 4 2 2" xfId="10324"/>
    <cellStyle name="Normal 11 5 2 3 4 2 2 2" xfId="17028"/>
    <cellStyle name="Normal 11 5 2 3 4 2 2 2 2" xfId="40449"/>
    <cellStyle name="Normal 11 5 2 3 4 2 2 3" xfId="33817"/>
    <cellStyle name="Normal 11 5 2 3 4 2 3" xfId="13712"/>
    <cellStyle name="Normal 11 5 2 3 4 2 3 2" xfId="37133"/>
    <cellStyle name="Normal 11 5 2 3 4 2 4" xfId="22486"/>
    <cellStyle name="Normal 11 5 2 3 4 2 4 2" xfId="44908"/>
    <cellStyle name="Normal 11 5 2 3 4 2 5" xfId="30501"/>
    <cellStyle name="Normal 11 5 2 3 4 3" xfId="8659"/>
    <cellStyle name="Normal 11 5 2 3 4 3 2" xfId="15370"/>
    <cellStyle name="Normal 11 5 2 3 4 3 2 2" xfId="38791"/>
    <cellStyle name="Normal 11 5 2 3 4 3 3" xfId="32159"/>
    <cellStyle name="Normal 11 5 2 3 4 4" xfId="12052"/>
    <cellStyle name="Normal 11 5 2 3 4 4 2" xfId="35475"/>
    <cellStyle name="Normal 11 5 2 3 4 5" xfId="19639"/>
    <cellStyle name="Normal 11 5 2 3 4 5 2" xfId="42176"/>
    <cellStyle name="Normal 11 5 2 3 4 6" xfId="28843"/>
    <cellStyle name="Normal 11 5 2 3 5" xfId="6297"/>
    <cellStyle name="Normal 11 5 2 3 5 2" xfId="9631"/>
    <cellStyle name="Normal 11 5 2 3 5 2 2" xfId="16335"/>
    <cellStyle name="Normal 11 5 2 3 5 2 2 2" xfId="39756"/>
    <cellStyle name="Normal 11 5 2 3 5 2 3" xfId="33124"/>
    <cellStyle name="Normal 11 5 2 3 5 3" xfId="13019"/>
    <cellStyle name="Normal 11 5 2 3 5 3 2" xfId="36440"/>
    <cellStyle name="Normal 11 5 2 3 5 4" xfId="20767"/>
    <cellStyle name="Normal 11 5 2 3 5 4 2" xfId="43218"/>
    <cellStyle name="Normal 11 5 2 3 5 5" xfId="29808"/>
    <cellStyle name="Normal 11 5 2 3 6" xfId="7963"/>
    <cellStyle name="Normal 11 5 2 3 6 2" xfId="14677"/>
    <cellStyle name="Normal 11 5 2 3 6 2 2" xfId="38098"/>
    <cellStyle name="Normal 11 5 2 3 6 3" xfId="21635"/>
    <cellStyle name="Normal 11 5 2 3 6 3 2" xfId="44084"/>
    <cellStyle name="Normal 11 5 2 3 6 4" xfId="31466"/>
    <cellStyle name="Normal 11 5 2 3 7" xfId="11359"/>
    <cellStyle name="Normal 11 5 2 3 7 2" xfId="34782"/>
    <cellStyle name="Normal 11 5 2 3 8" xfId="17999"/>
    <cellStyle name="Normal 11 5 2 3 8 2" xfId="41307"/>
    <cellStyle name="Normal 11 5 2 3 9" xfId="23578"/>
    <cellStyle name="Normal 11 5 2 3 9 2" xfId="45898"/>
    <cellStyle name="Normal 11 5 2 4" xfId="2242"/>
    <cellStyle name="Normal 11 5 2 4 2" xfId="5513"/>
    <cellStyle name="Normal 11 5 2 4 2 2" xfId="7338"/>
    <cellStyle name="Normal 11 5 2 4 2 2 2" xfId="10669"/>
    <cellStyle name="Normal 11 5 2 4 2 2 2 2" xfId="17373"/>
    <cellStyle name="Normal 11 5 2 4 2 2 2 2 2" xfId="40794"/>
    <cellStyle name="Normal 11 5 2 4 2 2 2 3" xfId="23090"/>
    <cellStyle name="Normal 11 5 2 4 2 2 2 3 2" xfId="45512"/>
    <cellStyle name="Normal 11 5 2 4 2 2 2 4" xfId="34162"/>
    <cellStyle name="Normal 11 5 2 4 2 2 3" xfId="14057"/>
    <cellStyle name="Normal 11 5 2 4 2 2 3 2" xfId="37478"/>
    <cellStyle name="Normal 11 5 2 4 2 2 4" xfId="20262"/>
    <cellStyle name="Normal 11 5 2 4 2 2 4 2" xfId="42797"/>
    <cellStyle name="Normal 11 5 2 4 2 2 5" xfId="30846"/>
    <cellStyle name="Normal 11 5 2 4 2 3" xfId="9011"/>
    <cellStyle name="Normal 11 5 2 4 2 3 2" xfId="15715"/>
    <cellStyle name="Normal 11 5 2 4 2 3 2 2" xfId="39136"/>
    <cellStyle name="Normal 11 5 2 4 2 3 3" xfId="21228"/>
    <cellStyle name="Normal 11 5 2 4 2 3 3 2" xfId="43679"/>
    <cellStyle name="Normal 11 5 2 4 2 3 4" xfId="32504"/>
    <cellStyle name="Normal 11 5 2 4 2 4" xfId="12399"/>
    <cellStyle name="Normal 11 5 2 4 2 4 2" xfId="22275"/>
    <cellStyle name="Normal 11 5 2 4 2 4 2 2" xfId="44697"/>
    <cellStyle name="Normal 11 5 2 4 2 4 3" xfId="35820"/>
    <cellStyle name="Normal 11 5 2 4 2 5" xfId="19423"/>
    <cellStyle name="Normal 11 5 2 4 2 5 2" xfId="41965"/>
    <cellStyle name="Normal 11 5 2 4 2 6" xfId="25840"/>
    <cellStyle name="Normal 11 5 2 4 2 6 2" xfId="48085"/>
    <cellStyle name="Normal 11 5 2 4 2 7" xfId="29188"/>
    <cellStyle name="Normal 11 5 2 4 3" xfId="6434"/>
    <cellStyle name="Normal 11 5 2 4 3 2" xfId="9768"/>
    <cellStyle name="Normal 11 5 2 4 3 2 2" xfId="16472"/>
    <cellStyle name="Normal 11 5 2 4 3 2 2 2" xfId="39893"/>
    <cellStyle name="Normal 11 5 2 4 3 2 3" xfId="22683"/>
    <cellStyle name="Normal 11 5 2 4 3 2 3 2" xfId="45105"/>
    <cellStyle name="Normal 11 5 2 4 3 2 4" xfId="33261"/>
    <cellStyle name="Normal 11 5 2 4 3 3" xfId="13156"/>
    <cellStyle name="Normal 11 5 2 4 3 3 2" xfId="36577"/>
    <cellStyle name="Normal 11 5 2 4 3 4" xfId="19846"/>
    <cellStyle name="Normal 11 5 2 4 3 4 2" xfId="42381"/>
    <cellStyle name="Normal 11 5 2 4 3 5" xfId="29945"/>
    <cellStyle name="Normal 11 5 2 4 4" xfId="8101"/>
    <cellStyle name="Normal 11 5 2 4 4 2" xfId="14814"/>
    <cellStyle name="Normal 11 5 2 4 4 2 2" xfId="38235"/>
    <cellStyle name="Normal 11 5 2 4 4 3" xfId="20769"/>
    <cellStyle name="Normal 11 5 2 4 4 3 2" xfId="43220"/>
    <cellStyle name="Normal 11 5 2 4 4 4" xfId="31603"/>
    <cellStyle name="Normal 11 5 2 4 5" xfId="11496"/>
    <cellStyle name="Normal 11 5 2 4 5 2" xfId="21841"/>
    <cellStyle name="Normal 11 5 2 4 5 2 2" xfId="44283"/>
    <cellStyle name="Normal 11 5 2 4 5 3" xfId="34919"/>
    <cellStyle name="Normal 11 5 2 4 6" xfId="18596"/>
    <cellStyle name="Normal 11 5 2 4 6 2" xfId="41540"/>
    <cellStyle name="Normal 11 5 2 4 7" xfId="23483"/>
    <cellStyle name="Normal 11 5 2 4 7 2" xfId="45823"/>
    <cellStyle name="Normal 11 5 2 4 8" xfId="28287"/>
    <cellStyle name="Normal 11 5 2 5" xfId="2663"/>
    <cellStyle name="Normal 11 5 2 5 2" xfId="5756"/>
    <cellStyle name="Normal 11 5 2 5 2 2" xfId="7538"/>
    <cellStyle name="Normal 11 5 2 5 2 2 2" xfId="10867"/>
    <cellStyle name="Normal 11 5 2 5 2 2 2 2" xfId="17571"/>
    <cellStyle name="Normal 11 5 2 5 2 2 2 2 2" xfId="40992"/>
    <cellStyle name="Normal 11 5 2 5 2 2 2 3" xfId="34360"/>
    <cellStyle name="Normal 11 5 2 5 2 2 3" xfId="14255"/>
    <cellStyle name="Normal 11 5 2 5 2 2 3 2" xfId="37676"/>
    <cellStyle name="Normal 11 5 2 5 2 2 4" xfId="20625"/>
    <cellStyle name="Normal 11 5 2 5 2 2 4 2" xfId="43076"/>
    <cellStyle name="Normal 11 5 2 5 2 2 5" xfId="31044"/>
    <cellStyle name="Normal 11 5 2 5 2 3" xfId="9209"/>
    <cellStyle name="Normal 11 5 2 5 2 3 2" xfId="15913"/>
    <cellStyle name="Normal 11 5 2 5 2 3 2 2" xfId="39334"/>
    <cellStyle name="Normal 11 5 2 5 2 3 3" xfId="21543"/>
    <cellStyle name="Normal 11 5 2 5 2 3 3 2" xfId="43994"/>
    <cellStyle name="Normal 11 5 2 5 2 3 4" xfId="32702"/>
    <cellStyle name="Normal 11 5 2 5 2 4" xfId="12597"/>
    <cellStyle name="Normal 11 5 2 5 2 4 2" xfId="22890"/>
    <cellStyle name="Normal 11 5 2 5 2 4 2 2" xfId="45312"/>
    <cellStyle name="Normal 11 5 2 5 2 4 3" xfId="36018"/>
    <cellStyle name="Normal 11 5 2 5 2 5" xfId="20054"/>
    <cellStyle name="Normal 11 5 2 5 2 5 2" xfId="42589"/>
    <cellStyle name="Normal 11 5 2 5 2 6" xfId="27962"/>
    <cellStyle name="Normal 11 5 2 5 2 6 2" xfId="50207"/>
    <cellStyle name="Normal 11 5 2 5 2 7" xfId="29386"/>
    <cellStyle name="Normal 11 5 2 5 3" xfId="6639"/>
    <cellStyle name="Normal 11 5 2 5 3 2" xfId="9971"/>
    <cellStyle name="Normal 11 5 2 5 3 2 2" xfId="16675"/>
    <cellStyle name="Normal 11 5 2 5 3 2 2 2" xfId="40096"/>
    <cellStyle name="Normal 11 5 2 5 3 2 3" xfId="33464"/>
    <cellStyle name="Normal 11 5 2 5 3 3" xfId="13359"/>
    <cellStyle name="Normal 11 5 2 5 3 3 2" xfId="36780"/>
    <cellStyle name="Normal 11 5 2 5 3 4" xfId="20527"/>
    <cellStyle name="Normal 11 5 2 5 3 4 2" xfId="42980"/>
    <cellStyle name="Normal 11 5 2 5 3 5" xfId="30148"/>
    <cellStyle name="Normal 11 5 2 5 4" xfId="8305"/>
    <cellStyle name="Normal 11 5 2 5 4 2" xfId="15017"/>
    <cellStyle name="Normal 11 5 2 5 4 2 2" xfId="38438"/>
    <cellStyle name="Normal 11 5 2 5 4 3" xfId="21084"/>
    <cellStyle name="Normal 11 5 2 5 4 3 2" xfId="43535"/>
    <cellStyle name="Normal 11 5 2 5 4 4" xfId="31806"/>
    <cellStyle name="Normal 11 5 2 5 5" xfId="11699"/>
    <cellStyle name="Normal 11 5 2 5 5 2" xfId="22062"/>
    <cellStyle name="Normal 11 5 2 5 5 2 2" xfId="44490"/>
    <cellStyle name="Normal 11 5 2 5 5 3" xfId="35122"/>
    <cellStyle name="Normal 11 5 2 5 6" xfId="19200"/>
    <cellStyle name="Normal 11 5 2 5 6 2" xfId="41757"/>
    <cellStyle name="Normal 11 5 2 5 7" xfId="25657"/>
    <cellStyle name="Normal 11 5 2 5 7 2" xfId="47902"/>
    <cellStyle name="Normal 11 5 2 5 8" xfId="28490"/>
    <cellStyle name="Normal 11 5 2 6" xfId="3877"/>
    <cellStyle name="Normal 11 5 2 6 2" xfId="6989"/>
    <cellStyle name="Normal 11 5 2 6 2 2" xfId="10321"/>
    <cellStyle name="Normal 11 5 2 6 2 2 2" xfId="17025"/>
    <cellStyle name="Normal 11 5 2 6 2 2 2 2" xfId="40446"/>
    <cellStyle name="Normal 11 5 2 6 2 2 3" xfId="33814"/>
    <cellStyle name="Normal 11 5 2 6 2 3" xfId="13709"/>
    <cellStyle name="Normal 11 5 2 6 2 3 2" xfId="37130"/>
    <cellStyle name="Normal 11 5 2 6 2 4" xfId="20572"/>
    <cellStyle name="Normal 11 5 2 6 2 4 2" xfId="43025"/>
    <cellStyle name="Normal 11 5 2 6 2 5" xfId="30498"/>
    <cellStyle name="Normal 11 5 2 6 3" xfId="8656"/>
    <cellStyle name="Normal 11 5 2 6 3 2" xfId="15367"/>
    <cellStyle name="Normal 11 5 2 6 3 2 2" xfId="38788"/>
    <cellStyle name="Normal 11 5 2 6 3 3" xfId="21221"/>
    <cellStyle name="Normal 11 5 2 6 3 3 2" xfId="43672"/>
    <cellStyle name="Normal 11 5 2 6 3 4" xfId="32156"/>
    <cellStyle name="Normal 11 5 2 6 4" xfId="12049"/>
    <cellStyle name="Normal 11 5 2 6 4 2" xfId="22483"/>
    <cellStyle name="Normal 11 5 2 6 4 2 2" xfId="44905"/>
    <cellStyle name="Normal 11 5 2 6 4 3" xfId="35472"/>
    <cellStyle name="Normal 11 5 2 6 5" xfId="19636"/>
    <cellStyle name="Normal 11 5 2 6 5 2" xfId="42173"/>
    <cellStyle name="Normal 11 5 2 6 6" xfId="25694"/>
    <cellStyle name="Normal 11 5 2 6 6 2" xfId="47939"/>
    <cellStyle name="Normal 11 5 2 6 7" xfId="28840"/>
    <cellStyle name="Normal 11 5 2 7" xfId="6166"/>
    <cellStyle name="Normal 11 5 2 7 2" xfId="9500"/>
    <cellStyle name="Normal 11 5 2 7 2 2" xfId="16204"/>
    <cellStyle name="Normal 11 5 2 7 2 2 2" xfId="39625"/>
    <cellStyle name="Normal 11 5 2 7 2 3" xfId="32993"/>
    <cellStyle name="Normal 11 5 2 7 3" xfId="12888"/>
    <cellStyle name="Normal 11 5 2 7 3 2" xfId="36309"/>
    <cellStyle name="Normal 11 5 2 7 4" xfId="17893"/>
    <cellStyle name="Normal 11 5 2 7 4 2" xfId="41243"/>
    <cellStyle name="Normal 11 5 2 7 5" xfId="29677"/>
    <cellStyle name="Normal 11 5 2 8" xfId="7832"/>
    <cellStyle name="Normal 11 5 2 8 2" xfId="14546"/>
    <cellStyle name="Normal 11 5 2 8 2 2" xfId="37967"/>
    <cellStyle name="Normal 11 5 2 8 3" xfId="20762"/>
    <cellStyle name="Normal 11 5 2 8 3 2" xfId="43213"/>
    <cellStyle name="Normal 11 5 2 8 4" xfId="31335"/>
    <cellStyle name="Normal 11 5 2 9" xfId="11228"/>
    <cellStyle name="Normal 11 5 2 9 2" xfId="21632"/>
    <cellStyle name="Normal 11 5 2 9 2 2" xfId="44081"/>
    <cellStyle name="Normal 11 5 2 9 3" xfId="34651"/>
    <cellStyle name="Normal 11 5 3" xfId="1625"/>
    <cellStyle name="Normal 11 5 3 10" xfId="23579"/>
    <cellStyle name="Normal 11 5 3 10 2" xfId="45899"/>
    <cellStyle name="Normal 11 5 3 11" xfId="28066"/>
    <cellStyle name="Normal 11 5 3 2" xfId="1845"/>
    <cellStyle name="Normal 11 5 3 2 10" xfId="28197"/>
    <cellStyle name="Normal 11 5 3 2 2" xfId="2247"/>
    <cellStyle name="Normal 11 5 3 2 2 2" xfId="5518"/>
    <cellStyle name="Normal 11 5 3 2 2 2 2" xfId="7343"/>
    <cellStyle name="Normal 11 5 3 2 2 2 2 2" xfId="10674"/>
    <cellStyle name="Normal 11 5 3 2 2 2 2 2 2" xfId="17378"/>
    <cellStyle name="Normal 11 5 3 2 2 2 2 2 2 2" xfId="40799"/>
    <cellStyle name="Normal 11 5 3 2 2 2 2 2 3" xfId="23095"/>
    <cellStyle name="Normal 11 5 3 2 2 2 2 2 3 2" xfId="45517"/>
    <cellStyle name="Normal 11 5 3 2 2 2 2 2 4" xfId="34167"/>
    <cellStyle name="Normal 11 5 3 2 2 2 2 3" xfId="14062"/>
    <cellStyle name="Normal 11 5 3 2 2 2 2 3 2" xfId="37483"/>
    <cellStyle name="Normal 11 5 3 2 2 2 2 4" xfId="20267"/>
    <cellStyle name="Normal 11 5 3 2 2 2 2 4 2" xfId="42802"/>
    <cellStyle name="Normal 11 5 3 2 2 2 2 5" xfId="30851"/>
    <cellStyle name="Normal 11 5 3 2 2 2 3" xfId="9016"/>
    <cellStyle name="Normal 11 5 3 2 2 2 3 2" xfId="15720"/>
    <cellStyle name="Normal 11 5 3 2 2 2 3 2 2" xfId="39141"/>
    <cellStyle name="Normal 11 5 3 2 2 2 3 3" xfId="21231"/>
    <cellStyle name="Normal 11 5 3 2 2 2 3 3 2" xfId="43682"/>
    <cellStyle name="Normal 11 5 3 2 2 2 3 4" xfId="32509"/>
    <cellStyle name="Normal 11 5 3 2 2 2 4" xfId="12404"/>
    <cellStyle name="Normal 11 5 3 2 2 2 4 2" xfId="22280"/>
    <cellStyle name="Normal 11 5 3 2 2 2 4 2 2" xfId="44702"/>
    <cellStyle name="Normal 11 5 3 2 2 2 4 3" xfId="35825"/>
    <cellStyle name="Normal 11 5 3 2 2 2 5" xfId="19428"/>
    <cellStyle name="Normal 11 5 3 2 2 2 5 2" xfId="41970"/>
    <cellStyle name="Normal 11 5 3 2 2 2 6" xfId="29193"/>
    <cellStyle name="Normal 11 5 3 2 2 3" xfId="6439"/>
    <cellStyle name="Normal 11 5 3 2 2 3 2" xfId="9773"/>
    <cellStyle name="Normal 11 5 3 2 2 3 2 2" xfId="16477"/>
    <cellStyle name="Normal 11 5 3 2 2 3 2 2 2" xfId="39898"/>
    <cellStyle name="Normal 11 5 3 2 2 3 2 3" xfId="22688"/>
    <cellStyle name="Normal 11 5 3 2 2 3 2 3 2" xfId="45110"/>
    <cellStyle name="Normal 11 5 3 2 2 3 2 4" xfId="33266"/>
    <cellStyle name="Normal 11 5 3 2 2 3 3" xfId="13161"/>
    <cellStyle name="Normal 11 5 3 2 2 3 3 2" xfId="36582"/>
    <cellStyle name="Normal 11 5 3 2 2 3 4" xfId="19851"/>
    <cellStyle name="Normal 11 5 3 2 2 3 4 2" xfId="42386"/>
    <cellStyle name="Normal 11 5 3 2 2 3 5" xfId="29950"/>
    <cellStyle name="Normal 11 5 3 2 2 4" xfId="8106"/>
    <cellStyle name="Normal 11 5 3 2 2 4 2" xfId="14819"/>
    <cellStyle name="Normal 11 5 3 2 2 4 2 2" xfId="38240"/>
    <cellStyle name="Normal 11 5 3 2 2 4 3" xfId="20772"/>
    <cellStyle name="Normal 11 5 3 2 2 4 3 2" xfId="43223"/>
    <cellStyle name="Normal 11 5 3 2 2 4 4" xfId="31608"/>
    <cellStyle name="Normal 11 5 3 2 2 5" xfId="11501"/>
    <cellStyle name="Normal 11 5 3 2 2 5 2" xfId="21846"/>
    <cellStyle name="Normal 11 5 3 2 2 5 2 2" xfId="44288"/>
    <cellStyle name="Normal 11 5 3 2 2 5 3" xfId="34924"/>
    <cellStyle name="Normal 11 5 3 2 2 6" xfId="18601"/>
    <cellStyle name="Normal 11 5 3 2 2 6 2" xfId="41545"/>
    <cellStyle name="Normal 11 5 3 2 2 7" xfId="25845"/>
    <cellStyle name="Normal 11 5 3 2 2 7 2" xfId="48090"/>
    <cellStyle name="Normal 11 5 3 2 2 8" xfId="28292"/>
    <cellStyle name="Normal 11 5 3 2 3" xfId="2842"/>
    <cellStyle name="Normal 11 5 3 2 3 2" xfId="5934"/>
    <cellStyle name="Normal 11 5 3 2 3 2 2" xfId="7716"/>
    <cellStyle name="Normal 11 5 3 2 3 2 2 2" xfId="11045"/>
    <cellStyle name="Normal 11 5 3 2 3 2 2 2 2" xfId="17749"/>
    <cellStyle name="Normal 11 5 3 2 3 2 2 2 2 2" xfId="41170"/>
    <cellStyle name="Normal 11 5 3 2 3 2 2 2 3" xfId="34538"/>
    <cellStyle name="Normal 11 5 3 2 3 2 2 3" xfId="14433"/>
    <cellStyle name="Normal 11 5 3 2 3 2 2 3 2" xfId="37854"/>
    <cellStyle name="Normal 11 5 3 2 3 2 2 4" xfId="22895"/>
    <cellStyle name="Normal 11 5 3 2 3 2 2 4 2" xfId="45317"/>
    <cellStyle name="Normal 11 5 3 2 3 2 2 5" xfId="31222"/>
    <cellStyle name="Normal 11 5 3 2 3 2 3" xfId="9387"/>
    <cellStyle name="Normal 11 5 3 2 3 2 3 2" xfId="16091"/>
    <cellStyle name="Normal 11 5 3 2 3 2 3 2 2" xfId="39512"/>
    <cellStyle name="Normal 11 5 3 2 3 2 3 3" xfId="32880"/>
    <cellStyle name="Normal 11 5 3 2 3 2 4" xfId="12775"/>
    <cellStyle name="Normal 11 5 3 2 3 2 4 2" xfId="36196"/>
    <cellStyle name="Normal 11 5 3 2 3 2 5" xfId="20059"/>
    <cellStyle name="Normal 11 5 3 2 3 2 5 2" xfId="42594"/>
    <cellStyle name="Normal 11 5 3 2 3 2 6" xfId="29564"/>
    <cellStyle name="Normal 11 5 3 2 3 3" xfId="6817"/>
    <cellStyle name="Normal 11 5 3 2 3 3 2" xfId="10149"/>
    <cellStyle name="Normal 11 5 3 2 3 3 2 2" xfId="16853"/>
    <cellStyle name="Normal 11 5 3 2 3 3 2 2 2" xfId="40274"/>
    <cellStyle name="Normal 11 5 3 2 3 3 2 3" xfId="33642"/>
    <cellStyle name="Normal 11 5 3 2 3 3 3" xfId="13537"/>
    <cellStyle name="Normal 11 5 3 2 3 3 3 2" xfId="36958"/>
    <cellStyle name="Normal 11 5 3 2 3 3 4" xfId="21230"/>
    <cellStyle name="Normal 11 5 3 2 3 3 4 2" xfId="43681"/>
    <cellStyle name="Normal 11 5 3 2 3 3 5" xfId="30326"/>
    <cellStyle name="Normal 11 5 3 2 3 4" xfId="8483"/>
    <cellStyle name="Normal 11 5 3 2 3 4 2" xfId="15195"/>
    <cellStyle name="Normal 11 5 3 2 3 4 2 2" xfId="38616"/>
    <cellStyle name="Normal 11 5 3 2 3 4 3" xfId="22067"/>
    <cellStyle name="Normal 11 5 3 2 3 4 3 2" xfId="44495"/>
    <cellStyle name="Normal 11 5 3 2 3 4 4" xfId="31984"/>
    <cellStyle name="Normal 11 5 3 2 3 5" xfId="11877"/>
    <cellStyle name="Normal 11 5 3 2 3 5 2" xfId="35300"/>
    <cellStyle name="Normal 11 5 3 2 3 6" xfId="19205"/>
    <cellStyle name="Normal 11 5 3 2 3 6 2" xfId="41762"/>
    <cellStyle name="Normal 11 5 3 2 3 7" xfId="28668"/>
    <cellStyle name="Normal 11 5 3 2 4" xfId="3882"/>
    <cellStyle name="Normal 11 5 3 2 4 2" xfId="6994"/>
    <cellStyle name="Normal 11 5 3 2 4 2 2" xfId="10326"/>
    <cellStyle name="Normal 11 5 3 2 4 2 2 2" xfId="17030"/>
    <cellStyle name="Normal 11 5 3 2 4 2 2 2 2" xfId="40451"/>
    <cellStyle name="Normal 11 5 3 2 4 2 2 3" xfId="33819"/>
    <cellStyle name="Normal 11 5 3 2 4 2 3" xfId="13714"/>
    <cellStyle name="Normal 11 5 3 2 4 2 3 2" xfId="37135"/>
    <cellStyle name="Normal 11 5 3 2 4 2 4" xfId="22488"/>
    <cellStyle name="Normal 11 5 3 2 4 2 4 2" xfId="44910"/>
    <cellStyle name="Normal 11 5 3 2 4 2 5" xfId="30503"/>
    <cellStyle name="Normal 11 5 3 2 4 3" xfId="8661"/>
    <cellStyle name="Normal 11 5 3 2 4 3 2" xfId="15372"/>
    <cellStyle name="Normal 11 5 3 2 4 3 2 2" xfId="38793"/>
    <cellStyle name="Normal 11 5 3 2 4 3 3" xfId="32161"/>
    <cellStyle name="Normal 11 5 3 2 4 4" xfId="12054"/>
    <cellStyle name="Normal 11 5 3 2 4 4 2" xfId="35477"/>
    <cellStyle name="Normal 11 5 3 2 4 5" xfId="19641"/>
    <cellStyle name="Normal 11 5 3 2 4 5 2" xfId="42178"/>
    <cellStyle name="Normal 11 5 3 2 4 6" xfId="28845"/>
    <cellStyle name="Normal 11 5 3 2 5" xfId="6344"/>
    <cellStyle name="Normal 11 5 3 2 5 2" xfId="9678"/>
    <cellStyle name="Normal 11 5 3 2 5 2 2" xfId="16382"/>
    <cellStyle name="Normal 11 5 3 2 5 2 2 2" xfId="39803"/>
    <cellStyle name="Normal 11 5 3 2 5 2 3" xfId="33171"/>
    <cellStyle name="Normal 11 5 3 2 5 3" xfId="13066"/>
    <cellStyle name="Normal 11 5 3 2 5 3 2" xfId="36487"/>
    <cellStyle name="Normal 11 5 3 2 5 4" xfId="20771"/>
    <cellStyle name="Normal 11 5 3 2 5 4 2" xfId="43222"/>
    <cellStyle name="Normal 11 5 3 2 5 5" xfId="29855"/>
    <cellStyle name="Normal 11 5 3 2 6" xfId="8010"/>
    <cellStyle name="Normal 11 5 3 2 6 2" xfId="14724"/>
    <cellStyle name="Normal 11 5 3 2 6 2 2" xfId="38145"/>
    <cellStyle name="Normal 11 5 3 2 6 3" xfId="21637"/>
    <cellStyle name="Normal 11 5 3 2 6 3 2" xfId="44086"/>
    <cellStyle name="Normal 11 5 3 2 6 4" xfId="31513"/>
    <cellStyle name="Normal 11 5 3 2 7" xfId="11406"/>
    <cellStyle name="Normal 11 5 3 2 7 2" xfId="34829"/>
    <cellStyle name="Normal 11 5 3 2 8" xfId="18001"/>
    <cellStyle name="Normal 11 5 3 2 8 2" xfId="41309"/>
    <cellStyle name="Normal 11 5 3 2 9" xfId="23580"/>
    <cellStyle name="Normal 11 5 3 2 9 2" xfId="45900"/>
    <cellStyle name="Normal 11 5 3 3" xfId="2246"/>
    <cellStyle name="Normal 11 5 3 3 2" xfId="5517"/>
    <cellStyle name="Normal 11 5 3 3 2 2" xfId="7342"/>
    <cellStyle name="Normal 11 5 3 3 2 2 2" xfId="10673"/>
    <cellStyle name="Normal 11 5 3 3 2 2 2 2" xfId="17377"/>
    <cellStyle name="Normal 11 5 3 3 2 2 2 2 2" xfId="40798"/>
    <cellStyle name="Normal 11 5 3 3 2 2 2 3" xfId="23094"/>
    <cellStyle name="Normal 11 5 3 3 2 2 2 3 2" xfId="45516"/>
    <cellStyle name="Normal 11 5 3 3 2 2 2 4" xfId="34166"/>
    <cellStyle name="Normal 11 5 3 3 2 2 3" xfId="14061"/>
    <cellStyle name="Normal 11 5 3 3 2 2 3 2" xfId="37482"/>
    <cellStyle name="Normal 11 5 3 3 2 2 4" xfId="20266"/>
    <cellStyle name="Normal 11 5 3 3 2 2 4 2" xfId="42801"/>
    <cellStyle name="Normal 11 5 3 3 2 2 5" xfId="30850"/>
    <cellStyle name="Normal 11 5 3 3 2 3" xfId="9015"/>
    <cellStyle name="Normal 11 5 3 3 2 3 2" xfId="15719"/>
    <cellStyle name="Normal 11 5 3 3 2 3 2 2" xfId="39140"/>
    <cellStyle name="Normal 11 5 3 3 2 3 3" xfId="21232"/>
    <cellStyle name="Normal 11 5 3 3 2 3 3 2" xfId="43683"/>
    <cellStyle name="Normal 11 5 3 3 2 3 4" xfId="32508"/>
    <cellStyle name="Normal 11 5 3 3 2 4" xfId="12403"/>
    <cellStyle name="Normal 11 5 3 3 2 4 2" xfId="22279"/>
    <cellStyle name="Normal 11 5 3 3 2 4 2 2" xfId="44701"/>
    <cellStyle name="Normal 11 5 3 3 2 4 3" xfId="35824"/>
    <cellStyle name="Normal 11 5 3 3 2 5" xfId="19427"/>
    <cellStyle name="Normal 11 5 3 3 2 5 2" xfId="41969"/>
    <cellStyle name="Normal 11 5 3 3 2 6" xfId="29192"/>
    <cellStyle name="Normal 11 5 3 3 3" xfId="6438"/>
    <cellStyle name="Normal 11 5 3 3 3 2" xfId="9772"/>
    <cellStyle name="Normal 11 5 3 3 3 2 2" xfId="16476"/>
    <cellStyle name="Normal 11 5 3 3 3 2 2 2" xfId="39897"/>
    <cellStyle name="Normal 11 5 3 3 3 2 3" xfId="22687"/>
    <cellStyle name="Normal 11 5 3 3 3 2 3 2" xfId="45109"/>
    <cellStyle name="Normal 11 5 3 3 3 2 4" xfId="33265"/>
    <cellStyle name="Normal 11 5 3 3 3 3" xfId="13160"/>
    <cellStyle name="Normal 11 5 3 3 3 3 2" xfId="36581"/>
    <cellStyle name="Normal 11 5 3 3 3 4" xfId="19850"/>
    <cellStyle name="Normal 11 5 3 3 3 4 2" xfId="42385"/>
    <cellStyle name="Normal 11 5 3 3 3 5" xfId="29949"/>
    <cellStyle name="Normal 11 5 3 3 4" xfId="8105"/>
    <cellStyle name="Normal 11 5 3 3 4 2" xfId="14818"/>
    <cellStyle name="Normal 11 5 3 3 4 2 2" xfId="38239"/>
    <cellStyle name="Normal 11 5 3 3 4 3" xfId="20773"/>
    <cellStyle name="Normal 11 5 3 3 4 3 2" xfId="43224"/>
    <cellStyle name="Normal 11 5 3 3 4 4" xfId="31607"/>
    <cellStyle name="Normal 11 5 3 3 5" xfId="11500"/>
    <cellStyle name="Normal 11 5 3 3 5 2" xfId="21845"/>
    <cellStyle name="Normal 11 5 3 3 5 2 2" xfId="44287"/>
    <cellStyle name="Normal 11 5 3 3 5 3" xfId="34923"/>
    <cellStyle name="Normal 11 5 3 3 6" xfId="18600"/>
    <cellStyle name="Normal 11 5 3 3 6 2" xfId="41544"/>
    <cellStyle name="Normal 11 5 3 3 7" xfId="25844"/>
    <cellStyle name="Normal 11 5 3 3 7 2" xfId="48089"/>
    <cellStyle name="Normal 11 5 3 3 8" xfId="28291"/>
    <cellStyle name="Normal 11 5 3 4" xfId="2710"/>
    <cellStyle name="Normal 11 5 3 4 2" xfId="5803"/>
    <cellStyle name="Normal 11 5 3 4 2 2" xfId="7585"/>
    <cellStyle name="Normal 11 5 3 4 2 2 2" xfId="10914"/>
    <cellStyle name="Normal 11 5 3 4 2 2 2 2" xfId="17618"/>
    <cellStyle name="Normal 11 5 3 4 2 2 2 2 2" xfId="41039"/>
    <cellStyle name="Normal 11 5 3 4 2 2 2 3" xfId="34407"/>
    <cellStyle name="Normal 11 5 3 4 2 2 3" xfId="14302"/>
    <cellStyle name="Normal 11 5 3 4 2 2 3 2" xfId="37723"/>
    <cellStyle name="Normal 11 5 3 4 2 2 4" xfId="22894"/>
    <cellStyle name="Normal 11 5 3 4 2 2 4 2" xfId="45316"/>
    <cellStyle name="Normal 11 5 3 4 2 2 5" xfId="31091"/>
    <cellStyle name="Normal 11 5 3 4 2 3" xfId="9256"/>
    <cellStyle name="Normal 11 5 3 4 2 3 2" xfId="15960"/>
    <cellStyle name="Normal 11 5 3 4 2 3 2 2" xfId="39381"/>
    <cellStyle name="Normal 11 5 3 4 2 3 3" xfId="32749"/>
    <cellStyle name="Normal 11 5 3 4 2 4" xfId="12644"/>
    <cellStyle name="Normal 11 5 3 4 2 4 2" xfId="36065"/>
    <cellStyle name="Normal 11 5 3 4 2 5" xfId="20058"/>
    <cellStyle name="Normal 11 5 3 4 2 5 2" xfId="42593"/>
    <cellStyle name="Normal 11 5 3 4 2 6" xfId="29433"/>
    <cellStyle name="Normal 11 5 3 4 3" xfId="6686"/>
    <cellStyle name="Normal 11 5 3 4 3 2" xfId="10018"/>
    <cellStyle name="Normal 11 5 3 4 3 2 2" xfId="16722"/>
    <cellStyle name="Normal 11 5 3 4 3 2 2 2" xfId="40143"/>
    <cellStyle name="Normal 11 5 3 4 3 2 3" xfId="33511"/>
    <cellStyle name="Normal 11 5 3 4 3 3" xfId="13406"/>
    <cellStyle name="Normal 11 5 3 4 3 3 2" xfId="36827"/>
    <cellStyle name="Normal 11 5 3 4 3 4" xfId="21229"/>
    <cellStyle name="Normal 11 5 3 4 3 4 2" xfId="43680"/>
    <cellStyle name="Normal 11 5 3 4 3 5" xfId="30195"/>
    <cellStyle name="Normal 11 5 3 4 4" xfId="8352"/>
    <cellStyle name="Normal 11 5 3 4 4 2" xfId="15064"/>
    <cellStyle name="Normal 11 5 3 4 4 2 2" xfId="38485"/>
    <cellStyle name="Normal 11 5 3 4 4 3" xfId="22066"/>
    <cellStyle name="Normal 11 5 3 4 4 3 2" xfId="44494"/>
    <cellStyle name="Normal 11 5 3 4 4 4" xfId="31853"/>
    <cellStyle name="Normal 11 5 3 4 5" xfId="11746"/>
    <cellStyle name="Normal 11 5 3 4 5 2" xfId="35169"/>
    <cellStyle name="Normal 11 5 3 4 6" xfId="19204"/>
    <cellStyle name="Normal 11 5 3 4 6 2" xfId="41761"/>
    <cellStyle name="Normal 11 5 3 4 7" xfId="28537"/>
    <cellStyle name="Normal 11 5 3 5" xfId="3881"/>
    <cellStyle name="Normal 11 5 3 5 2" xfId="6993"/>
    <cellStyle name="Normal 11 5 3 5 2 2" xfId="10325"/>
    <cellStyle name="Normal 11 5 3 5 2 2 2" xfId="17029"/>
    <cellStyle name="Normal 11 5 3 5 2 2 2 2" xfId="40450"/>
    <cellStyle name="Normal 11 5 3 5 2 2 3" xfId="33818"/>
    <cellStyle name="Normal 11 5 3 5 2 3" xfId="13713"/>
    <cellStyle name="Normal 11 5 3 5 2 3 2" xfId="37134"/>
    <cellStyle name="Normal 11 5 3 5 2 4" xfId="22487"/>
    <cellStyle name="Normal 11 5 3 5 2 4 2" xfId="44909"/>
    <cellStyle name="Normal 11 5 3 5 2 5" xfId="30502"/>
    <cellStyle name="Normal 11 5 3 5 3" xfId="8660"/>
    <cellStyle name="Normal 11 5 3 5 3 2" xfId="15371"/>
    <cellStyle name="Normal 11 5 3 5 3 2 2" xfId="38792"/>
    <cellStyle name="Normal 11 5 3 5 3 3" xfId="32160"/>
    <cellStyle name="Normal 11 5 3 5 4" xfId="12053"/>
    <cellStyle name="Normal 11 5 3 5 4 2" xfId="35476"/>
    <cellStyle name="Normal 11 5 3 5 5" xfId="19640"/>
    <cellStyle name="Normal 11 5 3 5 5 2" xfId="42177"/>
    <cellStyle name="Normal 11 5 3 5 6" xfId="28844"/>
    <cellStyle name="Normal 11 5 3 6" xfId="6213"/>
    <cellStyle name="Normal 11 5 3 6 2" xfId="9547"/>
    <cellStyle name="Normal 11 5 3 6 2 2" xfId="16251"/>
    <cellStyle name="Normal 11 5 3 6 2 2 2" xfId="39672"/>
    <cellStyle name="Normal 11 5 3 6 2 3" xfId="33040"/>
    <cellStyle name="Normal 11 5 3 6 3" xfId="12935"/>
    <cellStyle name="Normal 11 5 3 6 3 2" xfId="36356"/>
    <cellStyle name="Normal 11 5 3 6 4" xfId="20770"/>
    <cellStyle name="Normal 11 5 3 6 4 2" xfId="43221"/>
    <cellStyle name="Normal 11 5 3 6 5" xfId="29724"/>
    <cellStyle name="Normal 11 5 3 7" xfId="7879"/>
    <cellStyle name="Normal 11 5 3 7 2" xfId="14593"/>
    <cellStyle name="Normal 11 5 3 7 2 2" xfId="38014"/>
    <cellStyle name="Normal 11 5 3 7 3" xfId="21636"/>
    <cellStyle name="Normal 11 5 3 7 3 2" xfId="44085"/>
    <cellStyle name="Normal 11 5 3 7 4" xfId="31382"/>
    <cellStyle name="Normal 11 5 3 8" xfId="11275"/>
    <cellStyle name="Normal 11 5 3 8 2" xfId="34698"/>
    <cellStyle name="Normal 11 5 3 9" xfId="18000"/>
    <cellStyle name="Normal 11 5 3 9 2" xfId="41308"/>
    <cellStyle name="Normal 11 5 4" xfId="1761"/>
    <cellStyle name="Normal 11 5 4 10" xfId="28114"/>
    <cellStyle name="Normal 11 5 4 2" xfId="2248"/>
    <cellStyle name="Normal 11 5 4 2 2" xfId="5519"/>
    <cellStyle name="Normal 11 5 4 2 2 2" xfId="7344"/>
    <cellStyle name="Normal 11 5 4 2 2 2 2" xfId="10675"/>
    <cellStyle name="Normal 11 5 4 2 2 2 2 2" xfId="17379"/>
    <cellStyle name="Normal 11 5 4 2 2 2 2 2 2" xfId="40800"/>
    <cellStyle name="Normal 11 5 4 2 2 2 2 3" xfId="23096"/>
    <cellStyle name="Normal 11 5 4 2 2 2 2 3 2" xfId="45518"/>
    <cellStyle name="Normal 11 5 4 2 2 2 2 4" xfId="34168"/>
    <cellStyle name="Normal 11 5 4 2 2 2 3" xfId="14063"/>
    <cellStyle name="Normal 11 5 4 2 2 2 3 2" xfId="37484"/>
    <cellStyle name="Normal 11 5 4 2 2 2 4" xfId="20268"/>
    <cellStyle name="Normal 11 5 4 2 2 2 4 2" xfId="42803"/>
    <cellStyle name="Normal 11 5 4 2 2 2 5" xfId="30852"/>
    <cellStyle name="Normal 11 5 4 2 2 3" xfId="9017"/>
    <cellStyle name="Normal 11 5 4 2 2 3 2" xfId="15721"/>
    <cellStyle name="Normal 11 5 4 2 2 3 2 2" xfId="39142"/>
    <cellStyle name="Normal 11 5 4 2 2 3 3" xfId="21234"/>
    <cellStyle name="Normal 11 5 4 2 2 3 3 2" xfId="43685"/>
    <cellStyle name="Normal 11 5 4 2 2 3 4" xfId="32510"/>
    <cellStyle name="Normal 11 5 4 2 2 4" xfId="12405"/>
    <cellStyle name="Normal 11 5 4 2 2 4 2" xfId="22281"/>
    <cellStyle name="Normal 11 5 4 2 2 4 2 2" xfId="44703"/>
    <cellStyle name="Normal 11 5 4 2 2 4 3" xfId="35826"/>
    <cellStyle name="Normal 11 5 4 2 2 5" xfId="19429"/>
    <cellStyle name="Normal 11 5 4 2 2 5 2" xfId="41971"/>
    <cellStyle name="Normal 11 5 4 2 2 6" xfId="29194"/>
    <cellStyle name="Normal 11 5 4 2 3" xfId="6440"/>
    <cellStyle name="Normal 11 5 4 2 3 2" xfId="9774"/>
    <cellStyle name="Normal 11 5 4 2 3 2 2" xfId="16478"/>
    <cellStyle name="Normal 11 5 4 2 3 2 2 2" xfId="39899"/>
    <cellStyle name="Normal 11 5 4 2 3 2 3" xfId="22689"/>
    <cellStyle name="Normal 11 5 4 2 3 2 3 2" xfId="45111"/>
    <cellStyle name="Normal 11 5 4 2 3 2 4" xfId="33267"/>
    <cellStyle name="Normal 11 5 4 2 3 3" xfId="13162"/>
    <cellStyle name="Normal 11 5 4 2 3 3 2" xfId="36583"/>
    <cellStyle name="Normal 11 5 4 2 3 4" xfId="19852"/>
    <cellStyle name="Normal 11 5 4 2 3 4 2" xfId="42387"/>
    <cellStyle name="Normal 11 5 4 2 3 5" xfId="29951"/>
    <cellStyle name="Normal 11 5 4 2 4" xfId="8107"/>
    <cellStyle name="Normal 11 5 4 2 4 2" xfId="14820"/>
    <cellStyle name="Normal 11 5 4 2 4 2 2" xfId="38241"/>
    <cellStyle name="Normal 11 5 4 2 4 3" xfId="20775"/>
    <cellStyle name="Normal 11 5 4 2 4 3 2" xfId="43226"/>
    <cellStyle name="Normal 11 5 4 2 4 4" xfId="31609"/>
    <cellStyle name="Normal 11 5 4 2 5" xfId="11502"/>
    <cellStyle name="Normal 11 5 4 2 5 2" xfId="21847"/>
    <cellStyle name="Normal 11 5 4 2 5 2 2" xfId="44289"/>
    <cellStyle name="Normal 11 5 4 2 5 3" xfId="34925"/>
    <cellStyle name="Normal 11 5 4 2 6" xfId="18602"/>
    <cellStyle name="Normal 11 5 4 2 6 2" xfId="41546"/>
    <cellStyle name="Normal 11 5 4 2 7" xfId="25846"/>
    <cellStyle name="Normal 11 5 4 2 7 2" xfId="48091"/>
    <cellStyle name="Normal 11 5 4 2 8" xfId="28293"/>
    <cellStyle name="Normal 11 5 4 3" xfId="2759"/>
    <cellStyle name="Normal 11 5 4 3 2" xfId="5851"/>
    <cellStyle name="Normal 11 5 4 3 2 2" xfId="7633"/>
    <cellStyle name="Normal 11 5 4 3 2 2 2" xfId="10962"/>
    <cellStyle name="Normal 11 5 4 3 2 2 2 2" xfId="17666"/>
    <cellStyle name="Normal 11 5 4 3 2 2 2 2 2" xfId="41087"/>
    <cellStyle name="Normal 11 5 4 3 2 2 2 3" xfId="34455"/>
    <cellStyle name="Normal 11 5 4 3 2 2 3" xfId="14350"/>
    <cellStyle name="Normal 11 5 4 3 2 2 3 2" xfId="37771"/>
    <cellStyle name="Normal 11 5 4 3 2 2 4" xfId="22896"/>
    <cellStyle name="Normal 11 5 4 3 2 2 4 2" xfId="45318"/>
    <cellStyle name="Normal 11 5 4 3 2 2 5" xfId="31139"/>
    <cellStyle name="Normal 11 5 4 3 2 3" xfId="9304"/>
    <cellStyle name="Normal 11 5 4 3 2 3 2" xfId="16008"/>
    <cellStyle name="Normal 11 5 4 3 2 3 2 2" xfId="39429"/>
    <cellStyle name="Normal 11 5 4 3 2 3 3" xfId="32797"/>
    <cellStyle name="Normal 11 5 4 3 2 4" xfId="12692"/>
    <cellStyle name="Normal 11 5 4 3 2 4 2" xfId="36113"/>
    <cellStyle name="Normal 11 5 4 3 2 5" xfId="20060"/>
    <cellStyle name="Normal 11 5 4 3 2 5 2" xfId="42595"/>
    <cellStyle name="Normal 11 5 4 3 2 6" xfId="29481"/>
    <cellStyle name="Normal 11 5 4 3 3" xfId="6734"/>
    <cellStyle name="Normal 11 5 4 3 3 2" xfId="10066"/>
    <cellStyle name="Normal 11 5 4 3 3 2 2" xfId="16770"/>
    <cellStyle name="Normal 11 5 4 3 3 2 2 2" xfId="40191"/>
    <cellStyle name="Normal 11 5 4 3 3 2 3" xfId="33559"/>
    <cellStyle name="Normal 11 5 4 3 3 3" xfId="13454"/>
    <cellStyle name="Normal 11 5 4 3 3 3 2" xfId="36875"/>
    <cellStyle name="Normal 11 5 4 3 3 4" xfId="21233"/>
    <cellStyle name="Normal 11 5 4 3 3 4 2" xfId="43684"/>
    <cellStyle name="Normal 11 5 4 3 3 5" xfId="30243"/>
    <cellStyle name="Normal 11 5 4 3 4" xfId="8400"/>
    <cellStyle name="Normal 11 5 4 3 4 2" xfId="15112"/>
    <cellStyle name="Normal 11 5 4 3 4 2 2" xfId="38533"/>
    <cellStyle name="Normal 11 5 4 3 4 3" xfId="22068"/>
    <cellStyle name="Normal 11 5 4 3 4 3 2" xfId="44496"/>
    <cellStyle name="Normal 11 5 4 3 4 4" xfId="31901"/>
    <cellStyle name="Normal 11 5 4 3 5" xfId="11794"/>
    <cellStyle name="Normal 11 5 4 3 5 2" xfId="35217"/>
    <cellStyle name="Normal 11 5 4 3 6" xfId="19206"/>
    <cellStyle name="Normal 11 5 4 3 6 2" xfId="41763"/>
    <cellStyle name="Normal 11 5 4 3 7" xfId="28585"/>
    <cellStyle name="Normal 11 5 4 4" xfId="3883"/>
    <cellStyle name="Normal 11 5 4 4 2" xfId="6995"/>
    <cellStyle name="Normal 11 5 4 4 2 2" xfId="10327"/>
    <cellStyle name="Normal 11 5 4 4 2 2 2" xfId="17031"/>
    <cellStyle name="Normal 11 5 4 4 2 2 2 2" xfId="40452"/>
    <cellStyle name="Normal 11 5 4 4 2 2 3" xfId="33820"/>
    <cellStyle name="Normal 11 5 4 4 2 3" xfId="13715"/>
    <cellStyle name="Normal 11 5 4 4 2 3 2" xfId="37136"/>
    <cellStyle name="Normal 11 5 4 4 2 4" xfId="22489"/>
    <cellStyle name="Normal 11 5 4 4 2 4 2" xfId="44911"/>
    <cellStyle name="Normal 11 5 4 4 2 5" xfId="30504"/>
    <cellStyle name="Normal 11 5 4 4 3" xfId="8662"/>
    <cellStyle name="Normal 11 5 4 4 3 2" xfId="15373"/>
    <cellStyle name="Normal 11 5 4 4 3 2 2" xfId="38794"/>
    <cellStyle name="Normal 11 5 4 4 3 3" xfId="32162"/>
    <cellStyle name="Normal 11 5 4 4 4" xfId="12055"/>
    <cellStyle name="Normal 11 5 4 4 4 2" xfId="35478"/>
    <cellStyle name="Normal 11 5 4 4 5" xfId="19642"/>
    <cellStyle name="Normal 11 5 4 4 5 2" xfId="42179"/>
    <cellStyle name="Normal 11 5 4 4 6" xfId="28846"/>
    <cellStyle name="Normal 11 5 4 5" xfId="6261"/>
    <cellStyle name="Normal 11 5 4 5 2" xfId="9595"/>
    <cellStyle name="Normal 11 5 4 5 2 2" xfId="16299"/>
    <cellStyle name="Normal 11 5 4 5 2 2 2" xfId="39720"/>
    <cellStyle name="Normal 11 5 4 5 2 3" xfId="33088"/>
    <cellStyle name="Normal 11 5 4 5 3" xfId="12983"/>
    <cellStyle name="Normal 11 5 4 5 3 2" xfId="36404"/>
    <cellStyle name="Normal 11 5 4 5 4" xfId="20774"/>
    <cellStyle name="Normal 11 5 4 5 4 2" xfId="43225"/>
    <cellStyle name="Normal 11 5 4 5 5" xfId="29772"/>
    <cellStyle name="Normal 11 5 4 6" xfId="7927"/>
    <cellStyle name="Normal 11 5 4 6 2" xfId="14641"/>
    <cellStyle name="Normal 11 5 4 6 2 2" xfId="38062"/>
    <cellStyle name="Normal 11 5 4 6 3" xfId="21638"/>
    <cellStyle name="Normal 11 5 4 6 3 2" xfId="44087"/>
    <cellStyle name="Normal 11 5 4 6 4" xfId="31430"/>
    <cellStyle name="Normal 11 5 4 7" xfId="11323"/>
    <cellStyle name="Normal 11 5 4 7 2" xfId="34746"/>
    <cellStyle name="Normal 11 5 4 8" xfId="18002"/>
    <cellStyle name="Normal 11 5 4 8 2" xfId="41310"/>
    <cellStyle name="Normal 11 5 4 9" xfId="23581"/>
    <cellStyle name="Normal 11 5 4 9 2" xfId="45901"/>
    <cellStyle name="Normal 11 5 5" xfId="2241"/>
    <cellStyle name="Normal 11 5 5 2" xfId="3884"/>
    <cellStyle name="Normal 11 5 5 2 2" xfId="6996"/>
    <cellStyle name="Normal 11 5 5 2 2 2" xfId="10328"/>
    <cellStyle name="Normal 11 5 5 2 2 2 2" xfId="17032"/>
    <cellStyle name="Normal 11 5 5 2 2 2 2 2" xfId="40453"/>
    <cellStyle name="Normal 11 5 5 2 2 2 3" xfId="23089"/>
    <cellStyle name="Normal 11 5 5 2 2 2 3 2" xfId="45511"/>
    <cellStyle name="Normal 11 5 5 2 2 2 4" xfId="33821"/>
    <cellStyle name="Normal 11 5 5 2 2 3" xfId="13716"/>
    <cellStyle name="Normal 11 5 5 2 2 3 2" xfId="37137"/>
    <cellStyle name="Normal 11 5 5 2 2 4" xfId="20261"/>
    <cellStyle name="Normal 11 5 5 2 2 4 2" xfId="42796"/>
    <cellStyle name="Normal 11 5 5 2 2 5" xfId="30505"/>
    <cellStyle name="Normal 11 5 5 2 3" xfId="8663"/>
    <cellStyle name="Normal 11 5 5 2 3 2" xfId="15374"/>
    <cellStyle name="Normal 11 5 5 2 3 2 2" xfId="38795"/>
    <cellStyle name="Normal 11 5 5 2 3 3" xfId="21235"/>
    <cellStyle name="Normal 11 5 5 2 3 3 2" xfId="43686"/>
    <cellStyle name="Normal 11 5 5 2 3 4" xfId="32163"/>
    <cellStyle name="Normal 11 5 5 2 4" xfId="12056"/>
    <cellStyle name="Normal 11 5 5 2 4 2" xfId="22274"/>
    <cellStyle name="Normal 11 5 5 2 4 2 2" xfId="44696"/>
    <cellStyle name="Normal 11 5 5 2 4 3" xfId="35479"/>
    <cellStyle name="Normal 11 5 5 2 5" xfId="19422"/>
    <cellStyle name="Normal 11 5 5 2 5 2" xfId="41964"/>
    <cellStyle name="Normal 11 5 5 2 6" xfId="25847"/>
    <cellStyle name="Normal 11 5 5 2 6 2" xfId="48092"/>
    <cellStyle name="Normal 11 5 5 2 7" xfId="28847"/>
    <cellStyle name="Normal 11 5 5 3" xfId="6433"/>
    <cellStyle name="Normal 11 5 5 3 2" xfId="9767"/>
    <cellStyle name="Normal 11 5 5 3 2 2" xfId="16471"/>
    <cellStyle name="Normal 11 5 5 3 2 2 2" xfId="39892"/>
    <cellStyle name="Normal 11 5 5 3 2 3" xfId="22682"/>
    <cellStyle name="Normal 11 5 5 3 2 3 2" xfId="45104"/>
    <cellStyle name="Normal 11 5 5 3 2 4" xfId="33260"/>
    <cellStyle name="Normal 11 5 5 3 3" xfId="13155"/>
    <cellStyle name="Normal 11 5 5 3 3 2" xfId="36576"/>
    <cellStyle name="Normal 11 5 5 3 4" xfId="19845"/>
    <cellStyle name="Normal 11 5 5 3 4 2" xfId="42380"/>
    <cellStyle name="Normal 11 5 5 3 5" xfId="29944"/>
    <cellStyle name="Normal 11 5 5 4" xfId="8100"/>
    <cellStyle name="Normal 11 5 5 4 2" xfId="14813"/>
    <cellStyle name="Normal 11 5 5 4 2 2" xfId="38234"/>
    <cellStyle name="Normal 11 5 5 4 3" xfId="20776"/>
    <cellStyle name="Normal 11 5 5 4 3 2" xfId="43227"/>
    <cellStyle name="Normal 11 5 5 4 4" xfId="31602"/>
    <cellStyle name="Normal 11 5 5 5" xfId="11495"/>
    <cellStyle name="Normal 11 5 5 5 2" xfId="21840"/>
    <cellStyle name="Normal 11 5 5 5 2 2" xfId="44282"/>
    <cellStyle name="Normal 11 5 5 5 3" xfId="34918"/>
    <cellStyle name="Normal 11 5 5 6" xfId="18595"/>
    <cellStyle name="Normal 11 5 5 6 2" xfId="41539"/>
    <cellStyle name="Normal 11 5 5 7" xfId="23582"/>
    <cellStyle name="Normal 11 5 5 7 2" xfId="45902"/>
    <cellStyle name="Normal 11 5 5 8" xfId="28286"/>
    <cellStyle name="Normal 11 5 6" xfId="2626"/>
    <cellStyle name="Normal 11 5 6 2" xfId="5720"/>
    <cellStyle name="Normal 11 5 6 2 2" xfId="7503"/>
    <cellStyle name="Normal 11 5 6 2 2 2" xfId="10832"/>
    <cellStyle name="Normal 11 5 6 2 2 2 2" xfId="17536"/>
    <cellStyle name="Normal 11 5 6 2 2 2 2 2" xfId="40957"/>
    <cellStyle name="Normal 11 5 6 2 2 2 3" xfId="34325"/>
    <cellStyle name="Normal 11 5 6 2 2 3" xfId="14220"/>
    <cellStyle name="Normal 11 5 6 2 2 3 2" xfId="37641"/>
    <cellStyle name="Normal 11 5 6 2 2 4" xfId="20624"/>
    <cellStyle name="Normal 11 5 6 2 2 4 2" xfId="43075"/>
    <cellStyle name="Normal 11 5 6 2 2 5" xfId="31009"/>
    <cellStyle name="Normal 11 5 6 2 3" xfId="9174"/>
    <cellStyle name="Normal 11 5 6 2 3 2" xfId="15878"/>
    <cellStyle name="Normal 11 5 6 2 3 2 2" xfId="39299"/>
    <cellStyle name="Normal 11 5 6 2 3 3" xfId="21542"/>
    <cellStyle name="Normal 11 5 6 2 3 3 2" xfId="43993"/>
    <cellStyle name="Normal 11 5 6 2 3 4" xfId="32667"/>
    <cellStyle name="Normal 11 5 6 2 4" xfId="12562"/>
    <cellStyle name="Normal 11 5 6 2 4 2" xfId="22889"/>
    <cellStyle name="Normal 11 5 6 2 4 2 2" xfId="45311"/>
    <cellStyle name="Normal 11 5 6 2 4 3" xfId="35983"/>
    <cellStyle name="Normal 11 5 6 2 5" xfId="20053"/>
    <cellStyle name="Normal 11 5 6 2 5 2" xfId="42588"/>
    <cellStyle name="Normal 11 5 6 2 6" xfId="29351"/>
    <cellStyle name="Normal 11 5 6 3" xfId="5152"/>
    <cellStyle name="Normal 11 5 6 3 2" xfId="20526"/>
    <cellStyle name="Normal 11 5 6 3 2 2" xfId="42979"/>
    <cellStyle name="Normal 11 5 6 4" xfId="6603"/>
    <cellStyle name="Normal 11 5 6 4 2" xfId="9935"/>
    <cellStyle name="Normal 11 5 6 4 2 2" xfId="16639"/>
    <cellStyle name="Normal 11 5 6 4 2 2 2" xfId="40060"/>
    <cellStyle name="Normal 11 5 6 4 2 3" xfId="33428"/>
    <cellStyle name="Normal 11 5 6 4 3" xfId="13323"/>
    <cellStyle name="Normal 11 5 6 4 3 2" xfId="36744"/>
    <cellStyle name="Normal 11 5 6 4 4" xfId="21083"/>
    <cellStyle name="Normal 11 5 6 4 4 2" xfId="43534"/>
    <cellStyle name="Normal 11 5 6 4 5" xfId="30112"/>
    <cellStyle name="Normal 11 5 6 5" xfId="8269"/>
    <cellStyle name="Normal 11 5 6 5 2" xfId="14981"/>
    <cellStyle name="Normal 11 5 6 5 2 2" xfId="38402"/>
    <cellStyle name="Normal 11 5 6 5 3" xfId="22061"/>
    <cellStyle name="Normal 11 5 6 5 3 2" xfId="44489"/>
    <cellStyle name="Normal 11 5 6 5 4" xfId="31770"/>
    <cellStyle name="Normal 11 5 6 6" xfId="11663"/>
    <cellStyle name="Normal 11 5 6 6 2" xfId="35086"/>
    <cellStyle name="Normal 11 5 6 7" xfId="19199"/>
    <cellStyle name="Normal 11 5 6 7 2" xfId="41756"/>
    <cellStyle name="Normal 11 5 6 8" xfId="28454"/>
    <cellStyle name="Normal 11 5 7" xfId="3876"/>
    <cellStyle name="Normal 11 5 7 2" xfId="19635"/>
    <cellStyle name="Normal 11 5 7 2 2" xfId="42172"/>
    <cellStyle name="Normal 11 5 7 3" xfId="21220"/>
    <cellStyle name="Normal 11 5 7 3 2" xfId="43671"/>
    <cellStyle name="Normal 11 5 7 4" xfId="22482"/>
    <cellStyle name="Normal 11 5 7 4 2" xfId="44904"/>
    <cellStyle name="Normal 11 5 8" xfId="6130"/>
    <cellStyle name="Normal 11 5 8 2" xfId="9464"/>
    <cellStyle name="Normal 11 5 8 2 2" xfId="16168"/>
    <cellStyle name="Normal 11 5 8 2 2 2" xfId="39589"/>
    <cellStyle name="Normal 11 5 8 2 3" xfId="27943"/>
    <cellStyle name="Normal 11 5 8 2 3 2" xfId="50188"/>
    <cellStyle name="Normal 11 5 8 2 4" xfId="32957"/>
    <cellStyle name="Normal 11 5 8 3" xfId="12852"/>
    <cellStyle name="Normal 11 5 8 3 2" xfId="36273"/>
    <cellStyle name="Normal 11 5 8 4" xfId="17894"/>
    <cellStyle name="Normal 11 5 8 4 2" xfId="41244"/>
    <cellStyle name="Normal 11 5 8 5" xfId="25638"/>
    <cellStyle name="Normal 11 5 8 5 2" xfId="47883"/>
    <cellStyle name="Normal 11 5 8 6" xfId="29641"/>
    <cellStyle name="Normal 11 5 9" xfId="7795"/>
    <cellStyle name="Normal 11 5 9 2" xfId="14510"/>
    <cellStyle name="Normal 11 5 9 2 2" xfId="37931"/>
    <cellStyle name="Normal 11 5 9 3" xfId="20761"/>
    <cellStyle name="Normal 11 5 9 3 2" xfId="43212"/>
    <cellStyle name="Normal 11 5 9 4" xfId="25676"/>
    <cellStyle name="Normal 11 5 9 4 2" xfId="47921"/>
    <cellStyle name="Normal 11 5 9 5" xfId="31299"/>
    <cellStyle name="Normal 11 6" xfId="1371"/>
    <cellStyle name="Normal 11 6 10" xfId="11204"/>
    <cellStyle name="Normal 11 6 10 2" xfId="21639"/>
    <cellStyle name="Normal 11 6 10 2 2" xfId="44088"/>
    <cellStyle name="Normal 11 6 10 3" xfId="34627"/>
    <cellStyle name="Normal 11 6 11" xfId="18003"/>
    <cellStyle name="Normal 11 6 11 2" xfId="41311"/>
    <cellStyle name="Normal 11 6 12" xfId="23583"/>
    <cellStyle name="Normal 11 6 12 2" xfId="45903"/>
    <cellStyle name="Normal 11 6 13" xfId="27995"/>
    <cellStyle name="Normal 11 6 2" xfId="1495"/>
    <cellStyle name="Normal 11 6 2 10" xfId="18004"/>
    <cellStyle name="Normal 11 6 2 10 2" xfId="41312"/>
    <cellStyle name="Normal 11 6 2 11" xfId="23584"/>
    <cellStyle name="Normal 11 6 2 11 2" xfId="45904"/>
    <cellStyle name="Normal 11 6 2 12" xfId="28031"/>
    <cellStyle name="Normal 11 6 2 2" xfId="1628"/>
    <cellStyle name="Normal 11 6 2 2 10" xfId="23585"/>
    <cellStyle name="Normal 11 6 2 2 10 2" xfId="45905"/>
    <cellStyle name="Normal 11 6 2 2 11" xfId="28069"/>
    <cellStyle name="Normal 11 6 2 2 2" xfId="1848"/>
    <cellStyle name="Normal 11 6 2 2 2 10" xfId="28200"/>
    <cellStyle name="Normal 11 6 2 2 2 2" xfId="2252"/>
    <cellStyle name="Normal 11 6 2 2 2 2 2" xfId="5523"/>
    <cellStyle name="Normal 11 6 2 2 2 2 2 2" xfId="7348"/>
    <cellStyle name="Normal 11 6 2 2 2 2 2 2 2" xfId="10679"/>
    <cellStyle name="Normal 11 6 2 2 2 2 2 2 2 2" xfId="17383"/>
    <cellStyle name="Normal 11 6 2 2 2 2 2 2 2 2 2" xfId="40804"/>
    <cellStyle name="Normal 11 6 2 2 2 2 2 2 2 3" xfId="23100"/>
    <cellStyle name="Normal 11 6 2 2 2 2 2 2 2 3 2" xfId="45522"/>
    <cellStyle name="Normal 11 6 2 2 2 2 2 2 2 4" xfId="34172"/>
    <cellStyle name="Normal 11 6 2 2 2 2 2 2 3" xfId="14067"/>
    <cellStyle name="Normal 11 6 2 2 2 2 2 2 3 2" xfId="37488"/>
    <cellStyle name="Normal 11 6 2 2 2 2 2 2 4" xfId="20272"/>
    <cellStyle name="Normal 11 6 2 2 2 2 2 2 4 2" xfId="42807"/>
    <cellStyle name="Normal 11 6 2 2 2 2 2 2 5" xfId="30856"/>
    <cellStyle name="Normal 11 6 2 2 2 2 2 3" xfId="9021"/>
    <cellStyle name="Normal 11 6 2 2 2 2 2 3 2" xfId="15725"/>
    <cellStyle name="Normal 11 6 2 2 2 2 2 3 2 2" xfId="39146"/>
    <cellStyle name="Normal 11 6 2 2 2 2 2 3 3" xfId="21240"/>
    <cellStyle name="Normal 11 6 2 2 2 2 2 3 3 2" xfId="43691"/>
    <cellStyle name="Normal 11 6 2 2 2 2 2 3 4" xfId="32514"/>
    <cellStyle name="Normal 11 6 2 2 2 2 2 4" xfId="12409"/>
    <cellStyle name="Normal 11 6 2 2 2 2 2 4 2" xfId="22285"/>
    <cellStyle name="Normal 11 6 2 2 2 2 2 4 2 2" xfId="44707"/>
    <cellStyle name="Normal 11 6 2 2 2 2 2 4 3" xfId="35830"/>
    <cellStyle name="Normal 11 6 2 2 2 2 2 5" xfId="19433"/>
    <cellStyle name="Normal 11 6 2 2 2 2 2 5 2" xfId="41975"/>
    <cellStyle name="Normal 11 6 2 2 2 2 2 6" xfId="29198"/>
    <cellStyle name="Normal 11 6 2 2 2 2 3" xfId="6444"/>
    <cellStyle name="Normal 11 6 2 2 2 2 3 2" xfId="9778"/>
    <cellStyle name="Normal 11 6 2 2 2 2 3 2 2" xfId="16482"/>
    <cellStyle name="Normal 11 6 2 2 2 2 3 2 2 2" xfId="39903"/>
    <cellStyle name="Normal 11 6 2 2 2 2 3 2 3" xfId="22693"/>
    <cellStyle name="Normal 11 6 2 2 2 2 3 2 3 2" xfId="45115"/>
    <cellStyle name="Normal 11 6 2 2 2 2 3 2 4" xfId="33271"/>
    <cellStyle name="Normal 11 6 2 2 2 2 3 3" xfId="13166"/>
    <cellStyle name="Normal 11 6 2 2 2 2 3 3 2" xfId="36587"/>
    <cellStyle name="Normal 11 6 2 2 2 2 3 4" xfId="19856"/>
    <cellStyle name="Normal 11 6 2 2 2 2 3 4 2" xfId="42391"/>
    <cellStyle name="Normal 11 6 2 2 2 2 3 5" xfId="29955"/>
    <cellStyle name="Normal 11 6 2 2 2 2 4" xfId="8111"/>
    <cellStyle name="Normal 11 6 2 2 2 2 4 2" xfId="14824"/>
    <cellStyle name="Normal 11 6 2 2 2 2 4 2 2" xfId="38245"/>
    <cellStyle name="Normal 11 6 2 2 2 2 4 3" xfId="20781"/>
    <cellStyle name="Normal 11 6 2 2 2 2 4 3 2" xfId="43232"/>
    <cellStyle name="Normal 11 6 2 2 2 2 4 4" xfId="31613"/>
    <cellStyle name="Normal 11 6 2 2 2 2 5" xfId="11506"/>
    <cellStyle name="Normal 11 6 2 2 2 2 5 2" xfId="21851"/>
    <cellStyle name="Normal 11 6 2 2 2 2 5 2 2" xfId="44293"/>
    <cellStyle name="Normal 11 6 2 2 2 2 5 3" xfId="34929"/>
    <cellStyle name="Normal 11 6 2 2 2 2 6" xfId="18606"/>
    <cellStyle name="Normal 11 6 2 2 2 2 6 2" xfId="41550"/>
    <cellStyle name="Normal 11 6 2 2 2 2 7" xfId="25851"/>
    <cellStyle name="Normal 11 6 2 2 2 2 7 2" xfId="48096"/>
    <cellStyle name="Normal 11 6 2 2 2 2 8" xfId="28297"/>
    <cellStyle name="Normal 11 6 2 2 2 3" xfId="2845"/>
    <cellStyle name="Normal 11 6 2 2 2 3 2" xfId="5937"/>
    <cellStyle name="Normal 11 6 2 2 2 3 2 2" xfId="7719"/>
    <cellStyle name="Normal 11 6 2 2 2 3 2 2 2" xfId="11048"/>
    <cellStyle name="Normal 11 6 2 2 2 3 2 2 2 2" xfId="17752"/>
    <cellStyle name="Normal 11 6 2 2 2 3 2 2 2 2 2" xfId="41173"/>
    <cellStyle name="Normal 11 6 2 2 2 3 2 2 2 3" xfId="34541"/>
    <cellStyle name="Normal 11 6 2 2 2 3 2 2 3" xfId="14436"/>
    <cellStyle name="Normal 11 6 2 2 2 3 2 2 3 2" xfId="37857"/>
    <cellStyle name="Normal 11 6 2 2 2 3 2 2 4" xfId="22900"/>
    <cellStyle name="Normal 11 6 2 2 2 3 2 2 4 2" xfId="45322"/>
    <cellStyle name="Normal 11 6 2 2 2 3 2 2 5" xfId="31225"/>
    <cellStyle name="Normal 11 6 2 2 2 3 2 3" xfId="9390"/>
    <cellStyle name="Normal 11 6 2 2 2 3 2 3 2" xfId="16094"/>
    <cellStyle name="Normal 11 6 2 2 2 3 2 3 2 2" xfId="39515"/>
    <cellStyle name="Normal 11 6 2 2 2 3 2 3 3" xfId="32883"/>
    <cellStyle name="Normal 11 6 2 2 2 3 2 4" xfId="12778"/>
    <cellStyle name="Normal 11 6 2 2 2 3 2 4 2" xfId="36199"/>
    <cellStyle name="Normal 11 6 2 2 2 3 2 5" xfId="20064"/>
    <cellStyle name="Normal 11 6 2 2 2 3 2 5 2" xfId="42599"/>
    <cellStyle name="Normal 11 6 2 2 2 3 2 6" xfId="29567"/>
    <cellStyle name="Normal 11 6 2 2 2 3 3" xfId="6820"/>
    <cellStyle name="Normal 11 6 2 2 2 3 3 2" xfId="10152"/>
    <cellStyle name="Normal 11 6 2 2 2 3 3 2 2" xfId="16856"/>
    <cellStyle name="Normal 11 6 2 2 2 3 3 2 2 2" xfId="40277"/>
    <cellStyle name="Normal 11 6 2 2 2 3 3 2 3" xfId="33645"/>
    <cellStyle name="Normal 11 6 2 2 2 3 3 3" xfId="13540"/>
    <cellStyle name="Normal 11 6 2 2 2 3 3 3 2" xfId="36961"/>
    <cellStyle name="Normal 11 6 2 2 2 3 3 4" xfId="21239"/>
    <cellStyle name="Normal 11 6 2 2 2 3 3 4 2" xfId="43690"/>
    <cellStyle name="Normal 11 6 2 2 2 3 3 5" xfId="30329"/>
    <cellStyle name="Normal 11 6 2 2 2 3 4" xfId="8486"/>
    <cellStyle name="Normal 11 6 2 2 2 3 4 2" xfId="15198"/>
    <cellStyle name="Normal 11 6 2 2 2 3 4 2 2" xfId="38619"/>
    <cellStyle name="Normal 11 6 2 2 2 3 4 3" xfId="22072"/>
    <cellStyle name="Normal 11 6 2 2 2 3 4 3 2" xfId="44500"/>
    <cellStyle name="Normal 11 6 2 2 2 3 4 4" xfId="31987"/>
    <cellStyle name="Normal 11 6 2 2 2 3 5" xfId="11880"/>
    <cellStyle name="Normal 11 6 2 2 2 3 5 2" xfId="35303"/>
    <cellStyle name="Normal 11 6 2 2 2 3 6" xfId="19210"/>
    <cellStyle name="Normal 11 6 2 2 2 3 6 2" xfId="41767"/>
    <cellStyle name="Normal 11 6 2 2 2 3 7" xfId="28671"/>
    <cellStyle name="Normal 11 6 2 2 2 4" xfId="3888"/>
    <cellStyle name="Normal 11 6 2 2 2 4 2" xfId="7000"/>
    <cellStyle name="Normal 11 6 2 2 2 4 2 2" xfId="10332"/>
    <cellStyle name="Normal 11 6 2 2 2 4 2 2 2" xfId="17036"/>
    <cellStyle name="Normal 11 6 2 2 2 4 2 2 2 2" xfId="40457"/>
    <cellStyle name="Normal 11 6 2 2 2 4 2 2 3" xfId="33825"/>
    <cellStyle name="Normal 11 6 2 2 2 4 2 3" xfId="13720"/>
    <cellStyle name="Normal 11 6 2 2 2 4 2 3 2" xfId="37141"/>
    <cellStyle name="Normal 11 6 2 2 2 4 2 4" xfId="22493"/>
    <cellStyle name="Normal 11 6 2 2 2 4 2 4 2" xfId="44915"/>
    <cellStyle name="Normal 11 6 2 2 2 4 2 5" xfId="30509"/>
    <cellStyle name="Normal 11 6 2 2 2 4 3" xfId="8667"/>
    <cellStyle name="Normal 11 6 2 2 2 4 3 2" xfId="15378"/>
    <cellStyle name="Normal 11 6 2 2 2 4 3 2 2" xfId="38799"/>
    <cellStyle name="Normal 11 6 2 2 2 4 3 3" xfId="32167"/>
    <cellStyle name="Normal 11 6 2 2 2 4 4" xfId="12060"/>
    <cellStyle name="Normal 11 6 2 2 2 4 4 2" xfId="35483"/>
    <cellStyle name="Normal 11 6 2 2 2 4 5" xfId="19646"/>
    <cellStyle name="Normal 11 6 2 2 2 4 5 2" xfId="42183"/>
    <cellStyle name="Normal 11 6 2 2 2 4 6" xfId="28851"/>
    <cellStyle name="Normal 11 6 2 2 2 5" xfId="6347"/>
    <cellStyle name="Normal 11 6 2 2 2 5 2" xfId="9681"/>
    <cellStyle name="Normal 11 6 2 2 2 5 2 2" xfId="16385"/>
    <cellStyle name="Normal 11 6 2 2 2 5 2 2 2" xfId="39806"/>
    <cellStyle name="Normal 11 6 2 2 2 5 2 3" xfId="33174"/>
    <cellStyle name="Normal 11 6 2 2 2 5 3" xfId="13069"/>
    <cellStyle name="Normal 11 6 2 2 2 5 3 2" xfId="36490"/>
    <cellStyle name="Normal 11 6 2 2 2 5 4" xfId="20780"/>
    <cellStyle name="Normal 11 6 2 2 2 5 4 2" xfId="43231"/>
    <cellStyle name="Normal 11 6 2 2 2 5 5" xfId="29858"/>
    <cellStyle name="Normal 11 6 2 2 2 6" xfId="8013"/>
    <cellStyle name="Normal 11 6 2 2 2 6 2" xfId="14727"/>
    <cellStyle name="Normal 11 6 2 2 2 6 2 2" xfId="38148"/>
    <cellStyle name="Normal 11 6 2 2 2 6 3" xfId="21642"/>
    <cellStyle name="Normal 11 6 2 2 2 6 3 2" xfId="44091"/>
    <cellStyle name="Normal 11 6 2 2 2 6 4" xfId="31516"/>
    <cellStyle name="Normal 11 6 2 2 2 7" xfId="11409"/>
    <cellStyle name="Normal 11 6 2 2 2 7 2" xfId="34832"/>
    <cellStyle name="Normal 11 6 2 2 2 8" xfId="18006"/>
    <cellStyle name="Normal 11 6 2 2 2 8 2" xfId="41314"/>
    <cellStyle name="Normal 11 6 2 2 2 9" xfId="23586"/>
    <cellStyle name="Normal 11 6 2 2 2 9 2" xfId="45906"/>
    <cellStyle name="Normal 11 6 2 2 3" xfId="2251"/>
    <cellStyle name="Normal 11 6 2 2 3 2" xfId="5522"/>
    <cellStyle name="Normal 11 6 2 2 3 2 2" xfId="7347"/>
    <cellStyle name="Normal 11 6 2 2 3 2 2 2" xfId="10678"/>
    <cellStyle name="Normal 11 6 2 2 3 2 2 2 2" xfId="17382"/>
    <cellStyle name="Normal 11 6 2 2 3 2 2 2 2 2" xfId="40803"/>
    <cellStyle name="Normal 11 6 2 2 3 2 2 2 3" xfId="23099"/>
    <cellStyle name="Normal 11 6 2 2 3 2 2 2 3 2" xfId="45521"/>
    <cellStyle name="Normal 11 6 2 2 3 2 2 2 4" xfId="34171"/>
    <cellStyle name="Normal 11 6 2 2 3 2 2 3" xfId="14066"/>
    <cellStyle name="Normal 11 6 2 2 3 2 2 3 2" xfId="37487"/>
    <cellStyle name="Normal 11 6 2 2 3 2 2 4" xfId="20271"/>
    <cellStyle name="Normal 11 6 2 2 3 2 2 4 2" xfId="42806"/>
    <cellStyle name="Normal 11 6 2 2 3 2 2 5" xfId="30855"/>
    <cellStyle name="Normal 11 6 2 2 3 2 3" xfId="9020"/>
    <cellStyle name="Normal 11 6 2 2 3 2 3 2" xfId="15724"/>
    <cellStyle name="Normal 11 6 2 2 3 2 3 2 2" xfId="39145"/>
    <cellStyle name="Normal 11 6 2 2 3 2 3 3" xfId="21241"/>
    <cellStyle name="Normal 11 6 2 2 3 2 3 3 2" xfId="43692"/>
    <cellStyle name="Normal 11 6 2 2 3 2 3 4" xfId="32513"/>
    <cellStyle name="Normal 11 6 2 2 3 2 4" xfId="12408"/>
    <cellStyle name="Normal 11 6 2 2 3 2 4 2" xfId="22284"/>
    <cellStyle name="Normal 11 6 2 2 3 2 4 2 2" xfId="44706"/>
    <cellStyle name="Normal 11 6 2 2 3 2 4 3" xfId="35829"/>
    <cellStyle name="Normal 11 6 2 2 3 2 5" xfId="19432"/>
    <cellStyle name="Normal 11 6 2 2 3 2 5 2" xfId="41974"/>
    <cellStyle name="Normal 11 6 2 2 3 2 6" xfId="29197"/>
    <cellStyle name="Normal 11 6 2 2 3 3" xfId="6443"/>
    <cellStyle name="Normal 11 6 2 2 3 3 2" xfId="9777"/>
    <cellStyle name="Normal 11 6 2 2 3 3 2 2" xfId="16481"/>
    <cellStyle name="Normal 11 6 2 2 3 3 2 2 2" xfId="39902"/>
    <cellStyle name="Normal 11 6 2 2 3 3 2 3" xfId="22692"/>
    <cellStyle name="Normal 11 6 2 2 3 3 2 3 2" xfId="45114"/>
    <cellStyle name="Normal 11 6 2 2 3 3 2 4" xfId="33270"/>
    <cellStyle name="Normal 11 6 2 2 3 3 3" xfId="13165"/>
    <cellStyle name="Normal 11 6 2 2 3 3 3 2" xfId="36586"/>
    <cellStyle name="Normal 11 6 2 2 3 3 4" xfId="19855"/>
    <cellStyle name="Normal 11 6 2 2 3 3 4 2" xfId="42390"/>
    <cellStyle name="Normal 11 6 2 2 3 3 5" xfId="29954"/>
    <cellStyle name="Normal 11 6 2 2 3 4" xfId="8110"/>
    <cellStyle name="Normal 11 6 2 2 3 4 2" xfId="14823"/>
    <cellStyle name="Normal 11 6 2 2 3 4 2 2" xfId="38244"/>
    <cellStyle name="Normal 11 6 2 2 3 4 3" xfId="20782"/>
    <cellStyle name="Normal 11 6 2 2 3 4 3 2" xfId="43233"/>
    <cellStyle name="Normal 11 6 2 2 3 4 4" xfId="31612"/>
    <cellStyle name="Normal 11 6 2 2 3 5" xfId="11505"/>
    <cellStyle name="Normal 11 6 2 2 3 5 2" xfId="21850"/>
    <cellStyle name="Normal 11 6 2 2 3 5 2 2" xfId="44292"/>
    <cellStyle name="Normal 11 6 2 2 3 5 3" xfId="34928"/>
    <cellStyle name="Normal 11 6 2 2 3 6" xfId="18605"/>
    <cellStyle name="Normal 11 6 2 2 3 6 2" xfId="41549"/>
    <cellStyle name="Normal 11 6 2 2 3 7" xfId="25850"/>
    <cellStyle name="Normal 11 6 2 2 3 7 2" xfId="48095"/>
    <cellStyle name="Normal 11 6 2 2 3 8" xfId="28296"/>
    <cellStyle name="Normal 11 6 2 2 4" xfId="2713"/>
    <cellStyle name="Normal 11 6 2 2 4 2" xfId="5806"/>
    <cellStyle name="Normal 11 6 2 2 4 2 2" xfId="7588"/>
    <cellStyle name="Normal 11 6 2 2 4 2 2 2" xfId="10917"/>
    <cellStyle name="Normal 11 6 2 2 4 2 2 2 2" xfId="17621"/>
    <cellStyle name="Normal 11 6 2 2 4 2 2 2 2 2" xfId="41042"/>
    <cellStyle name="Normal 11 6 2 2 4 2 2 2 3" xfId="34410"/>
    <cellStyle name="Normal 11 6 2 2 4 2 2 3" xfId="14305"/>
    <cellStyle name="Normal 11 6 2 2 4 2 2 3 2" xfId="37726"/>
    <cellStyle name="Normal 11 6 2 2 4 2 2 4" xfId="22899"/>
    <cellStyle name="Normal 11 6 2 2 4 2 2 4 2" xfId="45321"/>
    <cellStyle name="Normal 11 6 2 2 4 2 2 5" xfId="31094"/>
    <cellStyle name="Normal 11 6 2 2 4 2 3" xfId="9259"/>
    <cellStyle name="Normal 11 6 2 2 4 2 3 2" xfId="15963"/>
    <cellStyle name="Normal 11 6 2 2 4 2 3 2 2" xfId="39384"/>
    <cellStyle name="Normal 11 6 2 2 4 2 3 3" xfId="32752"/>
    <cellStyle name="Normal 11 6 2 2 4 2 4" xfId="12647"/>
    <cellStyle name="Normal 11 6 2 2 4 2 4 2" xfId="36068"/>
    <cellStyle name="Normal 11 6 2 2 4 2 5" xfId="20063"/>
    <cellStyle name="Normal 11 6 2 2 4 2 5 2" xfId="42598"/>
    <cellStyle name="Normal 11 6 2 2 4 2 6" xfId="29436"/>
    <cellStyle name="Normal 11 6 2 2 4 3" xfId="6689"/>
    <cellStyle name="Normal 11 6 2 2 4 3 2" xfId="10021"/>
    <cellStyle name="Normal 11 6 2 2 4 3 2 2" xfId="16725"/>
    <cellStyle name="Normal 11 6 2 2 4 3 2 2 2" xfId="40146"/>
    <cellStyle name="Normal 11 6 2 2 4 3 2 3" xfId="33514"/>
    <cellStyle name="Normal 11 6 2 2 4 3 3" xfId="13409"/>
    <cellStyle name="Normal 11 6 2 2 4 3 3 2" xfId="36830"/>
    <cellStyle name="Normal 11 6 2 2 4 3 4" xfId="21238"/>
    <cellStyle name="Normal 11 6 2 2 4 3 4 2" xfId="43689"/>
    <cellStyle name="Normal 11 6 2 2 4 3 5" xfId="30198"/>
    <cellStyle name="Normal 11 6 2 2 4 4" xfId="8355"/>
    <cellStyle name="Normal 11 6 2 2 4 4 2" xfId="15067"/>
    <cellStyle name="Normal 11 6 2 2 4 4 2 2" xfId="38488"/>
    <cellStyle name="Normal 11 6 2 2 4 4 3" xfId="22071"/>
    <cellStyle name="Normal 11 6 2 2 4 4 3 2" xfId="44499"/>
    <cellStyle name="Normal 11 6 2 2 4 4 4" xfId="31856"/>
    <cellStyle name="Normal 11 6 2 2 4 5" xfId="11749"/>
    <cellStyle name="Normal 11 6 2 2 4 5 2" xfId="35172"/>
    <cellStyle name="Normal 11 6 2 2 4 6" xfId="19209"/>
    <cellStyle name="Normal 11 6 2 2 4 6 2" xfId="41766"/>
    <cellStyle name="Normal 11 6 2 2 4 7" xfId="28540"/>
    <cellStyle name="Normal 11 6 2 2 5" xfId="3887"/>
    <cellStyle name="Normal 11 6 2 2 5 2" xfId="6999"/>
    <cellStyle name="Normal 11 6 2 2 5 2 2" xfId="10331"/>
    <cellStyle name="Normal 11 6 2 2 5 2 2 2" xfId="17035"/>
    <cellStyle name="Normal 11 6 2 2 5 2 2 2 2" xfId="40456"/>
    <cellStyle name="Normal 11 6 2 2 5 2 2 3" xfId="33824"/>
    <cellStyle name="Normal 11 6 2 2 5 2 3" xfId="13719"/>
    <cellStyle name="Normal 11 6 2 2 5 2 3 2" xfId="37140"/>
    <cellStyle name="Normal 11 6 2 2 5 2 4" xfId="22492"/>
    <cellStyle name="Normal 11 6 2 2 5 2 4 2" xfId="44914"/>
    <cellStyle name="Normal 11 6 2 2 5 2 5" xfId="30508"/>
    <cellStyle name="Normal 11 6 2 2 5 3" xfId="8666"/>
    <cellStyle name="Normal 11 6 2 2 5 3 2" xfId="15377"/>
    <cellStyle name="Normal 11 6 2 2 5 3 2 2" xfId="38798"/>
    <cellStyle name="Normal 11 6 2 2 5 3 3" xfId="32166"/>
    <cellStyle name="Normal 11 6 2 2 5 4" xfId="12059"/>
    <cellStyle name="Normal 11 6 2 2 5 4 2" xfId="35482"/>
    <cellStyle name="Normal 11 6 2 2 5 5" xfId="19645"/>
    <cellStyle name="Normal 11 6 2 2 5 5 2" xfId="42182"/>
    <cellStyle name="Normal 11 6 2 2 5 6" xfId="28850"/>
    <cellStyle name="Normal 11 6 2 2 6" xfId="6216"/>
    <cellStyle name="Normal 11 6 2 2 6 2" xfId="9550"/>
    <cellStyle name="Normal 11 6 2 2 6 2 2" xfId="16254"/>
    <cellStyle name="Normal 11 6 2 2 6 2 2 2" xfId="39675"/>
    <cellStyle name="Normal 11 6 2 2 6 2 3" xfId="33043"/>
    <cellStyle name="Normal 11 6 2 2 6 3" xfId="12938"/>
    <cellStyle name="Normal 11 6 2 2 6 3 2" xfId="36359"/>
    <cellStyle name="Normal 11 6 2 2 6 4" xfId="20779"/>
    <cellStyle name="Normal 11 6 2 2 6 4 2" xfId="43230"/>
    <cellStyle name="Normal 11 6 2 2 6 5" xfId="29727"/>
    <cellStyle name="Normal 11 6 2 2 7" xfId="7882"/>
    <cellStyle name="Normal 11 6 2 2 7 2" xfId="14596"/>
    <cellStyle name="Normal 11 6 2 2 7 2 2" xfId="38017"/>
    <cellStyle name="Normal 11 6 2 2 7 3" xfId="21641"/>
    <cellStyle name="Normal 11 6 2 2 7 3 2" xfId="44090"/>
    <cellStyle name="Normal 11 6 2 2 7 4" xfId="31385"/>
    <cellStyle name="Normal 11 6 2 2 8" xfId="11278"/>
    <cellStyle name="Normal 11 6 2 2 8 2" xfId="34701"/>
    <cellStyle name="Normal 11 6 2 2 9" xfId="18005"/>
    <cellStyle name="Normal 11 6 2 2 9 2" xfId="41313"/>
    <cellStyle name="Normal 11 6 2 3" xfId="1810"/>
    <cellStyle name="Normal 11 6 2 3 10" xfId="28162"/>
    <cellStyle name="Normal 11 6 2 3 2" xfId="2253"/>
    <cellStyle name="Normal 11 6 2 3 2 2" xfId="5524"/>
    <cellStyle name="Normal 11 6 2 3 2 2 2" xfId="7349"/>
    <cellStyle name="Normal 11 6 2 3 2 2 2 2" xfId="10680"/>
    <cellStyle name="Normal 11 6 2 3 2 2 2 2 2" xfId="17384"/>
    <cellStyle name="Normal 11 6 2 3 2 2 2 2 2 2" xfId="40805"/>
    <cellStyle name="Normal 11 6 2 3 2 2 2 2 3" xfId="23101"/>
    <cellStyle name="Normal 11 6 2 3 2 2 2 2 3 2" xfId="45523"/>
    <cellStyle name="Normal 11 6 2 3 2 2 2 2 4" xfId="34173"/>
    <cellStyle name="Normal 11 6 2 3 2 2 2 3" xfId="14068"/>
    <cellStyle name="Normal 11 6 2 3 2 2 2 3 2" xfId="37489"/>
    <cellStyle name="Normal 11 6 2 3 2 2 2 4" xfId="20273"/>
    <cellStyle name="Normal 11 6 2 3 2 2 2 4 2" xfId="42808"/>
    <cellStyle name="Normal 11 6 2 3 2 2 2 5" xfId="30857"/>
    <cellStyle name="Normal 11 6 2 3 2 2 3" xfId="9022"/>
    <cellStyle name="Normal 11 6 2 3 2 2 3 2" xfId="15726"/>
    <cellStyle name="Normal 11 6 2 3 2 2 3 2 2" xfId="39147"/>
    <cellStyle name="Normal 11 6 2 3 2 2 3 3" xfId="21243"/>
    <cellStyle name="Normal 11 6 2 3 2 2 3 3 2" xfId="43694"/>
    <cellStyle name="Normal 11 6 2 3 2 2 3 4" xfId="32515"/>
    <cellStyle name="Normal 11 6 2 3 2 2 4" xfId="12410"/>
    <cellStyle name="Normal 11 6 2 3 2 2 4 2" xfId="22286"/>
    <cellStyle name="Normal 11 6 2 3 2 2 4 2 2" xfId="44708"/>
    <cellStyle name="Normal 11 6 2 3 2 2 4 3" xfId="35831"/>
    <cellStyle name="Normal 11 6 2 3 2 2 5" xfId="19434"/>
    <cellStyle name="Normal 11 6 2 3 2 2 5 2" xfId="41976"/>
    <cellStyle name="Normal 11 6 2 3 2 2 6" xfId="29199"/>
    <cellStyle name="Normal 11 6 2 3 2 3" xfId="6445"/>
    <cellStyle name="Normal 11 6 2 3 2 3 2" xfId="9779"/>
    <cellStyle name="Normal 11 6 2 3 2 3 2 2" xfId="16483"/>
    <cellStyle name="Normal 11 6 2 3 2 3 2 2 2" xfId="39904"/>
    <cellStyle name="Normal 11 6 2 3 2 3 2 3" xfId="22694"/>
    <cellStyle name="Normal 11 6 2 3 2 3 2 3 2" xfId="45116"/>
    <cellStyle name="Normal 11 6 2 3 2 3 2 4" xfId="33272"/>
    <cellStyle name="Normal 11 6 2 3 2 3 3" xfId="13167"/>
    <cellStyle name="Normal 11 6 2 3 2 3 3 2" xfId="36588"/>
    <cellStyle name="Normal 11 6 2 3 2 3 4" xfId="19857"/>
    <cellStyle name="Normal 11 6 2 3 2 3 4 2" xfId="42392"/>
    <cellStyle name="Normal 11 6 2 3 2 3 5" xfId="29956"/>
    <cellStyle name="Normal 11 6 2 3 2 4" xfId="8112"/>
    <cellStyle name="Normal 11 6 2 3 2 4 2" xfId="14825"/>
    <cellStyle name="Normal 11 6 2 3 2 4 2 2" xfId="38246"/>
    <cellStyle name="Normal 11 6 2 3 2 4 3" xfId="20784"/>
    <cellStyle name="Normal 11 6 2 3 2 4 3 2" xfId="43235"/>
    <cellStyle name="Normal 11 6 2 3 2 4 4" xfId="31614"/>
    <cellStyle name="Normal 11 6 2 3 2 5" xfId="11507"/>
    <cellStyle name="Normal 11 6 2 3 2 5 2" xfId="21852"/>
    <cellStyle name="Normal 11 6 2 3 2 5 2 2" xfId="44294"/>
    <cellStyle name="Normal 11 6 2 3 2 5 3" xfId="34930"/>
    <cellStyle name="Normal 11 6 2 3 2 6" xfId="18607"/>
    <cellStyle name="Normal 11 6 2 3 2 6 2" xfId="41551"/>
    <cellStyle name="Normal 11 6 2 3 2 7" xfId="25852"/>
    <cellStyle name="Normal 11 6 2 3 2 7 2" xfId="48097"/>
    <cellStyle name="Normal 11 6 2 3 2 8" xfId="28298"/>
    <cellStyle name="Normal 11 6 2 3 3" xfId="2807"/>
    <cellStyle name="Normal 11 6 2 3 3 2" xfId="5899"/>
    <cellStyle name="Normal 11 6 2 3 3 2 2" xfId="7681"/>
    <cellStyle name="Normal 11 6 2 3 3 2 2 2" xfId="11010"/>
    <cellStyle name="Normal 11 6 2 3 3 2 2 2 2" xfId="17714"/>
    <cellStyle name="Normal 11 6 2 3 3 2 2 2 2 2" xfId="41135"/>
    <cellStyle name="Normal 11 6 2 3 3 2 2 2 3" xfId="34503"/>
    <cellStyle name="Normal 11 6 2 3 3 2 2 3" xfId="14398"/>
    <cellStyle name="Normal 11 6 2 3 3 2 2 3 2" xfId="37819"/>
    <cellStyle name="Normal 11 6 2 3 3 2 2 4" xfId="22901"/>
    <cellStyle name="Normal 11 6 2 3 3 2 2 4 2" xfId="45323"/>
    <cellStyle name="Normal 11 6 2 3 3 2 2 5" xfId="31187"/>
    <cellStyle name="Normal 11 6 2 3 3 2 3" xfId="9352"/>
    <cellStyle name="Normal 11 6 2 3 3 2 3 2" xfId="16056"/>
    <cellStyle name="Normal 11 6 2 3 3 2 3 2 2" xfId="39477"/>
    <cellStyle name="Normal 11 6 2 3 3 2 3 3" xfId="32845"/>
    <cellStyle name="Normal 11 6 2 3 3 2 4" xfId="12740"/>
    <cellStyle name="Normal 11 6 2 3 3 2 4 2" xfId="36161"/>
    <cellStyle name="Normal 11 6 2 3 3 2 5" xfId="20065"/>
    <cellStyle name="Normal 11 6 2 3 3 2 5 2" xfId="42600"/>
    <cellStyle name="Normal 11 6 2 3 3 2 6" xfId="29529"/>
    <cellStyle name="Normal 11 6 2 3 3 3" xfId="6782"/>
    <cellStyle name="Normal 11 6 2 3 3 3 2" xfId="10114"/>
    <cellStyle name="Normal 11 6 2 3 3 3 2 2" xfId="16818"/>
    <cellStyle name="Normal 11 6 2 3 3 3 2 2 2" xfId="40239"/>
    <cellStyle name="Normal 11 6 2 3 3 3 2 3" xfId="33607"/>
    <cellStyle name="Normal 11 6 2 3 3 3 3" xfId="13502"/>
    <cellStyle name="Normal 11 6 2 3 3 3 3 2" xfId="36923"/>
    <cellStyle name="Normal 11 6 2 3 3 3 4" xfId="21242"/>
    <cellStyle name="Normal 11 6 2 3 3 3 4 2" xfId="43693"/>
    <cellStyle name="Normal 11 6 2 3 3 3 5" xfId="30291"/>
    <cellStyle name="Normal 11 6 2 3 3 4" xfId="8448"/>
    <cellStyle name="Normal 11 6 2 3 3 4 2" xfId="15160"/>
    <cellStyle name="Normal 11 6 2 3 3 4 2 2" xfId="38581"/>
    <cellStyle name="Normal 11 6 2 3 3 4 3" xfId="22073"/>
    <cellStyle name="Normal 11 6 2 3 3 4 3 2" xfId="44501"/>
    <cellStyle name="Normal 11 6 2 3 3 4 4" xfId="31949"/>
    <cellStyle name="Normal 11 6 2 3 3 5" xfId="11842"/>
    <cellStyle name="Normal 11 6 2 3 3 5 2" xfId="35265"/>
    <cellStyle name="Normal 11 6 2 3 3 6" xfId="19211"/>
    <cellStyle name="Normal 11 6 2 3 3 6 2" xfId="41768"/>
    <cellStyle name="Normal 11 6 2 3 3 7" xfId="28633"/>
    <cellStyle name="Normal 11 6 2 3 4" xfId="3889"/>
    <cellStyle name="Normal 11 6 2 3 4 2" xfId="7001"/>
    <cellStyle name="Normal 11 6 2 3 4 2 2" xfId="10333"/>
    <cellStyle name="Normal 11 6 2 3 4 2 2 2" xfId="17037"/>
    <cellStyle name="Normal 11 6 2 3 4 2 2 2 2" xfId="40458"/>
    <cellStyle name="Normal 11 6 2 3 4 2 2 3" xfId="33826"/>
    <cellStyle name="Normal 11 6 2 3 4 2 3" xfId="13721"/>
    <cellStyle name="Normal 11 6 2 3 4 2 3 2" xfId="37142"/>
    <cellStyle name="Normal 11 6 2 3 4 2 4" xfId="22494"/>
    <cellStyle name="Normal 11 6 2 3 4 2 4 2" xfId="44916"/>
    <cellStyle name="Normal 11 6 2 3 4 2 5" xfId="30510"/>
    <cellStyle name="Normal 11 6 2 3 4 3" xfId="8668"/>
    <cellStyle name="Normal 11 6 2 3 4 3 2" xfId="15379"/>
    <cellStyle name="Normal 11 6 2 3 4 3 2 2" xfId="38800"/>
    <cellStyle name="Normal 11 6 2 3 4 3 3" xfId="32168"/>
    <cellStyle name="Normal 11 6 2 3 4 4" xfId="12061"/>
    <cellStyle name="Normal 11 6 2 3 4 4 2" xfId="35484"/>
    <cellStyle name="Normal 11 6 2 3 4 5" xfId="19647"/>
    <cellStyle name="Normal 11 6 2 3 4 5 2" xfId="42184"/>
    <cellStyle name="Normal 11 6 2 3 4 6" xfId="28852"/>
    <cellStyle name="Normal 11 6 2 3 5" xfId="6309"/>
    <cellStyle name="Normal 11 6 2 3 5 2" xfId="9643"/>
    <cellStyle name="Normal 11 6 2 3 5 2 2" xfId="16347"/>
    <cellStyle name="Normal 11 6 2 3 5 2 2 2" xfId="39768"/>
    <cellStyle name="Normal 11 6 2 3 5 2 3" xfId="33136"/>
    <cellStyle name="Normal 11 6 2 3 5 3" xfId="13031"/>
    <cellStyle name="Normal 11 6 2 3 5 3 2" xfId="36452"/>
    <cellStyle name="Normal 11 6 2 3 5 4" xfId="20783"/>
    <cellStyle name="Normal 11 6 2 3 5 4 2" xfId="43234"/>
    <cellStyle name="Normal 11 6 2 3 5 5" xfId="29820"/>
    <cellStyle name="Normal 11 6 2 3 6" xfId="7975"/>
    <cellStyle name="Normal 11 6 2 3 6 2" xfId="14689"/>
    <cellStyle name="Normal 11 6 2 3 6 2 2" xfId="38110"/>
    <cellStyle name="Normal 11 6 2 3 6 3" xfId="21643"/>
    <cellStyle name="Normal 11 6 2 3 6 3 2" xfId="44092"/>
    <cellStyle name="Normal 11 6 2 3 6 4" xfId="31478"/>
    <cellStyle name="Normal 11 6 2 3 7" xfId="11371"/>
    <cellStyle name="Normal 11 6 2 3 7 2" xfId="34794"/>
    <cellStyle name="Normal 11 6 2 3 8" xfId="18007"/>
    <cellStyle name="Normal 11 6 2 3 8 2" xfId="41315"/>
    <cellStyle name="Normal 11 6 2 3 9" xfId="23587"/>
    <cellStyle name="Normal 11 6 2 3 9 2" xfId="45907"/>
    <cellStyle name="Normal 11 6 2 4" xfId="2250"/>
    <cellStyle name="Normal 11 6 2 4 2" xfId="5521"/>
    <cellStyle name="Normal 11 6 2 4 2 2" xfId="7346"/>
    <cellStyle name="Normal 11 6 2 4 2 2 2" xfId="10677"/>
    <cellStyle name="Normal 11 6 2 4 2 2 2 2" xfId="17381"/>
    <cellStyle name="Normal 11 6 2 4 2 2 2 2 2" xfId="40802"/>
    <cellStyle name="Normal 11 6 2 4 2 2 2 3" xfId="23098"/>
    <cellStyle name="Normal 11 6 2 4 2 2 2 3 2" xfId="45520"/>
    <cellStyle name="Normal 11 6 2 4 2 2 2 4" xfId="34170"/>
    <cellStyle name="Normal 11 6 2 4 2 2 3" xfId="14065"/>
    <cellStyle name="Normal 11 6 2 4 2 2 3 2" xfId="37486"/>
    <cellStyle name="Normal 11 6 2 4 2 2 4" xfId="20270"/>
    <cellStyle name="Normal 11 6 2 4 2 2 4 2" xfId="42805"/>
    <cellStyle name="Normal 11 6 2 4 2 2 5" xfId="30854"/>
    <cellStyle name="Normal 11 6 2 4 2 3" xfId="9019"/>
    <cellStyle name="Normal 11 6 2 4 2 3 2" xfId="15723"/>
    <cellStyle name="Normal 11 6 2 4 2 3 2 2" xfId="39144"/>
    <cellStyle name="Normal 11 6 2 4 2 3 3" xfId="21244"/>
    <cellStyle name="Normal 11 6 2 4 2 3 3 2" xfId="43695"/>
    <cellStyle name="Normal 11 6 2 4 2 3 4" xfId="32512"/>
    <cellStyle name="Normal 11 6 2 4 2 4" xfId="12407"/>
    <cellStyle name="Normal 11 6 2 4 2 4 2" xfId="22283"/>
    <cellStyle name="Normal 11 6 2 4 2 4 2 2" xfId="44705"/>
    <cellStyle name="Normal 11 6 2 4 2 4 3" xfId="35828"/>
    <cellStyle name="Normal 11 6 2 4 2 5" xfId="19431"/>
    <cellStyle name="Normal 11 6 2 4 2 5 2" xfId="41973"/>
    <cellStyle name="Normal 11 6 2 4 2 6" xfId="25849"/>
    <cellStyle name="Normal 11 6 2 4 2 6 2" xfId="48094"/>
    <cellStyle name="Normal 11 6 2 4 2 7" xfId="29196"/>
    <cellStyle name="Normal 11 6 2 4 3" xfId="6442"/>
    <cellStyle name="Normal 11 6 2 4 3 2" xfId="9776"/>
    <cellStyle name="Normal 11 6 2 4 3 2 2" xfId="16480"/>
    <cellStyle name="Normal 11 6 2 4 3 2 2 2" xfId="39901"/>
    <cellStyle name="Normal 11 6 2 4 3 2 3" xfId="22691"/>
    <cellStyle name="Normal 11 6 2 4 3 2 3 2" xfId="45113"/>
    <cellStyle name="Normal 11 6 2 4 3 2 4" xfId="33269"/>
    <cellStyle name="Normal 11 6 2 4 3 3" xfId="13164"/>
    <cellStyle name="Normal 11 6 2 4 3 3 2" xfId="36585"/>
    <cellStyle name="Normal 11 6 2 4 3 4" xfId="19854"/>
    <cellStyle name="Normal 11 6 2 4 3 4 2" xfId="42389"/>
    <cellStyle name="Normal 11 6 2 4 3 5" xfId="29953"/>
    <cellStyle name="Normal 11 6 2 4 4" xfId="8109"/>
    <cellStyle name="Normal 11 6 2 4 4 2" xfId="14822"/>
    <cellStyle name="Normal 11 6 2 4 4 2 2" xfId="38243"/>
    <cellStyle name="Normal 11 6 2 4 4 3" xfId="20785"/>
    <cellStyle name="Normal 11 6 2 4 4 3 2" xfId="43236"/>
    <cellStyle name="Normal 11 6 2 4 4 4" xfId="31611"/>
    <cellStyle name="Normal 11 6 2 4 5" xfId="11504"/>
    <cellStyle name="Normal 11 6 2 4 5 2" xfId="21849"/>
    <cellStyle name="Normal 11 6 2 4 5 2 2" xfId="44291"/>
    <cellStyle name="Normal 11 6 2 4 5 3" xfId="34927"/>
    <cellStyle name="Normal 11 6 2 4 6" xfId="18604"/>
    <cellStyle name="Normal 11 6 2 4 6 2" xfId="41548"/>
    <cellStyle name="Normal 11 6 2 4 7" xfId="23484"/>
    <cellStyle name="Normal 11 6 2 4 7 2" xfId="45824"/>
    <cellStyle name="Normal 11 6 2 4 8" xfId="28295"/>
    <cellStyle name="Normal 11 6 2 5" xfId="2675"/>
    <cellStyle name="Normal 11 6 2 5 2" xfId="5768"/>
    <cellStyle name="Normal 11 6 2 5 2 2" xfId="7550"/>
    <cellStyle name="Normal 11 6 2 5 2 2 2" xfId="10879"/>
    <cellStyle name="Normal 11 6 2 5 2 2 2 2" xfId="17583"/>
    <cellStyle name="Normal 11 6 2 5 2 2 2 2 2" xfId="41004"/>
    <cellStyle name="Normal 11 6 2 5 2 2 2 3" xfId="34372"/>
    <cellStyle name="Normal 11 6 2 5 2 2 3" xfId="14267"/>
    <cellStyle name="Normal 11 6 2 5 2 2 3 2" xfId="37688"/>
    <cellStyle name="Normal 11 6 2 5 2 2 4" xfId="20627"/>
    <cellStyle name="Normal 11 6 2 5 2 2 4 2" xfId="43078"/>
    <cellStyle name="Normal 11 6 2 5 2 2 5" xfId="31056"/>
    <cellStyle name="Normal 11 6 2 5 2 3" xfId="9221"/>
    <cellStyle name="Normal 11 6 2 5 2 3 2" xfId="15925"/>
    <cellStyle name="Normal 11 6 2 5 2 3 2 2" xfId="39346"/>
    <cellStyle name="Normal 11 6 2 5 2 3 3" xfId="21545"/>
    <cellStyle name="Normal 11 6 2 5 2 3 3 2" xfId="43996"/>
    <cellStyle name="Normal 11 6 2 5 2 3 4" xfId="32714"/>
    <cellStyle name="Normal 11 6 2 5 2 4" xfId="12609"/>
    <cellStyle name="Normal 11 6 2 5 2 4 2" xfId="22898"/>
    <cellStyle name="Normal 11 6 2 5 2 4 2 2" xfId="45320"/>
    <cellStyle name="Normal 11 6 2 5 2 4 3" xfId="36030"/>
    <cellStyle name="Normal 11 6 2 5 2 5" xfId="20062"/>
    <cellStyle name="Normal 11 6 2 5 2 5 2" xfId="42597"/>
    <cellStyle name="Normal 11 6 2 5 2 6" xfId="27971"/>
    <cellStyle name="Normal 11 6 2 5 2 6 2" xfId="50216"/>
    <cellStyle name="Normal 11 6 2 5 2 7" xfId="29398"/>
    <cellStyle name="Normal 11 6 2 5 3" xfId="6651"/>
    <cellStyle name="Normal 11 6 2 5 3 2" xfId="9983"/>
    <cellStyle name="Normal 11 6 2 5 3 2 2" xfId="16687"/>
    <cellStyle name="Normal 11 6 2 5 3 2 2 2" xfId="40108"/>
    <cellStyle name="Normal 11 6 2 5 3 2 3" xfId="33476"/>
    <cellStyle name="Normal 11 6 2 5 3 3" xfId="13371"/>
    <cellStyle name="Normal 11 6 2 5 3 3 2" xfId="36792"/>
    <cellStyle name="Normal 11 6 2 5 3 4" xfId="20529"/>
    <cellStyle name="Normal 11 6 2 5 3 4 2" xfId="42982"/>
    <cellStyle name="Normal 11 6 2 5 3 5" xfId="30160"/>
    <cellStyle name="Normal 11 6 2 5 4" xfId="8317"/>
    <cellStyle name="Normal 11 6 2 5 4 2" xfId="15029"/>
    <cellStyle name="Normal 11 6 2 5 4 2 2" xfId="38450"/>
    <cellStyle name="Normal 11 6 2 5 4 3" xfId="21086"/>
    <cellStyle name="Normal 11 6 2 5 4 3 2" xfId="43537"/>
    <cellStyle name="Normal 11 6 2 5 4 4" xfId="31818"/>
    <cellStyle name="Normal 11 6 2 5 5" xfId="11711"/>
    <cellStyle name="Normal 11 6 2 5 5 2" xfId="22070"/>
    <cellStyle name="Normal 11 6 2 5 5 2 2" xfId="44498"/>
    <cellStyle name="Normal 11 6 2 5 5 3" xfId="35134"/>
    <cellStyle name="Normal 11 6 2 5 6" xfId="19208"/>
    <cellStyle name="Normal 11 6 2 5 6 2" xfId="41765"/>
    <cellStyle name="Normal 11 6 2 5 7" xfId="25666"/>
    <cellStyle name="Normal 11 6 2 5 7 2" xfId="47911"/>
    <cellStyle name="Normal 11 6 2 5 8" xfId="28502"/>
    <cellStyle name="Normal 11 6 2 6" xfId="3886"/>
    <cellStyle name="Normal 11 6 2 6 2" xfId="6998"/>
    <cellStyle name="Normal 11 6 2 6 2 2" xfId="10330"/>
    <cellStyle name="Normal 11 6 2 6 2 2 2" xfId="17034"/>
    <cellStyle name="Normal 11 6 2 6 2 2 2 2" xfId="40455"/>
    <cellStyle name="Normal 11 6 2 6 2 2 3" xfId="33823"/>
    <cellStyle name="Normal 11 6 2 6 2 3" xfId="13718"/>
    <cellStyle name="Normal 11 6 2 6 2 3 2" xfId="37139"/>
    <cellStyle name="Normal 11 6 2 6 2 4" xfId="20574"/>
    <cellStyle name="Normal 11 6 2 6 2 4 2" xfId="43027"/>
    <cellStyle name="Normal 11 6 2 6 2 5" xfId="30507"/>
    <cellStyle name="Normal 11 6 2 6 3" xfId="8665"/>
    <cellStyle name="Normal 11 6 2 6 3 2" xfId="15376"/>
    <cellStyle name="Normal 11 6 2 6 3 2 2" xfId="38797"/>
    <cellStyle name="Normal 11 6 2 6 3 3" xfId="21237"/>
    <cellStyle name="Normal 11 6 2 6 3 3 2" xfId="43688"/>
    <cellStyle name="Normal 11 6 2 6 3 4" xfId="32165"/>
    <cellStyle name="Normal 11 6 2 6 4" xfId="12058"/>
    <cellStyle name="Normal 11 6 2 6 4 2" xfId="22491"/>
    <cellStyle name="Normal 11 6 2 6 4 2 2" xfId="44913"/>
    <cellStyle name="Normal 11 6 2 6 4 3" xfId="35481"/>
    <cellStyle name="Normal 11 6 2 6 5" xfId="19644"/>
    <cellStyle name="Normal 11 6 2 6 5 2" xfId="42181"/>
    <cellStyle name="Normal 11 6 2 6 6" xfId="25703"/>
    <cellStyle name="Normal 11 6 2 6 6 2" xfId="47948"/>
    <cellStyle name="Normal 11 6 2 6 7" xfId="28849"/>
    <cellStyle name="Normal 11 6 2 7" xfId="6178"/>
    <cellStyle name="Normal 11 6 2 7 2" xfId="9512"/>
    <cellStyle name="Normal 11 6 2 7 2 2" xfId="16216"/>
    <cellStyle name="Normal 11 6 2 7 2 2 2" xfId="39637"/>
    <cellStyle name="Normal 11 6 2 7 2 3" xfId="33005"/>
    <cellStyle name="Normal 11 6 2 7 3" xfId="12900"/>
    <cellStyle name="Normal 11 6 2 7 3 2" xfId="36321"/>
    <cellStyle name="Normal 11 6 2 7 4" xfId="17895"/>
    <cellStyle name="Normal 11 6 2 7 4 2" xfId="41245"/>
    <cellStyle name="Normal 11 6 2 7 5" xfId="29689"/>
    <cellStyle name="Normal 11 6 2 8" xfId="7844"/>
    <cellStyle name="Normal 11 6 2 8 2" xfId="14558"/>
    <cellStyle name="Normal 11 6 2 8 2 2" xfId="37979"/>
    <cellStyle name="Normal 11 6 2 8 3" xfId="20778"/>
    <cellStyle name="Normal 11 6 2 8 3 2" xfId="43229"/>
    <cellStyle name="Normal 11 6 2 8 4" xfId="31347"/>
    <cellStyle name="Normal 11 6 2 9" xfId="11240"/>
    <cellStyle name="Normal 11 6 2 9 2" xfId="21640"/>
    <cellStyle name="Normal 11 6 2 9 2 2" xfId="44089"/>
    <cellStyle name="Normal 11 6 2 9 3" xfId="34663"/>
    <cellStyle name="Normal 11 6 3" xfId="1627"/>
    <cellStyle name="Normal 11 6 3 10" xfId="23588"/>
    <cellStyle name="Normal 11 6 3 10 2" xfId="45908"/>
    <cellStyle name="Normal 11 6 3 11" xfId="28068"/>
    <cellStyle name="Normal 11 6 3 2" xfId="1847"/>
    <cellStyle name="Normal 11 6 3 2 10" xfId="28199"/>
    <cellStyle name="Normal 11 6 3 2 2" xfId="2255"/>
    <cellStyle name="Normal 11 6 3 2 2 2" xfId="5526"/>
    <cellStyle name="Normal 11 6 3 2 2 2 2" xfId="7351"/>
    <cellStyle name="Normal 11 6 3 2 2 2 2 2" xfId="10682"/>
    <cellStyle name="Normal 11 6 3 2 2 2 2 2 2" xfId="17386"/>
    <cellStyle name="Normal 11 6 3 2 2 2 2 2 2 2" xfId="40807"/>
    <cellStyle name="Normal 11 6 3 2 2 2 2 2 3" xfId="23103"/>
    <cellStyle name="Normal 11 6 3 2 2 2 2 2 3 2" xfId="45525"/>
    <cellStyle name="Normal 11 6 3 2 2 2 2 2 4" xfId="34175"/>
    <cellStyle name="Normal 11 6 3 2 2 2 2 3" xfId="14070"/>
    <cellStyle name="Normal 11 6 3 2 2 2 2 3 2" xfId="37491"/>
    <cellStyle name="Normal 11 6 3 2 2 2 2 4" xfId="20275"/>
    <cellStyle name="Normal 11 6 3 2 2 2 2 4 2" xfId="42810"/>
    <cellStyle name="Normal 11 6 3 2 2 2 2 5" xfId="30859"/>
    <cellStyle name="Normal 11 6 3 2 2 2 3" xfId="9024"/>
    <cellStyle name="Normal 11 6 3 2 2 2 3 2" xfId="15728"/>
    <cellStyle name="Normal 11 6 3 2 2 2 3 2 2" xfId="39149"/>
    <cellStyle name="Normal 11 6 3 2 2 2 3 3" xfId="21247"/>
    <cellStyle name="Normal 11 6 3 2 2 2 3 3 2" xfId="43698"/>
    <cellStyle name="Normal 11 6 3 2 2 2 3 4" xfId="32517"/>
    <cellStyle name="Normal 11 6 3 2 2 2 4" xfId="12412"/>
    <cellStyle name="Normal 11 6 3 2 2 2 4 2" xfId="22288"/>
    <cellStyle name="Normal 11 6 3 2 2 2 4 2 2" xfId="44710"/>
    <cellStyle name="Normal 11 6 3 2 2 2 4 3" xfId="35833"/>
    <cellStyle name="Normal 11 6 3 2 2 2 5" xfId="19436"/>
    <cellStyle name="Normal 11 6 3 2 2 2 5 2" xfId="41978"/>
    <cellStyle name="Normal 11 6 3 2 2 2 6" xfId="29201"/>
    <cellStyle name="Normal 11 6 3 2 2 3" xfId="6447"/>
    <cellStyle name="Normal 11 6 3 2 2 3 2" xfId="9781"/>
    <cellStyle name="Normal 11 6 3 2 2 3 2 2" xfId="16485"/>
    <cellStyle name="Normal 11 6 3 2 2 3 2 2 2" xfId="39906"/>
    <cellStyle name="Normal 11 6 3 2 2 3 2 3" xfId="22696"/>
    <cellStyle name="Normal 11 6 3 2 2 3 2 3 2" xfId="45118"/>
    <cellStyle name="Normal 11 6 3 2 2 3 2 4" xfId="33274"/>
    <cellStyle name="Normal 11 6 3 2 2 3 3" xfId="13169"/>
    <cellStyle name="Normal 11 6 3 2 2 3 3 2" xfId="36590"/>
    <cellStyle name="Normal 11 6 3 2 2 3 4" xfId="19859"/>
    <cellStyle name="Normal 11 6 3 2 2 3 4 2" xfId="42394"/>
    <cellStyle name="Normal 11 6 3 2 2 3 5" xfId="29958"/>
    <cellStyle name="Normal 11 6 3 2 2 4" xfId="8114"/>
    <cellStyle name="Normal 11 6 3 2 2 4 2" xfId="14827"/>
    <cellStyle name="Normal 11 6 3 2 2 4 2 2" xfId="38248"/>
    <cellStyle name="Normal 11 6 3 2 2 4 3" xfId="20788"/>
    <cellStyle name="Normal 11 6 3 2 2 4 3 2" xfId="43239"/>
    <cellStyle name="Normal 11 6 3 2 2 4 4" xfId="31616"/>
    <cellStyle name="Normal 11 6 3 2 2 5" xfId="11509"/>
    <cellStyle name="Normal 11 6 3 2 2 5 2" xfId="21854"/>
    <cellStyle name="Normal 11 6 3 2 2 5 2 2" xfId="44296"/>
    <cellStyle name="Normal 11 6 3 2 2 5 3" xfId="34932"/>
    <cellStyle name="Normal 11 6 3 2 2 6" xfId="18609"/>
    <cellStyle name="Normal 11 6 3 2 2 6 2" xfId="41553"/>
    <cellStyle name="Normal 11 6 3 2 2 7" xfId="25854"/>
    <cellStyle name="Normal 11 6 3 2 2 7 2" xfId="48099"/>
    <cellStyle name="Normal 11 6 3 2 2 8" xfId="28300"/>
    <cellStyle name="Normal 11 6 3 2 3" xfId="2844"/>
    <cellStyle name="Normal 11 6 3 2 3 2" xfId="5936"/>
    <cellStyle name="Normal 11 6 3 2 3 2 2" xfId="7718"/>
    <cellStyle name="Normal 11 6 3 2 3 2 2 2" xfId="11047"/>
    <cellStyle name="Normal 11 6 3 2 3 2 2 2 2" xfId="17751"/>
    <cellStyle name="Normal 11 6 3 2 3 2 2 2 2 2" xfId="41172"/>
    <cellStyle name="Normal 11 6 3 2 3 2 2 2 3" xfId="34540"/>
    <cellStyle name="Normal 11 6 3 2 3 2 2 3" xfId="14435"/>
    <cellStyle name="Normal 11 6 3 2 3 2 2 3 2" xfId="37856"/>
    <cellStyle name="Normal 11 6 3 2 3 2 2 4" xfId="22903"/>
    <cellStyle name="Normal 11 6 3 2 3 2 2 4 2" xfId="45325"/>
    <cellStyle name="Normal 11 6 3 2 3 2 2 5" xfId="31224"/>
    <cellStyle name="Normal 11 6 3 2 3 2 3" xfId="9389"/>
    <cellStyle name="Normal 11 6 3 2 3 2 3 2" xfId="16093"/>
    <cellStyle name="Normal 11 6 3 2 3 2 3 2 2" xfId="39514"/>
    <cellStyle name="Normal 11 6 3 2 3 2 3 3" xfId="32882"/>
    <cellStyle name="Normal 11 6 3 2 3 2 4" xfId="12777"/>
    <cellStyle name="Normal 11 6 3 2 3 2 4 2" xfId="36198"/>
    <cellStyle name="Normal 11 6 3 2 3 2 5" xfId="20067"/>
    <cellStyle name="Normal 11 6 3 2 3 2 5 2" xfId="42602"/>
    <cellStyle name="Normal 11 6 3 2 3 2 6" xfId="29566"/>
    <cellStyle name="Normal 11 6 3 2 3 3" xfId="6819"/>
    <cellStyle name="Normal 11 6 3 2 3 3 2" xfId="10151"/>
    <cellStyle name="Normal 11 6 3 2 3 3 2 2" xfId="16855"/>
    <cellStyle name="Normal 11 6 3 2 3 3 2 2 2" xfId="40276"/>
    <cellStyle name="Normal 11 6 3 2 3 3 2 3" xfId="33644"/>
    <cellStyle name="Normal 11 6 3 2 3 3 3" xfId="13539"/>
    <cellStyle name="Normal 11 6 3 2 3 3 3 2" xfId="36960"/>
    <cellStyle name="Normal 11 6 3 2 3 3 4" xfId="21246"/>
    <cellStyle name="Normal 11 6 3 2 3 3 4 2" xfId="43697"/>
    <cellStyle name="Normal 11 6 3 2 3 3 5" xfId="30328"/>
    <cellStyle name="Normal 11 6 3 2 3 4" xfId="8485"/>
    <cellStyle name="Normal 11 6 3 2 3 4 2" xfId="15197"/>
    <cellStyle name="Normal 11 6 3 2 3 4 2 2" xfId="38618"/>
    <cellStyle name="Normal 11 6 3 2 3 4 3" xfId="22075"/>
    <cellStyle name="Normal 11 6 3 2 3 4 3 2" xfId="44503"/>
    <cellStyle name="Normal 11 6 3 2 3 4 4" xfId="31986"/>
    <cellStyle name="Normal 11 6 3 2 3 5" xfId="11879"/>
    <cellStyle name="Normal 11 6 3 2 3 5 2" xfId="35302"/>
    <cellStyle name="Normal 11 6 3 2 3 6" xfId="19213"/>
    <cellStyle name="Normal 11 6 3 2 3 6 2" xfId="41770"/>
    <cellStyle name="Normal 11 6 3 2 3 7" xfId="28670"/>
    <cellStyle name="Normal 11 6 3 2 4" xfId="3891"/>
    <cellStyle name="Normal 11 6 3 2 4 2" xfId="7003"/>
    <cellStyle name="Normal 11 6 3 2 4 2 2" xfId="10335"/>
    <cellStyle name="Normal 11 6 3 2 4 2 2 2" xfId="17039"/>
    <cellStyle name="Normal 11 6 3 2 4 2 2 2 2" xfId="40460"/>
    <cellStyle name="Normal 11 6 3 2 4 2 2 3" xfId="33828"/>
    <cellStyle name="Normal 11 6 3 2 4 2 3" xfId="13723"/>
    <cellStyle name="Normal 11 6 3 2 4 2 3 2" xfId="37144"/>
    <cellStyle name="Normal 11 6 3 2 4 2 4" xfId="22496"/>
    <cellStyle name="Normal 11 6 3 2 4 2 4 2" xfId="44918"/>
    <cellStyle name="Normal 11 6 3 2 4 2 5" xfId="30512"/>
    <cellStyle name="Normal 11 6 3 2 4 3" xfId="8670"/>
    <cellStyle name="Normal 11 6 3 2 4 3 2" xfId="15381"/>
    <cellStyle name="Normal 11 6 3 2 4 3 2 2" xfId="38802"/>
    <cellStyle name="Normal 11 6 3 2 4 3 3" xfId="32170"/>
    <cellStyle name="Normal 11 6 3 2 4 4" xfId="12063"/>
    <cellStyle name="Normal 11 6 3 2 4 4 2" xfId="35486"/>
    <cellStyle name="Normal 11 6 3 2 4 5" xfId="19649"/>
    <cellStyle name="Normal 11 6 3 2 4 5 2" xfId="42186"/>
    <cellStyle name="Normal 11 6 3 2 4 6" xfId="28854"/>
    <cellStyle name="Normal 11 6 3 2 5" xfId="6346"/>
    <cellStyle name="Normal 11 6 3 2 5 2" xfId="9680"/>
    <cellStyle name="Normal 11 6 3 2 5 2 2" xfId="16384"/>
    <cellStyle name="Normal 11 6 3 2 5 2 2 2" xfId="39805"/>
    <cellStyle name="Normal 11 6 3 2 5 2 3" xfId="33173"/>
    <cellStyle name="Normal 11 6 3 2 5 3" xfId="13068"/>
    <cellStyle name="Normal 11 6 3 2 5 3 2" xfId="36489"/>
    <cellStyle name="Normal 11 6 3 2 5 4" xfId="20787"/>
    <cellStyle name="Normal 11 6 3 2 5 4 2" xfId="43238"/>
    <cellStyle name="Normal 11 6 3 2 5 5" xfId="29857"/>
    <cellStyle name="Normal 11 6 3 2 6" xfId="8012"/>
    <cellStyle name="Normal 11 6 3 2 6 2" xfId="14726"/>
    <cellStyle name="Normal 11 6 3 2 6 2 2" xfId="38147"/>
    <cellStyle name="Normal 11 6 3 2 6 3" xfId="21645"/>
    <cellStyle name="Normal 11 6 3 2 6 3 2" xfId="44094"/>
    <cellStyle name="Normal 11 6 3 2 6 4" xfId="31515"/>
    <cellStyle name="Normal 11 6 3 2 7" xfId="11408"/>
    <cellStyle name="Normal 11 6 3 2 7 2" xfId="34831"/>
    <cellStyle name="Normal 11 6 3 2 8" xfId="18009"/>
    <cellStyle name="Normal 11 6 3 2 8 2" xfId="41317"/>
    <cellStyle name="Normal 11 6 3 2 9" xfId="23589"/>
    <cellStyle name="Normal 11 6 3 2 9 2" xfId="45909"/>
    <cellStyle name="Normal 11 6 3 3" xfId="2254"/>
    <cellStyle name="Normal 11 6 3 3 2" xfId="5525"/>
    <cellStyle name="Normal 11 6 3 3 2 2" xfId="7350"/>
    <cellStyle name="Normal 11 6 3 3 2 2 2" xfId="10681"/>
    <cellStyle name="Normal 11 6 3 3 2 2 2 2" xfId="17385"/>
    <cellStyle name="Normal 11 6 3 3 2 2 2 2 2" xfId="40806"/>
    <cellStyle name="Normal 11 6 3 3 2 2 2 3" xfId="23102"/>
    <cellStyle name="Normal 11 6 3 3 2 2 2 3 2" xfId="45524"/>
    <cellStyle name="Normal 11 6 3 3 2 2 2 4" xfId="34174"/>
    <cellStyle name="Normal 11 6 3 3 2 2 3" xfId="14069"/>
    <cellStyle name="Normal 11 6 3 3 2 2 3 2" xfId="37490"/>
    <cellStyle name="Normal 11 6 3 3 2 2 4" xfId="20274"/>
    <cellStyle name="Normal 11 6 3 3 2 2 4 2" xfId="42809"/>
    <cellStyle name="Normal 11 6 3 3 2 2 5" xfId="30858"/>
    <cellStyle name="Normal 11 6 3 3 2 3" xfId="9023"/>
    <cellStyle name="Normal 11 6 3 3 2 3 2" xfId="15727"/>
    <cellStyle name="Normal 11 6 3 3 2 3 2 2" xfId="39148"/>
    <cellStyle name="Normal 11 6 3 3 2 3 3" xfId="21248"/>
    <cellStyle name="Normal 11 6 3 3 2 3 3 2" xfId="43699"/>
    <cellStyle name="Normal 11 6 3 3 2 3 4" xfId="32516"/>
    <cellStyle name="Normal 11 6 3 3 2 4" xfId="12411"/>
    <cellStyle name="Normal 11 6 3 3 2 4 2" xfId="22287"/>
    <cellStyle name="Normal 11 6 3 3 2 4 2 2" xfId="44709"/>
    <cellStyle name="Normal 11 6 3 3 2 4 3" xfId="35832"/>
    <cellStyle name="Normal 11 6 3 3 2 5" xfId="19435"/>
    <cellStyle name="Normal 11 6 3 3 2 5 2" xfId="41977"/>
    <cellStyle name="Normal 11 6 3 3 2 6" xfId="29200"/>
    <cellStyle name="Normal 11 6 3 3 3" xfId="6446"/>
    <cellStyle name="Normal 11 6 3 3 3 2" xfId="9780"/>
    <cellStyle name="Normal 11 6 3 3 3 2 2" xfId="16484"/>
    <cellStyle name="Normal 11 6 3 3 3 2 2 2" xfId="39905"/>
    <cellStyle name="Normal 11 6 3 3 3 2 3" xfId="22695"/>
    <cellStyle name="Normal 11 6 3 3 3 2 3 2" xfId="45117"/>
    <cellStyle name="Normal 11 6 3 3 3 2 4" xfId="33273"/>
    <cellStyle name="Normal 11 6 3 3 3 3" xfId="13168"/>
    <cellStyle name="Normal 11 6 3 3 3 3 2" xfId="36589"/>
    <cellStyle name="Normal 11 6 3 3 3 4" xfId="19858"/>
    <cellStyle name="Normal 11 6 3 3 3 4 2" xfId="42393"/>
    <cellStyle name="Normal 11 6 3 3 3 5" xfId="29957"/>
    <cellStyle name="Normal 11 6 3 3 4" xfId="8113"/>
    <cellStyle name="Normal 11 6 3 3 4 2" xfId="14826"/>
    <cellStyle name="Normal 11 6 3 3 4 2 2" xfId="38247"/>
    <cellStyle name="Normal 11 6 3 3 4 3" xfId="20789"/>
    <cellStyle name="Normal 11 6 3 3 4 3 2" xfId="43240"/>
    <cellStyle name="Normal 11 6 3 3 4 4" xfId="31615"/>
    <cellStyle name="Normal 11 6 3 3 5" xfId="11508"/>
    <cellStyle name="Normal 11 6 3 3 5 2" xfId="21853"/>
    <cellStyle name="Normal 11 6 3 3 5 2 2" xfId="44295"/>
    <cellStyle name="Normal 11 6 3 3 5 3" xfId="34931"/>
    <cellStyle name="Normal 11 6 3 3 6" xfId="18608"/>
    <cellStyle name="Normal 11 6 3 3 6 2" xfId="41552"/>
    <cellStyle name="Normal 11 6 3 3 7" xfId="25853"/>
    <cellStyle name="Normal 11 6 3 3 7 2" xfId="48098"/>
    <cellStyle name="Normal 11 6 3 3 8" xfId="28299"/>
    <cellStyle name="Normal 11 6 3 4" xfId="2712"/>
    <cellStyle name="Normal 11 6 3 4 2" xfId="5805"/>
    <cellStyle name="Normal 11 6 3 4 2 2" xfId="7587"/>
    <cellStyle name="Normal 11 6 3 4 2 2 2" xfId="10916"/>
    <cellStyle name="Normal 11 6 3 4 2 2 2 2" xfId="17620"/>
    <cellStyle name="Normal 11 6 3 4 2 2 2 2 2" xfId="41041"/>
    <cellStyle name="Normal 11 6 3 4 2 2 2 3" xfId="34409"/>
    <cellStyle name="Normal 11 6 3 4 2 2 3" xfId="14304"/>
    <cellStyle name="Normal 11 6 3 4 2 2 3 2" xfId="37725"/>
    <cellStyle name="Normal 11 6 3 4 2 2 4" xfId="22902"/>
    <cellStyle name="Normal 11 6 3 4 2 2 4 2" xfId="45324"/>
    <cellStyle name="Normal 11 6 3 4 2 2 5" xfId="31093"/>
    <cellStyle name="Normal 11 6 3 4 2 3" xfId="9258"/>
    <cellStyle name="Normal 11 6 3 4 2 3 2" xfId="15962"/>
    <cellStyle name="Normal 11 6 3 4 2 3 2 2" xfId="39383"/>
    <cellStyle name="Normal 11 6 3 4 2 3 3" xfId="32751"/>
    <cellStyle name="Normal 11 6 3 4 2 4" xfId="12646"/>
    <cellStyle name="Normal 11 6 3 4 2 4 2" xfId="36067"/>
    <cellStyle name="Normal 11 6 3 4 2 5" xfId="20066"/>
    <cellStyle name="Normal 11 6 3 4 2 5 2" xfId="42601"/>
    <cellStyle name="Normal 11 6 3 4 2 6" xfId="29435"/>
    <cellStyle name="Normal 11 6 3 4 3" xfId="6688"/>
    <cellStyle name="Normal 11 6 3 4 3 2" xfId="10020"/>
    <cellStyle name="Normal 11 6 3 4 3 2 2" xfId="16724"/>
    <cellStyle name="Normal 11 6 3 4 3 2 2 2" xfId="40145"/>
    <cellStyle name="Normal 11 6 3 4 3 2 3" xfId="33513"/>
    <cellStyle name="Normal 11 6 3 4 3 3" xfId="13408"/>
    <cellStyle name="Normal 11 6 3 4 3 3 2" xfId="36829"/>
    <cellStyle name="Normal 11 6 3 4 3 4" xfId="21245"/>
    <cellStyle name="Normal 11 6 3 4 3 4 2" xfId="43696"/>
    <cellStyle name="Normal 11 6 3 4 3 5" xfId="30197"/>
    <cellStyle name="Normal 11 6 3 4 4" xfId="8354"/>
    <cellStyle name="Normal 11 6 3 4 4 2" xfId="15066"/>
    <cellStyle name="Normal 11 6 3 4 4 2 2" xfId="38487"/>
    <cellStyle name="Normal 11 6 3 4 4 3" xfId="22074"/>
    <cellStyle name="Normal 11 6 3 4 4 3 2" xfId="44502"/>
    <cellStyle name="Normal 11 6 3 4 4 4" xfId="31855"/>
    <cellStyle name="Normal 11 6 3 4 5" xfId="11748"/>
    <cellStyle name="Normal 11 6 3 4 5 2" xfId="35171"/>
    <cellStyle name="Normal 11 6 3 4 6" xfId="19212"/>
    <cellStyle name="Normal 11 6 3 4 6 2" xfId="41769"/>
    <cellStyle name="Normal 11 6 3 4 7" xfId="28539"/>
    <cellStyle name="Normal 11 6 3 5" xfId="3890"/>
    <cellStyle name="Normal 11 6 3 5 2" xfId="7002"/>
    <cellStyle name="Normal 11 6 3 5 2 2" xfId="10334"/>
    <cellStyle name="Normal 11 6 3 5 2 2 2" xfId="17038"/>
    <cellStyle name="Normal 11 6 3 5 2 2 2 2" xfId="40459"/>
    <cellStyle name="Normal 11 6 3 5 2 2 3" xfId="33827"/>
    <cellStyle name="Normal 11 6 3 5 2 3" xfId="13722"/>
    <cellStyle name="Normal 11 6 3 5 2 3 2" xfId="37143"/>
    <cellStyle name="Normal 11 6 3 5 2 4" xfId="22495"/>
    <cellStyle name="Normal 11 6 3 5 2 4 2" xfId="44917"/>
    <cellStyle name="Normal 11 6 3 5 2 5" xfId="30511"/>
    <cellStyle name="Normal 11 6 3 5 3" xfId="8669"/>
    <cellStyle name="Normal 11 6 3 5 3 2" xfId="15380"/>
    <cellStyle name="Normal 11 6 3 5 3 2 2" xfId="38801"/>
    <cellStyle name="Normal 11 6 3 5 3 3" xfId="32169"/>
    <cellStyle name="Normal 11 6 3 5 4" xfId="12062"/>
    <cellStyle name="Normal 11 6 3 5 4 2" xfId="35485"/>
    <cellStyle name="Normal 11 6 3 5 5" xfId="19648"/>
    <cellStyle name="Normal 11 6 3 5 5 2" xfId="42185"/>
    <cellStyle name="Normal 11 6 3 5 6" xfId="28853"/>
    <cellStyle name="Normal 11 6 3 6" xfId="6215"/>
    <cellStyle name="Normal 11 6 3 6 2" xfId="9549"/>
    <cellStyle name="Normal 11 6 3 6 2 2" xfId="16253"/>
    <cellStyle name="Normal 11 6 3 6 2 2 2" xfId="39674"/>
    <cellStyle name="Normal 11 6 3 6 2 3" xfId="33042"/>
    <cellStyle name="Normal 11 6 3 6 3" xfId="12937"/>
    <cellStyle name="Normal 11 6 3 6 3 2" xfId="36358"/>
    <cellStyle name="Normal 11 6 3 6 4" xfId="20786"/>
    <cellStyle name="Normal 11 6 3 6 4 2" xfId="43237"/>
    <cellStyle name="Normal 11 6 3 6 5" xfId="29726"/>
    <cellStyle name="Normal 11 6 3 7" xfId="7881"/>
    <cellStyle name="Normal 11 6 3 7 2" xfId="14595"/>
    <cellStyle name="Normal 11 6 3 7 2 2" xfId="38016"/>
    <cellStyle name="Normal 11 6 3 7 3" xfId="21644"/>
    <cellStyle name="Normal 11 6 3 7 3 2" xfId="44093"/>
    <cellStyle name="Normal 11 6 3 7 4" xfId="31384"/>
    <cellStyle name="Normal 11 6 3 8" xfId="11277"/>
    <cellStyle name="Normal 11 6 3 8 2" xfId="34700"/>
    <cellStyle name="Normal 11 6 3 9" xfId="18008"/>
    <cellStyle name="Normal 11 6 3 9 2" xfId="41316"/>
    <cellStyle name="Normal 11 6 4" xfId="1774"/>
    <cellStyle name="Normal 11 6 4 10" xfId="28126"/>
    <cellStyle name="Normal 11 6 4 2" xfId="2256"/>
    <cellStyle name="Normal 11 6 4 2 2" xfId="5527"/>
    <cellStyle name="Normal 11 6 4 2 2 2" xfId="7352"/>
    <cellStyle name="Normal 11 6 4 2 2 2 2" xfId="10683"/>
    <cellStyle name="Normal 11 6 4 2 2 2 2 2" xfId="17387"/>
    <cellStyle name="Normal 11 6 4 2 2 2 2 2 2" xfId="40808"/>
    <cellStyle name="Normal 11 6 4 2 2 2 2 3" xfId="23104"/>
    <cellStyle name="Normal 11 6 4 2 2 2 2 3 2" xfId="45526"/>
    <cellStyle name="Normal 11 6 4 2 2 2 2 4" xfId="34176"/>
    <cellStyle name="Normal 11 6 4 2 2 2 3" xfId="14071"/>
    <cellStyle name="Normal 11 6 4 2 2 2 3 2" xfId="37492"/>
    <cellStyle name="Normal 11 6 4 2 2 2 4" xfId="20276"/>
    <cellStyle name="Normal 11 6 4 2 2 2 4 2" xfId="42811"/>
    <cellStyle name="Normal 11 6 4 2 2 2 5" xfId="30860"/>
    <cellStyle name="Normal 11 6 4 2 2 3" xfId="9025"/>
    <cellStyle name="Normal 11 6 4 2 2 3 2" xfId="15729"/>
    <cellStyle name="Normal 11 6 4 2 2 3 2 2" xfId="39150"/>
    <cellStyle name="Normal 11 6 4 2 2 3 3" xfId="21250"/>
    <cellStyle name="Normal 11 6 4 2 2 3 3 2" xfId="43701"/>
    <cellStyle name="Normal 11 6 4 2 2 3 4" xfId="32518"/>
    <cellStyle name="Normal 11 6 4 2 2 4" xfId="12413"/>
    <cellStyle name="Normal 11 6 4 2 2 4 2" xfId="22289"/>
    <cellStyle name="Normal 11 6 4 2 2 4 2 2" xfId="44711"/>
    <cellStyle name="Normal 11 6 4 2 2 4 3" xfId="35834"/>
    <cellStyle name="Normal 11 6 4 2 2 5" xfId="19437"/>
    <cellStyle name="Normal 11 6 4 2 2 5 2" xfId="41979"/>
    <cellStyle name="Normal 11 6 4 2 2 6" xfId="29202"/>
    <cellStyle name="Normal 11 6 4 2 3" xfId="6448"/>
    <cellStyle name="Normal 11 6 4 2 3 2" xfId="9782"/>
    <cellStyle name="Normal 11 6 4 2 3 2 2" xfId="16486"/>
    <cellStyle name="Normal 11 6 4 2 3 2 2 2" xfId="39907"/>
    <cellStyle name="Normal 11 6 4 2 3 2 3" xfId="22697"/>
    <cellStyle name="Normal 11 6 4 2 3 2 3 2" xfId="45119"/>
    <cellStyle name="Normal 11 6 4 2 3 2 4" xfId="33275"/>
    <cellStyle name="Normal 11 6 4 2 3 3" xfId="13170"/>
    <cellStyle name="Normal 11 6 4 2 3 3 2" xfId="36591"/>
    <cellStyle name="Normal 11 6 4 2 3 4" xfId="19860"/>
    <cellStyle name="Normal 11 6 4 2 3 4 2" xfId="42395"/>
    <cellStyle name="Normal 11 6 4 2 3 5" xfId="29959"/>
    <cellStyle name="Normal 11 6 4 2 4" xfId="8115"/>
    <cellStyle name="Normal 11 6 4 2 4 2" xfId="14828"/>
    <cellStyle name="Normal 11 6 4 2 4 2 2" xfId="38249"/>
    <cellStyle name="Normal 11 6 4 2 4 3" xfId="20791"/>
    <cellStyle name="Normal 11 6 4 2 4 3 2" xfId="43242"/>
    <cellStyle name="Normal 11 6 4 2 4 4" xfId="31617"/>
    <cellStyle name="Normal 11 6 4 2 5" xfId="11510"/>
    <cellStyle name="Normal 11 6 4 2 5 2" xfId="21855"/>
    <cellStyle name="Normal 11 6 4 2 5 2 2" xfId="44297"/>
    <cellStyle name="Normal 11 6 4 2 5 3" xfId="34933"/>
    <cellStyle name="Normal 11 6 4 2 6" xfId="18610"/>
    <cellStyle name="Normal 11 6 4 2 6 2" xfId="41554"/>
    <cellStyle name="Normal 11 6 4 2 7" xfId="25855"/>
    <cellStyle name="Normal 11 6 4 2 7 2" xfId="48100"/>
    <cellStyle name="Normal 11 6 4 2 8" xfId="28301"/>
    <cellStyle name="Normal 11 6 4 3" xfId="2771"/>
    <cellStyle name="Normal 11 6 4 3 2" xfId="5863"/>
    <cellStyle name="Normal 11 6 4 3 2 2" xfId="7645"/>
    <cellStyle name="Normal 11 6 4 3 2 2 2" xfId="10974"/>
    <cellStyle name="Normal 11 6 4 3 2 2 2 2" xfId="17678"/>
    <cellStyle name="Normal 11 6 4 3 2 2 2 2 2" xfId="41099"/>
    <cellStyle name="Normal 11 6 4 3 2 2 2 3" xfId="34467"/>
    <cellStyle name="Normal 11 6 4 3 2 2 3" xfId="14362"/>
    <cellStyle name="Normal 11 6 4 3 2 2 3 2" xfId="37783"/>
    <cellStyle name="Normal 11 6 4 3 2 2 4" xfId="22904"/>
    <cellStyle name="Normal 11 6 4 3 2 2 4 2" xfId="45326"/>
    <cellStyle name="Normal 11 6 4 3 2 2 5" xfId="31151"/>
    <cellStyle name="Normal 11 6 4 3 2 3" xfId="9316"/>
    <cellStyle name="Normal 11 6 4 3 2 3 2" xfId="16020"/>
    <cellStyle name="Normal 11 6 4 3 2 3 2 2" xfId="39441"/>
    <cellStyle name="Normal 11 6 4 3 2 3 3" xfId="32809"/>
    <cellStyle name="Normal 11 6 4 3 2 4" xfId="12704"/>
    <cellStyle name="Normal 11 6 4 3 2 4 2" xfId="36125"/>
    <cellStyle name="Normal 11 6 4 3 2 5" xfId="20068"/>
    <cellStyle name="Normal 11 6 4 3 2 5 2" xfId="42603"/>
    <cellStyle name="Normal 11 6 4 3 2 6" xfId="29493"/>
    <cellStyle name="Normal 11 6 4 3 3" xfId="6746"/>
    <cellStyle name="Normal 11 6 4 3 3 2" xfId="10078"/>
    <cellStyle name="Normal 11 6 4 3 3 2 2" xfId="16782"/>
    <cellStyle name="Normal 11 6 4 3 3 2 2 2" xfId="40203"/>
    <cellStyle name="Normal 11 6 4 3 3 2 3" xfId="33571"/>
    <cellStyle name="Normal 11 6 4 3 3 3" xfId="13466"/>
    <cellStyle name="Normal 11 6 4 3 3 3 2" xfId="36887"/>
    <cellStyle name="Normal 11 6 4 3 3 4" xfId="21249"/>
    <cellStyle name="Normal 11 6 4 3 3 4 2" xfId="43700"/>
    <cellStyle name="Normal 11 6 4 3 3 5" xfId="30255"/>
    <cellStyle name="Normal 11 6 4 3 4" xfId="8412"/>
    <cellStyle name="Normal 11 6 4 3 4 2" xfId="15124"/>
    <cellStyle name="Normal 11 6 4 3 4 2 2" xfId="38545"/>
    <cellStyle name="Normal 11 6 4 3 4 3" xfId="22076"/>
    <cellStyle name="Normal 11 6 4 3 4 3 2" xfId="44504"/>
    <cellStyle name="Normal 11 6 4 3 4 4" xfId="31913"/>
    <cellStyle name="Normal 11 6 4 3 5" xfId="11806"/>
    <cellStyle name="Normal 11 6 4 3 5 2" xfId="35229"/>
    <cellStyle name="Normal 11 6 4 3 6" xfId="19214"/>
    <cellStyle name="Normal 11 6 4 3 6 2" xfId="41771"/>
    <cellStyle name="Normal 11 6 4 3 7" xfId="28597"/>
    <cellStyle name="Normal 11 6 4 4" xfId="3892"/>
    <cellStyle name="Normal 11 6 4 4 2" xfId="7004"/>
    <cellStyle name="Normal 11 6 4 4 2 2" xfId="10336"/>
    <cellStyle name="Normal 11 6 4 4 2 2 2" xfId="17040"/>
    <cellStyle name="Normal 11 6 4 4 2 2 2 2" xfId="40461"/>
    <cellStyle name="Normal 11 6 4 4 2 2 3" xfId="33829"/>
    <cellStyle name="Normal 11 6 4 4 2 3" xfId="13724"/>
    <cellStyle name="Normal 11 6 4 4 2 3 2" xfId="37145"/>
    <cellStyle name="Normal 11 6 4 4 2 4" xfId="22497"/>
    <cellStyle name="Normal 11 6 4 4 2 4 2" xfId="44919"/>
    <cellStyle name="Normal 11 6 4 4 2 5" xfId="30513"/>
    <cellStyle name="Normal 11 6 4 4 3" xfId="8671"/>
    <cellStyle name="Normal 11 6 4 4 3 2" xfId="15382"/>
    <cellStyle name="Normal 11 6 4 4 3 2 2" xfId="38803"/>
    <cellStyle name="Normal 11 6 4 4 3 3" xfId="32171"/>
    <cellStyle name="Normal 11 6 4 4 4" xfId="12064"/>
    <cellStyle name="Normal 11 6 4 4 4 2" xfId="35487"/>
    <cellStyle name="Normal 11 6 4 4 5" xfId="19650"/>
    <cellStyle name="Normal 11 6 4 4 5 2" xfId="42187"/>
    <cellStyle name="Normal 11 6 4 4 6" xfId="28855"/>
    <cellStyle name="Normal 11 6 4 5" xfId="6273"/>
    <cellStyle name="Normal 11 6 4 5 2" xfId="9607"/>
    <cellStyle name="Normal 11 6 4 5 2 2" xfId="16311"/>
    <cellStyle name="Normal 11 6 4 5 2 2 2" xfId="39732"/>
    <cellStyle name="Normal 11 6 4 5 2 3" xfId="33100"/>
    <cellStyle name="Normal 11 6 4 5 3" xfId="12995"/>
    <cellStyle name="Normal 11 6 4 5 3 2" xfId="36416"/>
    <cellStyle name="Normal 11 6 4 5 4" xfId="20790"/>
    <cellStyle name="Normal 11 6 4 5 4 2" xfId="43241"/>
    <cellStyle name="Normal 11 6 4 5 5" xfId="29784"/>
    <cellStyle name="Normal 11 6 4 6" xfId="7939"/>
    <cellStyle name="Normal 11 6 4 6 2" xfId="14653"/>
    <cellStyle name="Normal 11 6 4 6 2 2" xfId="38074"/>
    <cellStyle name="Normal 11 6 4 6 3" xfId="21646"/>
    <cellStyle name="Normal 11 6 4 6 3 2" xfId="44095"/>
    <cellStyle name="Normal 11 6 4 6 4" xfId="31442"/>
    <cellStyle name="Normal 11 6 4 7" xfId="11335"/>
    <cellStyle name="Normal 11 6 4 7 2" xfId="34758"/>
    <cellStyle name="Normal 11 6 4 8" xfId="18010"/>
    <cellStyle name="Normal 11 6 4 8 2" xfId="41318"/>
    <cellStyle name="Normal 11 6 4 9" xfId="23590"/>
    <cellStyle name="Normal 11 6 4 9 2" xfId="45910"/>
    <cellStyle name="Normal 11 6 5" xfId="2249"/>
    <cellStyle name="Normal 11 6 5 2" xfId="5520"/>
    <cellStyle name="Normal 11 6 5 2 2" xfId="7345"/>
    <cellStyle name="Normal 11 6 5 2 2 2" xfId="10676"/>
    <cellStyle name="Normal 11 6 5 2 2 2 2" xfId="17380"/>
    <cellStyle name="Normal 11 6 5 2 2 2 2 2" xfId="40801"/>
    <cellStyle name="Normal 11 6 5 2 2 2 3" xfId="23097"/>
    <cellStyle name="Normal 11 6 5 2 2 2 3 2" xfId="45519"/>
    <cellStyle name="Normal 11 6 5 2 2 2 4" xfId="34169"/>
    <cellStyle name="Normal 11 6 5 2 2 3" xfId="14064"/>
    <cellStyle name="Normal 11 6 5 2 2 3 2" xfId="37485"/>
    <cellStyle name="Normal 11 6 5 2 2 4" xfId="20269"/>
    <cellStyle name="Normal 11 6 5 2 2 4 2" xfId="42804"/>
    <cellStyle name="Normal 11 6 5 2 2 5" xfId="30853"/>
    <cellStyle name="Normal 11 6 5 2 3" xfId="9018"/>
    <cellStyle name="Normal 11 6 5 2 3 2" xfId="15722"/>
    <cellStyle name="Normal 11 6 5 2 3 2 2" xfId="39143"/>
    <cellStyle name="Normal 11 6 5 2 3 3" xfId="21251"/>
    <cellStyle name="Normal 11 6 5 2 3 3 2" xfId="43702"/>
    <cellStyle name="Normal 11 6 5 2 3 4" xfId="32511"/>
    <cellStyle name="Normal 11 6 5 2 4" xfId="12406"/>
    <cellStyle name="Normal 11 6 5 2 4 2" xfId="22282"/>
    <cellStyle name="Normal 11 6 5 2 4 2 2" xfId="44704"/>
    <cellStyle name="Normal 11 6 5 2 4 3" xfId="35827"/>
    <cellStyle name="Normal 11 6 5 2 5" xfId="19430"/>
    <cellStyle name="Normal 11 6 5 2 5 2" xfId="41972"/>
    <cellStyle name="Normal 11 6 5 2 6" xfId="25848"/>
    <cellStyle name="Normal 11 6 5 2 6 2" xfId="48093"/>
    <cellStyle name="Normal 11 6 5 2 7" xfId="29195"/>
    <cellStyle name="Normal 11 6 5 3" xfId="6441"/>
    <cellStyle name="Normal 11 6 5 3 2" xfId="9775"/>
    <cellStyle name="Normal 11 6 5 3 2 2" xfId="16479"/>
    <cellStyle name="Normal 11 6 5 3 2 2 2" xfId="39900"/>
    <cellStyle name="Normal 11 6 5 3 2 3" xfId="22690"/>
    <cellStyle name="Normal 11 6 5 3 2 3 2" xfId="45112"/>
    <cellStyle name="Normal 11 6 5 3 2 4" xfId="33268"/>
    <cellStyle name="Normal 11 6 5 3 3" xfId="13163"/>
    <cellStyle name="Normal 11 6 5 3 3 2" xfId="36584"/>
    <cellStyle name="Normal 11 6 5 3 4" xfId="19853"/>
    <cellStyle name="Normal 11 6 5 3 4 2" xfId="42388"/>
    <cellStyle name="Normal 11 6 5 3 5" xfId="29952"/>
    <cellStyle name="Normal 11 6 5 4" xfId="8108"/>
    <cellStyle name="Normal 11 6 5 4 2" xfId="14821"/>
    <cellStyle name="Normal 11 6 5 4 2 2" xfId="38242"/>
    <cellStyle name="Normal 11 6 5 4 3" xfId="20792"/>
    <cellStyle name="Normal 11 6 5 4 3 2" xfId="43243"/>
    <cellStyle name="Normal 11 6 5 4 4" xfId="31610"/>
    <cellStyle name="Normal 11 6 5 5" xfId="11503"/>
    <cellStyle name="Normal 11 6 5 5 2" xfId="21848"/>
    <cellStyle name="Normal 11 6 5 5 2 2" xfId="44290"/>
    <cellStyle name="Normal 11 6 5 5 3" xfId="34926"/>
    <cellStyle name="Normal 11 6 5 6" xfId="18603"/>
    <cellStyle name="Normal 11 6 5 6 2" xfId="41547"/>
    <cellStyle name="Normal 11 6 5 7" xfId="23302"/>
    <cellStyle name="Normal 11 6 5 7 2" xfId="45694"/>
    <cellStyle name="Normal 11 6 5 8" xfId="28294"/>
    <cellStyle name="Normal 11 6 6" xfId="2638"/>
    <cellStyle name="Normal 11 6 6 2" xfId="5732"/>
    <cellStyle name="Normal 11 6 6 2 2" xfId="7515"/>
    <cellStyle name="Normal 11 6 6 2 2 2" xfId="10844"/>
    <cellStyle name="Normal 11 6 6 2 2 2 2" xfId="17548"/>
    <cellStyle name="Normal 11 6 6 2 2 2 2 2" xfId="40969"/>
    <cellStyle name="Normal 11 6 6 2 2 2 3" xfId="34337"/>
    <cellStyle name="Normal 11 6 6 2 2 3" xfId="14232"/>
    <cellStyle name="Normal 11 6 6 2 2 3 2" xfId="37653"/>
    <cellStyle name="Normal 11 6 6 2 2 4" xfId="20626"/>
    <cellStyle name="Normal 11 6 6 2 2 4 2" xfId="43077"/>
    <cellStyle name="Normal 11 6 6 2 2 5" xfId="31021"/>
    <cellStyle name="Normal 11 6 6 2 3" xfId="9186"/>
    <cellStyle name="Normal 11 6 6 2 3 2" xfId="15890"/>
    <cellStyle name="Normal 11 6 6 2 3 2 2" xfId="39311"/>
    <cellStyle name="Normal 11 6 6 2 3 3" xfId="21544"/>
    <cellStyle name="Normal 11 6 6 2 3 3 2" xfId="43995"/>
    <cellStyle name="Normal 11 6 6 2 3 4" xfId="32679"/>
    <cellStyle name="Normal 11 6 6 2 4" xfId="12574"/>
    <cellStyle name="Normal 11 6 6 2 4 2" xfId="22897"/>
    <cellStyle name="Normal 11 6 6 2 4 2 2" xfId="45319"/>
    <cellStyle name="Normal 11 6 6 2 4 3" xfId="35995"/>
    <cellStyle name="Normal 11 6 6 2 5" xfId="20061"/>
    <cellStyle name="Normal 11 6 6 2 5 2" xfId="42596"/>
    <cellStyle name="Normal 11 6 6 2 6" xfId="27952"/>
    <cellStyle name="Normal 11 6 6 2 6 2" xfId="50197"/>
    <cellStyle name="Normal 11 6 6 2 7" xfId="29363"/>
    <cellStyle name="Normal 11 6 6 3" xfId="6615"/>
    <cellStyle name="Normal 11 6 6 3 2" xfId="9947"/>
    <cellStyle name="Normal 11 6 6 3 2 2" xfId="16651"/>
    <cellStyle name="Normal 11 6 6 3 2 2 2" xfId="40072"/>
    <cellStyle name="Normal 11 6 6 3 2 3" xfId="33440"/>
    <cellStyle name="Normal 11 6 6 3 3" xfId="13335"/>
    <cellStyle name="Normal 11 6 6 3 3 2" xfId="36756"/>
    <cellStyle name="Normal 11 6 6 3 4" xfId="20528"/>
    <cellStyle name="Normal 11 6 6 3 4 2" xfId="42981"/>
    <cellStyle name="Normal 11 6 6 3 5" xfId="30124"/>
    <cellStyle name="Normal 11 6 6 4" xfId="8281"/>
    <cellStyle name="Normal 11 6 6 4 2" xfId="14993"/>
    <cellStyle name="Normal 11 6 6 4 2 2" xfId="38414"/>
    <cellStyle name="Normal 11 6 6 4 3" xfId="21085"/>
    <cellStyle name="Normal 11 6 6 4 3 2" xfId="43536"/>
    <cellStyle name="Normal 11 6 6 4 4" xfId="31782"/>
    <cellStyle name="Normal 11 6 6 5" xfId="11675"/>
    <cellStyle name="Normal 11 6 6 5 2" xfId="22069"/>
    <cellStyle name="Normal 11 6 6 5 2 2" xfId="44497"/>
    <cellStyle name="Normal 11 6 6 5 3" xfId="35098"/>
    <cellStyle name="Normal 11 6 6 6" xfId="19207"/>
    <cellStyle name="Normal 11 6 6 6 2" xfId="41764"/>
    <cellStyle name="Normal 11 6 6 7" xfId="25647"/>
    <cellStyle name="Normal 11 6 6 7 2" xfId="47892"/>
    <cellStyle name="Normal 11 6 6 8" xfId="28466"/>
    <cellStyle name="Normal 11 6 7" xfId="3885"/>
    <cellStyle name="Normal 11 6 7 2" xfId="6997"/>
    <cellStyle name="Normal 11 6 7 2 2" xfId="10329"/>
    <cellStyle name="Normal 11 6 7 2 2 2" xfId="17033"/>
    <cellStyle name="Normal 11 6 7 2 2 2 2" xfId="40454"/>
    <cellStyle name="Normal 11 6 7 2 2 3" xfId="33822"/>
    <cellStyle name="Normal 11 6 7 2 3" xfId="13717"/>
    <cellStyle name="Normal 11 6 7 2 3 2" xfId="37138"/>
    <cellStyle name="Normal 11 6 7 2 4" xfId="20573"/>
    <cellStyle name="Normal 11 6 7 2 4 2" xfId="43026"/>
    <cellStyle name="Normal 11 6 7 2 5" xfId="30506"/>
    <cellStyle name="Normal 11 6 7 3" xfId="8664"/>
    <cellStyle name="Normal 11 6 7 3 2" xfId="15375"/>
    <cellStyle name="Normal 11 6 7 3 2 2" xfId="38796"/>
    <cellStyle name="Normal 11 6 7 3 3" xfId="21236"/>
    <cellStyle name="Normal 11 6 7 3 3 2" xfId="43687"/>
    <cellStyle name="Normal 11 6 7 3 4" xfId="32164"/>
    <cellStyle name="Normal 11 6 7 4" xfId="12057"/>
    <cellStyle name="Normal 11 6 7 4 2" xfId="22490"/>
    <cellStyle name="Normal 11 6 7 4 2 2" xfId="44912"/>
    <cellStyle name="Normal 11 6 7 4 3" xfId="35480"/>
    <cellStyle name="Normal 11 6 7 5" xfId="19643"/>
    <cellStyle name="Normal 11 6 7 5 2" xfId="42180"/>
    <cellStyle name="Normal 11 6 7 6" xfId="25684"/>
    <cellStyle name="Normal 11 6 7 6 2" xfId="47929"/>
    <cellStyle name="Normal 11 6 7 7" xfId="28848"/>
    <cellStyle name="Normal 11 6 8" xfId="6142"/>
    <cellStyle name="Normal 11 6 8 2" xfId="9476"/>
    <cellStyle name="Normal 11 6 8 2 2" xfId="16180"/>
    <cellStyle name="Normal 11 6 8 2 2 2" xfId="39601"/>
    <cellStyle name="Normal 11 6 8 2 3" xfId="32969"/>
    <cellStyle name="Normal 11 6 8 3" xfId="12864"/>
    <cellStyle name="Normal 11 6 8 3 2" xfId="36285"/>
    <cellStyle name="Normal 11 6 8 4" xfId="18341"/>
    <cellStyle name="Normal 11 6 8 4 2" xfId="41474"/>
    <cellStyle name="Normal 11 6 8 5" xfId="29653"/>
    <cellStyle name="Normal 11 6 9" xfId="7807"/>
    <cellStyle name="Normal 11 6 9 2" xfId="14522"/>
    <cellStyle name="Normal 11 6 9 2 2" xfId="37943"/>
    <cellStyle name="Normal 11 6 9 3" xfId="20777"/>
    <cellStyle name="Normal 11 6 9 3 2" xfId="43228"/>
    <cellStyle name="Normal 11 6 9 4" xfId="31311"/>
    <cellStyle name="Normal 11 7" xfId="1518"/>
    <cellStyle name="Normal 11 7 10" xfId="23591"/>
    <cellStyle name="Normal 11 7 10 2" xfId="45911"/>
    <cellStyle name="Normal 11 7 11" xfId="28048"/>
    <cellStyle name="Normal 11 7 2" xfId="1629"/>
    <cellStyle name="Normal 11 7 2 2" xfId="18612"/>
    <cellStyle name="Normal 11 7 3" xfId="1827"/>
    <cellStyle name="Normal 11 7 3 10" xfId="28179"/>
    <cellStyle name="Normal 11 7 3 2" xfId="2257"/>
    <cellStyle name="Normal 11 7 3 2 2" xfId="5528"/>
    <cellStyle name="Normal 11 7 3 2 2 2" xfId="7353"/>
    <cellStyle name="Normal 11 7 3 2 2 2 2" xfId="10684"/>
    <cellStyle name="Normal 11 7 3 2 2 2 2 2" xfId="17388"/>
    <cellStyle name="Normal 11 7 3 2 2 2 2 2 2" xfId="40809"/>
    <cellStyle name="Normal 11 7 3 2 2 2 2 3" xfId="23105"/>
    <cellStyle name="Normal 11 7 3 2 2 2 2 3 2" xfId="45527"/>
    <cellStyle name="Normal 11 7 3 2 2 2 2 4" xfId="34177"/>
    <cellStyle name="Normal 11 7 3 2 2 2 3" xfId="14072"/>
    <cellStyle name="Normal 11 7 3 2 2 2 3 2" xfId="37493"/>
    <cellStyle name="Normal 11 7 3 2 2 2 4" xfId="20277"/>
    <cellStyle name="Normal 11 7 3 2 2 2 4 2" xfId="42812"/>
    <cellStyle name="Normal 11 7 3 2 2 2 5" xfId="30861"/>
    <cellStyle name="Normal 11 7 3 2 2 3" xfId="9026"/>
    <cellStyle name="Normal 11 7 3 2 2 3 2" xfId="15730"/>
    <cellStyle name="Normal 11 7 3 2 2 3 2 2" xfId="39151"/>
    <cellStyle name="Normal 11 7 3 2 2 3 3" xfId="21253"/>
    <cellStyle name="Normal 11 7 3 2 2 3 3 2" xfId="43704"/>
    <cellStyle name="Normal 11 7 3 2 2 3 4" xfId="32519"/>
    <cellStyle name="Normal 11 7 3 2 2 4" xfId="12414"/>
    <cellStyle name="Normal 11 7 3 2 2 4 2" xfId="22290"/>
    <cellStyle name="Normal 11 7 3 2 2 4 2 2" xfId="44712"/>
    <cellStyle name="Normal 11 7 3 2 2 4 3" xfId="35835"/>
    <cellStyle name="Normal 11 7 3 2 2 5" xfId="19438"/>
    <cellStyle name="Normal 11 7 3 2 2 5 2" xfId="41980"/>
    <cellStyle name="Normal 11 7 3 2 2 6" xfId="29203"/>
    <cellStyle name="Normal 11 7 3 2 3" xfId="6449"/>
    <cellStyle name="Normal 11 7 3 2 3 2" xfId="9783"/>
    <cellStyle name="Normal 11 7 3 2 3 2 2" xfId="16487"/>
    <cellStyle name="Normal 11 7 3 2 3 2 2 2" xfId="39908"/>
    <cellStyle name="Normal 11 7 3 2 3 2 3" xfId="22698"/>
    <cellStyle name="Normal 11 7 3 2 3 2 3 2" xfId="45120"/>
    <cellStyle name="Normal 11 7 3 2 3 2 4" xfId="33276"/>
    <cellStyle name="Normal 11 7 3 2 3 3" xfId="13171"/>
    <cellStyle name="Normal 11 7 3 2 3 3 2" xfId="36592"/>
    <cellStyle name="Normal 11 7 3 2 3 4" xfId="19861"/>
    <cellStyle name="Normal 11 7 3 2 3 4 2" xfId="42396"/>
    <cellStyle name="Normal 11 7 3 2 3 5" xfId="29960"/>
    <cellStyle name="Normal 11 7 3 2 4" xfId="8116"/>
    <cellStyle name="Normal 11 7 3 2 4 2" xfId="14829"/>
    <cellStyle name="Normal 11 7 3 2 4 2 2" xfId="38250"/>
    <cellStyle name="Normal 11 7 3 2 4 3" xfId="20794"/>
    <cellStyle name="Normal 11 7 3 2 4 3 2" xfId="43245"/>
    <cellStyle name="Normal 11 7 3 2 4 4" xfId="31618"/>
    <cellStyle name="Normal 11 7 3 2 5" xfId="11511"/>
    <cellStyle name="Normal 11 7 3 2 5 2" xfId="21857"/>
    <cellStyle name="Normal 11 7 3 2 5 2 2" xfId="44298"/>
    <cellStyle name="Normal 11 7 3 2 5 3" xfId="34934"/>
    <cellStyle name="Normal 11 7 3 2 6" xfId="18613"/>
    <cellStyle name="Normal 11 7 3 2 6 2" xfId="41555"/>
    <cellStyle name="Normal 11 7 3 2 7" xfId="25857"/>
    <cellStyle name="Normal 11 7 3 2 7 2" xfId="48102"/>
    <cellStyle name="Normal 11 7 3 2 8" xfId="28302"/>
    <cellStyle name="Normal 11 7 3 3" xfId="2824"/>
    <cellStyle name="Normal 11 7 3 3 2" xfId="5916"/>
    <cellStyle name="Normal 11 7 3 3 2 2" xfId="7698"/>
    <cellStyle name="Normal 11 7 3 3 2 2 2" xfId="11027"/>
    <cellStyle name="Normal 11 7 3 3 2 2 2 2" xfId="17731"/>
    <cellStyle name="Normal 11 7 3 3 2 2 2 2 2" xfId="41152"/>
    <cellStyle name="Normal 11 7 3 3 2 2 2 3" xfId="34520"/>
    <cellStyle name="Normal 11 7 3 3 2 2 3" xfId="14415"/>
    <cellStyle name="Normal 11 7 3 3 2 2 3 2" xfId="37836"/>
    <cellStyle name="Normal 11 7 3 3 2 2 4" xfId="22905"/>
    <cellStyle name="Normal 11 7 3 3 2 2 4 2" xfId="45327"/>
    <cellStyle name="Normal 11 7 3 3 2 2 5" xfId="31204"/>
    <cellStyle name="Normal 11 7 3 3 2 3" xfId="9369"/>
    <cellStyle name="Normal 11 7 3 3 2 3 2" xfId="16073"/>
    <cellStyle name="Normal 11 7 3 3 2 3 2 2" xfId="39494"/>
    <cellStyle name="Normal 11 7 3 3 2 3 3" xfId="32862"/>
    <cellStyle name="Normal 11 7 3 3 2 4" xfId="12757"/>
    <cellStyle name="Normal 11 7 3 3 2 4 2" xfId="36178"/>
    <cellStyle name="Normal 11 7 3 3 2 5" xfId="20069"/>
    <cellStyle name="Normal 11 7 3 3 2 5 2" xfId="42604"/>
    <cellStyle name="Normal 11 7 3 3 2 6" xfId="29546"/>
    <cellStyle name="Normal 11 7 3 3 3" xfId="6799"/>
    <cellStyle name="Normal 11 7 3 3 3 2" xfId="10131"/>
    <cellStyle name="Normal 11 7 3 3 3 2 2" xfId="16835"/>
    <cellStyle name="Normal 11 7 3 3 3 2 2 2" xfId="40256"/>
    <cellStyle name="Normal 11 7 3 3 3 2 3" xfId="33624"/>
    <cellStyle name="Normal 11 7 3 3 3 3" xfId="13519"/>
    <cellStyle name="Normal 11 7 3 3 3 3 2" xfId="36940"/>
    <cellStyle name="Normal 11 7 3 3 3 4" xfId="21252"/>
    <cellStyle name="Normal 11 7 3 3 3 4 2" xfId="43703"/>
    <cellStyle name="Normal 11 7 3 3 3 5" xfId="30308"/>
    <cellStyle name="Normal 11 7 3 3 4" xfId="8465"/>
    <cellStyle name="Normal 11 7 3 3 4 2" xfId="15177"/>
    <cellStyle name="Normal 11 7 3 3 4 2 2" xfId="38598"/>
    <cellStyle name="Normal 11 7 3 3 4 3" xfId="22077"/>
    <cellStyle name="Normal 11 7 3 3 4 3 2" xfId="44505"/>
    <cellStyle name="Normal 11 7 3 3 4 4" xfId="31966"/>
    <cellStyle name="Normal 11 7 3 3 5" xfId="11859"/>
    <cellStyle name="Normal 11 7 3 3 5 2" xfId="35282"/>
    <cellStyle name="Normal 11 7 3 3 6" xfId="19215"/>
    <cellStyle name="Normal 11 7 3 3 6 2" xfId="41772"/>
    <cellStyle name="Normal 11 7 3 3 7" xfId="28650"/>
    <cellStyle name="Normal 11 7 3 4" xfId="3894"/>
    <cellStyle name="Normal 11 7 3 4 2" xfId="7006"/>
    <cellStyle name="Normal 11 7 3 4 2 2" xfId="10338"/>
    <cellStyle name="Normal 11 7 3 4 2 2 2" xfId="17042"/>
    <cellStyle name="Normal 11 7 3 4 2 2 2 2" xfId="40463"/>
    <cellStyle name="Normal 11 7 3 4 2 2 3" xfId="33831"/>
    <cellStyle name="Normal 11 7 3 4 2 3" xfId="13726"/>
    <cellStyle name="Normal 11 7 3 4 2 3 2" xfId="37147"/>
    <cellStyle name="Normal 11 7 3 4 2 4" xfId="22498"/>
    <cellStyle name="Normal 11 7 3 4 2 4 2" xfId="44920"/>
    <cellStyle name="Normal 11 7 3 4 2 5" xfId="30515"/>
    <cellStyle name="Normal 11 7 3 4 3" xfId="8673"/>
    <cellStyle name="Normal 11 7 3 4 3 2" xfId="15384"/>
    <cellStyle name="Normal 11 7 3 4 3 2 2" xfId="38805"/>
    <cellStyle name="Normal 11 7 3 4 3 3" xfId="32173"/>
    <cellStyle name="Normal 11 7 3 4 4" xfId="12066"/>
    <cellStyle name="Normal 11 7 3 4 4 2" xfId="35489"/>
    <cellStyle name="Normal 11 7 3 4 5" xfId="19651"/>
    <cellStyle name="Normal 11 7 3 4 5 2" xfId="42188"/>
    <cellStyle name="Normal 11 7 3 4 6" xfId="28857"/>
    <cellStyle name="Normal 11 7 3 5" xfId="6326"/>
    <cellStyle name="Normal 11 7 3 5 2" xfId="9660"/>
    <cellStyle name="Normal 11 7 3 5 2 2" xfId="16364"/>
    <cellStyle name="Normal 11 7 3 5 2 2 2" xfId="39785"/>
    <cellStyle name="Normal 11 7 3 5 2 3" xfId="33153"/>
    <cellStyle name="Normal 11 7 3 5 3" xfId="13048"/>
    <cellStyle name="Normal 11 7 3 5 3 2" xfId="36469"/>
    <cellStyle name="Normal 11 7 3 5 4" xfId="20793"/>
    <cellStyle name="Normal 11 7 3 5 4 2" xfId="43244"/>
    <cellStyle name="Normal 11 7 3 5 5" xfId="29837"/>
    <cellStyle name="Normal 11 7 3 6" xfId="7992"/>
    <cellStyle name="Normal 11 7 3 6 2" xfId="14706"/>
    <cellStyle name="Normal 11 7 3 6 2 2" xfId="38127"/>
    <cellStyle name="Normal 11 7 3 6 3" xfId="21647"/>
    <cellStyle name="Normal 11 7 3 6 3 2" xfId="44096"/>
    <cellStyle name="Normal 11 7 3 6 4" xfId="31495"/>
    <cellStyle name="Normal 11 7 3 7" xfId="11388"/>
    <cellStyle name="Normal 11 7 3 7 2" xfId="34811"/>
    <cellStyle name="Normal 11 7 3 8" xfId="18011"/>
    <cellStyle name="Normal 11 7 3 8 2" xfId="41319"/>
    <cellStyle name="Normal 11 7 3 9" xfId="23593"/>
    <cellStyle name="Normal 11 7 3 9 2" xfId="45912"/>
    <cellStyle name="Normal 11 7 4" xfId="2258"/>
    <cellStyle name="Normal 11 7 4 2" xfId="5529"/>
    <cellStyle name="Normal 11 7 4 2 2" xfId="7354"/>
    <cellStyle name="Normal 11 7 4 2 2 2" xfId="10685"/>
    <cellStyle name="Normal 11 7 4 2 2 2 2" xfId="17389"/>
    <cellStyle name="Normal 11 7 4 2 2 2 2 2" xfId="40810"/>
    <cellStyle name="Normal 11 7 4 2 2 2 3" xfId="20278"/>
    <cellStyle name="Normal 11 7 4 2 2 2 3 2" xfId="42813"/>
    <cellStyle name="Normal 11 7 4 2 2 2 4" xfId="34178"/>
    <cellStyle name="Normal 11 7 4 2 2 3" xfId="14073"/>
    <cellStyle name="Normal 11 7 4 2 2 3 2" xfId="22291"/>
    <cellStyle name="Normal 11 7 4 2 2 3 2 2" xfId="44713"/>
    <cellStyle name="Normal 11 7 4 2 2 3 3" xfId="37494"/>
    <cellStyle name="Normal 11 7 4 2 2 4" xfId="19439"/>
    <cellStyle name="Normal 11 7 4 2 2 4 2" xfId="41981"/>
    <cellStyle name="Normal 11 7 4 2 2 5" xfId="30862"/>
    <cellStyle name="Normal 11 7 4 2 3" xfId="9027"/>
    <cellStyle name="Normal 11 7 4 2 3 2" xfId="15731"/>
    <cellStyle name="Normal 11 7 4 2 3 2 2" xfId="22699"/>
    <cellStyle name="Normal 11 7 4 2 3 2 2 2" xfId="45121"/>
    <cellStyle name="Normal 11 7 4 2 3 2 3" xfId="39152"/>
    <cellStyle name="Normal 11 7 4 2 3 3" xfId="19862"/>
    <cellStyle name="Normal 11 7 4 2 3 3 2" xfId="42397"/>
    <cellStyle name="Normal 11 7 4 2 3 4" xfId="32520"/>
    <cellStyle name="Normal 11 7 4 2 4" xfId="12415"/>
    <cellStyle name="Normal 11 7 4 2 4 2" xfId="21858"/>
    <cellStyle name="Normal 11 7 4 2 4 2 2" xfId="44299"/>
    <cellStyle name="Normal 11 7 4 2 4 3" xfId="35836"/>
    <cellStyle name="Normal 11 7 4 2 5" xfId="18614"/>
    <cellStyle name="Normal 11 7 4 2 5 2" xfId="41556"/>
    <cellStyle name="Normal 11 7 4 2 6" xfId="25856"/>
    <cellStyle name="Normal 11 7 4 2 6 2" xfId="48101"/>
    <cellStyle name="Normal 11 7 4 2 7" xfId="29204"/>
    <cellStyle name="Normal 11 7 4 3" xfId="6450"/>
    <cellStyle name="Normal 11 7 4 3 2" xfId="9784"/>
    <cellStyle name="Normal 11 7 4 3 2 2" xfId="16488"/>
    <cellStyle name="Normal 11 7 4 3 2 2 2" xfId="39909"/>
    <cellStyle name="Normal 11 7 4 3 2 3" xfId="20070"/>
    <cellStyle name="Normal 11 7 4 3 2 3 2" xfId="42605"/>
    <cellStyle name="Normal 11 7 4 3 2 4" xfId="33277"/>
    <cellStyle name="Normal 11 7 4 3 3" xfId="13172"/>
    <cellStyle name="Normal 11 7 4 3 3 2" xfId="22078"/>
    <cellStyle name="Normal 11 7 4 3 3 2 2" xfId="44506"/>
    <cellStyle name="Normal 11 7 4 3 3 3" xfId="36593"/>
    <cellStyle name="Normal 11 7 4 3 4" xfId="19216"/>
    <cellStyle name="Normal 11 7 4 3 4 2" xfId="41773"/>
    <cellStyle name="Normal 11 7 4 3 5" xfId="29961"/>
    <cellStyle name="Normal 11 7 4 4" xfId="8117"/>
    <cellStyle name="Normal 11 7 4 4 2" xfId="14830"/>
    <cellStyle name="Normal 11 7 4 4 2 2" xfId="22499"/>
    <cellStyle name="Normal 11 7 4 4 2 2 2" xfId="44921"/>
    <cellStyle name="Normal 11 7 4 4 2 3" xfId="38251"/>
    <cellStyle name="Normal 11 7 4 4 3" xfId="19652"/>
    <cellStyle name="Normal 11 7 4 4 3 2" xfId="42189"/>
    <cellStyle name="Normal 11 7 4 4 4" xfId="31619"/>
    <cellStyle name="Normal 11 7 4 5" xfId="11512"/>
    <cellStyle name="Normal 11 7 4 5 2" xfId="21648"/>
    <cellStyle name="Normal 11 7 4 5 2 2" xfId="44097"/>
    <cellStyle name="Normal 11 7 4 5 3" xfId="34935"/>
    <cellStyle name="Normal 11 7 4 6" xfId="18012"/>
    <cellStyle name="Normal 11 7 4 6 2" xfId="41320"/>
    <cellStyle name="Normal 11 7 4 7" xfId="23485"/>
    <cellStyle name="Normal 11 7 4 7 2" xfId="45825"/>
    <cellStyle name="Normal 11 7 4 8" xfId="28303"/>
    <cellStyle name="Normal 11 7 5" xfId="2692"/>
    <cellStyle name="Normal 11 7 5 2" xfId="5785"/>
    <cellStyle name="Normal 11 7 5 2 2" xfId="7567"/>
    <cellStyle name="Normal 11 7 5 2 2 2" xfId="10896"/>
    <cellStyle name="Normal 11 7 5 2 2 2 2" xfId="17600"/>
    <cellStyle name="Normal 11 7 5 2 2 2 2 2" xfId="41021"/>
    <cellStyle name="Normal 11 7 5 2 2 2 3" xfId="34389"/>
    <cellStyle name="Normal 11 7 5 2 2 3" xfId="14284"/>
    <cellStyle name="Normal 11 7 5 2 2 3 2" xfId="37705"/>
    <cellStyle name="Normal 11 7 5 2 2 4" xfId="20575"/>
    <cellStyle name="Normal 11 7 5 2 2 4 2" xfId="43028"/>
    <cellStyle name="Normal 11 7 5 2 2 5" xfId="31073"/>
    <cellStyle name="Normal 11 7 5 2 3" xfId="9238"/>
    <cellStyle name="Normal 11 7 5 2 3 2" xfId="15942"/>
    <cellStyle name="Normal 11 7 5 2 3 2 2" xfId="39363"/>
    <cellStyle name="Normal 11 7 5 2 3 3" xfId="21254"/>
    <cellStyle name="Normal 11 7 5 2 3 3 2" xfId="43705"/>
    <cellStyle name="Normal 11 7 5 2 3 4" xfId="32731"/>
    <cellStyle name="Normal 11 7 5 2 4" xfId="12626"/>
    <cellStyle name="Normal 11 7 5 2 4 2" xfId="36047"/>
    <cellStyle name="Normal 11 7 5 2 5" xfId="18270"/>
    <cellStyle name="Normal 11 7 5 2 5 2" xfId="41462"/>
    <cellStyle name="Normal 11 7 5 2 6" xfId="27954"/>
    <cellStyle name="Normal 11 7 5 2 6 2" xfId="50199"/>
    <cellStyle name="Normal 11 7 5 2 7" xfId="29415"/>
    <cellStyle name="Normal 11 7 5 3" xfId="6668"/>
    <cellStyle name="Normal 11 7 5 3 2" xfId="10000"/>
    <cellStyle name="Normal 11 7 5 3 2 2" xfId="16704"/>
    <cellStyle name="Normal 11 7 5 3 2 2 2" xfId="40125"/>
    <cellStyle name="Normal 11 7 5 3 2 3" xfId="33493"/>
    <cellStyle name="Normal 11 7 5 3 3" xfId="13388"/>
    <cellStyle name="Normal 11 7 5 3 3 2" xfId="36809"/>
    <cellStyle name="Normal 11 7 5 3 4" xfId="18433"/>
    <cellStyle name="Normal 11 7 5 3 4 2" xfId="41485"/>
    <cellStyle name="Normal 11 7 5 3 5" xfId="30177"/>
    <cellStyle name="Normal 11 7 5 4" xfId="8334"/>
    <cellStyle name="Normal 11 7 5 4 2" xfId="15046"/>
    <cellStyle name="Normal 11 7 5 4 2 2" xfId="38467"/>
    <cellStyle name="Normal 11 7 5 4 3" xfId="20795"/>
    <cellStyle name="Normal 11 7 5 4 3 2" xfId="43246"/>
    <cellStyle name="Normal 11 7 5 4 4" xfId="31835"/>
    <cellStyle name="Normal 11 7 5 5" xfId="11728"/>
    <cellStyle name="Normal 11 7 5 5 2" xfId="21856"/>
    <cellStyle name="Normal 11 7 5 5 3" xfId="35151"/>
    <cellStyle name="Normal 11 7 5 6" xfId="18611"/>
    <cellStyle name="Normal 11 7 5 7" xfId="17936"/>
    <cellStyle name="Normal 11 7 5 7 2" xfId="41252"/>
    <cellStyle name="Normal 11 7 5 8" xfId="25649"/>
    <cellStyle name="Normal 11 7 5 8 2" xfId="47894"/>
    <cellStyle name="Normal 11 7 5 9" xfId="28519"/>
    <cellStyle name="Normal 11 7 6" xfId="3893"/>
    <cellStyle name="Normal 11 7 6 2" xfId="7005"/>
    <cellStyle name="Normal 11 7 6 2 2" xfId="10337"/>
    <cellStyle name="Normal 11 7 6 2 2 2" xfId="17041"/>
    <cellStyle name="Normal 11 7 6 2 2 2 2" xfId="40462"/>
    <cellStyle name="Normal 11 7 6 2 2 3" xfId="33830"/>
    <cellStyle name="Normal 11 7 6 2 3" xfId="13725"/>
    <cellStyle name="Normal 11 7 6 2 3 2" xfId="37146"/>
    <cellStyle name="Normal 11 7 6 2 4" xfId="30514"/>
    <cellStyle name="Normal 11 7 6 3" xfId="8672"/>
    <cellStyle name="Normal 11 7 6 3 2" xfId="15383"/>
    <cellStyle name="Normal 11 7 6 3 2 2" xfId="38804"/>
    <cellStyle name="Normal 11 7 6 3 3" xfId="32172"/>
    <cellStyle name="Normal 11 7 6 4" xfId="12065"/>
    <cellStyle name="Normal 11 7 6 4 2" xfId="35488"/>
    <cellStyle name="Normal 11 7 6 5" xfId="20467"/>
    <cellStyle name="Normal 11 7 6 6" xfId="25686"/>
    <cellStyle name="Normal 11 7 6 6 2" xfId="47931"/>
    <cellStyle name="Normal 11 7 6 7" xfId="28856"/>
    <cellStyle name="Normal 11 7 7" xfId="6195"/>
    <cellStyle name="Normal 11 7 7 2" xfId="9529"/>
    <cellStyle name="Normal 11 7 7 2 2" xfId="16233"/>
    <cellStyle name="Normal 11 7 7 2 2 2" xfId="39654"/>
    <cellStyle name="Normal 11 7 7 2 3" xfId="33022"/>
    <cellStyle name="Normal 11 7 7 3" xfId="12917"/>
    <cellStyle name="Normal 11 7 7 3 2" xfId="36338"/>
    <cellStyle name="Normal 11 7 7 4" xfId="29706"/>
    <cellStyle name="Normal 11 7 8" xfId="7861"/>
    <cellStyle name="Normal 11 7 8 2" xfId="14575"/>
    <cellStyle name="Normal 11 7 8 2 2" xfId="37996"/>
    <cellStyle name="Normal 11 7 8 3" xfId="31364"/>
    <cellStyle name="Normal 11 7 9" xfId="11257"/>
    <cellStyle name="Normal 11 7 9 2" xfId="34680"/>
    <cellStyle name="Normal 11 8" xfId="1620"/>
    <cellStyle name="Normal 11 9" xfId="25630"/>
    <cellStyle name="Normal 11 9 2" xfId="27935"/>
    <cellStyle name="Normal 11 9 2 2" xfId="50180"/>
    <cellStyle name="Normal 11 9 3" xfId="47875"/>
    <cellStyle name="Normal 110" xfId="1269"/>
    <cellStyle name="Normal 110 2" xfId="23487"/>
    <cellStyle name="Normal 110 3" xfId="23373"/>
    <cellStyle name="Normal 111" xfId="1270"/>
    <cellStyle name="Normal 111 2" xfId="23827"/>
    <cellStyle name="Normal 111 3" xfId="23374"/>
    <cellStyle name="Normal 112" xfId="1271"/>
    <cellStyle name="Normal 112 2" xfId="23826"/>
    <cellStyle name="Normal 112 3" xfId="23375"/>
    <cellStyle name="Normal 113" xfId="1272"/>
    <cellStyle name="Normal 113 2" xfId="23825"/>
    <cellStyle name="Normal 113 3" xfId="23376"/>
    <cellStyle name="Normal 114" xfId="1273"/>
    <cellStyle name="Normal 114 2" xfId="23824"/>
    <cellStyle name="Normal 114 3" xfId="23377"/>
    <cellStyle name="Normal 115" xfId="1274"/>
    <cellStyle name="Normal 115 2" xfId="23823"/>
    <cellStyle name="Normal 115 3" xfId="23271"/>
    <cellStyle name="Normal 116" xfId="1276"/>
    <cellStyle name="Normal 116 2" xfId="23822"/>
    <cellStyle name="Normal 116 3" xfId="23272"/>
    <cellStyle name="Normal 117" xfId="1277"/>
    <cellStyle name="Normal 117 2" xfId="23821"/>
    <cellStyle name="Normal 117 3" xfId="23273"/>
    <cellStyle name="Normal 118" xfId="1275"/>
    <cellStyle name="Normal 118 2" xfId="18615"/>
    <cellStyle name="Normal 118 3" xfId="23380"/>
    <cellStyle name="Normal 119" xfId="1278"/>
    <cellStyle name="Normal 119 2" xfId="18616"/>
    <cellStyle name="Normal 119 3" xfId="23381"/>
    <cellStyle name="Normal 12" xfId="522"/>
    <cellStyle name="Normal 12 2" xfId="523"/>
    <cellStyle name="Normal 12 2 2" xfId="1186"/>
    <cellStyle name="Normal 12 2 2 2" xfId="3895"/>
    <cellStyle name="Normal 12 2 2 3" xfId="5288"/>
    <cellStyle name="Normal 12 2 3" xfId="1120"/>
    <cellStyle name="Normal 12 2 3 2" xfId="18618"/>
    <cellStyle name="Normal 12 2 4" xfId="18617"/>
    <cellStyle name="Normal 12 3" xfId="1185"/>
    <cellStyle name="Normal 12 3 2" xfId="3897"/>
    <cellStyle name="Normal 12 3 3" xfId="3898"/>
    <cellStyle name="Normal 12 3 4" xfId="3896"/>
    <cellStyle name="Normal 12 4" xfId="1119"/>
    <cellStyle name="Normal 12 4 2" xfId="3900"/>
    <cellStyle name="Normal 12 4 3" xfId="3899"/>
    <cellStyle name="Normal 12 5" xfId="1630"/>
    <cellStyle name="Normal 12 5 2" xfId="3902"/>
    <cellStyle name="Normal 12 5 2 2" xfId="23526"/>
    <cellStyle name="Normal 12 5 2 2 2" xfId="45860"/>
    <cellStyle name="Normal 12 5 3" xfId="5155"/>
    <cellStyle name="Normal 12 5 3 2" xfId="7225"/>
    <cellStyle name="Normal 12 5 3 2 2" xfId="10556"/>
    <cellStyle name="Normal 12 5 3 2 2 2" xfId="17260"/>
    <cellStyle name="Normal 12 5 3 2 2 2 2" xfId="40681"/>
    <cellStyle name="Normal 12 5 3 2 2 3" xfId="34049"/>
    <cellStyle name="Normal 12 5 3 2 3" xfId="13944"/>
    <cellStyle name="Normal 12 5 3 2 3 2" xfId="37365"/>
    <cellStyle name="Normal 12 5 3 2 4" xfId="26067"/>
    <cellStyle name="Normal 12 5 3 2 4 2" xfId="48312"/>
    <cellStyle name="Normal 12 5 3 2 5" xfId="30733"/>
    <cellStyle name="Normal 12 5 3 3" xfId="8896"/>
    <cellStyle name="Normal 12 5 3 3 2" xfId="15602"/>
    <cellStyle name="Normal 12 5 3 3 2 2" xfId="39023"/>
    <cellStyle name="Normal 12 5 3 3 3" xfId="32391"/>
    <cellStyle name="Normal 12 5 3 4" xfId="12285"/>
    <cellStyle name="Normal 12 5 3 4 2" xfId="35707"/>
    <cellStyle name="Normal 12 5 3 5" xfId="23856"/>
    <cellStyle name="Normal 12 5 3 5 2" xfId="46120"/>
    <cellStyle name="Normal 12 5 3 6" xfId="29075"/>
    <cellStyle name="Normal 12 5 4" xfId="3901"/>
    <cellStyle name="Normal 12 5 4 2" xfId="7007"/>
    <cellStyle name="Normal 12 5 4 2 2" xfId="10339"/>
    <cellStyle name="Normal 12 5 4 2 2 2" xfId="17043"/>
    <cellStyle name="Normal 12 5 4 2 2 2 2" xfId="40464"/>
    <cellStyle name="Normal 12 5 4 2 2 3" xfId="33832"/>
    <cellStyle name="Normal 12 5 4 2 3" xfId="13727"/>
    <cellStyle name="Normal 12 5 4 2 3 2" xfId="37148"/>
    <cellStyle name="Normal 12 5 4 2 4" xfId="25858"/>
    <cellStyle name="Normal 12 5 4 2 4 2" xfId="48103"/>
    <cellStyle name="Normal 12 5 4 2 5" xfId="30516"/>
    <cellStyle name="Normal 12 5 4 3" xfId="8674"/>
    <cellStyle name="Normal 12 5 4 3 2" xfId="15385"/>
    <cellStyle name="Normal 12 5 4 3 2 2" xfId="38806"/>
    <cellStyle name="Normal 12 5 4 3 3" xfId="32174"/>
    <cellStyle name="Normal 12 5 4 4" xfId="12067"/>
    <cellStyle name="Normal 12 5 4 4 2" xfId="35490"/>
    <cellStyle name="Normal 12 5 4 5" xfId="23486"/>
    <cellStyle name="Normal 12 5 4 5 2" xfId="45826"/>
    <cellStyle name="Normal 12 5 4 6" xfId="28858"/>
    <cellStyle name="Normal 12 5 5" xfId="23412"/>
    <cellStyle name="Normal 12 5 5 2" xfId="45757"/>
    <cellStyle name="Normal 12 6" xfId="3903"/>
    <cellStyle name="Normal 12 6 2" xfId="5154"/>
    <cellStyle name="Normal 120" xfId="1279"/>
    <cellStyle name="Normal 120 2" xfId="18619"/>
    <cellStyle name="Normal 120 3" xfId="23382"/>
    <cellStyle name="Normal 121" xfId="1287"/>
    <cellStyle name="Normal 121 2" xfId="18620"/>
    <cellStyle name="Normal 121 3" xfId="23383"/>
    <cellStyle name="Normal 122" xfId="1288"/>
    <cellStyle name="Normal 122 2" xfId="18621"/>
    <cellStyle name="Normal 123" xfId="1299"/>
    <cellStyle name="Normal 123 2" xfId="18622"/>
    <cellStyle name="Normal 124" xfId="1298"/>
    <cellStyle name="Normal 124 2" xfId="18623"/>
    <cellStyle name="Normal 125" xfId="1300"/>
    <cellStyle name="Normal 125 2" xfId="18624"/>
    <cellStyle name="Normal 126" xfId="1301"/>
    <cellStyle name="Normal 126 2" xfId="18625"/>
    <cellStyle name="Normal 127" xfId="1305"/>
    <cellStyle name="Normal 127 2" xfId="18626"/>
    <cellStyle name="Normal 128" xfId="1302"/>
    <cellStyle name="Normal 128 2" xfId="18627"/>
    <cellStyle name="Normal 129" xfId="1306"/>
    <cellStyle name="Normal 129 10" xfId="11199"/>
    <cellStyle name="Normal 129 10 2" xfId="21649"/>
    <cellStyle name="Normal 129 10 2 2" xfId="44098"/>
    <cellStyle name="Normal 129 10 3" xfId="34622"/>
    <cellStyle name="Normal 129 11" xfId="18016"/>
    <cellStyle name="Normal 129 11 2" xfId="41321"/>
    <cellStyle name="Normal 129 12" xfId="23598"/>
    <cellStyle name="Normal 129 12 2" xfId="45913"/>
    <cellStyle name="Normal 129 13" xfId="23384"/>
    <cellStyle name="Normal 129 14" xfId="27990"/>
    <cellStyle name="Normal 129 2" xfId="1490"/>
    <cellStyle name="Normal 129 2 10" xfId="18017"/>
    <cellStyle name="Normal 129 2 10 2" xfId="41322"/>
    <cellStyle name="Normal 129 2 11" xfId="23599"/>
    <cellStyle name="Normal 129 2 11 2" xfId="45914"/>
    <cellStyle name="Normal 129 2 12" xfId="28026"/>
    <cellStyle name="Normal 129 2 2" xfId="1632"/>
    <cellStyle name="Normal 129 2 2 10" xfId="23600"/>
    <cellStyle name="Normal 129 2 2 10 2" xfId="45915"/>
    <cellStyle name="Normal 129 2 2 11" xfId="28071"/>
    <cellStyle name="Normal 129 2 2 2" xfId="1850"/>
    <cellStyle name="Normal 129 2 2 2 10" xfId="28202"/>
    <cellStyle name="Normal 129 2 2 2 2" xfId="2263"/>
    <cellStyle name="Normal 129 2 2 2 2 2" xfId="5534"/>
    <cellStyle name="Normal 129 2 2 2 2 2 2" xfId="7358"/>
    <cellStyle name="Normal 129 2 2 2 2 2 2 2" xfId="10689"/>
    <cellStyle name="Normal 129 2 2 2 2 2 2 2 2" xfId="17393"/>
    <cellStyle name="Normal 129 2 2 2 2 2 2 2 2 2" xfId="40814"/>
    <cellStyle name="Normal 129 2 2 2 2 2 2 2 3" xfId="23109"/>
    <cellStyle name="Normal 129 2 2 2 2 2 2 2 3 2" xfId="45531"/>
    <cellStyle name="Normal 129 2 2 2 2 2 2 2 4" xfId="34182"/>
    <cellStyle name="Normal 129 2 2 2 2 2 2 3" xfId="14077"/>
    <cellStyle name="Normal 129 2 2 2 2 2 2 3 2" xfId="37498"/>
    <cellStyle name="Normal 129 2 2 2 2 2 2 4" xfId="20282"/>
    <cellStyle name="Normal 129 2 2 2 2 2 2 4 2" xfId="42817"/>
    <cellStyle name="Normal 129 2 2 2 2 2 2 5" xfId="30866"/>
    <cellStyle name="Normal 129 2 2 2 2 2 3" xfId="9031"/>
    <cellStyle name="Normal 129 2 2 2 2 2 3 2" xfId="15735"/>
    <cellStyle name="Normal 129 2 2 2 2 2 3 2 2" xfId="39156"/>
    <cellStyle name="Normal 129 2 2 2 2 2 3 3" xfId="21259"/>
    <cellStyle name="Normal 129 2 2 2 2 2 3 3 2" xfId="43710"/>
    <cellStyle name="Normal 129 2 2 2 2 2 3 4" xfId="32524"/>
    <cellStyle name="Normal 129 2 2 2 2 2 4" xfId="12419"/>
    <cellStyle name="Normal 129 2 2 2 2 2 4 2" xfId="22295"/>
    <cellStyle name="Normal 129 2 2 2 2 2 4 2 2" xfId="44717"/>
    <cellStyle name="Normal 129 2 2 2 2 2 4 3" xfId="35840"/>
    <cellStyle name="Normal 129 2 2 2 2 2 5" xfId="19443"/>
    <cellStyle name="Normal 129 2 2 2 2 2 5 2" xfId="41985"/>
    <cellStyle name="Normal 129 2 2 2 2 2 6" xfId="29208"/>
    <cellStyle name="Normal 129 2 2 2 2 3" xfId="6454"/>
    <cellStyle name="Normal 129 2 2 2 2 3 2" xfId="9788"/>
    <cellStyle name="Normal 129 2 2 2 2 3 2 2" xfId="16492"/>
    <cellStyle name="Normal 129 2 2 2 2 3 2 2 2" xfId="39913"/>
    <cellStyle name="Normal 129 2 2 2 2 3 2 3" xfId="22703"/>
    <cellStyle name="Normal 129 2 2 2 2 3 2 3 2" xfId="45125"/>
    <cellStyle name="Normal 129 2 2 2 2 3 2 4" xfId="33281"/>
    <cellStyle name="Normal 129 2 2 2 2 3 3" xfId="13176"/>
    <cellStyle name="Normal 129 2 2 2 2 3 3 2" xfId="36597"/>
    <cellStyle name="Normal 129 2 2 2 2 3 4" xfId="19866"/>
    <cellStyle name="Normal 129 2 2 2 2 3 4 2" xfId="42401"/>
    <cellStyle name="Normal 129 2 2 2 2 3 5" xfId="29965"/>
    <cellStyle name="Normal 129 2 2 2 2 4" xfId="8121"/>
    <cellStyle name="Normal 129 2 2 2 2 4 2" xfId="14834"/>
    <cellStyle name="Normal 129 2 2 2 2 4 2 2" xfId="38255"/>
    <cellStyle name="Normal 129 2 2 2 2 4 3" xfId="20800"/>
    <cellStyle name="Normal 129 2 2 2 2 4 3 2" xfId="43251"/>
    <cellStyle name="Normal 129 2 2 2 2 4 4" xfId="31623"/>
    <cellStyle name="Normal 129 2 2 2 2 5" xfId="11516"/>
    <cellStyle name="Normal 129 2 2 2 2 5 2" xfId="21862"/>
    <cellStyle name="Normal 129 2 2 2 2 5 2 2" xfId="44303"/>
    <cellStyle name="Normal 129 2 2 2 2 5 3" xfId="34939"/>
    <cellStyle name="Normal 129 2 2 2 2 6" xfId="18631"/>
    <cellStyle name="Normal 129 2 2 2 2 6 2" xfId="41560"/>
    <cellStyle name="Normal 129 2 2 2 2 7" xfId="25862"/>
    <cellStyle name="Normal 129 2 2 2 2 7 2" xfId="48107"/>
    <cellStyle name="Normal 129 2 2 2 2 8" xfId="28307"/>
    <cellStyle name="Normal 129 2 2 2 3" xfId="2847"/>
    <cellStyle name="Normal 129 2 2 2 3 2" xfId="5939"/>
    <cellStyle name="Normal 129 2 2 2 3 2 2" xfId="7721"/>
    <cellStyle name="Normal 129 2 2 2 3 2 2 2" xfId="11050"/>
    <cellStyle name="Normal 129 2 2 2 3 2 2 2 2" xfId="17754"/>
    <cellStyle name="Normal 129 2 2 2 3 2 2 2 2 2" xfId="41175"/>
    <cellStyle name="Normal 129 2 2 2 3 2 2 2 3" xfId="34543"/>
    <cellStyle name="Normal 129 2 2 2 3 2 2 3" xfId="14438"/>
    <cellStyle name="Normal 129 2 2 2 3 2 2 3 2" xfId="37859"/>
    <cellStyle name="Normal 129 2 2 2 3 2 2 4" xfId="22909"/>
    <cellStyle name="Normal 129 2 2 2 3 2 2 4 2" xfId="45331"/>
    <cellStyle name="Normal 129 2 2 2 3 2 2 5" xfId="31227"/>
    <cellStyle name="Normal 129 2 2 2 3 2 3" xfId="9392"/>
    <cellStyle name="Normal 129 2 2 2 3 2 3 2" xfId="16096"/>
    <cellStyle name="Normal 129 2 2 2 3 2 3 2 2" xfId="39517"/>
    <cellStyle name="Normal 129 2 2 2 3 2 3 3" xfId="32885"/>
    <cellStyle name="Normal 129 2 2 2 3 2 4" xfId="12780"/>
    <cellStyle name="Normal 129 2 2 2 3 2 4 2" xfId="36201"/>
    <cellStyle name="Normal 129 2 2 2 3 2 5" xfId="20074"/>
    <cellStyle name="Normal 129 2 2 2 3 2 5 2" xfId="42609"/>
    <cellStyle name="Normal 129 2 2 2 3 2 6" xfId="29569"/>
    <cellStyle name="Normal 129 2 2 2 3 3" xfId="6822"/>
    <cellStyle name="Normal 129 2 2 2 3 3 2" xfId="10154"/>
    <cellStyle name="Normal 129 2 2 2 3 3 2 2" xfId="16858"/>
    <cellStyle name="Normal 129 2 2 2 3 3 2 2 2" xfId="40279"/>
    <cellStyle name="Normal 129 2 2 2 3 3 2 3" xfId="33647"/>
    <cellStyle name="Normal 129 2 2 2 3 3 3" xfId="13542"/>
    <cellStyle name="Normal 129 2 2 2 3 3 3 2" xfId="36963"/>
    <cellStyle name="Normal 129 2 2 2 3 3 4" xfId="21258"/>
    <cellStyle name="Normal 129 2 2 2 3 3 4 2" xfId="43709"/>
    <cellStyle name="Normal 129 2 2 2 3 3 5" xfId="30331"/>
    <cellStyle name="Normal 129 2 2 2 3 4" xfId="8488"/>
    <cellStyle name="Normal 129 2 2 2 3 4 2" xfId="15200"/>
    <cellStyle name="Normal 129 2 2 2 3 4 2 2" xfId="38621"/>
    <cellStyle name="Normal 129 2 2 2 3 4 3" xfId="22082"/>
    <cellStyle name="Normal 129 2 2 2 3 4 3 2" xfId="44510"/>
    <cellStyle name="Normal 129 2 2 2 3 4 4" xfId="31989"/>
    <cellStyle name="Normal 129 2 2 2 3 5" xfId="11882"/>
    <cellStyle name="Normal 129 2 2 2 3 5 2" xfId="35305"/>
    <cellStyle name="Normal 129 2 2 2 3 6" xfId="19220"/>
    <cellStyle name="Normal 129 2 2 2 3 6 2" xfId="41777"/>
    <cellStyle name="Normal 129 2 2 2 3 7" xfId="28673"/>
    <cellStyle name="Normal 129 2 2 2 4" xfId="3907"/>
    <cellStyle name="Normal 129 2 2 2 4 2" xfId="7011"/>
    <cellStyle name="Normal 129 2 2 2 4 2 2" xfId="10343"/>
    <cellStyle name="Normal 129 2 2 2 4 2 2 2" xfId="17047"/>
    <cellStyle name="Normal 129 2 2 2 4 2 2 2 2" xfId="40468"/>
    <cellStyle name="Normal 129 2 2 2 4 2 2 3" xfId="33836"/>
    <cellStyle name="Normal 129 2 2 2 4 2 3" xfId="13731"/>
    <cellStyle name="Normal 129 2 2 2 4 2 3 2" xfId="37152"/>
    <cellStyle name="Normal 129 2 2 2 4 2 4" xfId="22503"/>
    <cellStyle name="Normal 129 2 2 2 4 2 4 2" xfId="44925"/>
    <cellStyle name="Normal 129 2 2 2 4 2 5" xfId="30520"/>
    <cellStyle name="Normal 129 2 2 2 4 3" xfId="8678"/>
    <cellStyle name="Normal 129 2 2 2 4 3 2" xfId="15389"/>
    <cellStyle name="Normal 129 2 2 2 4 3 2 2" xfId="38810"/>
    <cellStyle name="Normal 129 2 2 2 4 3 3" xfId="32178"/>
    <cellStyle name="Normal 129 2 2 2 4 4" xfId="12071"/>
    <cellStyle name="Normal 129 2 2 2 4 4 2" xfId="35494"/>
    <cellStyle name="Normal 129 2 2 2 4 5" xfId="19656"/>
    <cellStyle name="Normal 129 2 2 2 4 5 2" xfId="42193"/>
    <cellStyle name="Normal 129 2 2 2 4 6" xfId="28862"/>
    <cellStyle name="Normal 129 2 2 2 5" xfId="6349"/>
    <cellStyle name="Normal 129 2 2 2 5 2" xfId="9683"/>
    <cellStyle name="Normal 129 2 2 2 5 2 2" xfId="16387"/>
    <cellStyle name="Normal 129 2 2 2 5 2 2 2" xfId="39808"/>
    <cellStyle name="Normal 129 2 2 2 5 2 3" xfId="33176"/>
    <cellStyle name="Normal 129 2 2 2 5 3" xfId="13071"/>
    <cellStyle name="Normal 129 2 2 2 5 3 2" xfId="36492"/>
    <cellStyle name="Normal 129 2 2 2 5 4" xfId="20799"/>
    <cellStyle name="Normal 129 2 2 2 5 4 2" xfId="43250"/>
    <cellStyle name="Normal 129 2 2 2 5 5" xfId="29860"/>
    <cellStyle name="Normal 129 2 2 2 6" xfId="8015"/>
    <cellStyle name="Normal 129 2 2 2 6 2" xfId="14729"/>
    <cellStyle name="Normal 129 2 2 2 6 2 2" xfId="38150"/>
    <cellStyle name="Normal 129 2 2 2 6 3" xfId="21652"/>
    <cellStyle name="Normal 129 2 2 2 6 3 2" xfId="44101"/>
    <cellStyle name="Normal 129 2 2 2 6 4" xfId="31518"/>
    <cellStyle name="Normal 129 2 2 2 7" xfId="11411"/>
    <cellStyle name="Normal 129 2 2 2 7 2" xfId="34834"/>
    <cellStyle name="Normal 129 2 2 2 8" xfId="18019"/>
    <cellStyle name="Normal 129 2 2 2 8 2" xfId="41324"/>
    <cellStyle name="Normal 129 2 2 2 9" xfId="23601"/>
    <cellStyle name="Normal 129 2 2 2 9 2" xfId="45916"/>
    <cellStyle name="Normal 129 2 2 3" xfId="2262"/>
    <cellStyle name="Normal 129 2 2 3 2" xfId="5533"/>
    <cellStyle name="Normal 129 2 2 3 2 2" xfId="7357"/>
    <cellStyle name="Normal 129 2 2 3 2 2 2" xfId="10688"/>
    <cellStyle name="Normal 129 2 2 3 2 2 2 2" xfId="17392"/>
    <cellStyle name="Normal 129 2 2 3 2 2 2 2 2" xfId="40813"/>
    <cellStyle name="Normal 129 2 2 3 2 2 2 3" xfId="23108"/>
    <cellStyle name="Normal 129 2 2 3 2 2 2 3 2" xfId="45530"/>
    <cellStyle name="Normal 129 2 2 3 2 2 2 4" xfId="34181"/>
    <cellStyle name="Normal 129 2 2 3 2 2 3" xfId="14076"/>
    <cellStyle name="Normal 129 2 2 3 2 2 3 2" xfId="37497"/>
    <cellStyle name="Normal 129 2 2 3 2 2 4" xfId="20281"/>
    <cellStyle name="Normal 129 2 2 3 2 2 4 2" xfId="42816"/>
    <cellStyle name="Normal 129 2 2 3 2 2 5" xfId="30865"/>
    <cellStyle name="Normal 129 2 2 3 2 3" xfId="9030"/>
    <cellStyle name="Normal 129 2 2 3 2 3 2" xfId="15734"/>
    <cellStyle name="Normal 129 2 2 3 2 3 2 2" xfId="39155"/>
    <cellStyle name="Normal 129 2 2 3 2 3 3" xfId="21260"/>
    <cellStyle name="Normal 129 2 2 3 2 3 3 2" xfId="43711"/>
    <cellStyle name="Normal 129 2 2 3 2 3 4" xfId="32523"/>
    <cellStyle name="Normal 129 2 2 3 2 4" xfId="12418"/>
    <cellStyle name="Normal 129 2 2 3 2 4 2" xfId="22294"/>
    <cellStyle name="Normal 129 2 2 3 2 4 2 2" xfId="44716"/>
    <cellStyle name="Normal 129 2 2 3 2 4 3" xfId="35839"/>
    <cellStyle name="Normal 129 2 2 3 2 5" xfId="19442"/>
    <cellStyle name="Normal 129 2 2 3 2 5 2" xfId="41984"/>
    <cellStyle name="Normal 129 2 2 3 2 6" xfId="29207"/>
    <cellStyle name="Normal 129 2 2 3 3" xfId="6453"/>
    <cellStyle name="Normal 129 2 2 3 3 2" xfId="9787"/>
    <cellStyle name="Normal 129 2 2 3 3 2 2" xfId="16491"/>
    <cellStyle name="Normal 129 2 2 3 3 2 2 2" xfId="39912"/>
    <cellStyle name="Normal 129 2 2 3 3 2 3" xfId="22702"/>
    <cellStyle name="Normal 129 2 2 3 3 2 3 2" xfId="45124"/>
    <cellStyle name="Normal 129 2 2 3 3 2 4" xfId="33280"/>
    <cellStyle name="Normal 129 2 2 3 3 3" xfId="13175"/>
    <cellStyle name="Normal 129 2 2 3 3 3 2" xfId="36596"/>
    <cellStyle name="Normal 129 2 2 3 3 4" xfId="19865"/>
    <cellStyle name="Normal 129 2 2 3 3 4 2" xfId="42400"/>
    <cellStyle name="Normal 129 2 2 3 3 5" xfId="29964"/>
    <cellStyle name="Normal 129 2 2 3 4" xfId="8120"/>
    <cellStyle name="Normal 129 2 2 3 4 2" xfId="14833"/>
    <cellStyle name="Normal 129 2 2 3 4 2 2" xfId="38254"/>
    <cellStyle name="Normal 129 2 2 3 4 3" xfId="20801"/>
    <cellStyle name="Normal 129 2 2 3 4 3 2" xfId="43252"/>
    <cellStyle name="Normal 129 2 2 3 4 4" xfId="31622"/>
    <cellStyle name="Normal 129 2 2 3 5" xfId="11515"/>
    <cellStyle name="Normal 129 2 2 3 5 2" xfId="21861"/>
    <cellStyle name="Normal 129 2 2 3 5 2 2" xfId="44302"/>
    <cellStyle name="Normal 129 2 2 3 5 3" xfId="34938"/>
    <cellStyle name="Normal 129 2 2 3 6" xfId="18630"/>
    <cellStyle name="Normal 129 2 2 3 6 2" xfId="41559"/>
    <cellStyle name="Normal 129 2 2 3 7" xfId="25861"/>
    <cellStyle name="Normal 129 2 2 3 7 2" xfId="48106"/>
    <cellStyle name="Normal 129 2 2 3 8" xfId="28306"/>
    <cellStyle name="Normal 129 2 2 4" xfId="2715"/>
    <cellStyle name="Normal 129 2 2 4 2" xfId="5808"/>
    <cellStyle name="Normal 129 2 2 4 2 2" xfId="7590"/>
    <cellStyle name="Normal 129 2 2 4 2 2 2" xfId="10919"/>
    <cellStyle name="Normal 129 2 2 4 2 2 2 2" xfId="17623"/>
    <cellStyle name="Normal 129 2 2 4 2 2 2 2 2" xfId="41044"/>
    <cellStyle name="Normal 129 2 2 4 2 2 2 3" xfId="34412"/>
    <cellStyle name="Normal 129 2 2 4 2 2 3" xfId="14307"/>
    <cellStyle name="Normal 129 2 2 4 2 2 3 2" xfId="37728"/>
    <cellStyle name="Normal 129 2 2 4 2 2 4" xfId="22908"/>
    <cellStyle name="Normal 129 2 2 4 2 2 4 2" xfId="45330"/>
    <cellStyle name="Normal 129 2 2 4 2 2 5" xfId="31096"/>
    <cellStyle name="Normal 129 2 2 4 2 3" xfId="9261"/>
    <cellStyle name="Normal 129 2 2 4 2 3 2" xfId="15965"/>
    <cellStyle name="Normal 129 2 2 4 2 3 2 2" xfId="39386"/>
    <cellStyle name="Normal 129 2 2 4 2 3 3" xfId="32754"/>
    <cellStyle name="Normal 129 2 2 4 2 4" xfId="12649"/>
    <cellStyle name="Normal 129 2 2 4 2 4 2" xfId="36070"/>
    <cellStyle name="Normal 129 2 2 4 2 5" xfId="20073"/>
    <cellStyle name="Normal 129 2 2 4 2 5 2" xfId="42608"/>
    <cellStyle name="Normal 129 2 2 4 2 6" xfId="29438"/>
    <cellStyle name="Normal 129 2 2 4 3" xfId="6691"/>
    <cellStyle name="Normal 129 2 2 4 3 2" xfId="10023"/>
    <cellStyle name="Normal 129 2 2 4 3 2 2" xfId="16727"/>
    <cellStyle name="Normal 129 2 2 4 3 2 2 2" xfId="40148"/>
    <cellStyle name="Normal 129 2 2 4 3 2 3" xfId="33516"/>
    <cellStyle name="Normal 129 2 2 4 3 3" xfId="13411"/>
    <cellStyle name="Normal 129 2 2 4 3 3 2" xfId="36832"/>
    <cellStyle name="Normal 129 2 2 4 3 4" xfId="21257"/>
    <cellStyle name="Normal 129 2 2 4 3 4 2" xfId="43708"/>
    <cellStyle name="Normal 129 2 2 4 3 5" xfId="30200"/>
    <cellStyle name="Normal 129 2 2 4 4" xfId="8357"/>
    <cellStyle name="Normal 129 2 2 4 4 2" xfId="15069"/>
    <cellStyle name="Normal 129 2 2 4 4 2 2" xfId="38490"/>
    <cellStyle name="Normal 129 2 2 4 4 3" xfId="22081"/>
    <cellStyle name="Normal 129 2 2 4 4 3 2" xfId="44509"/>
    <cellStyle name="Normal 129 2 2 4 4 4" xfId="31858"/>
    <cellStyle name="Normal 129 2 2 4 5" xfId="11751"/>
    <cellStyle name="Normal 129 2 2 4 5 2" xfId="35174"/>
    <cellStyle name="Normal 129 2 2 4 6" xfId="19219"/>
    <cellStyle name="Normal 129 2 2 4 6 2" xfId="41776"/>
    <cellStyle name="Normal 129 2 2 4 7" xfId="28542"/>
    <cellStyle name="Normal 129 2 2 5" xfId="3906"/>
    <cellStyle name="Normal 129 2 2 5 2" xfId="7010"/>
    <cellStyle name="Normal 129 2 2 5 2 2" xfId="10342"/>
    <cellStyle name="Normal 129 2 2 5 2 2 2" xfId="17046"/>
    <cellStyle name="Normal 129 2 2 5 2 2 2 2" xfId="40467"/>
    <cellStyle name="Normal 129 2 2 5 2 2 3" xfId="33835"/>
    <cellStyle name="Normal 129 2 2 5 2 3" xfId="13730"/>
    <cellStyle name="Normal 129 2 2 5 2 3 2" xfId="37151"/>
    <cellStyle name="Normal 129 2 2 5 2 4" xfId="22502"/>
    <cellStyle name="Normal 129 2 2 5 2 4 2" xfId="44924"/>
    <cellStyle name="Normal 129 2 2 5 2 5" xfId="30519"/>
    <cellStyle name="Normal 129 2 2 5 3" xfId="8677"/>
    <cellStyle name="Normal 129 2 2 5 3 2" xfId="15388"/>
    <cellStyle name="Normal 129 2 2 5 3 2 2" xfId="38809"/>
    <cellStyle name="Normal 129 2 2 5 3 3" xfId="32177"/>
    <cellStyle name="Normal 129 2 2 5 4" xfId="12070"/>
    <cellStyle name="Normal 129 2 2 5 4 2" xfId="35493"/>
    <cellStyle name="Normal 129 2 2 5 5" xfId="19655"/>
    <cellStyle name="Normal 129 2 2 5 5 2" xfId="42192"/>
    <cellStyle name="Normal 129 2 2 5 6" xfId="28861"/>
    <cellStyle name="Normal 129 2 2 6" xfId="6218"/>
    <cellStyle name="Normal 129 2 2 6 2" xfId="9552"/>
    <cellStyle name="Normal 129 2 2 6 2 2" xfId="16256"/>
    <cellStyle name="Normal 129 2 2 6 2 2 2" xfId="39677"/>
    <cellStyle name="Normal 129 2 2 6 2 3" xfId="33045"/>
    <cellStyle name="Normal 129 2 2 6 3" xfId="12940"/>
    <cellStyle name="Normal 129 2 2 6 3 2" xfId="36361"/>
    <cellStyle name="Normal 129 2 2 6 4" xfId="20798"/>
    <cellStyle name="Normal 129 2 2 6 4 2" xfId="43249"/>
    <cellStyle name="Normal 129 2 2 6 5" xfId="29729"/>
    <cellStyle name="Normal 129 2 2 7" xfId="7884"/>
    <cellStyle name="Normal 129 2 2 7 2" xfId="14598"/>
    <cellStyle name="Normal 129 2 2 7 2 2" xfId="38019"/>
    <cellStyle name="Normal 129 2 2 7 3" xfId="21651"/>
    <cellStyle name="Normal 129 2 2 7 3 2" xfId="44100"/>
    <cellStyle name="Normal 129 2 2 7 4" xfId="31387"/>
    <cellStyle name="Normal 129 2 2 8" xfId="11280"/>
    <cellStyle name="Normal 129 2 2 8 2" xfId="34703"/>
    <cellStyle name="Normal 129 2 2 9" xfId="18018"/>
    <cellStyle name="Normal 129 2 2 9 2" xfId="41323"/>
    <cellStyle name="Normal 129 2 3" xfId="1805"/>
    <cellStyle name="Normal 129 2 3 10" xfId="28157"/>
    <cellStyle name="Normal 129 2 3 2" xfId="2264"/>
    <cellStyle name="Normal 129 2 3 2 2" xfId="5535"/>
    <cellStyle name="Normal 129 2 3 2 2 2" xfId="7359"/>
    <cellStyle name="Normal 129 2 3 2 2 2 2" xfId="10690"/>
    <cellStyle name="Normal 129 2 3 2 2 2 2 2" xfId="17394"/>
    <cellStyle name="Normal 129 2 3 2 2 2 2 2 2" xfId="40815"/>
    <cellStyle name="Normal 129 2 3 2 2 2 2 3" xfId="23110"/>
    <cellStyle name="Normal 129 2 3 2 2 2 2 3 2" xfId="45532"/>
    <cellStyle name="Normal 129 2 3 2 2 2 2 4" xfId="34183"/>
    <cellStyle name="Normal 129 2 3 2 2 2 3" xfId="14078"/>
    <cellStyle name="Normal 129 2 3 2 2 2 3 2" xfId="37499"/>
    <cellStyle name="Normal 129 2 3 2 2 2 4" xfId="20283"/>
    <cellStyle name="Normal 129 2 3 2 2 2 4 2" xfId="42818"/>
    <cellStyle name="Normal 129 2 3 2 2 2 5" xfId="30867"/>
    <cellStyle name="Normal 129 2 3 2 2 3" xfId="9032"/>
    <cellStyle name="Normal 129 2 3 2 2 3 2" xfId="15736"/>
    <cellStyle name="Normal 129 2 3 2 2 3 2 2" xfId="39157"/>
    <cellStyle name="Normal 129 2 3 2 2 3 3" xfId="21262"/>
    <cellStyle name="Normal 129 2 3 2 2 3 3 2" xfId="43713"/>
    <cellStyle name="Normal 129 2 3 2 2 3 4" xfId="32525"/>
    <cellStyle name="Normal 129 2 3 2 2 4" xfId="12420"/>
    <cellStyle name="Normal 129 2 3 2 2 4 2" xfId="22296"/>
    <cellStyle name="Normal 129 2 3 2 2 4 2 2" xfId="44718"/>
    <cellStyle name="Normal 129 2 3 2 2 4 3" xfId="35841"/>
    <cellStyle name="Normal 129 2 3 2 2 5" xfId="19444"/>
    <cellStyle name="Normal 129 2 3 2 2 5 2" xfId="41986"/>
    <cellStyle name="Normal 129 2 3 2 2 6" xfId="29209"/>
    <cellStyle name="Normal 129 2 3 2 3" xfId="6455"/>
    <cellStyle name="Normal 129 2 3 2 3 2" xfId="9789"/>
    <cellStyle name="Normal 129 2 3 2 3 2 2" xfId="16493"/>
    <cellStyle name="Normal 129 2 3 2 3 2 2 2" xfId="39914"/>
    <cellStyle name="Normal 129 2 3 2 3 2 3" xfId="22704"/>
    <cellStyle name="Normal 129 2 3 2 3 2 3 2" xfId="45126"/>
    <cellStyle name="Normal 129 2 3 2 3 2 4" xfId="33282"/>
    <cellStyle name="Normal 129 2 3 2 3 3" xfId="13177"/>
    <cellStyle name="Normal 129 2 3 2 3 3 2" xfId="36598"/>
    <cellStyle name="Normal 129 2 3 2 3 4" xfId="19867"/>
    <cellStyle name="Normal 129 2 3 2 3 4 2" xfId="42402"/>
    <cellStyle name="Normal 129 2 3 2 3 5" xfId="29966"/>
    <cellStyle name="Normal 129 2 3 2 4" xfId="8122"/>
    <cellStyle name="Normal 129 2 3 2 4 2" xfId="14835"/>
    <cellStyle name="Normal 129 2 3 2 4 2 2" xfId="38256"/>
    <cellStyle name="Normal 129 2 3 2 4 3" xfId="20803"/>
    <cellStyle name="Normal 129 2 3 2 4 3 2" xfId="43254"/>
    <cellStyle name="Normal 129 2 3 2 4 4" xfId="31624"/>
    <cellStyle name="Normal 129 2 3 2 5" xfId="11517"/>
    <cellStyle name="Normal 129 2 3 2 5 2" xfId="21863"/>
    <cellStyle name="Normal 129 2 3 2 5 2 2" xfId="44304"/>
    <cellStyle name="Normal 129 2 3 2 5 3" xfId="34940"/>
    <cellStyle name="Normal 129 2 3 2 6" xfId="18632"/>
    <cellStyle name="Normal 129 2 3 2 6 2" xfId="41561"/>
    <cellStyle name="Normal 129 2 3 2 7" xfId="25863"/>
    <cellStyle name="Normal 129 2 3 2 7 2" xfId="48108"/>
    <cellStyle name="Normal 129 2 3 2 8" xfId="28308"/>
    <cellStyle name="Normal 129 2 3 3" xfId="2802"/>
    <cellStyle name="Normal 129 2 3 3 2" xfId="5894"/>
    <cellStyle name="Normal 129 2 3 3 2 2" xfId="7676"/>
    <cellStyle name="Normal 129 2 3 3 2 2 2" xfId="11005"/>
    <cellStyle name="Normal 129 2 3 3 2 2 2 2" xfId="17709"/>
    <cellStyle name="Normal 129 2 3 3 2 2 2 2 2" xfId="41130"/>
    <cellStyle name="Normal 129 2 3 3 2 2 2 3" xfId="34498"/>
    <cellStyle name="Normal 129 2 3 3 2 2 3" xfId="14393"/>
    <cellStyle name="Normal 129 2 3 3 2 2 3 2" xfId="37814"/>
    <cellStyle name="Normal 129 2 3 3 2 2 4" xfId="22910"/>
    <cellStyle name="Normal 129 2 3 3 2 2 4 2" xfId="45332"/>
    <cellStyle name="Normal 129 2 3 3 2 2 5" xfId="31182"/>
    <cellStyle name="Normal 129 2 3 3 2 3" xfId="9347"/>
    <cellStyle name="Normal 129 2 3 3 2 3 2" xfId="16051"/>
    <cellStyle name="Normal 129 2 3 3 2 3 2 2" xfId="39472"/>
    <cellStyle name="Normal 129 2 3 3 2 3 3" xfId="32840"/>
    <cellStyle name="Normal 129 2 3 3 2 4" xfId="12735"/>
    <cellStyle name="Normal 129 2 3 3 2 4 2" xfId="36156"/>
    <cellStyle name="Normal 129 2 3 3 2 5" xfId="20075"/>
    <cellStyle name="Normal 129 2 3 3 2 5 2" xfId="42610"/>
    <cellStyle name="Normal 129 2 3 3 2 6" xfId="29524"/>
    <cellStyle name="Normal 129 2 3 3 3" xfId="6777"/>
    <cellStyle name="Normal 129 2 3 3 3 2" xfId="10109"/>
    <cellStyle name="Normal 129 2 3 3 3 2 2" xfId="16813"/>
    <cellStyle name="Normal 129 2 3 3 3 2 2 2" xfId="40234"/>
    <cellStyle name="Normal 129 2 3 3 3 2 3" xfId="33602"/>
    <cellStyle name="Normal 129 2 3 3 3 3" xfId="13497"/>
    <cellStyle name="Normal 129 2 3 3 3 3 2" xfId="36918"/>
    <cellStyle name="Normal 129 2 3 3 3 4" xfId="21261"/>
    <cellStyle name="Normal 129 2 3 3 3 4 2" xfId="43712"/>
    <cellStyle name="Normal 129 2 3 3 3 5" xfId="30286"/>
    <cellStyle name="Normal 129 2 3 3 4" xfId="8443"/>
    <cellStyle name="Normal 129 2 3 3 4 2" xfId="15155"/>
    <cellStyle name="Normal 129 2 3 3 4 2 2" xfId="38576"/>
    <cellStyle name="Normal 129 2 3 3 4 3" xfId="22083"/>
    <cellStyle name="Normal 129 2 3 3 4 3 2" xfId="44511"/>
    <cellStyle name="Normal 129 2 3 3 4 4" xfId="31944"/>
    <cellStyle name="Normal 129 2 3 3 5" xfId="11837"/>
    <cellStyle name="Normal 129 2 3 3 5 2" xfId="35260"/>
    <cellStyle name="Normal 129 2 3 3 6" xfId="19221"/>
    <cellStyle name="Normal 129 2 3 3 6 2" xfId="41778"/>
    <cellStyle name="Normal 129 2 3 3 7" xfId="28628"/>
    <cellStyle name="Normal 129 2 3 4" xfId="3908"/>
    <cellStyle name="Normal 129 2 3 4 2" xfId="7012"/>
    <cellStyle name="Normal 129 2 3 4 2 2" xfId="10344"/>
    <cellStyle name="Normal 129 2 3 4 2 2 2" xfId="17048"/>
    <cellStyle name="Normal 129 2 3 4 2 2 2 2" xfId="40469"/>
    <cellStyle name="Normal 129 2 3 4 2 2 3" xfId="33837"/>
    <cellStyle name="Normal 129 2 3 4 2 3" xfId="13732"/>
    <cellStyle name="Normal 129 2 3 4 2 3 2" xfId="37153"/>
    <cellStyle name="Normal 129 2 3 4 2 4" xfId="22504"/>
    <cellStyle name="Normal 129 2 3 4 2 4 2" xfId="44926"/>
    <cellStyle name="Normal 129 2 3 4 2 5" xfId="30521"/>
    <cellStyle name="Normal 129 2 3 4 3" xfId="8679"/>
    <cellStyle name="Normal 129 2 3 4 3 2" xfId="15390"/>
    <cellStyle name="Normal 129 2 3 4 3 2 2" xfId="38811"/>
    <cellStyle name="Normal 129 2 3 4 3 3" xfId="32179"/>
    <cellStyle name="Normal 129 2 3 4 4" xfId="12072"/>
    <cellStyle name="Normal 129 2 3 4 4 2" xfId="35495"/>
    <cellStyle name="Normal 129 2 3 4 5" xfId="19657"/>
    <cellStyle name="Normal 129 2 3 4 5 2" xfId="42194"/>
    <cellStyle name="Normal 129 2 3 4 6" xfId="28863"/>
    <cellStyle name="Normal 129 2 3 5" xfId="6304"/>
    <cellStyle name="Normal 129 2 3 5 2" xfId="9638"/>
    <cellStyle name="Normal 129 2 3 5 2 2" xfId="16342"/>
    <cellStyle name="Normal 129 2 3 5 2 2 2" xfId="39763"/>
    <cellStyle name="Normal 129 2 3 5 2 3" xfId="33131"/>
    <cellStyle name="Normal 129 2 3 5 3" xfId="13026"/>
    <cellStyle name="Normal 129 2 3 5 3 2" xfId="36447"/>
    <cellStyle name="Normal 129 2 3 5 4" xfId="20802"/>
    <cellStyle name="Normal 129 2 3 5 4 2" xfId="43253"/>
    <cellStyle name="Normal 129 2 3 5 5" xfId="29815"/>
    <cellStyle name="Normal 129 2 3 6" xfId="7970"/>
    <cellStyle name="Normal 129 2 3 6 2" xfId="14684"/>
    <cellStyle name="Normal 129 2 3 6 2 2" xfId="38105"/>
    <cellStyle name="Normal 129 2 3 6 3" xfId="21653"/>
    <cellStyle name="Normal 129 2 3 6 3 2" xfId="44102"/>
    <cellStyle name="Normal 129 2 3 6 4" xfId="31473"/>
    <cellStyle name="Normal 129 2 3 7" xfId="11366"/>
    <cellStyle name="Normal 129 2 3 7 2" xfId="34789"/>
    <cellStyle name="Normal 129 2 3 8" xfId="18020"/>
    <cellStyle name="Normal 129 2 3 8 2" xfId="41325"/>
    <cellStyle name="Normal 129 2 3 9" xfId="23602"/>
    <cellStyle name="Normal 129 2 3 9 2" xfId="45917"/>
    <cellStyle name="Normal 129 2 4" xfId="2261"/>
    <cellStyle name="Normal 129 2 4 2" xfId="5532"/>
    <cellStyle name="Normal 129 2 4 2 2" xfId="7356"/>
    <cellStyle name="Normal 129 2 4 2 2 2" xfId="10687"/>
    <cellStyle name="Normal 129 2 4 2 2 2 2" xfId="17391"/>
    <cellStyle name="Normal 129 2 4 2 2 2 2 2" xfId="40812"/>
    <cellStyle name="Normal 129 2 4 2 2 2 3" xfId="23107"/>
    <cellStyle name="Normal 129 2 4 2 2 2 3 2" xfId="45529"/>
    <cellStyle name="Normal 129 2 4 2 2 2 4" xfId="34180"/>
    <cellStyle name="Normal 129 2 4 2 2 3" xfId="14075"/>
    <cellStyle name="Normal 129 2 4 2 2 3 2" xfId="37496"/>
    <cellStyle name="Normal 129 2 4 2 2 4" xfId="20280"/>
    <cellStyle name="Normal 129 2 4 2 2 4 2" xfId="42815"/>
    <cellStyle name="Normal 129 2 4 2 2 5" xfId="30864"/>
    <cellStyle name="Normal 129 2 4 2 3" xfId="9029"/>
    <cellStyle name="Normal 129 2 4 2 3 2" xfId="15733"/>
    <cellStyle name="Normal 129 2 4 2 3 2 2" xfId="39154"/>
    <cellStyle name="Normal 129 2 4 2 3 3" xfId="21263"/>
    <cellStyle name="Normal 129 2 4 2 3 3 2" xfId="43714"/>
    <cellStyle name="Normal 129 2 4 2 3 4" xfId="32522"/>
    <cellStyle name="Normal 129 2 4 2 4" xfId="12417"/>
    <cellStyle name="Normal 129 2 4 2 4 2" xfId="22293"/>
    <cellStyle name="Normal 129 2 4 2 4 2 2" xfId="44715"/>
    <cellStyle name="Normal 129 2 4 2 4 3" xfId="35838"/>
    <cellStyle name="Normal 129 2 4 2 5" xfId="19441"/>
    <cellStyle name="Normal 129 2 4 2 5 2" xfId="41983"/>
    <cellStyle name="Normal 129 2 4 2 6" xfId="29206"/>
    <cellStyle name="Normal 129 2 4 3" xfId="6452"/>
    <cellStyle name="Normal 129 2 4 3 2" xfId="9786"/>
    <cellStyle name="Normal 129 2 4 3 2 2" xfId="16490"/>
    <cellStyle name="Normal 129 2 4 3 2 2 2" xfId="39911"/>
    <cellStyle name="Normal 129 2 4 3 2 3" xfId="22701"/>
    <cellStyle name="Normal 129 2 4 3 2 3 2" xfId="45123"/>
    <cellStyle name="Normal 129 2 4 3 2 4" xfId="33279"/>
    <cellStyle name="Normal 129 2 4 3 3" xfId="13174"/>
    <cellStyle name="Normal 129 2 4 3 3 2" xfId="36595"/>
    <cellStyle name="Normal 129 2 4 3 4" xfId="19864"/>
    <cellStyle name="Normal 129 2 4 3 4 2" xfId="42399"/>
    <cellStyle name="Normal 129 2 4 3 5" xfId="29963"/>
    <cellStyle name="Normal 129 2 4 4" xfId="8119"/>
    <cellStyle name="Normal 129 2 4 4 2" xfId="14832"/>
    <cellStyle name="Normal 129 2 4 4 2 2" xfId="38253"/>
    <cellStyle name="Normal 129 2 4 4 3" xfId="20804"/>
    <cellStyle name="Normal 129 2 4 4 3 2" xfId="43255"/>
    <cellStyle name="Normal 129 2 4 4 4" xfId="31621"/>
    <cellStyle name="Normal 129 2 4 5" xfId="11514"/>
    <cellStyle name="Normal 129 2 4 5 2" xfId="21860"/>
    <cellStyle name="Normal 129 2 4 5 2 2" xfId="44301"/>
    <cellStyle name="Normal 129 2 4 5 3" xfId="34937"/>
    <cellStyle name="Normal 129 2 4 6" xfId="18629"/>
    <cellStyle name="Normal 129 2 4 6 2" xfId="41558"/>
    <cellStyle name="Normal 129 2 4 7" xfId="25860"/>
    <cellStyle name="Normal 129 2 4 7 2" xfId="48105"/>
    <cellStyle name="Normal 129 2 4 8" xfId="28305"/>
    <cellStyle name="Normal 129 2 5" xfId="2670"/>
    <cellStyle name="Normal 129 2 5 2" xfId="5763"/>
    <cellStyle name="Normal 129 2 5 2 2" xfId="7545"/>
    <cellStyle name="Normal 129 2 5 2 2 2" xfId="10874"/>
    <cellStyle name="Normal 129 2 5 2 2 2 2" xfId="17578"/>
    <cellStyle name="Normal 129 2 5 2 2 2 2 2" xfId="40999"/>
    <cellStyle name="Normal 129 2 5 2 2 2 3" xfId="34367"/>
    <cellStyle name="Normal 129 2 5 2 2 3" xfId="14262"/>
    <cellStyle name="Normal 129 2 5 2 2 3 2" xfId="37683"/>
    <cellStyle name="Normal 129 2 5 2 2 4" xfId="20629"/>
    <cellStyle name="Normal 129 2 5 2 2 4 2" xfId="43080"/>
    <cellStyle name="Normal 129 2 5 2 2 5" xfId="31051"/>
    <cellStyle name="Normal 129 2 5 2 3" xfId="9216"/>
    <cellStyle name="Normal 129 2 5 2 3 2" xfId="15920"/>
    <cellStyle name="Normal 129 2 5 2 3 2 2" xfId="39341"/>
    <cellStyle name="Normal 129 2 5 2 3 3" xfId="21547"/>
    <cellStyle name="Normal 129 2 5 2 3 3 2" xfId="43998"/>
    <cellStyle name="Normal 129 2 5 2 3 4" xfId="32709"/>
    <cellStyle name="Normal 129 2 5 2 4" xfId="12604"/>
    <cellStyle name="Normal 129 2 5 2 4 2" xfId="22907"/>
    <cellStyle name="Normal 129 2 5 2 4 2 2" xfId="45329"/>
    <cellStyle name="Normal 129 2 5 2 4 3" xfId="36025"/>
    <cellStyle name="Normal 129 2 5 2 5" xfId="20072"/>
    <cellStyle name="Normal 129 2 5 2 5 2" xfId="42607"/>
    <cellStyle name="Normal 129 2 5 2 6" xfId="29393"/>
    <cellStyle name="Normal 129 2 5 3" xfId="6646"/>
    <cellStyle name="Normal 129 2 5 3 2" xfId="9978"/>
    <cellStyle name="Normal 129 2 5 3 2 2" xfId="16682"/>
    <cellStyle name="Normal 129 2 5 3 2 2 2" xfId="40103"/>
    <cellStyle name="Normal 129 2 5 3 2 3" xfId="33471"/>
    <cellStyle name="Normal 129 2 5 3 3" xfId="13366"/>
    <cellStyle name="Normal 129 2 5 3 3 2" xfId="36787"/>
    <cellStyle name="Normal 129 2 5 3 4" xfId="20531"/>
    <cellStyle name="Normal 129 2 5 3 4 2" xfId="42984"/>
    <cellStyle name="Normal 129 2 5 3 5" xfId="30155"/>
    <cellStyle name="Normal 129 2 5 4" xfId="8312"/>
    <cellStyle name="Normal 129 2 5 4 2" xfId="15024"/>
    <cellStyle name="Normal 129 2 5 4 2 2" xfId="38445"/>
    <cellStyle name="Normal 129 2 5 4 3" xfId="21088"/>
    <cellStyle name="Normal 129 2 5 4 3 2" xfId="43539"/>
    <cellStyle name="Normal 129 2 5 4 4" xfId="31813"/>
    <cellStyle name="Normal 129 2 5 5" xfId="11706"/>
    <cellStyle name="Normal 129 2 5 5 2" xfId="22080"/>
    <cellStyle name="Normal 129 2 5 5 2 2" xfId="44508"/>
    <cellStyle name="Normal 129 2 5 5 3" xfId="35129"/>
    <cellStyle name="Normal 129 2 5 6" xfId="19218"/>
    <cellStyle name="Normal 129 2 5 6 2" xfId="41775"/>
    <cellStyle name="Normal 129 2 5 7" xfId="28497"/>
    <cellStyle name="Normal 129 2 6" xfId="3905"/>
    <cellStyle name="Normal 129 2 6 2" xfId="7009"/>
    <cellStyle name="Normal 129 2 6 2 2" xfId="10341"/>
    <cellStyle name="Normal 129 2 6 2 2 2" xfId="17045"/>
    <cellStyle name="Normal 129 2 6 2 2 2 2" xfId="40466"/>
    <cellStyle name="Normal 129 2 6 2 2 3" xfId="33834"/>
    <cellStyle name="Normal 129 2 6 2 3" xfId="13729"/>
    <cellStyle name="Normal 129 2 6 2 3 2" xfId="37150"/>
    <cellStyle name="Normal 129 2 6 2 4" xfId="20577"/>
    <cellStyle name="Normal 129 2 6 2 4 2" xfId="43030"/>
    <cellStyle name="Normal 129 2 6 2 5" xfId="30518"/>
    <cellStyle name="Normal 129 2 6 3" xfId="8676"/>
    <cellStyle name="Normal 129 2 6 3 2" xfId="15387"/>
    <cellStyle name="Normal 129 2 6 3 2 2" xfId="38808"/>
    <cellStyle name="Normal 129 2 6 3 3" xfId="21256"/>
    <cellStyle name="Normal 129 2 6 3 3 2" xfId="43707"/>
    <cellStyle name="Normal 129 2 6 3 4" xfId="32176"/>
    <cellStyle name="Normal 129 2 6 4" xfId="12069"/>
    <cellStyle name="Normal 129 2 6 4 2" xfId="22501"/>
    <cellStyle name="Normal 129 2 6 4 2 2" xfId="44923"/>
    <cellStyle name="Normal 129 2 6 4 3" xfId="35492"/>
    <cellStyle name="Normal 129 2 6 5" xfId="19654"/>
    <cellStyle name="Normal 129 2 6 5 2" xfId="42191"/>
    <cellStyle name="Normal 129 2 6 6" xfId="28860"/>
    <cellStyle name="Normal 129 2 7" xfId="6173"/>
    <cellStyle name="Normal 129 2 7 2" xfId="9507"/>
    <cellStyle name="Normal 129 2 7 2 2" xfId="16211"/>
    <cellStyle name="Normal 129 2 7 2 2 2" xfId="39632"/>
    <cellStyle name="Normal 129 2 7 2 3" xfId="33000"/>
    <cellStyle name="Normal 129 2 7 3" xfId="12895"/>
    <cellStyle name="Normal 129 2 7 3 2" xfId="36316"/>
    <cellStyle name="Normal 129 2 7 4" xfId="18342"/>
    <cellStyle name="Normal 129 2 7 4 2" xfId="41475"/>
    <cellStyle name="Normal 129 2 7 5" xfId="29684"/>
    <cellStyle name="Normal 129 2 8" xfId="7839"/>
    <cellStyle name="Normal 129 2 8 2" xfId="14553"/>
    <cellStyle name="Normal 129 2 8 2 2" xfId="37974"/>
    <cellStyle name="Normal 129 2 8 3" xfId="20797"/>
    <cellStyle name="Normal 129 2 8 3 2" xfId="43248"/>
    <cellStyle name="Normal 129 2 8 4" xfId="31342"/>
    <cellStyle name="Normal 129 2 9" xfId="11235"/>
    <cellStyle name="Normal 129 2 9 2" xfId="21650"/>
    <cellStyle name="Normal 129 2 9 2 2" xfId="44099"/>
    <cellStyle name="Normal 129 2 9 3" xfId="34658"/>
    <cellStyle name="Normal 129 3" xfId="1631"/>
    <cellStyle name="Normal 129 3 10" xfId="23603"/>
    <cellStyle name="Normal 129 3 10 2" xfId="45918"/>
    <cellStyle name="Normal 129 3 11" xfId="28070"/>
    <cellStyle name="Normal 129 3 2" xfId="1849"/>
    <cellStyle name="Normal 129 3 2 10" xfId="28201"/>
    <cellStyle name="Normal 129 3 2 2" xfId="2266"/>
    <cellStyle name="Normal 129 3 2 2 2" xfId="5537"/>
    <cellStyle name="Normal 129 3 2 2 2 2" xfId="7361"/>
    <cellStyle name="Normal 129 3 2 2 2 2 2" xfId="10692"/>
    <cellStyle name="Normal 129 3 2 2 2 2 2 2" xfId="17396"/>
    <cellStyle name="Normal 129 3 2 2 2 2 2 2 2" xfId="40817"/>
    <cellStyle name="Normal 129 3 2 2 2 2 2 3" xfId="23112"/>
    <cellStyle name="Normal 129 3 2 2 2 2 2 3 2" xfId="45534"/>
    <cellStyle name="Normal 129 3 2 2 2 2 2 4" xfId="34185"/>
    <cellStyle name="Normal 129 3 2 2 2 2 3" xfId="14080"/>
    <cellStyle name="Normal 129 3 2 2 2 2 3 2" xfId="37501"/>
    <cellStyle name="Normal 129 3 2 2 2 2 4" xfId="20285"/>
    <cellStyle name="Normal 129 3 2 2 2 2 4 2" xfId="42820"/>
    <cellStyle name="Normal 129 3 2 2 2 2 5" xfId="30869"/>
    <cellStyle name="Normal 129 3 2 2 2 3" xfId="9034"/>
    <cellStyle name="Normal 129 3 2 2 2 3 2" xfId="15738"/>
    <cellStyle name="Normal 129 3 2 2 2 3 2 2" xfId="39159"/>
    <cellStyle name="Normal 129 3 2 2 2 3 3" xfId="21266"/>
    <cellStyle name="Normal 129 3 2 2 2 3 3 2" xfId="43717"/>
    <cellStyle name="Normal 129 3 2 2 2 3 4" xfId="32527"/>
    <cellStyle name="Normal 129 3 2 2 2 4" xfId="12422"/>
    <cellStyle name="Normal 129 3 2 2 2 4 2" xfId="22298"/>
    <cellStyle name="Normal 129 3 2 2 2 4 2 2" xfId="44720"/>
    <cellStyle name="Normal 129 3 2 2 2 4 3" xfId="35843"/>
    <cellStyle name="Normal 129 3 2 2 2 5" xfId="19446"/>
    <cellStyle name="Normal 129 3 2 2 2 5 2" xfId="41988"/>
    <cellStyle name="Normal 129 3 2 2 2 6" xfId="29211"/>
    <cellStyle name="Normal 129 3 2 2 3" xfId="6457"/>
    <cellStyle name="Normal 129 3 2 2 3 2" xfId="9791"/>
    <cellStyle name="Normal 129 3 2 2 3 2 2" xfId="16495"/>
    <cellStyle name="Normal 129 3 2 2 3 2 2 2" xfId="39916"/>
    <cellStyle name="Normal 129 3 2 2 3 2 3" xfId="22706"/>
    <cellStyle name="Normal 129 3 2 2 3 2 3 2" xfId="45128"/>
    <cellStyle name="Normal 129 3 2 2 3 2 4" xfId="33284"/>
    <cellStyle name="Normal 129 3 2 2 3 3" xfId="13179"/>
    <cellStyle name="Normal 129 3 2 2 3 3 2" xfId="36600"/>
    <cellStyle name="Normal 129 3 2 2 3 4" xfId="19869"/>
    <cellStyle name="Normal 129 3 2 2 3 4 2" xfId="42404"/>
    <cellStyle name="Normal 129 3 2 2 3 5" xfId="29968"/>
    <cellStyle name="Normal 129 3 2 2 4" xfId="8124"/>
    <cellStyle name="Normal 129 3 2 2 4 2" xfId="14837"/>
    <cellStyle name="Normal 129 3 2 2 4 2 2" xfId="38258"/>
    <cellStyle name="Normal 129 3 2 2 4 3" xfId="20807"/>
    <cellStyle name="Normal 129 3 2 2 4 3 2" xfId="43258"/>
    <cellStyle name="Normal 129 3 2 2 4 4" xfId="31626"/>
    <cellStyle name="Normal 129 3 2 2 5" xfId="11519"/>
    <cellStyle name="Normal 129 3 2 2 5 2" xfId="21865"/>
    <cellStyle name="Normal 129 3 2 2 5 2 2" xfId="44306"/>
    <cellStyle name="Normal 129 3 2 2 5 3" xfId="34942"/>
    <cellStyle name="Normal 129 3 2 2 6" xfId="18634"/>
    <cellStyle name="Normal 129 3 2 2 6 2" xfId="41563"/>
    <cellStyle name="Normal 129 3 2 2 7" xfId="25865"/>
    <cellStyle name="Normal 129 3 2 2 7 2" xfId="48110"/>
    <cellStyle name="Normal 129 3 2 2 8" xfId="28310"/>
    <cellStyle name="Normal 129 3 2 3" xfId="2846"/>
    <cellStyle name="Normal 129 3 2 3 2" xfId="5938"/>
    <cellStyle name="Normal 129 3 2 3 2 2" xfId="7720"/>
    <cellStyle name="Normal 129 3 2 3 2 2 2" xfId="11049"/>
    <cellStyle name="Normal 129 3 2 3 2 2 2 2" xfId="17753"/>
    <cellStyle name="Normal 129 3 2 3 2 2 2 2 2" xfId="41174"/>
    <cellStyle name="Normal 129 3 2 3 2 2 2 3" xfId="34542"/>
    <cellStyle name="Normal 129 3 2 3 2 2 3" xfId="14437"/>
    <cellStyle name="Normal 129 3 2 3 2 2 3 2" xfId="37858"/>
    <cellStyle name="Normal 129 3 2 3 2 2 4" xfId="22912"/>
    <cellStyle name="Normal 129 3 2 3 2 2 4 2" xfId="45334"/>
    <cellStyle name="Normal 129 3 2 3 2 2 5" xfId="31226"/>
    <cellStyle name="Normal 129 3 2 3 2 3" xfId="9391"/>
    <cellStyle name="Normal 129 3 2 3 2 3 2" xfId="16095"/>
    <cellStyle name="Normal 129 3 2 3 2 3 2 2" xfId="39516"/>
    <cellStyle name="Normal 129 3 2 3 2 3 3" xfId="32884"/>
    <cellStyle name="Normal 129 3 2 3 2 4" xfId="12779"/>
    <cellStyle name="Normal 129 3 2 3 2 4 2" xfId="36200"/>
    <cellStyle name="Normal 129 3 2 3 2 5" xfId="20077"/>
    <cellStyle name="Normal 129 3 2 3 2 5 2" xfId="42612"/>
    <cellStyle name="Normal 129 3 2 3 2 6" xfId="29568"/>
    <cellStyle name="Normal 129 3 2 3 3" xfId="6821"/>
    <cellStyle name="Normal 129 3 2 3 3 2" xfId="10153"/>
    <cellStyle name="Normal 129 3 2 3 3 2 2" xfId="16857"/>
    <cellStyle name="Normal 129 3 2 3 3 2 2 2" xfId="40278"/>
    <cellStyle name="Normal 129 3 2 3 3 2 3" xfId="33646"/>
    <cellStyle name="Normal 129 3 2 3 3 3" xfId="13541"/>
    <cellStyle name="Normal 129 3 2 3 3 3 2" xfId="36962"/>
    <cellStyle name="Normal 129 3 2 3 3 4" xfId="21265"/>
    <cellStyle name="Normal 129 3 2 3 3 4 2" xfId="43716"/>
    <cellStyle name="Normal 129 3 2 3 3 5" xfId="30330"/>
    <cellStyle name="Normal 129 3 2 3 4" xfId="8487"/>
    <cellStyle name="Normal 129 3 2 3 4 2" xfId="15199"/>
    <cellStyle name="Normal 129 3 2 3 4 2 2" xfId="38620"/>
    <cellStyle name="Normal 129 3 2 3 4 3" xfId="22085"/>
    <cellStyle name="Normal 129 3 2 3 4 3 2" xfId="44513"/>
    <cellStyle name="Normal 129 3 2 3 4 4" xfId="31988"/>
    <cellStyle name="Normal 129 3 2 3 5" xfId="11881"/>
    <cellStyle name="Normal 129 3 2 3 5 2" xfId="35304"/>
    <cellStyle name="Normal 129 3 2 3 6" xfId="19223"/>
    <cellStyle name="Normal 129 3 2 3 6 2" xfId="41780"/>
    <cellStyle name="Normal 129 3 2 3 7" xfId="28672"/>
    <cellStyle name="Normal 129 3 2 4" xfId="3910"/>
    <cellStyle name="Normal 129 3 2 4 2" xfId="7014"/>
    <cellStyle name="Normal 129 3 2 4 2 2" xfId="10346"/>
    <cellStyle name="Normal 129 3 2 4 2 2 2" xfId="17050"/>
    <cellStyle name="Normal 129 3 2 4 2 2 2 2" xfId="40471"/>
    <cellStyle name="Normal 129 3 2 4 2 2 3" xfId="33839"/>
    <cellStyle name="Normal 129 3 2 4 2 3" xfId="13734"/>
    <cellStyle name="Normal 129 3 2 4 2 3 2" xfId="37155"/>
    <cellStyle name="Normal 129 3 2 4 2 4" xfId="22506"/>
    <cellStyle name="Normal 129 3 2 4 2 4 2" xfId="44928"/>
    <cellStyle name="Normal 129 3 2 4 2 5" xfId="30523"/>
    <cellStyle name="Normal 129 3 2 4 3" xfId="8681"/>
    <cellStyle name="Normal 129 3 2 4 3 2" xfId="15392"/>
    <cellStyle name="Normal 129 3 2 4 3 2 2" xfId="38813"/>
    <cellStyle name="Normal 129 3 2 4 3 3" xfId="32181"/>
    <cellStyle name="Normal 129 3 2 4 4" xfId="12074"/>
    <cellStyle name="Normal 129 3 2 4 4 2" xfId="35497"/>
    <cellStyle name="Normal 129 3 2 4 5" xfId="19659"/>
    <cellStyle name="Normal 129 3 2 4 5 2" xfId="42196"/>
    <cellStyle name="Normal 129 3 2 4 6" xfId="28865"/>
    <cellStyle name="Normal 129 3 2 5" xfId="6348"/>
    <cellStyle name="Normal 129 3 2 5 2" xfId="9682"/>
    <cellStyle name="Normal 129 3 2 5 2 2" xfId="16386"/>
    <cellStyle name="Normal 129 3 2 5 2 2 2" xfId="39807"/>
    <cellStyle name="Normal 129 3 2 5 2 3" xfId="33175"/>
    <cellStyle name="Normal 129 3 2 5 3" xfId="13070"/>
    <cellStyle name="Normal 129 3 2 5 3 2" xfId="36491"/>
    <cellStyle name="Normal 129 3 2 5 4" xfId="20806"/>
    <cellStyle name="Normal 129 3 2 5 4 2" xfId="43257"/>
    <cellStyle name="Normal 129 3 2 5 5" xfId="29859"/>
    <cellStyle name="Normal 129 3 2 6" xfId="8014"/>
    <cellStyle name="Normal 129 3 2 6 2" xfId="14728"/>
    <cellStyle name="Normal 129 3 2 6 2 2" xfId="38149"/>
    <cellStyle name="Normal 129 3 2 6 3" xfId="21655"/>
    <cellStyle name="Normal 129 3 2 6 3 2" xfId="44104"/>
    <cellStyle name="Normal 129 3 2 6 4" xfId="31517"/>
    <cellStyle name="Normal 129 3 2 7" xfId="11410"/>
    <cellStyle name="Normal 129 3 2 7 2" xfId="34833"/>
    <cellStyle name="Normal 129 3 2 8" xfId="18022"/>
    <cellStyle name="Normal 129 3 2 8 2" xfId="41327"/>
    <cellStyle name="Normal 129 3 2 9" xfId="23604"/>
    <cellStyle name="Normal 129 3 2 9 2" xfId="45919"/>
    <cellStyle name="Normal 129 3 3" xfId="2265"/>
    <cellStyle name="Normal 129 3 3 2" xfId="5536"/>
    <cellStyle name="Normal 129 3 3 2 2" xfId="7360"/>
    <cellStyle name="Normal 129 3 3 2 2 2" xfId="10691"/>
    <cellStyle name="Normal 129 3 3 2 2 2 2" xfId="17395"/>
    <cellStyle name="Normal 129 3 3 2 2 2 2 2" xfId="40816"/>
    <cellStyle name="Normal 129 3 3 2 2 2 3" xfId="23111"/>
    <cellStyle name="Normal 129 3 3 2 2 2 3 2" xfId="45533"/>
    <cellStyle name="Normal 129 3 3 2 2 2 4" xfId="34184"/>
    <cellStyle name="Normal 129 3 3 2 2 3" xfId="14079"/>
    <cellStyle name="Normal 129 3 3 2 2 3 2" xfId="37500"/>
    <cellStyle name="Normal 129 3 3 2 2 4" xfId="20284"/>
    <cellStyle name="Normal 129 3 3 2 2 4 2" xfId="42819"/>
    <cellStyle name="Normal 129 3 3 2 2 5" xfId="30868"/>
    <cellStyle name="Normal 129 3 3 2 3" xfId="9033"/>
    <cellStyle name="Normal 129 3 3 2 3 2" xfId="15737"/>
    <cellStyle name="Normal 129 3 3 2 3 2 2" xfId="39158"/>
    <cellStyle name="Normal 129 3 3 2 3 3" xfId="21267"/>
    <cellStyle name="Normal 129 3 3 2 3 3 2" xfId="43718"/>
    <cellStyle name="Normal 129 3 3 2 3 4" xfId="32526"/>
    <cellStyle name="Normal 129 3 3 2 4" xfId="12421"/>
    <cellStyle name="Normal 129 3 3 2 4 2" xfId="22297"/>
    <cellStyle name="Normal 129 3 3 2 4 2 2" xfId="44719"/>
    <cellStyle name="Normal 129 3 3 2 4 3" xfId="35842"/>
    <cellStyle name="Normal 129 3 3 2 5" xfId="19445"/>
    <cellStyle name="Normal 129 3 3 2 5 2" xfId="41987"/>
    <cellStyle name="Normal 129 3 3 2 6" xfId="29210"/>
    <cellStyle name="Normal 129 3 3 3" xfId="6456"/>
    <cellStyle name="Normal 129 3 3 3 2" xfId="9790"/>
    <cellStyle name="Normal 129 3 3 3 2 2" xfId="16494"/>
    <cellStyle name="Normal 129 3 3 3 2 2 2" xfId="39915"/>
    <cellStyle name="Normal 129 3 3 3 2 3" xfId="22705"/>
    <cellStyle name="Normal 129 3 3 3 2 3 2" xfId="45127"/>
    <cellStyle name="Normal 129 3 3 3 2 4" xfId="33283"/>
    <cellStyle name="Normal 129 3 3 3 3" xfId="13178"/>
    <cellStyle name="Normal 129 3 3 3 3 2" xfId="36599"/>
    <cellStyle name="Normal 129 3 3 3 4" xfId="19868"/>
    <cellStyle name="Normal 129 3 3 3 4 2" xfId="42403"/>
    <cellStyle name="Normal 129 3 3 3 5" xfId="29967"/>
    <cellStyle name="Normal 129 3 3 4" xfId="8123"/>
    <cellStyle name="Normal 129 3 3 4 2" xfId="14836"/>
    <cellStyle name="Normal 129 3 3 4 2 2" xfId="38257"/>
    <cellStyle name="Normal 129 3 3 4 3" xfId="20808"/>
    <cellStyle name="Normal 129 3 3 4 3 2" xfId="43259"/>
    <cellStyle name="Normal 129 3 3 4 4" xfId="31625"/>
    <cellStyle name="Normal 129 3 3 5" xfId="11518"/>
    <cellStyle name="Normal 129 3 3 5 2" xfId="21864"/>
    <cellStyle name="Normal 129 3 3 5 2 2" xfId="44305"/>
    <cellStyle name="Normal 129 3 3 5 3" xfId="34941"/>
    <cellStyle name="Normal 129 3 3 6" xfId="18633"/>
    <cellStyle name="Normal 129 3 3 6 2" xfId="41562"/>
    <cellStyle name="Normal 129 3 3 7" xfId="25864"/>
    <cellStyle name="Normal 129 3 3 7 2" xfId="48109"/>
    <cellStyle name="Normal 129 3 3 8" xfId="28309"/>
    <cellStyle name="Normal 129 3 4" xfId="2714"/>
    <cellStyle name="Normal 129 3 4 2" xfId="5807"/>
    <cellStyle name="Normal 129 3 4 2 2" xfId="7589"/>
    <cellStyle name="Normal 129 3 4 2 2 2" xfId="10918"/>
    <cellStyle name="Normal 129 3 4 2 2 2 2" xfId="17622"/>
    <cellStyle name="Normal 129 3 4 2 2 2 2 2" xfId="41043"/>
    <cellStyle name="Normal 129 3 4 2 2 2 3" xfId="34411"/>
    <cellStyle name="Normal 129 3 4 2 2 3" xfId="14306"/>
    <cellStyle name="Normal 129 3 4 2 2 3 2" xfId="37727"/>
    <cellStyle name="Normal 129 3 4 2 2 4" xfId="22911"/>
    <cellStyle name="Normal 129 3 4 2 2 4 2" xfId="45333"/>
    <cellStyle name="Normal 129 3 4 2 2 5" xfId="31095"/>
    <cellStyle name="Normal 129 3 4 2 3" xfId="9260"/>
    <cellStyle name="Normal 129 3 4 2 3 2" xfId="15964"/>
    <cellStyle name="Normal 129 3 4 2 3 2 2" xfId="39385"/>
    <cellStyle name="Normal 129 3 4 2 3 3" xfId="32753"/>
    <cellStyle name="Normal 129 3 4 2 4" xfId="12648"/>
    <cellStyle name="Normal 129 3 4 2 4 2" xfId="36069"/>
    <cellStyle name="Normal 129 3 4 2 5" xfId="20076"/>
    <cellStyle name="Normal 129 3 4 2 5 2" xfId="42611"/>
    <cellStyle name="Normal 129 3 4 2 6" xfId="29437"/>
    <cellStyle name="Normal 129 3 4 3" xfId="6690"/>
    <cellStyle name="Normal 129 3 4 3 2" xfId="10022"/>
    <cellStyle name="Normal 129 3 4 3 2 2" xfId="16726"/>
    <cellStyle name="Normal 129 3 4 3 2 2 2" xfId="40147"/>
    <cellStyle name="Normal 129 3 4 3 2 3" xfId="33515"/>
    <cellStyle name="Normal 129 3 4 3 3" xfId="13410"/>
    <cellStyle name="Normal 129 3 4 3 3 2" xfId="36831"/>
    <cellStyle name="Normal 129 3 4 3 4" xfId="21264"/>
    <cellStyle name="Normal 129 3 4 3 4 2" xfId="43715"/>
    <cellStyle name="Normal 129 3 4 3 5" xfId="30199"/>
    <cellStyle name="Normal 129 3 4 4" xfId="8356"/>
    <cellStyle name="Normal 129 3 4 4 2" xfId="15068"/>
    <cellStyle name="Normal 129 3 4 4 2 2" xfId="38489"/>
    <cellStyle name="Normal 129 3 4 4 3" xfId="22084"/>
    <cellStyle name="Normal 129 3 4 4 3 2" xfId="44512"/>
    <cellStyle name="Normal 129 3 4 4 4" xfId="31857"/>
    <cellStyle name="Normal 129 3 4 5" xfId="11750"/>
    <cellStyle name="Normal 129 3 4 5 2" xfId="35173"/>
    <cellStyle name="Normal 129 3 4 6" xfId="19222"/>
    <cellStyle name="Normal 129 3 4 6 2" xfId="41779"/>
    <cellStyle name="Normal 129 3 4 7" xfId="28541"/>
    <cellStyle name="Normal 129 3 5" xfId="3909"/>
    <cellStyle name="Normal 129 3 5 2" xfId="7013"/>
    <cellStyle name="Normal 129 3 5 2 2" xfId="10345"/>
    <cellStyle name="Normal 129 3 5 2 2 2" xfId="17049"/>
    <cellStyle name="Normal 129 3 5 2 2 2 2" xfId="40470"/>
    <cellStyle name="Normal 129 3 5 2 2 3" xfId="33838"/>
    <cellStyle name="Normal 129 3 5 2 3" xfId="13733"/>
    <cellStyle name="Normal 129 3 5 2 3 2" xfId="37154"/>
    <cellStyle name="Normal 129 3 5 2 4" xfId="22505"/>
    <cellStyle name="Normal 129 3 5 2 4 2" xfId="44927"/>
    <cellStyle name="Normal 129 3 5 2 5" xfId="30522"/>
    <cellStyle name="Normal 129 3 5 3" xfId="8680"/>
    <cellStyle name="Normal 129 3 5 3 2" xfId="15391"/>
    <cellStyle name="Normal 129 3 5 3 2 2" xfId="38812"/>
    <cellStyle name="Normal 129 3 5 3 3" xfId="32180"/>
    <cellStyle name="Normal 129 3 5 4" xfId="12073"/>
    <cellStyle name="Normal 129 3 5 4 2" xfId="35496"/>
    <cellStyle name="Normal 129 3 5 5" xfId="19658"/>
    <cellStyle name="Normal 129 3 5 5 2" xfId="42195"/>
    <cellStyle name="Normal 129 3 5 6" xfId="28864"/>
    <cellStyle name="Normal 129 3 6" xfId="6217"/>
    <cellStyle name="Normal 129 3 6 2" xfId="9551"/>
    <cellStyle name="Normal 129 3 6 2 2" xfId="16255"/>
    <cellStyle name="Normal 129 3 6 2 2 2" xfId="39676"/>
    <cellStyle name="Normal 129 3 6 2 3" xfId="33044"/>
    <cellStyle name="Normal 129 3 6 3" xfId="12939"/>
    <cellStyle name="Normal 129 3 6 3 2" xfId="36360"/>
    <cellStyle name="Normal 129 3 6 4" xfId="20805"/>
    <cellStyle name="Normal 129 3 6 4 2" xfId="43256"/>
    <cellStyle name="Normal 129 3 6 5" xfId="29728"/>
    <cellStyle name="Normal 129 3 7" xfId="7883"/>
    <cellStyle name="Normal 129 3 7 2" xfId="14597"/>
    <cellStyle name="Normal 129 3 7 2 2" xfId="38018"/>
    <cellStyle name="Normal 129 3 7 3" xfId="21654"/>
    <cellStyle name="Normal 129 3 7 3 2" xfId="44103"/>
    <cellStyle name="Normal 129 3 7 4" xfId="31386"/>
    <cellStyle name="Normal 129 3 8" xfId="11279"/>
    <cellStyle name="Normal 129 3 8 2" xfId="34702"/>
    <cellStyle name="Normal 129 3 9" xfId="18021"/>
    <cellStyle name="Normal 129 3 9 2" xfId="41326"/>
    <cellStyle name="Normal 129 4" xfId="1768"/>
    <cellStyle name="Normal 129 4 10" xfId="28121"/>
    <cellStyle name="Normal 129 4 2" xfId="2267"/>
    <cellStyle name="Normal 129 4 2 2" xfId="5538"/>
    <cellStyle name="Normal 129 4 2 2 2" xfId="7362"/>
    <cellStyle name="Normal 129 4 2 2 2 2" xfId="10693"/>
    <cellStyle name="Normal 129 4 2 2 2 2 2" xfId="17397"/>
    <cellStyle name="Normal 129 4 2 2 2 2 2 2" xfId="40818"/>
    <cellStyle name="Normal 129 4 2 2 2 2 3" xfId="23113"/>
    <cellStyle name="Normal 129 4 2 2 2 2 3 2" xfId="45535"/>
    <cellStyle name="Normal 129 4 2 2 2 2 4" xfId="34186"/>
    <cellStyle name="Normal 129 4 2 2 2 3" xfId="14081"/>
    <cellStyle name="Normal 129 4 2 2 2 3 2" xfId="37502"/>
    <cellStyle name="Normal 129 4 2 2 2 4" xfId="20286"/>
    <cellStyle name="Normal 129 4 2 2 2 4 2" xfId="42821"/>
    <cellStyle name="Normal 129 4 2 2 2 5" xfId="30870"/>
    <cellStyle name="Normal 129 4 2 2 3" xfId="9035"/>
    <cellStyle name="Normal 129 4 2 2 3 2" xfId="15739"/>
    <cellStyle name="Normal 129 4 2 2 3 2 2" xfId="39160"/>
    <cellStyle name="Normal 129 4 2 2 3 3" xfId="21269"/>
    <cellStyle name="Normal 129 4 2 2 3 3 2" xfId="43720"/>
    <cellStyle name="Normal 129 4 2 2 3 4" xfId="32528"/>
    <cellStyle name="Normal 129 4 2 2 4" xfId="12423"/>
    <cellStyle name="Normal 129 4 2 2 4 2" xfId="22299"/>
    <cellStyle name="Normal 129 4 2 2 4 2 2" xfId="44721"/>
    <cellStyle name="Normal 129 4 2 2 4 3" xfId="35844"/>
    <cellStyle name="Normal 129 4 2 2 5" xfId="19447"/>
    <cellStyle name="Normal 129 4 2 2 5 2" xfId="41989"/>
    <cellStyle name="Normal 129 4 2 2 6" xfId="29212"/>
    <cellStyle name="Normal 129 4 2 3" xfId="6458"/>
    <cellStyle name="Normal 129 4 2 3 2" xfId="9792"/>
    <cellStyle name="Normal 129 4 2 3 2 2" xfId="16496"/>
    <cellStyle name="Normal 129 4 2 3 2 2 2" xfId="39917"/>
    <cellStyle name="Normal 129 4 2 3 2 3" xfId="22707"/>
    <cellStyle name="Normal 129 4 2 3 2 3 2" xfId="45129"/>
    <cellStyle name="Normal 129 4 2 3 2 4" xfId="33285"/>
    <cellStyle name="Normal 129 4 2 3 3" xfId="13180"/>
    <cellStyle name="Normal 129 4 2 3 3 2" xfId="36601"/>
    <cellStyle name="Normal 129 4 2 3 4" xfId="19870"/>
    <cellStyle name="Normal 129 4 2 3 4 2" xfId="42405"/>
    <cellStyle name="Normal 129 4 2 3 5" xfId="29969"/>
    <cellStyle name="Normal 129 4 2 4" xfId="8125"/>
    <cellStyle name="Normal 129 4 2 4 2" xfId="14838"/>
    <cellStyle name="Normal 129 4 2 4 2 2" xfId="38259"/>
    <cellStyle name="Normal 129 4 2 4 3" xfId="20810"/>
    <cellStyle name="Normal 129 4 2 4 3 2" xfId="43261"/>
    <cellStyle name="Normal 129 4 2 4 4" xfId="31627"/>
    <cellStyle name="Normal 129 4 2 5" xfId="11520"/>
    <cellStyle name="Normal 129 4 2 5 2" xfId="21866"/>
    <cellStyle name="Normal 129 4 2 5 2 2" xfId="44307"/>
    <cellStyle name="Normal 129 4 2 5 3" xfId="34943"/>
    <cellStyle name="Normal 129 4 2 6" xfId="18635"/>
    <cellStyle name="Normal 129 4 2 6 2" xfId="41564"/>
    <cellStyle name="Normal 129 4 2 7" xfId="25866"/>
    <cellStyle name="Normal 129 4 2 7 2" xfId="48111"/>
    <cellStyle name="Normal 129 4 2 8" xfId="28311"/>
    <cellStyle name="Normal 129 4 3" xfId="2766"/>
    <cellStyle name="Normal 129 4 3 2" xfId="5858"/>
    <cellStyle name="Normal 129 4 3 2 2" xfId="7640"/>
    <cellStyle name="Normal 129 4 3 2 2 2" xfId="10969"/>
    <cellStyle name="Normal 129 4 3 2 2 2 2" xfId="17673"/>
    <cellStyle name="Normal 129 4 3 2 2 2 2 2" xfId="41094"/>
    <cellStyle name="Normal 129 4 3 2 2 2 3" xfId="34462"/>
    <cellStyle name="Normal 129 4 3 2 2 3" xfId="14357"/>
    <cellStyle name="Normal 129 4 3 2 2 3 2" xfId="37778"/>
    <cellStyle name="Normal 129 4 3 2 2 4" xfId="22913"/>
    <cellStyle name="Normal 129 4 3 2 2 4 2" xfId="45335"/>
    <cellStyle name="Normal 129 4 3 2 2 5" xfId="31146"/>
    <cellStyle name="Normal 129 4 3 2 3" xfId="9311"/>
    <cellStyle name="Normal 129 4 3 2 3 2" xfId="16015"/>
    <cellStyle name="Normal 129 4 3 2 3 2 2" xfId="39436"/>
    <cellStyle name="Normal 129 4 3 2 3 3" xfId="32804"/>
    <cellStyle name="Normal 129 4 3 2 4" xfId="12699"/>
    <cellStyle name="Normal 129 4 3 2 4 2" xfId="36120"/>
    <cellStyle name="Normal 129 4 3 2 5" xfId="20078"/>
    <cellStyle name="Normal 129 4 3 2 5 2" xfId="42613"/>
    <cellStyle name="Normal 129 4 3 2 6" xfId="29488"/>
    <cellStyle name="Normal 129 4 3 3" xfId="6741"/>
    <cellStyle name="Normal 129 4 3 3 2" xfId="10073"/>
    <cellStyle name="Normal 129 4 3 3 2 2" xfId="16777"/>
    <cellStyle name="Normal 129 4 3 3 2 2 2" xfId="40198"/>
    <cellStyle name="Normal 129 4 3 3 2 3" xfId="33566"/>
    <cellStyle name="Normal 129 4 3 3 3" xfId="13461"/>
    <cellStyle name="Normal 129 4 3 3 3 2" xfId="36882"/>
    <cellStyle name="Normal 129 4 3 3 4" xfId="21268"/>
    <cellStyle name="Normal 129 4 3 3 4 2" xfId="43719"/>
    <cellStyle name="Normal 129 4 3 3 5" xfId="30250"/>
    <cellStyle name="Normal 129 4 3 4" xfId="8407"/>
    <cellStyle name="Normal 129 4 3 4 2" xfId="15119"/>
    <cellStyle name="Normal 129 4 3 4 2 2" xfId="38540"/>
    <cellStyle name="Normal 129 4 3 4 3" xfId="22086"/>
    <cellStyle name="Normal 129 4 3 4 3 2" xfId="44514"/>
    <cellStyle name="Normal 129 4 3 4 4" xfId="31908"/>
    <cellStyle name="Normal 129 4 3 5" xfId="11801"/>
    <cellStyle name="Normal 129 4 3 5 2" xfId="35224"/>
    <cellStyle name="Normal 129 4 3 6" xfId="19224"/>
    <cellStyle name="Normal 129 4 3 6 2" xfId="41781"/>
    <cellStyle name="Normal 129 4 3 7" xfId="28592"/>
    <cellStyle name="Normal 129 4 4" xfId="3911"/>
    <cellStyle name="Normal 129 4 4 2" xfId="7015"/>
    <cellStyle name="Normal 129 4 4 2 2" xfId="10347"/>
    <cellStyle name="Normal 129 4 4 2 2 2" xfId="17051"/>
    <cellStyle name="Normal 129 4 4 2 2 2 2" xfId="40472"/>
    <cellStyle name="Normal 129 4 4 2 2 3" xfId="33840"/>
    <cellStyle name="Normal 129 4 4 2 3" xfId="13735"/>
    <cellStyle name="Normal 129 4 4 2 3 2" xfId="37156"/>
    <cellStyle name="Normal 129 4 4 2 4" xfId="22507"/>
    <cellStyle name="Normal 129 4 4 2 4 2" xfId="44929"/>
    <cellStyle name="Normal 129 4 4 2 5" xfId="30524"/>
    <cellStyle name="Normal 129 4 4 3" xfId="8682"/>
    <cellStyle name="Normal 129 4 4 3 2" xfId="15393"/>
    <cellStyle name="Normal 129 4 4 3 2 2" xfId="38814"/>
    <cellStyle name="Normal 129 4 4 3 3" xfId="32182"/>
    <cellStyle name="Normal 129 4 4 4" xfId="12075"/>
    <cellStyle name="Normal 129 4 4 4 2" xfId="35498"/>
    <cellStyle name="Normal 129 4 4 5" xfId="19660"/>
    <cellStyle name="Normal 129 4 4 5 2" xfId="42197"/>
    <cellStyle name="Normal 129 4 4 6" xfId="28866"/>
    <cellStyle name="Normal 129 4 5" xfId="6268"/>
    <cellStyle name="Normal 129 4 5 2" xfId="9602"/>
    <cellStyle name="Normal 129 4 5 2 2" xfId="16306"/>
    <cellStyle name="Normal 129 4 5 2 2 2" xfId="39727"/>
    <cellStyle name="Normal 129 4 5 2 3" xfId="33095"/>
    <cellStyle name="Normal 129 4 5 3" xfId="12990"/>
    <cellStyle name="Normal 129 4 5 3 2" xfId="36411"/>
    <cellStyle name="Normal 129 4 5 4" xfId="20809"/>
    <cellStyle name="Normal 129 4 5 4 2" xfId="43260"/>
    <cellStyle name="Normal 129 4 5 5" xfId="29779"/>
    <cellStyle name="Normal 129 4 6" xfId="7934"/>
    <cellStyle name="Normal 129 4 6 2" xfId="14648"/>
    <cellStyle name="Normal 129 4 6 2 2" xfId="38069"/>
    <cellStyle name="Normal 129 4 6 3" xfId="21656"/>
    <cellStyle name="Normal 129 4 6 3 2" xfId="44105"/>
    <cellStyle name="Normal 129 4 6 4" xfId="31437"/>
    <cellStyle name="Normal 129 4 7" xfId="11330"/>
    <cellStyle name="Normal 129 4 7 2" xfId="34753"/>
    <cellStyle name="Normal 129 4 8" xfId="18023"/>
    <cellStyle name="Normal 129 4 8 2" xfId="41328"/>
    <cellStyle name="Normal 129 4 9" xfId="23605"/>
    <cellStyle name="Normal 129 4 9 2" xfId="45920"/>
    <cellStyle name="Normal 129 5" xfId="2260"/>
    <cellStyle name="Normal 129 5 2" xfId="5531"/>
    <cellStyle name="Normal 129 5 2 2" xfId="7355"/>
    <cellStyle name="Normal 129 5 2 2 2" xfId="10686"/>
    <cellStyle name="Normal 129 5 2 2 2 2" xfId="17390"/>
    <cellStyle name="Normal 129 5 2 2 2 2 2" xfId="40811"/>
    <cellStyle name="Normal 129 5 2 2 2 3" xfId="23106"/>
    <cellStyle name="Normal 129 5 2 2 2 3 2" xfId="45528"/>
    <cellStyle name="Normal 129 5 2 2 2 4" xfId="34179"/>
    <cellStyle name="Normal 129 5 2 2 3" xfId="14074"/>
    <cellStyle name="Normal 129 5 2 2 3 2" xfId="37495"/>
    <cellStyle name="Normal 129 5 2 2 4" xfId="20279"/>
    <cellStyle name="Normal 129 5 2 2 4 2" xfId="42814"/>
    <cellStyle name="Normal 129 5 2 2 5" xfId="30863"/>
    <cellStyle name="Normal 129 5 2 3" xfId="9028"/>
    <cellStyle name="Normal 129 5 2 3 2" xfId="15732"/>
    <cellStyle name="Normal 129 5 2 3 2 2" xfId="39153"/>
    <cellStyle name="Normal 129 5 2 3 3" xfId="21270"/>
    <cellStyle name="Normal 129 5 2 3 3 2" xfId="43721"/>
    <cellStyle name="Normal 129 5 2 3 4" xfId="32521"/>
    <cellStyle name="Normal 129 5 2 4" xfId="12416"/>
    <cellStyle name="Normal 129 5 2 4 2" xfId="22292"/>
    <cellStyle name="Normal 129 5 2 4 2 2" xfId="44714"/>
    <cellStyle name="Normal 129 5 2 4 3" xfId="35837"/>
    <cellStyle name="Normal 129 5 2 5" xfId="19440"/>
    <cellStyle name="Normal 129 5 2 5 2" xfId="41982"/>
    <cellStyle name="Normal 129 5 2 6" xfId="25859"/>
    <cellStyle name="Normal 129 5 2 6 2" xfId="48104"/>
    <cellStyle name="Normal 129 5 2 7" xfId="29205"/>
    <cellStyle name="Normal 129 5 3" xfId="6451"/>
    <cellStyle name="Normal 129 5 3 2" xfId="9785"/>
    <cellStyle name="Normal 129 5 3 2 2" xfId="16489"/>
    <cellStyle name="Normal 129 5 3 2 2 2" xfId="39910"/>
    <cellStyle name="Normal 129 5 3 2 3" xfId="22700"/>
    <cellStyle name="Normal 129 5 3 2 3 2" xfId="45122"/>
    <cellStyle name="Normal 129 5 3 2 4" xfId="33278"/>
    <cellStyle name="Normal 129 5 3 3" xfId="13173"/>
    <cellStyle name="Normal 129 5 3 3 2" xfId="36594"/>
    <cellStyle name="Normal 129 5 3 4" xfId="19863"/>
    <cellStyle name="Normal 129 5 3 4 2" xfId="42398"/>
    <cellStyle name="Normal 129 5 3 5" xfId="29962"/>
    <cellStyle name="Normal 129 5 4" xfId="8118"/>
    <cellStyle name="Normal 129 5 4 2" xfId="14831"/>
    <cellStyle name="Normal 129 5 4 2 2" xfId="38252"/>
    <cellStyle name="Normal 129 5 4 3" xfId="20811"/>
    <cellStyle name="Normal 129 5 4 3 2" xfId="43262"/>
    <cellStyle name="Normal 129 5 4 4" xfId="31620"/>
    <cellStyle name="Normal 129 5 5" xfId="11513"/>
    <cellStyle name="Normal 129 5 5 2" xfId="21859"/>
    <cellStyle name="Normal 129 5 5 2 2" xfId="44300"/>
    <cellStyle name="Normal 129 5 5 3" xfId="34936"/>
    <cellStyle name="Normal 129 5 6" xfId="18628"/>
    <cellStyle name="Normal 129 5 6 2" xfId="41557"/>
    <cellStyle name="Normal 129 5 7" xfId="23488"/>
    <cellStyle name="Normal 129 5 7 2" xfId="45827"/>
    <cellStyle name="Normal 129 5 8" xfId="28304"/>
    <cellStyle name="Normal 129 6" xfId="2633"/>
    <cellStyle name="Normal 129 6 2" xfId="5727"/>
    <cellStyle name="Normal 129 6 2 2" xfId="7510"/>
    <cellStyle name="Normal 129 6 2 2 2" xfId="10839"/>
    <cellStyle name="Normal 129 6 2 2 2 2" xfId="17543"/>
    <cellStyle name="Normal 129 6 2 2 2 2 2" xfId="40964"/>
    <cellStyle name="Normal 129 6 2 2 2 3" xfId="34332"/>
    <cellStyle name="Normal 129 6 2 2 3" xfId="14227"/>
    <cellStyle name="Normal 129 6 2 2 3 2" xfId="37648"/>
    <cellStyle name="Normal 129 6 2 2 4" xfId="20628"/>
    <cellStyle name="Normal 129 6 2 2 4 2" xfId="43079"/>
    <cellStyle name="Normal 129 6 2 2 5" xfId="31016"/>
    <cellStyle name="Normal 129 6 2 3" xfId="9181"/>
    <cellStyle name="Normal 129 6 2 3 2" xfId="15885"/>
    <cellStyle name="Normal 129 6 2 3 2 2" xfId="39306"/>
    <cellStyle name="Normal 129 6 2 3 3" xfId="21546"/>
    <cellStyle name="Normal 129 6 2 3 3 2" xfId="43997"/>
    <cellStyle name="Normal 129 6 2 3 4" xfId="32674"/>
    <cellStyle name="Normal 129 6 2 4" xfId="12569"/>
    <cellStyle name="Normal 129 6 2 4 2" xfId="22906"/>
    <cellStyle name="Normal 129 6 2 4 2 2" xfId="45328"/>
    <cellStyle name="Normal 129 6 2 4 3" xfId="35990"/>
    <cellStyle name="Normal 129 6 2 5" xfId="20071"/>
    <cellStyle name="Normal 129 6 2 5 2" xfId="42606"/>
    <cellStyle name="Normal 129 6 2 6" xfId="29358"/>
    <cellStyle name="Normal 129 6 3" xfId="6610"/>
    <cellStyle name="Normal 129 6 3 2" xfId="9942"/>
    <cellStyle name="Normal 129 6 3 2 2" xfId="16646"/>
    <cellStyle name="Normal 129 6 3 2 2 2" xfId="40067"/>
    <cellStyle name="Normal 129 6 3 2 3" xfId="33435"/>
    <cellStyle name="Normal 129 6 3 3" xfId="13330"/>
    <cellStyle name="Normal 129 6 3 3 2" xfId="36751"/>
    <cellStyle name="Normal 129 6 3 4" xfId="20530"/>
    <cellStyle name="Normal 129 6 3 4 2" xfId="42983"/>
    <cellStyle name="Normal 129 6 3 5" xfId="30119"/>
    <cellStyle name="Normal 129 6 4" xfId="8276"/>
    <cellStyle name="Normal 129 6 4 2" xfId="14988"/>
    <cellStyle name="Normal 129 6 4 2 2" xfId="38409"/>
    <cellStyle name="Normal 129 6 4 3" xfId="21087"/>
    <cellStyle name="Normal 129 6 4 3 2" xfId="43538"/>
    <cellStyle name="Normal 129 6 4 4" xfId="31777"/>
    <cellStyle name="Normal 129 6 5" xfId="11670"/>
    <cellStyle name="Normal 129 6 5 2" xfId="22079"/>
    <cellStyle name="Normal 129 6 5 2 2" xfId="44507"/>
    <cellStyle name="Normal 129 6 5 3" xfId="35093"/>
    <cellStyle name="Normal 129 6 6" xfId="19217"/>
    <cellStyle name="Normal 129 6 6 2" xfId="41774"/>
    <cellStyle name="Normal 129 6 7" xfId="28461"/>
    <cellStyle name="Normal 129 7" xfId="3904"/>
    <cellStyle name="Normal 129 7 2" xfId="7008"/>
    <cellStyle name="Normal 129 7 2 2" xfId="10340"/>
    <cellStyle name="Normal 129 7 2 2 2" xfId="17044"/>
    <cellStyle name="Normal 129 7 2 2 2 2" xfId="40465"/>
    <cellStyle name="Normal 129 7 2 2 3" xfId="33833"/>
    <cellStyle name="Normal 129 7 2 3" xfId="13728"/>
    <cellStyle name="Normal 129 7 2 3 2" xfId="37149"/>
    <cellStyle name="Normal 129 7 2 4" xfId="20576"/>
    <cellStyle name="Normal 129 7 2 4 2" xfId="43029"/>
    <cellStyle name="Normal 129 7 2 5" xfId="30517"/>
    <cellStyle name="Normal 129 7 3" xfId="8675"/>
    <cellStyle name="Normal 129 7 3 2" xfId="15386"/>
    <cellStyle name="Normal 129 7 3 2 2" xfId="38807"/>
    <cellStyle name="Normal 129 7 3 3" xfId="21255"/>
    <cellStyle name="Normal 129 7 3 3 2" xfId="43706"/>
    <cellStyle name="Normal 129 7 3 4" xfId="32175"/>
    <cellStyle name="Normal 129 7 4" xfId="12068"/>
    <cellStyle name="Normal 129 7 4 2" xfId="22500"/>
    <cellStyle name="Normal 129 7 4 2 2" xfId="44922"/>
    <cellStyle name="Normal 129 7 4 3" xfId="35491"/>
    <cellStyle name="Normal 129 7 5" xfId="19653"/>
    <cellStyle name="Normal 129 7 5 2" xfId="42190"/>
    <cellStyle name="Normal 129 7 6" xfId="28859"/>
    <cellStyle name="Normal 129 8" xfId="6137"/>
    <cellStyle name="Normal 129 8 2" xfId="9471"/>
    <cellStyle name="Normal 129 8 2 2" xfId="16175"/>
    <cellStyle name="Normal 129 8 2 2 2" xfId="39596"/>
    <cellStyle name="Normal 129 8 2 3" xfId="32964"/>
    <cellStyle name="Normal 129 8 3" xfId="12859"/>
    <cellStyle name="Normal 129 8 3 2" xfId="36280"/>
    <cellStyle name="Normal 129 8 4" xfId="17896"/>
    <cellStyle name="Normal 129 8 4 2" xfId="41246"/>
    <cellStyle name="Normal 129 8 5" xfId="29648"/>
    <cellStyle name="Normal 129 9" xfId="7802"/>
    <cellStyle name="Normal 129 9 2" xfId="14517"/>
    <cellStyle name="Normal 129 9 2 2" xfId="37938"/>
    <cellStyle name="Normal 129 9 3" xfId="20796"/>
    <cellStyle name="Normal 129 9 3 2" xfId="43247"/>
    <cellStyle name="Normal 129 9 4" xfId="31306"/>
    <cellStyle name="Normal 13" xfId="524"/>
    <cellStyle name="Normal 13 2" xfId="525"/>
    <cellStyle name="Normal 13 2 2" xfId="1188"/>
    <cellStyle name="Normal 13 2 2 2" xfId="3912"/>
    <cellStyle name="Normal 13 2 3" xfId="1122"/>
    <cellStyle name="Normal 13 2 3 2" xfId="3914"/>
    <cellStyle name="Normal 13 2 3 3" xfId="3913"/>
    <cellStyle name="Normal 13 2 4" xfId="2174"/>
    <cellStyle name="Normal 13 2 4 2" xfId="18636"/>
    <cellStyle name="Normal 13 2 4 2 2" xfId="18271"/>
    <cellStyle name="Normal 13 2 4 3" xfId="21867"/>
    <cellStyle name="Normal 13 2 5" xfId="20486"/>
    <cellStyle name="Normal 13 3" xfId="1187"/>
    <cellStyle name="Normal 13 3 2" xfId="3916"/>
    <cellStyle name="Normal 13 3 3" xfId="3917"/>
    <cellStyle name="Normal 13 3 4" xfId="3915"/>
    <cellStyle name="Normal 13 4" xfId="1121"/>
    <cellStyle name="Normal 13 4 2" xfId="3919"/>
    <cellStyle name="Normal 13 4 2 2" xfId="18637"/>
    <cellStyle name="Normal 13 4 2 3" xfId="23527"/>
    <cellStyle name="Normal 13 4 2 3 2" xfId="45861"/>
    <cellStyle name="Normal 13 4 3" xfId="3920"/>
    <cellStyle name="Normal 13 4 4" xfId="5157"/>
    <cellStyle name="Normal 13 4 4 2" xfId="7226"/>
    <cellStyle name="Normal 13 4 4 2 2" xfId="10557"/>
    <cellStyle name="Normal 13 4 4 2 2 2" xfId="17261"/>
    <cellStyle name="Normal 13 4 4 2 2 2 2" xfId="40682"/>
    <cellStyle name="Normal 13 4 4 2 2 3" xfId="34050"/>
    <cellStyle name="Normal 13 4 4 2 3" xfId="13945"/>
    <cellStyle name="Normal 13 4 4 2 3 2" xfId="37366"/>
    <cellStyle name="Normal 13 4 4 2 4" xfId="26068"/>
    <cellStyle name="Normal 13 4 4 2 4 2" xfId="48313"/>
    <cellStyle name="Normal 13 4 4 2 5" xfId="30734"/>
    <cellStyle name="Normal 13 4 4 3" xfId="8897"/>
    <cellStyle name="Normal 13 4 4 3 2" xfId="15603"/>
    <cellStyle name="Normal 13 4 4 3 2 2" xfId="39024"/>
    <cellStyle name="Normal 13 4 4 3 3" xfId="32392"/>
    <cellStyle name="Normal 13 4 4 4" xfId="12286"/>
    <cellStyle name="Normal 13 4 4 4 2" xfId="35708"/>
    <cellStyle name="Normal 13 4 4 5" xfId="23857"/>
    <cellStyle name="Normal 13 4 4 5 2" xfId="46121"/>
    <cellStyle name="Normal 13 4 4 6" xfId="29076"/>
    <cellStyle name="Normal 13 4 5" xfId="3918"/>
    <cellStyle name="Normal 13 4 5 2" xfId="7016"/>
    <cellStyle name="Normal 13 4 5 2 2" xfId="10348"/>
    <cellStyle name="Normal 13 4 5 2 2 2" xfId="17052"/>
    <cellStyle name="Normal 13 4 5 2 2 2 2" xfId="40473"/>
    <cellStyle name="Normal 13 4 5 2 2 3" xfId="33841"/>
    <cellStyle name="Normal 13 4 5 2 3" xfId="13736"/>
    <cellStyle name="Normal 13 4 5 2 3 2" xfId="37157"/>
    <cellStyle name="Normal 13 4 5 2 4" xfId="30525"/>
    <cellStyle name="Normal 13 4 5 3" xfId="8683"/>
    <cellStyle name="Normal 13 4 5 3 2" xfId="15394"/>
    <cellStyle name="Normal 13 4 5 3 2 2" xfId="38815"/>
    <cellStyle name="Normal 13 4 5 3 3" xfId="32183"/>
    <cellStyle name="Normal 13 4 5 4" xfId="12076"/>
    <cellStyle name="Normal 13 4 5 4 2" xfId="35499"/>
    <cellStyle name="Normal 13 4 5 5" xfId="25867"/>
    <cellStyle name="Normal 13 4 5 5 2" xfId="48112"/>
    <cellStyle name="Normal 13 4 5 6" xfId="28867"/>
    <cellStyle name="Normal 13 4 6" xfId="23413"/>
    <cellStyle name="Normal 13 4 6 2" xfId="45758"/>
    <cellStyle name="Normal 13 5" xfId="3921"/>
    <cellStyle name="Normal 13 5 2" xfId="5156"/>
    <cellStyle name="Normal 130" xfId="1309"/>
    <cellStyle name="Normal 130 10" xfId="11202"/>
    <cellStyle name="Normal 130 10 2" xfId="21657"/>
    <cellStyle name="Normal 130 10 2 2" xfId="44106"/>
    <cellStyle name="Normal 130 10 3" xfId="34625"/>
    <cellStyle name="Normal 130 11" xfId="18024"/>
    <cellStyle name="Normal 130 11 2" xfId="41329"/>
    <cellStyle name="Normal 130 12" xfId="23606"/>
    <cellStyle name="Normal 130 12 2" xfId="45921"/>
    <cellStyle name="Normal 130 13" xfId="23385"/>
    <cellStyle name="Normal 130 14" xfId="27993"/>
    <cellStyle name="Normal 130 2" xfId="1493"/>
    <cellStyle name="Normal 130 2 10" xfId="18025"/>
    <cellStyle name="Normal 130 2 10 2" xfId="41330"/>
    <cellStyle name="Normal 130 2 11" xfId="23607"/>
    <cellStyle name="Normal 130 2 11 2" xfId="45922"/>
    <cellStyle name="Normal 130 2 12" xfId="28029"/>
    <cellStyle name="Normal 130 2 2" xfId="1634"/>
    <cellStyle name="Normal 130 2 2 10" xfId="23608"/>
    <cellStyle name="Normal 130 2 2 10 2" xfId="45923"/>
    <cellStyle name="Normal 130 2 2 11" xfId="28073"/>
    <cellStyle name="Normal 130 2 2 2" xfId="1852"/>
    <cellStyle name="Normal 130 2 2 2 10" xfId="28204"/>
    <cellStyle name="Normal 130 2 2 2 2" xfId="2271"/>
    <cellStyle name="Normal 130 2 2 2 2 2" xfId="5542"/>
    <cellStyle name="Normal 130 2 2 2 2 2 2" xfId="7366"/>
    <cellStyle name="Normal 130 2 2 2 2 2 2 2" xfId="10697"/>
    <cellStyle name="Normal 130 2 2 2 2 2 2 2 2" xfId="17401"/>
    <cellStyle name="Normal 130 2 2 2 2 2 2 2 2 2" xfId="40822"/>
    <cellStyle name="Normal 130 2 2 2 2 2 2 2 3" xfId="23117"/>
    <cellStyle name="Normal 130 2 2 2 2 2 2 2 3 2" xfId="45539"/>
    <cellStyle name="Normal 130 2 2 2 2 2 2 2 4" xfId="34190"/>
    <cellStyle name="Normal 130 2 2 2 2 2 2 3" xfId="14085"/>
    <cellStyle name="Normal 130 2 2 2 2 2 2 3 2" xfId="37506"/>
    <cellStyle name="Normal 130 2 2 2 2 2 2 4" xfId="20290"/>
    <cellStyle name="Normal 130 2 2 2 2 2 2 4 2" xfId="42825"/>
    <cellStyle name="Normal 130 2 2 2 2 2 2 5" xfId="30874"/>
    <cellStyle name="Normal 130 2 2 2 2 2 3" xfId="9039"/>
    <cellStyle name="Normal 130 2 2 2 2 2 3 2" xfId="15743"/>
    <cellStyle name="Normal 130 2 2 2 2 2 3 2 2" xfId="39164"/>
    <cellStyle name="Normal 130 2 2 2 2 2 3 3" xfId="21275"/>
    <cellStyle name="Normal 130 2 2 2 2 2 3 3 2" xfId="43726"/>
    <cellStyle name="Normal 130 2 2 2 2 2 3 4" xfId="32532"/>
    <cellStyle name="Normal 130 2 2 2 2 2 4" xfId="12427"/>
    <cellStyle name="Normal 130 2 2 2 2 2 4 2" xfId="22303"/>
    <cellStyle name="Normal 130 2 2 2 2 2 4 2 2" xfId="44725"/>
    <cellStyle name="Normal 130 2 2 2 2 2 4 3" xfId="35848"/>
    <cellStyle name="Normal 130 2 2 2 2 2 5" xfId="19451"/>
    <cellStyle name="Normal 130 2 2 2 2 2 5 2" xfId="41993"/>
    <cellStyle name="Normal 130 2 2 2 2 2 6" xfId="29216"/>
    <cellStyle name="Normal 130 2 2 2 2 3" xfId="6462"/>
    <cellStyle name="Normal 130 2 2 2 2 3 2" xfId="9796"/>
    <cellStyle name="Normal 130 2 2 2 2 3 2 2" xfId="16500"/>
    <cellStyle name="Normal 130 2 2 2 2 3 2 2 2" xfId="39921"/>
    <cellStyle name="Normal 130 2 2 2 2 3 2 3" xfId="22711"/>
    <cellStyle name="Normal 130 2 2 2 2 3 2 3 2" xfId="45133"/>
    <cellStyle name="Normal 130 2 2 2 2 3 2 4" xfId="33289"/>
    <cellStyle name="Normal 130 2 2 2 2 3 3" xfId="13184"/>
    <cellStyle name="Normal 130 2 2 2 2 3 3 2" xfId="36605"/>
    <cellStyle name="Normal 130 2 2 2 2 3 4" xfId="19874"/>
    <cellStyle name="Normal 130 2 2 2 2 3 4 2" xfId="42409"/>
    <cellStyle name="Normal 130 2 2 2 2 3 5" xfId="29973"/>
    <cellStyle name="Normal 130 2 2 2 2 4" xfId="8129"/>
    <cellStyle name="Normal 130 2 2 2 2 4 2" xfId="14842"/>
    <cellStyle name="Normal 130 2 2 2 2 4 2 2" xfId="38263"/>
    <cellStyle name="Normal 130 2 2 2 2 4 3" xfId="20816"/>
    <cellStyle name="Normal 130 2 2 2 2 4 3 2" xfId="43267"/>
    <cellStyle name="Normal 130 2 2 2 2 4 4" xfId="31631"/>
    <cellStyle name="Normal 130 2 2 2 2 5" xfId="11524"/>
    <cellStyle name="Normal 130 2 2 2 2 5 2" xfId="21871"/>
    <cellStyle name="Normal 130 2 2 2 2 5 2 2" xfId="44311"/>
    <cellStyle name="Normal 130 2 2 2 2 5 3" xfId="34947"/>
    <cellStyle name="Normal 130 2 2 2 2 6" xfId="18641"/>
    <cellStyle name="Normal 130 2 2 2 2 6 2" xfId="41568"/>
    <cellStyle name="Normal 130 2 2 2 2 7" xfId="25871"/>
    <cellStyle name="Normal 130 2 2 2 2 7 2" xfId="48116"/>
    <cellStyle name="Normal 130 2 2 2 2 8" xfId="28315"/>
    <cellStyle name="Normal 130 2 2 2 3" xfId="2849"/>
    <cellStyle name="Normal 130 2 2 2 3 2" xfId="5941"/>
    <cellStyle name="Normal 130 2 2 2 3 2 2" xfId="7723"/>
    <cellStyle name="Normal 130 2 2 2 3 2 2 2" xfId="11052"/>
    <cellStyle name="Normal 130 2 2 2 3 2 2 2 2" xfId="17756"/>
    <cellStyle name="Normal 130 2 2 2 3 2 2 2 2 2" xfId="41177"/>
    <cellStyle name="Normal 130 2 2 2 3 2 2 2 3" xfId="34545"/>
    <cellStyle name="Normal 130 2 2 2 3 2 2 3" xfId="14440"/>
    <cellStyle name="Normal 130 2 2 2 3 2 2 3 2" xfId="37861"/>
    <cellStyle name="Normal 130 2 2 2 3 2 2 4" xfId="22917"/>
    <cellStyle name="Normal 130 2 2 2 3 2 2 4 2" xfId="45339"/>
    <cellStyle name="Normal 130 2 2 2 3 2 2 5" xfId="31229"/>
    <cellStyle name="Normal 130 2 2 2 3 2 3" xfId="9394"/>
    <cellStyle name="Normal 130 2 2 2 3 2 3 2" xfId="16098"/>
    <cellStyle name="Normal 130 2 2 2 3 2 3 2 2" xfId="39519"/>
    <cellStyle name="Normal 130 2 2 2 3 2 3 3" xfId="32887"/>
    <cellStyle name="Normal 130 2 2 2 3 2 4" xfId="12782"/>
    <cellStyle name="Normal 130 2 2 2 3 2 4 2" xfId="36203"/>
    <cellStyle name="Normal 130 2 2 2 3 2 5" xfId="20082"/>
    <cellStyle name="Normal 130 2 2 2 3 2 5 2" xfId="42617"/>
    <cellStyle name="Normal 130 2 2 2 3 2 6" xfId="29571"/>
    <cellStyle name="Normal 130 2 2 2 3 3" xfId="6824"/>
    <cellStyle name="Normal 130 2 2 2 3 3 2" xfId="10156"/>
    <cellStyle name="Normal 130 2 2 2 3 3 2 2" xfId="16860"/>
    <cellStyle name="Normal 130 2 2 2 3 3 2 2 2" xfId="40281"/>
    <cellStyle name="Normal 130 2 2 2 3 3 2 3" xfId="33649"/>
    <cellStyle name="Normal 130 2 2 2 3 3 3" xfId="13544"/>
    <cellStyle name="Normal 130 2 2 2 3 3 3 2" xfId="36965"/>
    <cellStyle name="Normal 130 2 2 2 3 3 4" xfId="21274"/>
    <cellStyle name="Normal 130 2 2 2 3 3 4 2" xfId="43725"/>
    <cellStyle name="Normal 130 2 2 2 3 3 5" xfId="30333"/>
    <cellStyle name="Normal 130 2 2 2 3 4" xfId="8490"/>
    <cellStyle name="Normal 130 2 2 2 3 4 2" xfId="15202"/>
    <cellStyle name="Normal 130 2 2 2 3 4 2 2" xfId="38623"/>
    <cellStyle name="Normal 130 2 2 2 3 4 3" xfId="22090"/>
    <cellStyle name="Normal 130 2 2 2 3 4 3 2" xfId="44518"/>
    <cellStyle name="Normal 130 2 2 2 3 4 4" xfId="31991"/>
    <cellStyle name="Normal 130 2 2 2 3 5" xfId="11884"/>
    <cellStyle name="Normal 130 2 2 2 3 5 2" xfId="35307"/>
    <cellStyle name="Normal 130 2 2 2 3 6" xfId="19228"/>
    <cellStyle name="Normal 130 2 2 2 3 6 2" xfId="41785"/>
    <cellStyle name="Normal 130 2 2 2 3 7" xfId="28675"/>
    <cellStyle name="Normal 130 2 2 2 4" xfId="3925"/>
    <cellStyle name="Normal 130 2 2 2 4 2" xfId="7020"/>
    <cellStyle name="Normal 130 2 2 2 4 2 2" xfId="10352"/>
    <cellStyle name="Normal 130 2 2 2 4 2 2 2" xfId="17056"/>
    <cellStyle name="Normal 130 2 2 2 4 2 2 2 2" xfId="40477"/>
    <cellStyle name="Normal 130 2 2 2 4 2 2 3" xfId="33845"/>
    <cellStyle name="Normal 130 2 2 2 4 2 3" xfId="13740"/>
    <cellStyle name="Normal 130 2 2 2 4 2 3 2" xfId="37161"/>
    <cellStyle name="Normal 130 2 2 2 4 2 4" xfId="22511"/>
    <cellStyle name="Normal 130 2 2 2 4 2 4 2" xfId="44933"/>
    <cellStyle name="Normal 130 2 2 2 4 2 5" xfId="30529"/>
    <cellStyle name="Normal 130 2 2 2 4 3" xfId="8687"/>
    <cellStyle name="Normal 130 2 2 2 4 3 2" xfId="15398"/>
    <cellStyle name="Normal 130 2 2 2 4 3 2 2" xfId="38819"/>
    <cellStyle name="Normal 130 2 2 2 4 3 3" xfId="32187"/>
    <cellStyle name="Normal 130 2 2 2 4 4" xfId="12080"/>
    <cellStyle name="Normal 130 2 2 2 4 4 2" xfId="35503"/>
    <cellStyle name="Normal 130 2 2 2 4 5" xfId="19664"/>
    <cellStyle name="Normal 130 2 2 2 4 5 2" xfId="42201"/>
    <cellStyle name="Normal 130 2 2 2 4 6" xfId="28871"/>
    <cellStyle name="Normal 130 2 2 2 5" xfId="6351"/>
    <cellStyle name="Normal 130 2 2 2 5 2" xfId="9685"/>
    <cellStyle name="Normal 130 2 2 2 5 2 2" xfId="16389"/>
    <cellStyle name="Normal 130 2 2 2 5 2 2 2" xfId="39810"/>
    <cellStyle name="Normal 130 2 2 2 5 2 3" xfId="33178"/>
    <cellStyle name="Normal 130 2 2 2 5 3" xfId="13073"/>
    <cellStyle name="Normal 130 2 2 2 5 3 2" xfId="36494"/>
    <cellStyle name="Normal 130 2 2 2 5 4" xfId="20815"/>
    <cellStyle name="Normal 130 2 2 2 5 4 2" xfId="43266"/>
    <cellStyle name="Normal 130 2 2 2 5 5" xfId="29862"/>
    <cellStyle name="Normal 130 2 2 2 6" xfId="8017"/>
    <cellStyle name="Normal 130 2 2 2 6 2" xfId="14731"/>
    <cellStyle name="Normal 130 2 2 2 6 2 2" xfId="38152"/>
    <cellStyle name="Normal 130 2 2 2 6 3" xfId="21660"/>
    <cellStyle name="Normal 130 2 2 2 6 3 2" xfId="44109"/>
    <cellStyle name="Normal 130 2 2 2 6 4" xfId="31520"/>
    <cellStyle name="Normal 130 2 2 2 7" xfId="11413"/>
    <cellStyle name="Normal 130 2 2 2 7 2" xfId="34836"/>
    <cellStyle name="Normal 130 2 2 2 8" xfId="18027"/>
    <cellStyle name="Normal 130 2 2 2 8 2" xfId="41332"/>
    <cellStyle name="Normal 130 2 2 2 9" xfId="23609"/>
    <cellStyle name="Normal 130 2 2 2 9 2" xfId="45924"/>
    <cellStyle name="Normal 130 2 2 3" xfId="2270"/>
    <cellStyle name="Normal 130 2 2 3 2" xfId="5541"/>
    <cellStyle name="Normal 130 2 2 3 2 2" xfId="7365"/>
    <cellStyle name="Normal 130 2 2 3 2 2 2" xfId="10696"/>
    <cellStyle name="Normal 130 2 2 3 2 2 2 2" xfId="17400"/>
    <cellStyle name="Normal 130 2 2 3 2 2 2 2 2" xfId="40821"/>
    <cellStyle name="Normal 130 2 2 3 2 2 2 3" xfId="23116"/>
    <cellStyle name="Normal 130 2 2 3 2 2 2 3 2" xfId="45538"/>
    <cellStyle name="Normal 130 2 2 3 2 2 2 4" xfId="34189"/>
    <cellStyle name="Normal 130 2 2 3 2 2 3" xfId="14084"/>
    <cellStyle name="Normal 130 2 2 3 2 2 3 2" xfId="37505"/>
    <cellStyle name="Normal 130 2 2 3 2 2 4" xfId="20289"/>
    <cellStyle name="Normal 130 2 2 3 2 2 4 2" xfId="42824"/>
    <cellStyle name="Normal 130 2 2 3 2 2 5" xfId="30873"/>
    <cellStyle name="Normal 130 2 2 3 2 3" xfId="9038"/>
    <cellStyle name="Normal 130 2 2 3 2 3 2" xfId="15742"/>
    <cellStyle name="Normal 130 2 2 3 2 3 2 2" xfId="39163"/>
    <cellStyle name="Normal 130 2 2 3 2 3 3" xfId="21276"/>
    <cellStyle name="Normal 130 2 2 3 2 3 3 2" xfId="43727"/>
    <cellStyle name="Normal 130 2 2 3 2 3 4" xfId="32531"/>
    <cellStyle name="Normal 130 2 2 3 2 4" xfId="12426"/>
    <cellStyle name="Normal 130 2 2 3 2 4 2" xfId="22302"/>
    <cellStyle name="Normal 130 2 2 3 2 4 2 2" xfId="44724"/>
    <cellStyle name="Normal 130 2 2 3 2 4 3" xfId="35847"/>
    <cellStyle name="Normal 130 2 2 3 2 5" xfId="19450"/>
    <cellStyle name="Normal 130 2 2 3 2 5 2" xfId="41992"/>
    <cellStyle name="Normal 130 2 2 3 2 6" xfId="29215"/>
    <cellStyle name="Normal 130 2 2 3 3" xfId="6461"/>
    <cellStyle name="Normal 130 2 2 3 3 2" xfId="9795"/>
    <cellStyle name="Normal 130 2 2 3 3 2 2" xfId="16499"/>
    <cellStyle name="Normal 130 2 2 3 3 2 2 2" xfId="39920"/>
    <cellStyle name="Normal 130 2 2 3 3 2 3" xfId="22710"/>
    <cellStyle name="Normal 130 2 2 3 3 2 3 2" xfId="45132"/>
    <cellStyle name="Normal 130 2 2 3 3 2 4" xfId="33288"/>
    <cellStyle name="Normal 130 2 2 3 3 3" xfId="13183"/>
    <cellStyle name="Normal 130 2 2 3 3 3 2" xfId="36604"/>
    <cellStyle name="Normal 130 2 2 3 3 4" xfId="19873"/>
    <cellStyle name="Normal 130 2 2 3 3 4 2" xfId="42408"/>
    <cellStyle name="Normal 130 2 2 3 3 5" xfId="29972"/>
    <cellStyle name="Normal 130 2 2 3 4" xfId="8128"/>
    <cellStyle name="Normal 130 2 2 3 4 2" xfId="14841"/>
    <cellStyle name="Normal 130 2 2 3 4 2 2" xfId="38262"/>
    <cellStyle name="Normal 130 2 2 3 4 3" xfId="20817"/>
    <cellStyle name="Normal 130 2 2 3 4 3 2" xfId="43268"/>
    <cellStyle name="Normal 130 2 2 3 4 4" xfId="31630"/>
    <cellStyle name="Normal 130 2 2 3 5" xfId="11523"/>
    <cellStyle name="Normal 130 2 2 3 5 2" xfId="21870"/>
    <cellStyle name="Normal 130 2 2 3 5 2 2" xfId="44310"/>
    <cellStyle name="Normal 130 2 2 3 5 3" xfId="34946"/>
    <cellStyle name="Normal 130 2 2 3 6" xfId="18640"/>
    <cellStyle name="Normal 130 2 2 3 6 2" xfId="41567"/>
    <cellStyle name="Normal 130 2 2 3 7" xfId="25870"/>
    <cellStyle name="Normal 130 2 2 3 7 2" xfId="48115"/>
    <cellStyle name="Normal 130 2 2 3 8" xfId="28314"/>
    <cellStyle name="Normal 130 2 2 4" xfId="2717"/>
    <cellStyle name="Normal 130 2 2 4 2" xfId="5810"/>
    <cellStyle name="Normal 130 2 2 4 2 2" xfId="7592"/>
    <cellStyle name="Normal 130 2 2 4 2 2 2" xfId="10921"/>
    <cellStyle name="Normal 130 2 2 4 2 2 2 2" xfId="17625"/>
    <cellStyle name="Normal 130 2 2 4 2 2 2 2 2" xfId="41046"/>
    <cellStyle name="Normal 130 2 2 4 2 2 2 3" xfId="34414"/>
    <cellStyle name="Normal 130 2 2 4 2 2 3" xfId="14309"/>
    <cellStyle name="Normal 130 2 2 4 2 2 3 2" xfId="37730"/>
    <cellStyle name="Normal 130 2 2 4 2 2 4" xfId="22916"/>
    <cellStyle name="Normal 130 2 2 4 2 2 4 2" xfId="45338"/>
    <cellStyle name="Normal 130 2 2 4 2 2 5" xfId="31098"/>
    <cellStyle name="Normal 130 2 2 4 2 3" xfId="9263"/>
    <cellStyle name="Normal 130 2 2 4 2 3 2" xfId="15967"/>
    <cellStyle name="Normal 130 2 2 4 2 3 2 2" xfId="39388"/>
    <cellStyle name="Normal 130 2 2 4 2 3 3" xfId="32756"/>
    <cellStyle name="Normal 130 2 2 4 2 4" xfId="12651"/>
    <cellStyle name="Normal 130 2 2 4 2 4 2" xfId="36072"/>
    <cellStyle name="Normal 130 2 2 4 2 5" xfId="20081"/>
    <cellStyle name="Normal 130 2 2 4 2 5 2" xfId="42616"/>
    <cellStyle name="Normal 130 2 2 4 2 6" xfId="29440"/>
    <cellStyle name="Normal 130 2 2 4 3" xfId="6693"/>
    <cellStyle name="Normal 130 2 2 4 3 2" xfId="10025"/>
    <cellStyle name="Normal 130 2 2 4 3 2 2" xfId="16729"/>
    <cellStyle name="Normal 130 2 2 4 3 2 2 2" xfId="40150"/>
    <cellStyle name="Normal 130 2 2 4 3 2 3" xfId="33518"/>
    <cellStyle name="Normal 130 2 2 4 3 3" xfId="13413"/>
    <cellStyle name="Normal 130 2 2 4 3 3 2" xfId="36834"/>
    <cellStyle name="Normal 130 2 2 4 3 4" xfId="21273"/>
    <cellStyle name="Normal 130 2 2 4 3 4 2" xfId="43724"/>
    <cellStyle name="Normal 130 2 2 4 3 5" xfId="30202"/>
    <cellStyle name="Normal 130 2 2 4 4" xfId="8359"/>
    <cellStyle name="Normal 130 2 2 4 4 2" xfId="15071"/>
    <cellStyle name="Normal 130 2 2 4 4 2 2" xfId="38492"/>
    <cellStyle name="Normal 130 2 2 4 4 3" xfId="22089"/>
    <cellStyle name="Normal 130 2 2 4 4 3 2" xfId="44517"/>
    <cellStyle name="Normal 130 2 2 4 4 4" xfId="31860"/>
    <cellStyle name="Normal 130 2 2 4 5" xfId="11753"/>
    <cellStyle name="Normal 130 2 2 4 5 2" xfId="35176"/>
    <cellStyle name="Normal 130 2 2 4 6" xfId="19227"/>
    <cellStyle name="Normal 130 2 2 4 6 2" xfId="41784"/>
    <cellStyle name="Normal 130 2 2 4 7" xfId="28544"/>
    <cellStyle name="Normal 130 2 2 5" xfId="3924"/>
    <cellStyle name="Normal 130 2 2 5 2" xfId="7019"/>
    <cellStyle name="Normal 130 2 2 5 2 2" xfId="10351"/>
    <cellStyle name="Normal 130 2 2 5 2 2 2" xfId="17055"/>
    <cellStyle name="Normal 130 2 2 5 2 2 2 2" xfId="40476"/>
    <cellStyle name="Normal 130 2 2 5 2 2 3" xfId="33844"/>
    <cellStyle name="Normal 130 2 2 5 2 3" xfId="13739"/>
    <cellStyle name="Normal 130 2 2 5 2 3 2" xfId="37160"/>
    <cellStyle name="Normal 130 2 2 5 2 4" xfId="22510"/>
    <cellStyle name="Normal 130 2 2 5 2 4 2" xfId="44932"/>
    <cellStyle name="Normal 130 2 2 5 2 5" xfId="30528"/>
    <cellStyle name="Normal 130 2 2 5 3" xfId="8686"/>
    <cellStyle name="Normal 130 2 2 5 3 2" xfId="15397"/>
    <cellStyle name="Normal 130 2 2 5 3 2 2" xfId="38818"/>
    <cellStyle name="Normal 130 2 2 5 3 3" xfId="32186"/>
    <cellStyle name="Normal 130 2 2 5 4" xfId="12079"/>
    <cellStyle name="Normal 130 2 2 5 4 2" xfId="35502"/>
    <cellStyle name="Normal 130 2 2 5 5" xfId="19663"/>
    <cellStyle name="Normal 130 2 2 5 5 2" xfId="42200"/>
    <cellStyle name="Normal 130 2 2 5 6" xfId="28870"/>
    <cellStyle name="Normal 130 2 2 6" xfId="6220"/>
    <cellStyle name="Normal 130 2 2 6 2" xfId="9554"/>
    <cellStyle name="Normal 130 2 2 6 2 2" xfId="16258"/>
    <cellStyle name="Normal 130 2 2 6 2 2 2" xfId="39679"/>
    <cellStyle name="Normal 130 2 2 6 2 3" xfId="33047"/>
    <cellStyle name="Normal 130 2 2 6 3" xfId="12942"/>
    <cellStyle name="Normal 130 2 2 6 3 2" xfId="36363"/>
    <cellStyle name="Normal 130 2 2 6 4" xfId="20814"/>
    <cellStyle name="Normal 130 2 2 6 4 2" xfId="43265"/>
    <cellStyle name="Normal 130 2 2 6 5" xfId="29731"/>
    <cellStyle name="Normal 130 2 2 7" xfId="7886"/>
    <cellStyle name="Normal 130 2 2 7 2" xfId="14600"/>
    <cellStyle name="Normal 130 2 2 7 2 2" xfId="38021"/>
    <cellStyle name="Normal 130 2 2 7 3" xfId="21659"/>
    <cellStyle name="Normal 130 2 2 7 3 2" xfId="44108"/>
    <cellStyle name="Normal 130 2 2 7 4" xfId="31389"/>
    <cellStyle name="Normal 130 2 2 8" xfId="11282"/>
    <cellStyle name="Normal 130 2 2 8 2" xfId="34705"/>
    <cellStyle name="Normal 130 2 2 9" xfId="18026"/>
    <cellStyle name="Normal 130 2 2 9 2" xfId="41331"/>
    <cellStyle name="Normal 130 2 3" xfId="1808"/>
    <cellStyle name="Normal 130 2 3 10" xfId="28160"/>
    <cellStyle name="Normal 130 2 3 2" xfId="2272"/>
    <cellStyle name="Normal 130 2 3 2 2" xfId="5543"/>
    <cellStyle name="Normal 130 2 3 2 2 2" xfId="7367"/>
    <cellStyle name="Normal 130 2 3 2 2 2 2" xfId="10698"/>
    <cellStyle name="Normal 130 2 3 2 2 2 2 2" xfId="17402"/>
    <cellStyle name="Normal 130 2 3 2 2 2 2 2 2" xfId="40823"/>
    <cellStyle name="Normal 130 2 3 2 2 2 2 3" xfId="23118"/>
    <cellStyle name="Normal 130 2 3 2 2 2 2 3 2" xfId="45540"/>
    <cellStyle name="Normal 130 2 3 2 2 2 2 4" xfId="34191"/>
    <cellStyle name="Normal 130 2 3 2 2 2 3" xfId="14086"/>
    <cellStyle name="Normal 130 2 3 2 2 2 3 2" xfId="37507"/>
    <cellStyle name="Normal 130 2 3 2 2 2 4" xfId="20291"/>
    <cellStyle name="Normal 130 2 3 2 2 2 4 2" xfId="42826"/>
    <cellStyle name="Normal 130 2 3 2 2 2 5" xfId="30875"/>
    <cellStyle name="Normal 130 2 3 2 2 3" xfId="9040"/>
    <cellStyle name="Normal 130 2 3 2 2 3 2" xfId="15744"/>
    <cellStyle name="Normal 130 2 3 2 2 3 2 2" xfId="39165"/>
    <cellStyle name="Normal 130 2 3 2 2 3 3" xfId="21278"/>
    <cellStyle name="Normal 130 2 3 2 2 3 3 2" xfId="43729"/>
    <cellStyle name="Normal 130 2 3 2 2 3 4" xfId="32533"/>
    <cellStyle name="Normal 130 2 3 2 2 4" xfId="12428"/>
    <cellStyle name="Normal 130 2 3 2 2 4 2" xfId="22304"/>
    <cellStyle name="Normal 130 2 3 2 2 4 2 2" xfId="44726"/>
    <cellStyle name="Normal 130 2 3 2 2 4 3" xfId="35849"/>
    <cellStyle name="Normal 130 2 3 2 2 5" xfId="19452"/>
    <cellStyle name="Normal 130 2 3 2 2 5 2" xfId="41994"/>
    <cellStyle name="Normal 130 2 3 2 2 6" xfId="29217"/>
    <cellStyle name="Normal 130 2 3 2 3" xfId="6463"/>
    <cellStyle name="Normal 130 2 3 2 3 2" xfId="9797"/>
    <cellStyle name="Normal 130 2 3 2 3 2 2" xfId="16501"/>
    <cellStyle name="Normal 130 2 3 2 3 2 2 2" xfId="39922"/>
    <cellStyle name="Normal 130 2 3 2 3 2 3" xfId="22712"/>
    <cellStyle name="Normal 130 2 3 2 3 2 3 2" xfId="45134"/>
    <cellStyle name="Normal 130 2 3 2 3 2 4" xfId="33290"/>
    <cellStyle name="Normal 130 2 3 2 3 3" xfId="13185"/>
    <cellStyle name="Normal 130 2 3 2 3 3 2" xfId="36606"/>
    <cellStyle name="Normal 130 2 3 2 3 4" xfId="19875"/>
    <cellStyle name="Normal 130 2 3 2 3 4 2" xfId="42410"/>
    <cellStyle name="Normal 130 2 3 2 3 5" xfId="29974"/>
    <cellStyle name="Normal 130 2 3 2 4" xfId="8130"/>
    <cellStyle name="Normal 130 2 3 2 4 2" xfId="14843"/>
    <cellStyle name="Normal 130 2 3 2 4 2 2" xfId="38264"/>
    <cellStyle name="Normal 130 2 3 2 4 3" xfId="20819"/>
    <cellStyle name="Normal 130 2 3 2 4 3 2" xfId="43270"/>
    <cellStyle name="Normal 130 2 3 2 4 4" xfId="31632"/>
    <cellStyle name="Normal 130 2 3 2 5" xfId="11525"/>
    <cellStyle name="Normal 130 2 3 2 5 2" xfId="21872"/>
    <cellStyle name="Normal 130 2 3 2 5 2 2" xfId="44312"/>
    <cellStyle name="Normal 130 2 3 2 5 3" xfId="34948"/>
    <cellStyle name="Normal 130 2 3 2 6" xfId="18642"/>
    <cellStyle name="Normal 130 2 3 2 6 2" xfId="41569"/>
    <cellStyle name="Normal 130 2 3 2 7" xfId="25872"/>
    <cellStyle name="Normal 130 2 3 2 7 2" xfId="48117"/>
    <cellStyle name="Normal 130 2 3 2 8" xfId="28316"/>
    <cellStyle name="Normal 130 2 3 3" xfId="2805"/>
    <cellStyle name="Normal 130 2 3 3 2" xfId="5897"/>
    <cellStyle name="Normal 130 2 3 3 2 2" xfId="7679"/>
    <cellStyle name="Normal 130 2 3 3 2 2 2" xfId="11008"/>
    <cellStyle name="Normal 130 2 3 3 2 2 2 2" xfId="17712"/>
    <cellStyle name="Normal 130 2 3 3 2 2 2 2 2" xfId="41133"/>
    <cellStyle name="Normal 130 2 3 3 2 2 2 3" xfId="34501"/>
    <cellStyle name="Normal 130 2 3 3 2 2 3" xfId="14396"/>
    <cellStyle name="Normal 130 2 3 3 2 2 3 2" xfId="37817"/>
    <cellStyle name="Normal 130 2 3 3 2 2 4" xfId="22918"/>
    <cellStyle name="Normal 130 2 3 3 2 2 4 2" xfId="45340"/>
    <cellStyle name="Normal 130 2 3 3 2 2 5" xfId="31185"/>
    <cellStyle name="Normal 130 2 3 3 2 3" xfId="9350"/>
    <cellStyle name="Normal 130 2 3 3 2 3 2" xfId="16054"/>
    <cellStyle name="Normal 130 2 3 3 2 3 2 2" xfId="39475"/>
    <cellStyle name="Normal 130 2 3 3 2 3 3" xfId="32843"/>
    <cellStyle name="Normal 130 2 3 3 2 4" xfId="12738"/>
    <cellStyle name="Normal 130 2 3 3 2 4 2" xfId="36159"/>
    <cellStyle name="Normal 130 2 3 3 2 5" xfId="20083"/>
    <cellStyle name="Normal 130 2 3 3 2 5 2" xfId="42618"/>
    <cellStyle name="Normal 130 2 3 3 2 6" xfId="29527"/>
    <cellStyle name="Normal 130 2 3 3 3" xfId="6780"/>
    <cellStyle name="Normal 130 2 3 3 3 2" xfId="10112"/>
    <cellStyle name="Normal 130 2 3 3 3 2 2" xfId="16816"/>
    <cellStyle name="Normal 130 2 3 3 3 2 2 2" xfId="40237"/>
    <cellStyle name="Normal 130 2 3 3 3 2 3" xfId="33605"/>
    <cellStyle name="Normal 130 2 3 3 3 3" xfId="13500"/>
    <cellStyle name="Normal 130 2 3 3 3 3 2" xfId="36921"/>
    <cellStyle name="Normal 130 2 3 3 3 4" xfId="21277"/>
    <cellStyle name="Normal 130 2 3 3 3 4 2" xfId="43728"/>
    <cellStyle name="Normal 130 2 3 3 3 5" xfId="30289"/>
    <cellStyle name="Normal 130 2 3 3 4" xfId="8446"/>
    <cellStyle name="Normal 130 2 3 3 4 2" xfId="15158"/>
    <cellStyle name="Normal 130 2 3 3 4 2 2" xfId="38579"/>
    <cellStyle name="Normal 130 2 3 3 4 3" xfId="22091"/>
    <cellStyle name="Normal 130 2 3 3 4 3 2" xfId="44519"/>
    <cellStyle name="Normal 130 2 3 3 4 4" xfId="31947"/>
    <cellStyle name="Normal 130 2 3 3 5" xfId="11840"/>
    <cellStyle name="Normal 130 2 3 3 5 2" xfId="35263"/>
    <cellStyle name="Normal 130 2 3 3 6" xfId="19229"/>
    <cellStyle name="Normal 130 2 3 3 6 2" xfId="41786"/>
    <cellStyle name="Normal 130 2 3 3 7" xfId="28631"/>
    <cellStyle name="Normal 130 2 3 4" xfId="3926"/>
    <cellStyle name="Normal 130 2 3 4 2" xfId="7021"/>
    <cellStyle name="Normal 130 2 3 4 2 2" xfId="10353"/>
    <cellStyle name="Normal 130 2 3 4 2 2 2" xfId="17057"/>
    <cellStyle name="Normal 130 2 3 4 2 2 2 2" xfId="40478"/>
    <cellStyle name="Normal 130 2 3 4 2 2 3" xfId="33846"/>
    <cellStyle name="Normal 130 2 3 4 2 3" xfId="13741"/>
    <cellStyle name="Normal 130 2 3 4 2 3 2" xfId="37162"/>
    <cellStyle name="Normal 130 2 3 4 2 4" xfId="22512"/>
    <cellStyle name="Normal 130 2 3 4 2 4 2" xfId="44934"/>
    <cellStyle name="Normal 130 2 3 4 2 5" xfId="30530"/>
    <cellStyle name="Normal 130 2 3 4 3" xfId="8688"/>
    <cellStyle name="Normal 130 2 3 4 3 2" xfId="15399"/>
    <cellStyle name="Normal 130 2 3 4 3 2 2" xfId="38820"/>
    <cellStyle name="Normal 130 2 3 4 3 3" xfId="32188"/>
    <cellStyle name="Normal 130 2 3 4 4" xfId="12081"/>
    <cellStyle name="Normal 130 2 3 4 4 2" xfId="35504"/>
    <cellStyle name="Normal 130 2 3 4 5" xfId="19665"/>
    <cellStyle name="Normal 130 2 3 4 5 2" xfId="42202"/>
    <cellStyle name="Normal 130 2 3 4 6" xfId="28872"/>
    <cellStyle name="Normal 130 2 3 5" xfId="6307"/>
    <cellStyle name="Normal 130 2 3 5 2" xfId="9641"/>
    <cellStyle name="Normal 130 2 3 5 2 2" xfId="16345"/>
    <cellStyle name="Normal 130 2 3 5 2 2 2" xfId="39766"/>
    <cellStyle name="Normal 130 2 3 5 2 3" xfId="33134"/>
    <cellStyle name="Normal 130 2 3 5 3" xfId="13029"/>
    <cellStyle name="Normal 130 2 3 5 3 2" xfId="36450"/>
    <cellStyle name="Normal 130 2 3 5 4" xfId="20818"/>
    <cellStyle name="Normal 130 2 3 5 4 2" xfId="43269"/>
    <cellStyle name="Normal 130 2 3 5 5" xfId="29818"/>
    <cellStyle name="Normal 130 2 3 6" xfId="7973"/>
    <cellStyle name="Normal 130 2 3 6 2" xfId="14687"/>
    <cellStyle name="Normal 130 2 3 6 2 2" xfId="38108"/>
    <cellStyle name="Normal 130 2 3 6 3" xfId="21661"/>
    <cellStyle name="Normal 130 2 3 6 3 2" xfId="44110"/>
    <cellStyle name="Normal 130 2 3 6 4" xfId="31476"/>
    <cellStyle name="Normal 130 2 3 7" xfId="11369"/>
    <cellStyle name="Normal 130 2 3 7 2" xfId="34792"/>
    <cellStyle name="Normal 130 2 3 8" xfId="18028"/>
    <cellStyle name="Normal 130 2 3 8 2" xfId="41333"/>
    <cellStyle name="Normal 130 2 3 9" xfId="23610"/>
    <cellStyle name="Normal 130 2 3 9 2" xfId="45925"/>
    <cellStyle name="Normal 130 2 4" xfId="2269"/>
    <cellStyle name="Normal 130 2 4 2" xfId="5540"/>
    <cellStyle name="Normal 130 2 4 2 2" xfId="7364"/>
    <cellStyle name="Normal 130 2 4 2 2 2" xfId="10695"/>
    <cellStyle name="Normal 130 2 4 2 2 2 2" xfId="17399"/>
    <cellStyle name="Normal 130 2 4 2 2 2 2 2" xfId="40820"/>
    <cellStyle name="Normal 130 2 4 2 2 2 3" xfId="23115"/>
    <cellStyle name="Normal 130 2 4 2 2 2 3 2" xfId="45537"/>
    <cellStyle name="Normal 130 2 4 2 2 2 4" xfId="34188"/>
    <cellStyle name="Normal 130 2 4 2 2 3" xfId="14083"/>
    <cellStyle name="Normal 130 2 4 2 2 3 2" xfId="37504"/>
    <cellStyle name="Normal 130 2 4 2 2 4" xfId="20288"/>
    <cellStyle name="Normal 130 2 4 2 2 4 2" xfId="42823"/>
    <cellStyle name="Normal 130 2 4 2 2 5" xfId="30872"/>
    <cellStyle name="Normal 130 2 4 2 3" xfId="9037"/>
    <cellStyle name="Normal 130 2 4 2 3 2" xfId="15741"/>
    <cellStyle name="Normal 130 2 4 2 3 2 2" xfId="39162"/>
    <cellStyle name="Normal 130 2 4 2 3 3" xfId="21279"/>
    <cellStyle name="Normal 130 2 4 2 3 3 2" xfId="43730"/>
    <cellStyle name="Normal 130 2 4 2 3 4" xfId="32530"/>
    <cellStyle name="Normal 130 2 4 2 4" xfId="12425"/>
    <cellStyle name="Normal 130 2 4 2 4 2" xfId="22301"/>
    <cellStyle name="Normal 130 2 4 2 4 2 2" xfId="44723"/>
    <cellStyle name="Normal 130 2 4 2 4 3" xfId="35846"/>
    <cellStyle name="Normal 130 2 4 2 5" xfId="19449"/>
    <cellStyle name="Normal 130 2 4 2 5 2" xfId="41991"/>
    <cellStyle name="Normal 130 2 4 2 6" xfId="29214"/>
    <cellStyle name="Normal 130 2 4 3" xfId="6460"/>
    <cellStyle name="Normal 130 2 4 3 2" xfId="9794"/>
    <cellStyle name="Normal 130 2 4 3 2 2" xfId="16498"/>
    <cellStyle name="Normal 130 2 4 3 2 2 2" xfId="39919"/>
    <cellStyle name="Normal 130 2 4 3 2 3" xfId="22709"/>
    <cellStyle name="Normal 130 2 4 3 2 3 2" xfId="45131"/>
    <cellStyle name="Normal 130 2 4 3 2 4" xfId="33287"/>
    <cellStyle name="Normal 130 2 4 3 3" xfId="13182"/>
    <cellStyle name="Normal 130 2 4 3 3 2" xfId="36603"/>
    <cellStyle name="Normal 130 2 4 3 4" xfId="19872"/>
    <cellStyle name="Normal 130 2 4 3 4 2" xfId="42407"/>
    <cellStyle name="Normal 130 2 4 3 5" xfId="29971"/>
    <cellStyle name="Normal 130 2 4 4" xfId="8127"/>
    <cellStyle name="Normal 130 2 4 4 2" xfId="14840"/>
    <cellStyle name="Normal 130 2 4 4 2 2" xfId="38261"/>
    <cellStyle name="Normal 130 2 4 4 3" xfId="20820"/>
    <cellStyle name="Normal 130 2 4 4 3 2" xfId="43271"/>
    <cellStyle name="Normal 130 2 4 4 4" xfId="31629"/>
    <cellStyle name="Normal 130 2 4 5" xfId="11522"/>
    <cellStyle name="Normal 130 2 4 5 2" xfId="21869"/>
    <cellStyle name="Normal 130 2 4 5 2 2" xfId="44309"/>
    <cellStyle name="Normal 130 2 4 5 3" xfId="34945"/>
    <cellStyle name="Normal 130 2 4 6" xfId="18639"/>
    <cellStyle name="Normal 130 2 4 6 2" xfId="41566"/>
    <cellStyle name="Normal 130 2 4 7" xfId="25869"/>
    <cellStyle name="Normal 130 2 4 7 2" xfId="48114"/>
    <cellStyle name="Normal 130 2 4 8" xfId="28313"/>
    <cellStyle name="Normal 130 2 5" xfId="2673"/>
    <cellStyle name="Normal 130 2 5 2" xfId="5766"/>
    <cellStyle name="Normal 130 2 5 2 2" xfId="7548"/>
    <cellStyle name="Normal 130 2 5 2 2 2" xfId="10877"/>
    <cellStyle name="Normal 130 2 5 2 2 2 2" xfId="17581"/>
    <cellStyle name="Normal 130 2 5 2 2 2 2 2" xfId="41002"/>
    <cellStyle name="Normal 130 2 5 2 2 2 3" xfId="34370"/>
    <cellStyle name="Normal 130 2 5 2 2 3" xfId="14265"/>
    <cellStyle name="Normal 130 2 5 2 2 3 2" xfId="37686"/>
    <cellStyle name="Normal 130 2 5 2 2 4" xfId="20631"/>
    <cellStyle name="Normal 130 2 5 2 2 4 2" xfId="43082"/>
    <cellStyle name="Normal 130 2 5 2 2 5" xfId="31054"/>
    <cellStyle name="Normal 130 2 5 2 3" xfId="9219"/>
    <cellStyle name="Normal 130 2 5 2 3 2" xfId="15923"/>
    <cellStyle name="Normal 130 2 5 2 3 2 2" xfId="39344"/>
    <cellStyle name="Normal 130 2 5 2 3 3" xfId="21549"/>
    <cellStyle name="Normal 130 2 5 2 3 3 2" xfId="44000"/>
    <cellStyle name="Normal 130 2 5 2 3 4" xfId="32712"/>
    <cellStyle name="Normal 130 2 5 2 4" xfId="12607"/>
    <cellStyle name="Normal 130 2 5 2 4 2" xfId="22915"/>
    <cellStyle name="Normal 130 2 5 2 4 2 2" xfId="45337"/>
    <cellStyle name="Normal 130 2 5 2 4 3" xfId="36028"/>
    <cellStyle name="Normal 130 2 5 2 5" xfId="20080"/>
    <cellStyle name="Normal 130 2 5 2 5 2" xfId="42615"/>
    <cellStyle name="Normal 130 2 5 2 6" xfId="29396"/>
    <cellStyle name="Normal 130 2 5 3" xfId="6649"/>
    <cellStyle name="Normal 130 2 5 3 2" xfId="9981"/>
    <cellStyle name="Normal 130 2 5 3 2 2" xfId="16685"/>
    <cellStyle name="Normal 130 2 5 3 2 2 2" xfId="40106"/>
    <cellStyle name="Normal 130 2 5 3 2 3" xfId="33474"/>
    <cellStyle name="Normal 130 2 5 3 3" xfId="13369"/>
    <cellStyle name="Normal 130 2 5 3 3 2" xfId="36790"/>
    <cellStyle name="Normal 130 2 5 3 4" xfId="20533"/>
    <cellStyle name="Normal 130 2 5 3 4 2" xfId="42986"/>
    <cellStyle name="Normal 130 2 5 3 5" xfId="30158"/>
    <cellStyle name="Normal 130 2 5 4" xfId="8315"/>
    <cellStyle name="Normal 130 2 5 4 2" xfId="15027"/>
    <cellStyle name="Normal 130 2 5 4 2 2" xfId="38448"/>
    <cellStyle name="Normal 130 2 5 4 3" xfId="21090"/>
    <cellStyle name="Normal 130 2 5 4 3 2" xfId="43541"/>
    <cellStyle name="Normal 130 2 5 4 4" xfId="31816"/>
    <cellStyle name="Normal 130 2 5 5" xfId="11709"/>
    <cellStyle name="Normal 130 2 5 5 2" xfId="22088"/>
    <cellStyle name="Normal 130 2 5 5 2 2" xfId="44516"/>
    <cellStyle name="Normal 130 2 5 5 3" xfId="35132"/>
    <cellStyle name="Normal 130 2 5 6" xfId="19226"/>
    <cellStyle name="Normal 130 2 5 6 2" xfId="41783"/>
    <cellStyle name="Normal 130 2 5 7" xfId="28500"/>
    <cellStyle name="Normal 130 2 6" xfId="3923"/>
    <cellStyle name="Normal 130 2 6 2" xfId="7018"/>
    <cellStyle name="Normal 130 2 6 2 2" xfId="10350"/>
    <cellStyle name="Normal 130 2 6 2 2 2" xfId="17054"/>
    <cellStyle name="Normal 130 2 6 2 2 2 2" xfId="40475"/>
    <cellStyle name="Normal 130 2 6 2 2 3" xfId="33843"/>
    <cellStyle name="Normal 130 2 6 2 3" xfId="13738"/>
    <cellStyle name="Normal 130 2 6 2 3 2" xfId="37159"/>
    <cellStyle name="Normal 130 2 6 2 4" xfId="20579"/>
    <cellStyle name="Normal 130 2 6 2 4 2" xfId="43032"/>
    <cellStyle name="Normal 130 2 6 2 5" xfId="30527"/>
    <cellStyle name="Normal 130 2 6 3" xfId="8685"/>
    <cellStyle name="Normal 130 2 6 3 2" xfId="15396"/>
    <cellStyle name="Normal 130 2 6 3 2 2" xfId="38817"/>
    <cellStyle name="Normal 130 2 6 3 3" xfId="21272"/>
    <cellStyle name="Normal 130 2 6 3 3 2" xfId="43723"/>
    <cellStyle name="Normal 130 2 6 3 4" xfId="32185"/>
    <cellStyle name="Normal 130 2 6 4" xfId="12078"/>
    <cellStyle name="Normal 130 2 6 4 2" xfId="22509"/>
    <cellStyle name="Normal 130 2 6 4 2 2" xfId="44931"/>
    <cellStyle name="Normal 130 2 6 4 3" xfId="35501"/>
    <cellStyle name="Normal 130 2 6 5" xfId="19662"/>
    <cellStyle name="Normal 130 2 6 5 2" xfId="42199"/>
    <cellStyle name="Normal 130 2 6 6" xfId="28869"/>
    <cellStyle name="Normal 130 2 7" xfId="6176"/>
    <cellStyle name="Normal 130 2 7 2" xfId="9510"/>
    <cellStyle name="Normal 130 2 7 2 2" xfId="16214"/>
    <cellStyle name="Normal 130 2 7 2 2 2" xfId="39635"/>
    <cellStyle name="Normal 130 2 7 2 3" xfId="33003"/>
    <cellStyle name="Normal 130 2 7 3" xfId="12898"/>
    <cellStyle name="Normal 130 2 7 3 2" xfId="36319"/>
    <cellStyle name="Normal 130 2 7 4" xfId="17897"/>
    <cellStyle name="Normal 130 2 7 4 2" xfId="41247"/>
    <cellStyle name="Normal 130 2 7 5" xfId="29687"/>
    <cellStyle name="Normal 130 2 8" xfId="7842"/>
    <cellStyle name="Normal 130 2 8 2" xfId="14556"/>
    <cellStyle name="Normal 130 2 8 2 2" xfId="37977"/>
    <cellStyle name="Normal 130 2 8 3" xfId="20813"/>
    <cellStyle name="Normal 130 2 8 3 2" xfId="43264"/>
    <cellStyle name="Normal 130 2 8 4" xfId="31345"/>
    <cellStyle name="Normal 130 2 9" xfId="11238"/>
    <cellStyle name="Normal 130 2 9 2" xfId="21658"/>
    <cellStyle name="Normal 130 2 9 2 2" xfId="44107"/>
    <cellStyle name="Normal 130 2 9 3" xfId="34661"/>
    <cellStyle name="Normal 130 3" xfId="1633"/>
    <cellStyle name="Normal 130 3 10" xfId="23611"/>
    <cellStyle name="Normal 130 3 10 2" xfId="45926"/>
    <cellStyle name="Normal 130 3 11" xfId="28072"/>
    <cellStyle name="Normal 130 3 2" xfId="1851"/>
    <cellStyle name="Normal 130 3 2 10" xfId="28203"/>
    <cellStyle name="Normal 130 3 2 2" xfId="2274"/>
    <cellStyle name="Normal 130 3 2 2 2" xfId="5545"/>
    <cellStyle name="Normal 130 3 2 2 2 2" xfId="7369"/>
    <cellStyle name="Normal 130 3 2 2 2 2 2" xfId="10700"/>
    <cellStyle name="Normal 130 3 2 2 2 2 2 2" xfId="17404"/>
    <cellStyle name="Normal 130 3 2 2 2 2 2 2 2" xfId="40825"/>
    <cellStyle name="Normal 130 3 2 2 2 2 2 3" xfId="23120"/>
    <cellStyle name="Normal 130 3 2 2 2 2 2 3 2" xfId="45542"/>
    <cellStyle name="Normal 130 3 2 2 2 2 2 4" xfId="34193"/>
    <cellStyle name="Normal 130 3 2 2 2 2 3" xfId="14088"/>
    <cellStyle name="Normal 130 3 2 2 2 2 3 2" xfId="37509"/>
    <cellStyle name="Normal 130 3 2 2 2 2 4" xfId="20293"/>
    <cellStyle name="Normal 130 3 2 2 2 2 4 2" xfId="42828"/>
    <cellStyle name="Normal 130 3 2 2 2 2 5" xfId="30877"/>
    <cellStyle name="Normal 130 3 2 2 2 3" xfId="9042"/>
    <cellStyle name="Normal 130 3 2 2 2 3 2" xfId="15746"/>
    <cellStyle name="Normal 130 3 2 2 2 3 2 2" xfId="39167"/>
    <cellStyle name="Normal 130 3 2 2 2 3 3" xfId="21282"/>
    <cellStyle name="Normal 130 3 2 2 2 3 3 2" xfId="43733"/>
    <cellStyle name="Normal 130 3 2 2 2 3 4" xfId="32535"/>
    <cellStyle name="Normal 130 3 2 2 2 4" xfId="12430"/>
    <cellStyle name="Normal 130 3 2 2 2 4 2" xfId="22306"/>
    <cellStyle name="Normal 130 3 2 2 2 4 2 2" xfId="44728"/>
    <cellStyle name="Normal 130 3 2 2 2 4 3" xfId="35851"/>
    <cellStyle name="Normal 130 3 2 2 2 5" xfId="19454"/>
    <cellStyle name="Normal 130 3 2 2 2 5 2" xfId="41996"/>
    <cellStyle name="Normal 130 3 2 2 2 6" xfId="29219"/>
    <cellStyle name="Normal 130 3 2 2 3" xfId="6465"/>
    <cellStyle name="Normal 130 3 2 2 3 2" xfId="9799"/>
    <cellStyle name="Normal 130 3 2 2 3 2 2" xfId="16503"/>
    <cellStyle name="Normal 130 3 2 2 3 2 2 2" xfId="39924"/>
    <cellStyle name="Normal 130 3 2 2 3 2 3" xfId="22714"/>
    <cellStyle name="Normal 130 3 2 2 3 2 3 2" xfId="45136"/>
    <cellStyle name="Normal 130 3 2 2 3 2 4" xfId="33292"/>
    <cellStyle name="Normal 130 3 2 2 3 3" xfId="13187"/>
    <cellStyle name="Normal 130 3 2 2 3 3 2" xfId="36608"/>
    <cellStyle name="Normal 130 3 2 2 3 4" xfId="19877"/>
    <cellStyle name="Normal 130 3 2 2 3 4 2" xfId="42412"/>
    <cellStyle name="Normal 130 3 2 2 3 5" xfId="29976"/>
    <cellStyle name="Normal 130 3 2 2 4" xfId="8132"/>
    <cellStyle name="Normal 130 3 2 2 4 2" xfId="14845"/>
    <cellStyle name="Normal 130 3 2 2 4 2 2" xfId="38266"/>
    <cellStyle name="Normal 130 3 2 2 4 3" xfId="20823"/>
    <cellStyle name="Normal 130 3 2 2 4 3 2" xfId="43274"/>
    <cellStyle name="Normal 130 3 2 2 4 4" xfId="31634"/>
    <cellStyle name="Normal 130 3 2 2 5" xfId="11527"/>
    <cellStyle name="Normal 130 3 2 2 5 2" xfId="21874"/>
    <cellStyle name="Normal 130 3 2 2 5 2 2" xfId="44314"/>
    <cellStyle name="Normal 130 3 2 2 5 3" xfId="34950"/>
    <cellStyle name="Normal 130 3 2 2 6" xfId="18644"/>
    <cellStyle name="Normal 130 3 2 2 6 2" xfId="41571"/>
    <cellStyle name="Normal 130 3 2 2 7" xfId="25874"/>
    <cellStyle name="Normal 130 3 2 2 7 2" xfId="48119"/>
    <cellStyle name="Normal 130 3 2 2 8" xfId="28318"/>
    <cellStyle name="Normal 130 3 2 3" xfId="2848"/>
    <cellStyle name="Normal 130 3 2 3 2" xfId="5940"/>
    <cellStyle name="Normal 130 3 2 3 2 2" xfId="7722"/>
    <cellStyle name="Normal 130 3 2 3 2 2 2" xfId="11051"/>
    <cellStyle name="Normal 130 3 2 3 2 2 2 2" xfId="17755"/>
    <cellStyle name="Normal 130 3 2 3 2 2 2 2 2" xfId="41176"/>
    <cellStyle name="Normal 130 3 2 3 2 2 2 3" xfId="34544"/>
    <cellStyle name="Normal 130 3 2 3 2 2 3" xfId="14439"/>
    <cellStyle name="Normal 130 3 2 3 2 2 3 2" xfId="37860"/>
    <cellStyle name="Normal 130 3 2 3 2 2 4" xfId="22920"/>
    <cellStyle name="Normal 130 3 2 3 2 2 4 2" xfId="45342"/>
    <cellStyle name="Normal 130 3 2 3 2 2 5" xfId="31228"/>
    <cellStyle name="Normal 130 3 2 3 2 3" xfId="9393"/>
    <cellStyle name="Normal 130 3 2 3 2 3 2" xfId="16097"/>
    <cellStyle name="Normal 130 3 2 3 2 3 2 2" xfId="39518"/>
    <cellStyle name="Normal 130 3 2 3 2 3 3" xfId="32886"/>
    <cellStyle name="Normal 130 3 2 3 2 4" xfId="12781"/>
    <cellStyle name="Normal 130 3 2 3 2 4 2" xfId="36202"/>
    <cellStyle name="Normal 130 3 2 3 2 5" xfId="20085"/>
    <cellStyle name="Normal 130 3 2 3 2 5 2" xfId="42620"/>
    <cellStyle name="Normal 130 3 2 3 2 6" xfId="29570"/>
    <cellStyle name="Normal 130 3 2 3 3" xfId="6823"/>
    <cellStyle name="Normal 130 3 2 3 3 2" xfId="10155"/>
    <cellStyle name="Normal 130 3 2 3 3 2 2" xfId="16859"/>
    <cellStyle name="Normal 130 3 2 3 3 2 2 2" xfId="40280"/>
    <cellStyle name="Normal 130 3 2 3 3 2 3" xfId="33648"/>
    <cellStyle name="Normal 130 3 2 3 3 3" xfId="13543"/>
    <cellStyle name="Normal 130 3 2 3 3 3 2" xfId="36964"/>
    <cellStyle name="Normal 130 3 2 3 3 4" xfId="21281"/>
    <cellStyle name="Normal 130 3 2 3 3 4 2" xfId="43732"/>
    <cellStyle name="Normal 130 3 2 3 3 5" xfId="30332"/>
    <cellStyle name="Normal 130 3 2 3 4" xfId="8489"/>
    <cellStyle name="Normal 130 3 2 3 4 2" xfId="15201"/>
    <cellStyle name="Normal 130 3 2 3 4 2 2" xfId="38622"/>
    <cellStyle name="Normal 130 3 2 3 4 3" xfId="22093"/>
    <cellStyle name="Normal 130 3 2 3 4 3 2" xfId="44521"/>
    <cellStyle name="Normal 130 3 2 3 4 4" xfId="31990"/>
    <cellStyle name="Normal 130 3 2 3 5" xfId="11883"/>
    <cellStyle name="Normal 130 3 2 3 5 2" xfId="35306"/>
    <cellStyle name="Normal 130 3 2 3 6" xfId="19231"/>
    <cellStyle name="Normal 130 3 2 3 6 2" xfId="41788"/>
    <cellStyle name="Normal 130 3 2 3 7" xfId="28674"/>
    <cellStyle name="Normal 130 3 2 4" xfId="3928"/>
    <cellStyle name="Normal 130 3 2 4 2" xfId="7023"/>
    <cellStyle name="Normal 130 3 2 4 2 2" xfId="10355"/>
    <cellStyle name="Normal 130 3 2 4 2 2 2" xfId="17059"/>
    <cellStyle name="Normal 130 3 2 4 2 2 2 2" xfId="40480"/>
    <cellStyle name="Normal 130 3 2 4 2 2 3" xfId="33848"/>
    <cellStyle name="Normal 130 3 2 4 2 3" xfId="13743"/>
    <cellStyle name="Normal 130 3 2 4 2 3 2" xfId="37164"/>
    <cellStyle name="Normal 130 3 2 4 2 4" xfId="22514"/>
    <cellStyle name="Normal 130 3 2 4 2 4 2" xfId="44936"/>
    <cellStyle name="Normal 130 3 2 4 2 5" xfId="30532"/>
    <cellStyle name="Normal 130 3 2 4 3" xfId="8690"/>
    <cellStyle name="Normal 130 3 2 4 3 2" xfId="15401"/>
    <cellStyle name="Normal 130 3 2 4 3 2 2" xfId="38822"/>
    <cellStyle name="Normal 130 3 2 4 3 3" xfId="32190"/>
    <cellStyle name="Normal 130 3 2 4 4" xfId="12083"/>
    <cellStyle name="Normal 130 3 2 4 4 2" xfId="35506"/>
    <cellStyle name="Normal 130 3 2 4 5" xfId="19667"/>
    <cellStyle name="Normal 130 3 2 4 5 2" xfId="42204"/>
    <cellStyle name="Normal 130 3 2 4 6" xfId="28874"/>
    <cellStyle name="Normal 130 3 2 5" xfId="6350"/>
    <cellStyle name="Normal 130 3 2 5 2" xfId="9684"/>
    <cellStyle name="Normal 130 3 2 5 2 2" xfId="16388"/>
    <cellStyle name="Normal 130 3 2 5 2 2 2" xfId="39809"/>
    <cellStyle name="Normal 130 3 2 5 2 3" xfId="33177"/>
    <cellStyle name="Normal 130 3 2 5 3" xfId="13072"/>
    <cellStyle name="Normal 130 3 2 5 3 2" xfId="36493"/>
    <cellStyle name="Normal 130 3 2 5 4" xfId="20822"/>
    <cellStyle name="Normal 130 3 2 5 4 2" xfId="43273"/>
    <cellStyle name="Normal 130 3 2 5 5" xfId="29861"/>
    <cellStyle name="Normal 130 3 2 6" xfId="8016"/>
    <cellStyle name="Normal 130 3 2 6 2" xfId="14730"/>
    <cellStyle name="Normal 130 3 2 6 2 2" xfId="38151"/>
    <cellStyle name="Normal 130 3 2 6 3" xfId="21663"/>
    <cellStyle name="Normal 130 3 2 6 3 2" xfId="44112"/>
    <cellStyle name="Normal 130 3 2 6 4" xfId="31519"/>
    <cellStyle name="Normal 130 3 2 7" xfId="11412"/>
    <cellStyle name="Normal 130 3 2 7 2" xfId="34835"/>
    <cellStyle name="Normal 130 3 2 8" xfId="18030"/>
    <cellStyle name="Normal 130 3 2 8 2" xfId="41335"/>
    <cellStyle name="Normal 130 3 2 9" xfId="23612"/>
    <cellStyle name="Normal 130 3 2 9 2" xfId="45927"/>
    <cellStyle name="Normal 130 3 3" xfId="2273"/>
    <cellStyle name="Normal 130 3 3 2" xfId="5544"/>
    <cellStyle name="Normal 130 3 3 2 2" xfId="7368"/>
    <cellStyle name="Normal 130 3 3 2 2 2" xfId="10699"/>
    <cellStyle name="Normal 130 3 3 2 2 2 2" xfId="17403"/>
    <cellStyle name="Normal 130 3 3 2 2 2 2 2" xfId="40824"/>
    <cellStyle name="Normal 130 3 3 2 2 2 3" xfId="23119"/>
    <cellStyle name="Normal 130 3 3 2 2 2 3 2" xfId="45541"/>
    <cellStyle name="Normal 130 3 3 2 2 2 4" xfId="34192"/>
    <cellStyle name="Normal 130 3 3 2 2 3" xfId="14087"/>
    <cellStyle name="Normal 130 3 3 2 2 3 2" xfId="37508"/>
    <cellStyle name="Normal 130 3 3 2 2 4" xfId="20292"/>
    <cellStyle name="Normal 130 3 3 2 2 4 2" xfId="42827"/>
    <cellStyle name="Normal 130 3 3 2 2 5" xfId="30876"/>
    <cellStyle name="Normal 130 3 3 2 3" xfId="9041"/>
    <cellStyle name="Normal 130 3 3 2 3 2" xfId="15745"/>
    <cellStyle name="Normal 130 3 3 2 3 2 2" xfId="39166"/>
    <cellStyle name="Normal 130 3 3 2 3 3" xfId="21283"/>
    <cellStyle name="Normal 130 3 3 2 3 3 2" xfId="43734"/>
    <cellStyle name="Normal 130 3 3 2 3 4" xfId="32534"/>
    <cellStyle name="Normal 130 3 3 2 4" xfId="12429"/>
    <cellStyle name="Normal 130 3 3 2 4 2" xfId="22305"/>
    <cellStyle name="Normal 130 3 3 2 4 2 2" xfId="44727"/>
    <cellStyle name="Normal 130 3 3 2 4 3" xfId="35850"/>
    <cellStyle name="Normal 130 3 3 2 5" xfId="19453"/>
    <cellStyle name="Normal 130 3 3 2 5 2" xfId="41995"/>
    <cellStyle name="Normal 130 3 3 2 6" xfId="29218"/>
    <cellStyle name="Normal 130 3 3 3" xfId="6464"/>
    <cellStyle name="Normal 130 3 3 3 2" xfId="9798"/>
    <cellStyle name="Normal 130 3 3 3 2 2" xfId="16502"/>
    <cellStyle name="Normal 130 3 3 3 2 2 2" xfId="39923"/>
    <cellStyle name="Normal 130 3 3 3 2 3" xfId="22713"/>
    <cellStyle name="Normal 130 3 3 3 2 3 2" xfId="45135"/>
    <cellStyle name="Normal 130 3 3 3 2 4" xfId="33291"/>
    <cellStyle name="Normal 130 3 3 3 3" xfId="13186"/>
    <cellStyle name="Normal 130 3 3 3 3 2" xfId="36607"/>
    <cellStyle name="Normal 130 3 3 3 4" xfId="19876"/>
    <cellStyle name="Normal 130 3 3 3 4 2" xfId="42411"/>
    <cellStyle name="Normal 130 3 3 3 5" xfId="29975"/>
    <cellStyle name="Normal 130 3 3 4" xfId="8131"/>
    <cellStyle name="Normal 130 3 3 4 2" xfId="14844"/>
    <cellStyle name="Normal 130 3 3 4 2 2" xfId="38265"/>
    <cellStyle name="Normal 130 3 3 4 3" xfId="20824"/>
    <cellStyle name="Normal 130 3 3 4 3 2" xfId="43275"/>
    <cellStyle name="Normal 130 3 3 4 4" xfId="31633"/>
    <cellStyle name="Normal 130 3 3 5" xfId="11526"/>
    <cellStyle name="Normal 130 3 3 5 2" xfId="21873"/>
    <cellStyle name="Normal 130 3 3 5 2 2" xfId="44313"/>
    <cellStyle name="Normal 130 3 3 5 3" xfId="34949"/>
    <cellStyle name="Normal 130 3 3 6" xfId="18643"/>
    <cellStyle name="Normal 130 3 3 6 2" xfId="41570"/>
    <cellStyle name="Normal 130 3 3 7" xfId="25873"/>
    <cellStyle name="Normal 130 3 3 7 2" xfId="48118"/>
    <cellStyle name="Normal 130 3 3 8" xfId="28317"/>
    <cellStyle name="Normal 130 3 4" xfId="2716"/>
    <cellStyle name="Normal 130 3 4 2" xfId="5809"/>
    <cellStyle name="Normal 130 3 4 2 2" xfId="7591"/>
    <cellStyle name="Normal 130 3 4 2 2 2" xfId="10920"/>
    <cellStyle name="Normal 130 3 4 2 2 2 2" xfId="17624"/>
    <cellStyle name="Normal 130 3 4 2 2 2 2 2" xfId="41045"/>
    <cellStyle name="Normal 130 3 4 2 2 2 3" xfId="34413"/>
    <cellStyle name="Normal 130 3 4 2 2 3" xfId="14308"/>
    <cellStyle name="Normal 130 3 4 2 2 3 2" xfId="37729"/>
    <cellStyle name="Normal 130 3 4 2 2 4" xfId="22919"/>
    <cellStyle name="Normal 130 3 4 2 2 4 2" xfId="45341"/>
    <cellStyle name="Normal 130 3 4 2 2 5" xfId="31097"/>
    <cellStyle name="Normal 130 3 4 2 3" xfId="9262"/>
    <cellStyle name="Normal 130 3 4 2 3 2" xfId="15966"/>
    <cellStyle name="Normal 130 3 4 2 3 2 2" xfId="39387"/>
    <cellStyle name="Normal 130 3 4 2 3 3" xfId="32755"/>
    <cellStyle name="Normal 130 3 4 2 4" xfId="12650"/>
    <cellStyle name="Normal 130 3 4 2 4 2" xfId="36071"/>
    <cellStyle name="Normal 130 3 4 2 5" xfId="20084"/>
    <cellStyle name="Normal 130 3 4 2 5 2" xfId="42619"/>
    <cellStyle name="Normal 130 3 4 2 6" xfId="29439"/>
    <cellStyle name="Normal 130 3 4 3" xfId="6692"/>
    <cellStyle name="Normal 130 3 4 3 2" xfId="10024"/>
    <cellStyle name="Normal 130 3 4 3 2 2" xfId="16728"/>
    <cellStyle name="Normal 130 3 4 3 2 2 2" xfId="40149"/>
    <cellStyle name="Normal 130 3 4 3 2 3" xfId="33517"/>
    <cellStyle name="Normal 130 3 4 3 3" xfId="13412"/>
    <cellStyle name="Normal 130 3 4 3 3 2" xfId="36833"/>
    <cellStyle name="Normal 130 3 4 3 4" xfId="21280"/>
    <cellStyle name="Normal 130 3 4 3 4 2" xfId="43731"/>
    <cellStyle name="Normal 130 3 4 3 5" xfId="30201"/>
    <cellStyle name="Normal 130 3 4 4" xfId="8358"/>
    <cellStyle name="Normal 130 3 4 4 2" xfId="15070"/>
    <cellStyle name="Normal 130 3 4 4 2 2" xfId="38491"/>
    <cellStyle name="Normal 130 3 4 4 3" xfId="22092"/>
    <cellStyle name="Normal 130 3 4 4 3 2" xfId="44520"/>
    <cellStyle name="Normal 130 3 4 4 4" xfId="31859"/>
    <cellStyle name="Normal 130 3 4 5" xfId="11752"/>
    <cellStyle name="Normal 130 3 4 5 2" xfId="35175"/>
    <cellStyle name="Normal 130 3 4 6" xfId="19230"/>
    <cellStyle name="Normal 130 3 4 6 2" xfId="41787"/>
    <cellStyle name="Normal 130 3 4 7" xfId="28543"/>
    <cellStyle name="Normal 130 3 5" xfId="3927"/>
    <cellStyle name="Normal 130 3 5 2" xfId="7022"/>
    <cellStyle name="Normal 130 3 5 2 2" xfId="10354"/>
    <cellStyle name="Normal 130 3 5 2 2 2" xfId="17058"/>
    <cellStyle name="Normal 130 3 5 2 2 2 2" xfId="40479"/>
    <cellStyle name="Normal 130 3 5 2 2 3" xfId="33847"/>
    <cellStyle name="Normal 130 3 5 2 3" xfId="13742"/>
    <cellStyle name="Normal 130 3 5 2 3 2" xfId="37163"/>
    <cellStyle name="Normal 130 3 5 2 4" xfId="22513"/>
    <cellStyle name="Normal 130 3 5 2 4 2" xfId="44935"/>
    <cellStyle name="Normal 130 3 5 2 5" xfId="30531"/>
    <cellStyle name="Normal 130 3 5 3" xfId="8689"/>
    <cellStyle name="Normal 130 3 5 3 2" xfId="15400"/>
    <cellStyle name="Normal 130 3 5 3 2 2" xfId="38821"/>
    <cellStyle name="Normal 130 3 5 3 3" xfId="32189"/>
    <cellStyle name="Normal 130 3 5 4" xfId="12082"/>
    <cellStyle name="Normal 130 3 5 4 2" xfId="35505"/>
    <cellStyle name="Normal 130 3 5 5" xfId="19666"/>
    <cellStyle name="Normal 130 3 5 5 2" xfId="42203"/>
    <cellStyle name="Normal 130 3 5 6" xfId="28873"/>
    <cellStyle name="Normal 130 3 6" xfId="6219"/>
    <cellStyle name="Normal 130 3 6 2" xfId="9553"/>
    <cellStyle name="Normal 130 3 6 2 2" xfId="16257"/>
    <cellStyle name="Normal 130 3 6 2 2 2" xfId="39678"/>
    <cellStyle name="Normal 130 3 6 2 3" xfId="33046"/>
    <cellStyle name="Normal 130 3 6 3" xfId="12941"/>
    <cellStyle name="Normal 130 3 6 3 2" xfId="36362"/>
    <cellStyle name="Normal 130 3 6 4" xfId="20821"/>
    <cellStyle name="Normal 130 3 6 4 2" xfId="43272"/>
    <cellStyle name="Normal 130 3 6 5" xfId="29730"/>
    <cellStyle name="Normal 130 3 7" xfId="7885"/>
    <cellStyle name="Normal 130 3 7 2" xfId="14599"/>
    <cellStyle name="Normal 130 3 7 2 2" xfId="38020"/>
    <cellStyle name="Normal 130 3 7 3" xfId="21662"/>
    <cellStyle name="Normal 130 3 7 3 2" xfId="44111"/>
    <cellStyle name="Normal 130 3 7 4" xfId="31388"/>
    <cellStyle name="Normal 130 3 8" xfId="11281"/>
    <cellStyle name="Normal 130 3 8 2" xfId="34704"/>
    <cellStyle name="Normal 130 3 9" xfId="18029"/>
    <cellStyle name="Normal 130 3 9 2" xfId="41334"/>
    <cellStyle name="Normal 130 4" xfId="1771"/>
    <cellStyle name="Normal 130 4 10" xfId="28124"/>
    <cellStyle name="Normal 130 4 2" xfId="2275"/>
    <cellStyle name="Normal 130 4 2 2" xfId="5546"/>
    <cellStyle name="Normal 130 4 2 2 2" xfId="7370"/>
    <cellStyle name="Normal 130 4 2 2 2 2" xfId="10701"/>
    <cellStyle name="Normal 130 4 2 2 2 2 2" xfId="17405"/>
    <cellStyle name="Normal 130 4 2 2 2 2 2 2" xfId="40826"/>
    <cellStyle name="Normal 130 4 2 2 2 2 3" xfId="23121"/>
    <cellStyle name="Normal 130 4 2 2 2 2 3 2" xfId="45543"/>
    <cellStyle name="Normal 130 4 2 2 2 2 4" xfId="34194"/>
    <cellStyle name="Normal 130 4 2 2 2 3" xfId="14089"/>
    <cellStyle name="Normal 130 4 2 2 2 3 2" xfId="37510"/>
    <cellStyle name="Normal 130 4 2 2 2 4" xfId="20294"/>
    <cellStyle name="Normal 130 4 2 2 2 4 2" xfId="42829"/>
    <cellStyle name="Normal 130 4 2 2 2 5" xfId="30878"/>
    <cellStyle name="Normal 130 4 2 2 3" xfId="9043"/>
    <cellStyle name="Normal 130 4 2 2 3 2" xfId="15747"/>
    <cellStyle name="Normal 130 4 2 2 3 2 2" xfId="39168"/>
    <cellStyle name="Normal 130 4 2 2 3 3" xfId="21285"/>
    <cellStyle name="Normal 130 4 2 2 3 3 2" xfId="43736"/>
    <cellStyle name="Normal 130 4 2 2 3 4" xfId="32536"/>
    <cellStyle name="Normal 130 4 2 2 4" xfId="12431"/>
    <cellStyle name="Normal 130 4 2 2 4 2" xfId="22307"/>
    <cellStyle name="Normal 130 4 2 2 4 2 2" xfId="44729"/>
    <cellStyle name="Normal 130 4 2 2 4 3" xfId="35852"/>
    <cellStyle name="Normal 130 4 2 2 5" xfId="19455"/>
    <cellStyle name="Normal 130 4 2 2 5 2" xfId="41997"/>
    <cellStyle name="Normal 130 4 2 2 6" xfId="29220"/>
    <cellStyle name="Normal 130 4 2 3" xfId="6466"/>
    <cellStyle name="Normal 130 4 2 3 2" xfId="9800"/>
    <cellStyle name="Normal 130 4 2 3 2 2" xfId="16504"/>
    <cellStyle name="Normal 130 4 2 3 2 2 2" xfId="39925"/>
    <cellStyle name="Normal 130 4 2 3 2 3" xfId="22715"/>
    <cellStyle name="Normal 130 4 2 3 2 3 2" xfId="45137"/>
    <cellStyle name="Normal 130 4 2 3 2 4" xfId="33293"/>
    <cellStyle name="Normal 130 4 2 3 3" xfId="13188"/>
    <cellStyle name="Normal 130 4 2 3 3 2" xfId="36609"/>
    <cellStyle name="Normal 130 4 2 3 4" xfId="19878"/>
    <cellStyle name="Normal 130 4 2 3 4 2" xfId="42413"/>
    <cellStyle name="Normal 130 4 2 3 5" xfId="29977"/>
    <cellStyle name="Normal 130 4 2 4" xfId="8133"/>
    <cellStyle name="Normal 130 4 2 4 2" xfId="14846"/>
    <cellStyle name="Normal 130 4 2 4 2 2" xfId="38267"/>
    <cellStyle name="Normal 130 4 2 4 3" xfId="20826"/>
    <cellStyle name="Normal 130 4 2 4 3 2" xfId="43277"/>
    <cellStyle name="Normal 130 4 2 4 4" xfId="31635"/>
    <cellStyle name="Normal 130 4 2 5" xfId="11528"/>
    <cellStyle name="Normal 130 4 2 5 2" xfId="21875"/>
    <cellStyle name="Normal 130 4 2 5 2 2" xfId="44315"/>
    <cellStyle name="Normal 130 4 2 5 3" xfId="34951"/>
    <cellStyle name="Normal 130 4 2 6" xfId="18645"/>
    <cellStyle name="Normal 130 4 2 6 2" xfId="41572"/>
    <cellStyle name="Normal 130 4 2 7" xfId="25875"/>
    <cellStyle name="Normal 130 4 2 7 2" xfId="48120"/>
    <cellStyle name="Normal 130 4 2 8" xfId="28319"/>
    <cellStyle name="Normal 130 4 3" xfId="2769"/>
    <cellStyle name="Normal 130 4 3 2" xfId="5861"/>
    <cellStyle name="Normal 130 4 3 2 2" xfId="7643"/>
    <cellStyle name="Normal 130 4 3 2 2 2" xfId="10972"/>
    <cellStyle name="Normal 130 4 3 2 2 2 2" xfId="17676"/>
    <cellStyle name="Normal 130 4 3 2 2 2 2 2" xfId="41097"/>
    <cellStyle name="Normal 130 4 3 2 2 2 3" xfId="34465"/>
    <cellStyle name="Normal 130 4 3 2 2 3" xfId="14360"/>
    <cellStyle name="Normal 130 4 3 2 2 3 2" xfId="37781"/>
    <cellStyle name="Normal 130 4 3 2 2 4" xfId="22921"/>
    <cellStyle name="Normal 130 4 3 2 2 4 2" xfId="45343"/>
    <cellStyle name="Normal 130 4 3 2 2 5" xfId="31149"/>
    <cellStyle name="Normal 130 4 3 2 3" xfId="9314"/>
    <cellStyle name="Normal 130 4 3 2 3 2" xfId="16018"/>
    <cellStyle name="Normal 130 4 3 2 3 2 2" xfId="39439"/>
    <cellStyle name="Normal 130 4 3 2 3 3" xfId="32807"/>
    <cellStyle name="Normal 130 4 3 2 4" xfId="12702"/>
    <cellStyle name="Normal 130 4 3 2 4 2" xfId="36123"/>
    <cellStyle name="Normal 130 4 3 2 5" xfId="20086"/>
    <cellStyle name="Normal 130 4 3 2 5 2" xfId="42621"/>
    <cellStyle name="Normal 130 4 3 2 6" xfId="29491"/>
    <cellStyle name="Normal 130 4 3 3" xfId="6744"/>
    <cellStyle name="Normal 130 4 3 3 2" xfId="10076"/>
    <cellStyle name="Normal 130 4 3 3 2 2" xfId="16780"/>
    <cellStyle name="Normal 130 4 3 3 2 2 2" xfId="40201"/>
    <cellStyle name="Normal 130 4 3 3 2 3" xfId="33569"/>
    <cellStyle name="Normal 130 4 3 3 3" xfId="13464"/>
    <cellStyle name="Normal 130 4 3 3 3 2" xfId="36885"/>
    <cellStyle name="Normal 130 4 3 3 4" xfId="21284"/>
    <cellStyle name="Normal 130 4 3 3 4 2" xfId="43735"/>
    <cellStyle name="Normal 130 4 3 3 5" xfId="30253"/>
    <cellStyle name="Normal 130 4 3 4" xfId="8410"/>
    <cellStyle name="Normal 130 4 3 4 2" xfId="15122"/>
    <cellStyle name="Normal 130 4 3 4 2 2" xfId="38543"/>
    <cellStyle name="Normal 130 4 3 4 3" xfId="22094"/>
    <cellStyle name="Normal 130 4 3 4 3 2" xfId="44522"/>
    <cellStyle name="Normal 130 4 3 4 4" xfId="31911"/>
    <cellStyle name="Normal 130 4 3 5" xfId="11804"/>
    <cellStyle name="Normal 130 4 3 5 2" xfId="35227"/>
    <cellStyle name="Normal 130 4 3 6" xfId="19232"/>
    <cellStyle name="Normal 130 4 3 6 2" xfId="41789"/>
    <cellStyle name="Normal 130 4 3 7" xfId="28595"/>
    <cellStyle name="Normal 130 4 4" xfId="3929"/>
    <cellStyle name="Normal 130 4 4 2" xfId="7024"/>
    <cellStyle name="Normal 130 4 4 2 2" xfId="10356"/>
    <cellStyle name="Normal 130 4 4 2 2 2" xfId="17060"/>
    <cellStyle name="Normal 130 4 4 2 2 2 2" xfId="40481"/>
    <cellStyle name="Normal 130 4 4 2 2 3" xfId="33849"/>
    <cellStyle name="Normal 130 4 4 2 3" xfId="13744"/>
    <cellStyle name="Normal 130 4 4 2 3 2" xfId="37165"/>
    <cellStyle name="Normal 130 4 4 2 4" xfId="22515"/>
    <cellStyle name="Normal 130 4 4 2 4 2" xfId="44937"/>
    <cellStyle name="Normal 130 4 4 2 5" xfId="30533"/>
    <cellStyle name="Normal 130 4 4 3" xfId="8691"/>
    <cellStyle name="Normal 130 4 4 3 2" xfId="15402"/>
    <cellStyle name="Normal 130 4 4 3 2 2" xfId="38823"/>
    <cellStyle name="Normal 130 4 4 3 3" xfId="32191"/>
    <cellStyle name="Normal 130 4 4 4" xfId="12084"/>
    <cellStyle name="Normal 130 4 4 4 2" xfId="35507"/>
    <cellStyle name="Normal 130 4 4 5" xfId="19668"/>
    <cellStyle name="Normal 130 4 4 5 2" xfId="42205"/>
    <cellStyle name="Normal 130 4 4 6" xfId="28875"/>
    <cellStyle name="Normal 130 4 5" xfId="6271"/>
    <cellStyle name="Normal 130 4 5 2" xfId="9605"/>
    <cellStyle name="Normal 130 4 5 2 2" xfId="16309"/>
    <cellStyle name="Normal 130 4 5 2 2 2" xfId="39730"/>
    <cellStyle name="Normal 130 4 5 2 3" xfId="33098"/>
    <cellStyle name="Normal 130 4 5 3" xfId="12993"/>
    <cellStyle name="Normal 130 4 5 3 2" xfId="36414"/>
    <cellStyle name="Normal 130 4 5 4" xfId="20825"/>
    <cellStyle name="Normal 130 4 5 4 2" xfId="43276"/>
    <cellStyle name="Normal 130 4 5 5" xfId="29782"/>
    <cellStyle name="Normal 130 4 6" xfId="7937"/>
    <cellStyle name="Normal 130 4 6 2" xfId="14651"/>
    <cellStyle name="Normal 130 4 6 2 2" xfId="38072"/>
    <cellStyle name="Normal 130 4 6 3" xfId="21664"/>
    <cellStyle name="Normal 130 4 6 3 2" xfId="44113"/>
    <cellStyle name="Normal 130 4 6 4" xfId="31440"/>
    <cellStyle name="Normal 130 4 7" xfId="11333"/>
    <cellStyle name="Normal 130 4 7 2" xfId="34756"/>
    <cellStyle name="Normal 130 4 8" xfId="18031"/>
    <cellStyle name="Normal 130 4 8 2" xfId="41336"/>
    <cellStyle name="Normal 130 4 9" xfId="23613"/>
    <cellStyle name="Normal 130 4 9 2" xfId="45928"/>
    <cellStyle name="Normal 130 5" xfId="2268"/>
    <cellStyle name="Normal 130 5 2" xfId="5539"/>
    <cellStyle name="Normal 130 5 2 2" xfId="7363"/>
    <cellStyle name="Normal 130 5 2 2 2" xfId="10694"/>
    <cellStyle name="Normal 130 5 2 2 2 2" xfId="17398"/>
    <cellStyle name="Normal 130 5 2 2 2 2 2" xfId="40819"/>
    <cellStyle name="Normal 130 5 2 2 2 3" xfId="23114"/>
    <cellStyle name="Normal 130 5 2 2 2 3 2" xfId="45536"/>
    <cellStyle name="Normal 130 5 2 2 2 4" xfId="34187"/>
    <cellStyle name="Normal 130 5 2 2 3" xfId="14082"/>
    <cellStyle name="Normal 130 5 2 2 3 2" xfId="37503"/>
    <cellStyle name="Normal 130 5 2 2 4" xfId="20287"/>
    <cellStyle name="Normal 130 5 2 2 4 2" xfId="42822"/>
    <cellStyle name="Normal 130 5 2 2 5" xfId="30871"/>
    <cellStyle name="Normal 130 5 2 3" xfId="9036"/>
    <cellStyle name="Normal 130 5 2 3 2" xfId="15740"/>
    <cellStyle name="Normal 130 5 2 3 2 2" xfId="39161"/>
    <cellStyle name="Normal 130 5 2 3 3" xfId="21286"/>
    <cellStyle name="Normal 130 5 2 3 3 2" xfId="43737"/>
    <cellStyle name="Normal 130 5 2 3 4" xfId="32529"/>
    <cellStyle name="Normal 130 5 2 4" xfId="12424"/>
    <cellStyle name="Normal 130 5 2 4 2" xfId="22300"/>
    <cellStyle name="Normal 130 5 2 4 2 2" xfId="44722"/>
    <cellStyle name="Normal 130 5 2 4 3" xfId="35845"/>
    <cellStyle name="Normal 130 5 2 5" xfId="19448"/>
    <cellStyle name="Normal 130 5 2 5 2" xfId="41990"/>
    <cellStyle name="Normal 130 5 2 6" xfId="25868"/>
    <cellStyle name="Normal 130 5 2 6 2" xfId="48113"/>
    <cellStyle name="Normal 130 5 2 7" xfId="29213"/>
    <cellStyle name="Normal 130 5 3" xfId="6459"/>
    <cellStyle name="Normal 130 5 3 2" xfId="9793"/>
    <cellStyle name="Normal 130 5 3 2 2" xfId="16497"/>
    <cellStyle name="Normal 130 5 3 2 2 2" xfId="39918"/>
    <cellStyle name="Normal 130 5 3 2 3" xfId="22708"/>
    <cellStyle name="Normal 130 5 3 2 3 2" xfId="45130"/>
    <cellStyle name="Normal 130 5 3 2 4" xfId="33286"/>
    <cellStyle name="Normal 130 5 3 3" xfId="13181"/>
    <cellStyle name="Normal 130 5 3 3 2" xfId="36602"/>
    <cellStyle name="Normal 130 5 3 4" xfId="19871"/>
    <cellStyle name="Normal 130 5 3 4 2" xfId="42406"/>
    <cellStyle name="Normal 130 5 3 5" xfId="29970"/>
    <cellStyle name="Normal 130 5 4" xfId="8126"/>
    <cellStyle name="Normal 130 5 4 2" xfId="14839"/>
    <cellStyle name="Normal 130 5 4 2 2" xfId="38260"/>
    <cellStyle name="Normal 130 5 4 3" xfId="20827"/>
    <cellStyle name="Normal 130 5 4 3 2" xfId="43278"/>
    <cellStyle name="Normal 130 5 4 4" xfId="31628"/>
    <cellStyle name="Normal 130 5 5" xfId="11521"/>
    <cellStyle name="Normal 130 5 5 2" xfId="21868"/>
    <cellStyle name="Normal 130 5 5 2 2" xfId="44308"/>
    <cellStyle name="Normal 130 5 5 3" xfId="34944"/>
    <cellStyle name="Normal 130 5 6" xfId="18638"/>
    <cellStyle name="Normal 130 5 6 2" xfId="41565"/>
    <cellStyle name="Normal 130 5 7" xfId="23489"/>
    <cellStyle name="Normal 130 5 7 2" xfId="45828"/>
    <cellStyle name="Normal 130 5 8" xfId="28312"/>
    <cellStyle name="Normal 130 6" xfId="2636"/>
    <cellStyle name="Normal 130 6 2" xfId="5730"/>
    <cellStyle name="Normal 130 6 2 2" xfId="7513"/>
    <cellStyle name="Normal 130 6 2 2 2" xfId="10842"/>
    <cellStyle name="Normal 130 6 2 2 2 2" xfId="17546"/>
    <cellStyle name="Normal 130 6 2 2 2 2 2" xfId="40967"/>
    <cellStyle name="Normal 130 6 2 2 2 3" xfId="34335"/>
    <cellStyle name="Normal 130 6 2 2 3" xfId="14230"/>
    <cellStyle name="Normal 130 6 2 2 3 2" xfId="37651"/>
    <cellStyle name="Normal 130 6 2 2 4" xfId="20630"/>
    <cellStyle name="Normal 130 6 2 2 4 2" xfId="43081"/>
    <cellStyle name="Normal 130 6 2 2 5" xfId="31019"/>
    <cellStyle name="Normal 130 6 2 3" xfId="9184"/>
    <cellStyle name="Normal 130 6 2 3 2" xfId="15888"/>
    <cellStyle name="Normal 130 6 2 3 2 2" xfId="39309"/>
    <cellStyle name="Normal 130 6 2 3 3" xfId="21548"/>
    <cellStyle name="Normal 130 6 2 3 3 2" xfId="43999"/>
    <cellStyle name="Normal 130 6 2 3 4" xfId="32677"/>
    <cellStyle name="Normal 130 6 2 4" xfId="12572"/>
    <cellStyle name="Normal 130 6 2 4 2" xfId="22914"/>
    <cellStyle name="Normal 130 6 2 4 2 2" xfId="45336"/>
    <cellStyle name="Normal 130 6 2 4 3" xfId="35993"/>
    <cellStyle name="Normal 130 6 2 5" xfId="20079"/>
    <cellStyle name="Normal 130 6 2 5 2" xfId="42614"/>
    <cellStyle name="Normal 130 6 2 6" xfId="29361"/>
    <cellStyle name="Normal 130 6 3" xfId="6613"/>
    <cellStyle name="Normal 130 6 3 2" xfId="9945"/>
    <cellStyle name="Normal 130 6 3 2 2" xfId="16649"/>
    <cellStyle name="Normal 130 6 3 2 2 2" xfId="40070"/>
    <cellStyle name="Normal 130 6 3 2 3" xfId="33438"/>
    <cellStyle name="Normal 130 6 3 3" xfId="13333"/>
    <cellStyle name="Normal 130 6 3 3 2" xfId="36754"/>
    <cellStyle name="Normal 130 6 3 4" xfId="20532"/>
    <cellStyle name="Normal 130 6 3 4 2" xfId="42985"/>
    <cellStyle name="Normal 130 6 3 5" xfId="30122"/>
    <cellStyle name="Normal 130 6 4" xfId="8279"/>
    <cellStyle name="Normal 130 6 4 2" xfId="14991"/>
    <cellStyle name="Normal 130 6 4 2 2" xfId="38412"/>
    <cellStyle name="Normal 130 6 4 3" xfId="21089"/>
    <cellStyle name="Normal 130 6 4 3 2" xfId="43540"/>
    <cellStyle name="Normal 130 6 4 4" xfId="31780"/>
    <cellStyle name="Normal 130 6 5" xfId="11673"/>
    <cellStyle name="Normal 130 6 5 2" xfId="22087"/>
    <cellStyle name="Normal 130 6 5 2 2" xfId="44515"/>
    <cellStyle name="Normal 130 6 5 3" xfId="35096"/>
    <cellStyle name="Normal 130 6 6" xfId="19225"/>
    <cellStyle name="Normal 130 6 6 2" xfId="41782"/>
    <cellStyle name="Normal 130 6 7" xfId="28464"/>
    <cellStyle name="Normal 130 7" xfId="3922"/>
    <cellStyle name="Normal 130 7 2" xfId="7017"/>
    <cellStyle name="Normal 130 7 2 2" xfId="10349"/>
    <cellStyle name="Normal 130 7 2 2 2" xfId="17053"/>
    <cellStyle name="Normal 130 7 2 2 2 2" xfId="40474"/>
    <cellStyle name="Normal 130 7 2 2 3" xfId="33842"/>
    <cellStyle name="Normal 130 7 2 3" xfId="13737"/>
    <cellStyle name="Normal 130 7 2 3 2" xfId="37158"/>
    <cellStyle name="Normal 130 7 2 4" xfId="20578"/>
    <cellStyle name="Normal 130 7 2 4 2" xfId="43031"/>
    <cellStyle name="Normal 130 7 2 5" xfId="30526"/>
    <cellStyle name="Normal 130 7 3" xfId="8684"/>
    <cellStyle name="Normal 130 7 3 2" xfId="15395"/>
    <cellStyle name="Normal 130 7 3 2 2" xfId="38816"/>
    <cellStyle name="Normal 130 7 3 3" xfId="21271"/>
    <cellStyle name="Normal 130 7 3 3 2" xfId="43722"/>
    <cellStyle name="Normal 130 7 3 4" xfId="32184"/>
    <cellStyle name="Normal 130 7 4" xfId="12077"/>
    <cellStyle name="Normal 130 7 4 2" xfId="22508"/>
    <cellStyle name="Normal 130 7 4 2 2" xfId="44930"/>
    <cellStyle name="Normal 130 7 4 3" xfId="35500"/>
    <cellStyle name="Normal 130 7 5" xfId="19661"/>
    <cellStyle name="Normal 130 7 5 2" xfId="42198"/>
    <cellStyle name="Normal 130 7 6" xfId="28868"/>
    <cellStyle name="Normal 130 8" xfId="6140"/>
    <cellStyle name="Normal 130 8 2" xfId="9474"/>
    <cellStyle name="Normal 130 8 2 2" xfId="16178"/>
    <cellStyle name="Normal 130 8 2 2 2" xfId="39599"/>
    <cellStyle name="Normal 130 8 2 3" xfId="32967"/>
    <cellStyle name="Normal 130 8 3" xfId="12862"/>
    <cellStyle name="Normal 130 8 3 2" xfId="36283"/>
    <cellStyle name="Normal 130 8 4" xfId="17898"/>
    <cellStyle name="Normal 130 8 4 2" xfId="41248"/>
    <cellStyle name="Normal 130 8 5" xfId="29651"/>
    <cellStyle name="Normal 130 9" xfId="7805"/>
    <cellStyle name="Normal 130 9 2" xfId="14520"/>
    <cellStyle name="Normal 130 9 2 2" xfId="37941"/>
    <cellStyle name="Normal 130 9 3" xfId="20812"/>
    <cellStyle name="Normal 130 9 3 2" xfId="43263"/>
    <cellStyle name="Normal 130 9 4" xfId="31309"/>
    <cellStyle name="Normal 131" xfId="1310"/>
    <cellStyle name="Normal 131 2" xfId="18646"/>
    <cellStyle name="Normal 132" xfId="1448"/>
    <cellStyle name="Normal 132 2" xfId="18647"/>
    <cellStyle name="Normal 132 3" xfId="23396"/>
    <cellStyle name="Normal 133" xfId="1436"/>
    <cellStyle name="Normal 133 10" xfId="11205"/>
    <cellStyle name="Normal 133 10 2" xfId="21665"/>
    <cellStyle name="Normal 133 10 2 2" xfId="44114"/>
    <cellStyle name="Normal 133 10 3" xfId="34628"/>
    <cellStyle name="Normal 133 11" xfId="18032"/>
    <cellStyle name="Normal 133 11 2" xfId="41337"/>
    <cellStyle name="Normal 133 12" xfId="23614"/>
    <cellStyle name="Normal 133 12 2" xfId="45929"/>
    <cellStyle name="Normal 133 13" xfId="23388"/>
    <cellStyle name="Normal 133 14" xfId="27996"/>
    <cellStyle name="Normal 133 2" xfId="1496"/>
    <cellStyle name="Normal 133 2 10" xfId="18033"/>
    <cellStyle name="Normal 133 2 10 2" xfId="41338"/>
    <cellStyle name="Normal 133 2 11" xfId="23615"/>
    <cellStyle name="Normal 133 2 11 2" xfId="45930"/>
    <cellStyle name="Normal 133 2 12" xfId="28032"/>
    <cellStyle name="Normal 133 2 2" xfId="1636"/>
    <cellStyle name="Normal 133 2 2 10" xfId="23616"/>
    <cellStyle name="Normal 133 2 2 10 2" xfId="45931"/>
    <cellStyle name="Normal 133 2 2 11" xfId="28075"/>
    <cellStyle name="Normal 133 2 2 2" xfId="1854"/>
    <cellStyle name="Normal 133 2 2 2 10" xfId="28206"/>
    <cellStyle name="Normal 133 2 2 2 2" xfId="2279"/>
    <cellStyle name="Normal 133 2 2 2 2 2" xfId="5550"/>
    <cellStyle name="Normal 133 2 2 2 2 2 2" xfId="7374"/>
    <cellStyle name="Normal 133 2 2 2 2 2 2 2" xfId="10705"/>
    <cellStyle name="Normal 133 2 2 2 2 2 2 2 2" xfId="17409"/>
    <cellStyle name="Normal 133 2 2 2 2 2 2 2 2 2" xfId="40830"/>
    <cellStyle name="Normal 133 2 2 2 2 2 2 2 3" xfId="23125"/>
    <cellStyle name="Normal 133 2 2 2 2 2 2 2 3 2" xfId="45547"/>
    <cellStyle name="Normal 133 2 2 2 2 2 2 2 4" xfId="34198"/>
    <cellStyle name="Normal 133 2 2 2 2 2 2 3" xfId="14093"/>
    <cellStyle name="Normal 133 2 2 2 2 2 2 3 2" xfId="37514"/>
    <cellStyle name="Normal 133 2 2 2 2 2 2 4" xfId="20298"/>
    <cellStyle name="Normal 133 2 2 2 2 2 2 4 2" xfId="42833"/>
    <cellStyle name="Normal 133 2 2 2 2 2 2 5" xfId="30882"/>
    <cellStyle name="Normal 133 2 2 2 2 2 3" xfId="9047"/>
    <cellStyle name="Normal 133 2 2 2 2 2 3 2" xfId="15751"/>
    <cellStyle name="Normal 133 2 2 2 2 2 3 2 2" xfId="39172"/>
    <cellStyle name="Normal 133 2 2 2 2 2 3 3" xfId="21291"/>
    <cellStyle name="Normal 133 2 2 2 2 2 3 3 2" xfId="43742"/>
    <cellStyle name="Normal 133 2 2 2 2 2 3 4" xfId="32540"/>
    <cellStyle name="Normal 133 2 2 2 2 2 4" xfId="12435"/>
    <cellStyle name="Normal 133 2 2 2 2 2 4 2" xfId="22311"/>
    <cellStyle name="Normal 133 2 2 2 2 2 4 2 2" xfId="44733"/>
    <cellStyle name="Normal 133 2 2 2 2 2 4 3" xfId="35856"/>
    <cellStyle name="Normal 133 2 2 2 2 2 5" xfId="19459"/>
    <cellStyle name="Normal 133 2 2 2 2 2 5 2" xfId="42001"/>
    <cellStyle name="Normal 133 2 2 2 2 2 6" xfId="29224"/>
    <cellStyle name="Normal 133 2 2 2 2 3" xfId="6470"/>
    <cellStyle name="Normal 133 2 2 2 2 3 2" xfId="9804"/>
    <cellStyle name="Normal 133 2 2 2 2 3 2 2" xfId="16508"/>
    <cellStyle name="Normal 133 2 2 2 2 3 2 2 2" xfId="39929"/>
    <cellStyle name="Normal 133 2 2 2 2 3 2 3" xfId="22719"/>
    <cellStyle name="Normal 133 2 2 2 2 3 2 3 2" xfId="45141"/>
    <cellStyle name="Normal 133 2 2 2 2 3 2 4" xfId="33297"/>
    <cellStyle name="Normal 133 2 2 2 2 3 3" xfId="13192"/>
    <cellStyle name="Normal 133 2 2 2 2 3 3 2" xfId="36613"/>
    <cellStyle name="Normal 133 2 2 2 2 3 4" xfId="19882"/>
    <cellStyle name="Normal 133 2 2 2 2 3 4 2" xfId="42417"/>
    <cellStyle name="Normal 133 2 2 2 2 3 5" xfId="29981"/>
    <cellStyle name="Normal 133 2 2 2 2 4" xfId="8137"/>
    <cellStyle name="Normal 133 2 2 2 2 4 2" xfId="14850"/>
    <cellStyle name="Normal 133 2 2 2 2 4 2 2" xfId="38271"/>
    <cellStyle name="Normal 133 2 2 2 2 4 3" xfId="20832"/>
    <cellStyle name="Normal 133 2 2 2 2 4 3 2" xfId="43283"/>
    <cellStyle name="Normal 133 2 2 2 2 4 4" xfId="31639"/>
    <cellStyle name="Normal 133 2 2 2 2 5" xfId="11532"/>
    <cellStyle name="Normal 133 2 2 2 2 5 2" xfId="21879"/>
    <cellStyle name="Normal 133 2 2 2 2 5 2 2" xfId="44319"/>
    <cellStyle name="Normal 133 2 2 2 2 5 3" xfId="34955"/>
    <cellStyle name="Normal 133 2 2 2 2 6" xfId="18651"/>
    <cellStyle name="Normal 133 2 2 2 2 6 2" xfId="41576"/>
    <cellStyle name="Normal 133 2 2 2 2 7" xfId="25879"/>
    <cellStyle name="Normal 133 2 2 2 2 7 2" xfId="48124"/>
    <cellStyle name="Normal 133 2 2 2 2 8" xfId="28323"/>
    <cellStyle name="Normal 133 2 2 2 3" xfId="2851"/>
    <cellStyle name="Normal 133 2 2 2 3 2" xfId="5943"/>
    <cellStyle name="Normal 133 2 2 2 3 2 2" xfId="7725"/>
    <cellStyle name="Normal 133 2 2 2 3 2 2 2" xfId="11054"/>
    <cellStyle name="Normal 133 2 2 2 3 2 2 2 2" xfId="17758"/>
    <cellStyle name="Normal 133 2 2 2 3 2 2 2 2 2" xfId="41179"/>
    <cellStyle name="Normal 133 2 2 2 3 2 2 2 3" xfId="34547"/>
    <cellStyle name="Normal 133 2 2 2 3 2 2 3" xfId="14442"/>
    <cellStyle name="Normal 133 2 2 2 3 2 2 3 2" xfId="37863"/>
    <cellStyle name="Normal 133 2 2 2 3 2 2 4" xfId="22925"/>
    <cellStyle name="Normal 133 2 2 2 3 2 2 4 2" xfId="45347"/>
    <cellStyle name="Normal 133 2 2 2 3 2 2 5" xfId="31231"/>
    <cellStyle name="Normal 133 2 2 2 3 2 3" xfId="9396"/>
    <cellStyle name="Normal 133 2 2 2 3 2 3 2" xfId="16100"/>
    <cellStyle name="Normal 133 2 2 2 3 2 3 2 2" xfId="39521"/>
    <cellStyle name="Normal 133 2 2 2 3 2 3 3" xfId="32889"/>
    <cellStyle name="Normal 133 2 2 2 3 2 4" xfId="12784"/>
    <cellStyle name="Normal 133 2 2 2 3 2 4 2" xfId="36205"/>
    <cellStyle name="Normal 133 2 2 2 3 2 5" xfId="20090"/>
    <cellStyle name="Normal 133 2 2 2 3 2 5 2" xfId="42625"/>
    <cellStyle name="Normal 133 2 2 2 3 2 6" xfId="29573"/>
    <cellStyle name="Normal 133 2 2 2 3 3" xfId="6826"/>
    <cellStyle name="Normal 133 2 2 2 3 3 2" xfId="10158"/>
    <cellStyle name="Normal 133 2 2 2 3 3 2 2" xfId="16862"/>
    <cellStyle name="Normal 133 2 2 2 3 3 2 2 2" xfId="40283"/>
    <cellStyle name="Normal 133 2 2 2 3 3 2 3" xfId="33651"/>
    <cellStyle name="Normal 133 2 2 2 3 3 3" xfId="13546"/>
    <cellStyle name="Normal 133 2 2 2 3 3 3 2" xfId="36967"/>
    <cellStyle name="Normal 133 2 2 2 3 3 4" xfId="21290"/>
    <cellStyle name="Normal 133 2 2 2 3 3 4 2" xfId="43741"/>
    <cellStyle name="Normal 133 2 2 2 3 3 5" xfId="30335"/>
    <cellStyle name="Normal 133 2 2 2 3 4" xfId="8492"/>
    <cellStyle name="Normal 133 2 2 2 3 4 2" xfId="15204"/>
    <cellStyle name="Normal 133 2 2 2 3 4 2 2" xfId="38625"/>
    <cellStyle name="Normal 133 2 2 2 3 4 3" xfId="22098"/>
    <cellStyle name="Normal 133 2 2 2 3 4 3 2" xfId="44526"/>
    <cellStyle name="Normal 133 2 2 2 3 4 4" xfId="31993"/>
    <cellStyle name="Normal 133 2 2 2 3 5" xfId="11886"/>
    <cellStyle name="Normal 133 2 2 2 3 5 2" xfId="35309"/>
    <cellStyle name="Normal 133 2 2 2 3 6" xfId="19236"/>
    <cellStyle name="Normal 133 2 2 2 3 6 2" xfId="41793"/>
    <cellStyle name="Normal 133 2 2 2 3 7" xfId="28677"/>
    <cellStyle name="Normal 133 2 2 2 4" xfId="3933"/>
    <cellStyle name="Normal 133 2 2 2 4 2" xfId="7028"/>
    <cellStyle name="Normal 133 2 2 2 4 2 2" xfId="10360"/>
    <cellStyle name="Normal 133 2 2 2 4 2 2 2" xfId="17064"/>
    <cellStyle name="Normal 133 2 2 2 4 2 2 2 2" xfId="40485"/>
    <cellStyle name="Normal 133 2 2 2 4 2 2 3" xfId="33853"/>
    <cellStyle name="Normal 133 2 2 2 4 2 3" xfId="13748"/>
    <cellStyle name="Normal 133 2 2 2 4 2 3 2" xfId="37169"/>
    <cellStyle name="Normal 133 2 2 2 4 2 4" xfId="22519"/>
    <cellStyle name="Normal 133 2 2 2 4 2 4 2" xfId="44941"/>
    <cellStyle name="Normal 133 2 2 2 4 2 5" xfId="30537"/>
    <cellStyle name="Normal 133 2 2 2 4 3" xfId="8695"/>
    <cellStyle name="Normal 133 2 2 2 4 3 2" xfId="15406"/>
    <cellStyle name="Normal 133 2 2 2 4 3 2 2" xfId="38827"/>
    <cellStyle name="Normal 133 2 2 2 4 3 3" xfId="32195"/>
    <cellStyle name="Normal 133 2 2 2 4 4" xfId="12088"/>
    <cellStyle name="Normal 133 2 2 2 4 4 2" xfId="35511"/>
    <cellStyle name="Normal 133 2 2 2 4 5" xfId="19672"/>
    <cellStyle name="Normal 133 2 2 2 4 5 2" xfId="42209"/>
    <cellStyle name="Normal 133 2 2 2 4 6" xfId="28879"/>
    <cellStyle name="Normal 133 2 2 2 5" xfId="6353"/>
    <cellStyle name="Normal 133 2 2 2 5 2" xfId="9687"/>
    <cellStyle name="Normal 133 2 2 2 5 2 2" xfId="16391"/>
    <cellStyle name="Normal 133 2 2 2 5 2 2 2" xfId="39812"/>
    <cellStyle name="Normal 133 2 2 2 5 2 3" xfId="33180"/>
    <cellStyle name="Normal 133 2 2 2 5 3" xfId="13075"/>
    <cellStyle name="Normal 133 2 2 2 5 3 2" xfId="36496"/>
    <cellStyle name="Normal 133 2 2 2 5 4" xfId="20831"/>
    <cellStyle name="Normal 133 2 2 2 5 4 2" xfId="43282"/>
    <cellStyle name="Normal 133 2 2 2 5 5" xfId="29864"/>
    <cellStyle name="Normal 133 2 2 2 6" xfId="8019"/>
    <cellStyle name="Normal 133 2 2 2 6 2" xfId="14733"/>
    <cellStyle name="Normal 133 2 2 2 6 2 2" xfId="38154"/>
    <cellStyle name="Normal 133 2 2 2 6 3" xfId="21668"/>
    <cellStyle name="Normal 133 2 2 2 6 3 2" xfId="44117"/>
    <cellStyle name="Normal 133 2 2 2 6 4" xfId="31522"/>
    <cellStyle name="Normal 133 2 2 2 7" xfId="11415"/>
    <cellStyle name="Normal 133 2 2 2 7 2" xfId="34838"/>
    <cellStyle name="Normal 133 2 2 2 8" xfId="18035"/>
    <cellStyle name="Normal 133 2 2 2 8 2" xfId="41340"/>
    <cellStyle name="Normal 133 2 2 2 9" xfId="23617"/>
    <cellStyle name="Normal 133 2 2 2 9 2" xfId="45932"/>
    <cellStyle name="Normal 133 2 2 3" xfId="2278"/>
    <cellStyle name="Normal 133 2 2 3 2" xfId="5549"/>
    <cellStyle name="Normal 133 2 2 3 2 2" xfId="7373"/>
    <cellStyle name="Normal 133 2 2 3 2 2 2" xfId="10704"/>
    <cellStyle name="Normal 133 2 2 3 2 2 2 2" xfId="17408"/>
    <cellStyle name="Normal 133 2 2 3 2 2 2 2 2" xfId="40829"/>
    <cellStyle name="Normal 133 2 2 3 2 2 2 3" xfId="23124"/>
    <cellStyle name="Normal 133 2 2 3 2 2 2 3 2" xfId="45546"/>
    <cellStyle name="Normal 133 2 2 3 2 2 2 4" xfId="34197"/>
    <cellStyle name="Normal 133 2 2 3 2 2 3" xfId="14092"/>
    <cellStyle name="Normal 133 2 2 3 2 2 3 2" xfId="37513"/>
    <cellStyle name="Normal 133 2 2 3 2 2 4" xfId="20297"/>
    <cellStyle name="Normal 133 2 2 3 2 2 4 2" xfId="42832"/>
    <cellStyle name="Normal 133 2 2 3 2 2 5" xfId="30881"/>
    <cellStyle name="Normal 133 2 2 3 2 3" xfId="9046"/>
    <cellStyle name="Normal 133 2 2 3 2 3 2" xfId="15750"/>
    <cellStyle name="Normal 133 2 2 3 2 3 2 2" xfId="39171"/>
    <cellStyle name="Normal 133 2 2 3 2 3 3" xfId="21292"/>
    <cellStyle name="Normal 133 2 2 3 2 3 3 2" xfId="43743"/>
    <cellStyle name="Normal 133 2 2 3 2 3 4" xfId="32539"/>
    <cellStyle name="Normal 133 2 2 3 2 4" xfId="12434"/>
    <cellStyle name="Normal 133 2 2 3 2 4 2" xfId="22310"/>
    <cellStyle name="Normal 133 2 2 3 2 4 2 2" xfId="44732"/>
    <cellStyle name="Normal 133 2 2 3 2 4 3" xfId="35855"/>
    <cellStyle name="Normal 133 2 2 3 2 5" xfId="19458"/>
    <cellStyle name="Normal 133 2 2 3 2 5 2" xfId="42000"/>
    <cellStyle name="Normal 133 2 2 3 2 6" xfId="29223"/>
    <cellStyle name="Normal 133 2 2 3 3" xfId="6469"/>
    <cellStyle name="Normal 133 2 2 3 3 2" xfId="9803"/>
    <cellStyle name="Normal 133 2 2 3 3 2 2" xfId="16507"/>
    <cellStyle name="Normal 133 2 2 3 3 2 2 2" xfId="39928"/>
    <cellStyle name="Normal 133 2 2 3 3 2 3" xfId="22718"/>
    <cellStyle name="Normal 133 2 2 3 3 2 3 2" xfId="45140"/>
    <cellStyle name="Normal 133 2 2 3 3 2 4" xfId="33296"/>
    <cellStyle name="Normal 133 2 2 3 3 3" xfId="13191"/>
    <cellStyle name="Normal 133 2 2 3 3 3 2" xfId="36612"/>
    <cellStyle name="Normal 133 2 2 3 3 4" xfId="19881"/>
    <cellStyle name="Normal 133 2 2 3 3 4 2" xfId="42416"/>
    <cellStyle name="Normal 133 2 2 3 3 5" xfId="29980"/>
    <cellStyle name="Normal 133 2 2 3 4" xfId="8136"/>
    <cellStyle name="Normal 133 2 2 3 4 2" xfId="14849"/>
    <cellStyle name="Normal 133 2 2 3 4 2 2" xfId="38270"/>
    <cellStyle name="Normal 133 2 2 3 4 3" xfId="20833"/>
    <cellStyle name="Normal 133 2 2 3 4 3 2" xfId="43284"/>
    <cellStyle name="Normal 133 2 2 3 4 4" xfId="31638"/>
    <cellStyle name="Normal 133 2 2 3 5" xfId="11531"/>
    <cellStyle name="Normal 133 2 2 3 5 2" xfId="21878"/>
    <cellStyle name="Normal 133 2 2 3 5 2 2" xfId="44318"/>
    <cellStyle name="Normal 133 2 2 3 5 3" xfId="34954"/>
    <cellStyle name="Normal 133 2 2 3 6" xfId="18650"/>
    <cellStyle name="Normal 133 2 2 3 6 2" xfId="41575"/>
    <cellStyle name="Normal 133 2 2 3 7" xfId="25878"/>
    <cellStyle name="Normal 133 2 2 3 7 2" xfId="48123"/>
    <cellStyle name="Normal 133 2 2 3 8" xfId="28322"/>
    <cellStyle name="Normal 133 2 2 4" xfId="2719"/>
    <cellStyle name="Normal 133 2 2 4 2" xfId="5812"/>
    <cellStyle name="Normal 133 2 2 4 2 2" xfId="7594"/>
    <cellStyle name="Normal 133 2 2 4 2 2 2" xfId="10923"/>
    <cellStyle name="Normal 133 2 2 4 2 2 2 2" xfId="17627"/>
    <cellStyle name="Normal 133 2 2 4 2 2 2 2 2" xfId="41048"/>
    <cellStyle name="Normal 133 2 2 4 2 2 2 3" xfId="34416"/>
    <cellStyle name="Normal 133 2 2 4 2 2 3" xfId="14311"/>
    <cellStyle name="Normal 133 2 2 4 2 2 3 2" xfId="37732"/>
    <cellStyle name="Normal 133 2 2 4 2 2 4" xfId="22924"/>
    <cellStyle name="Normal 133 2 2 4 2 2 4 2" xfId="45346"/>
    <cellStyle name="Normal 133 2 2 4 2 2 5" xfId="31100"/>
    <cellStyle name="Normal 133 2 2 4 2 3" xfId="9265"/>
    <cellStyle name="Normal 133 2 2 4 2 3 2" xfId="15969"/>
    <cellStyle name="Normal 133 2 2 4 2 3 2 2" xfId="39390"/>
    <cellStyle name="Normal 133 2 2 4 2 3 3" xfId="32758"/>
    <cellStyle name="Normal 133 2 2 4 2 4" xfId="12653"/>
    <cellStyle name="Normal 133 2 2 4 2 4 2" xfId="36074"/>
    <cellStyle name="Normal 133 2 2 4 2 5" xfId="20089"/>
    <cellStyle name="Normal 133 2 2 4 2 5 2" xfId="42624"/>
    <cellStyle name="Normal 133 2 2 4 2 6" xfId="29442"/>
    <cellStyle name="Normal 133 2 2 4 3" xfId="6695"/>
    <cellStyle name="Normal 133 2 2 4 3 2" xfId="10027"/>
    <cellStyle name="Normal 133 2 2 4 3 2 2" xfId="16731"/>
    <cellStyle name="Normal 133 2 2 4 3 2 2 2" xfId="40152"/>
    <cellStyle name="Normal 133 2 2 4 3 2 3" xfId="33520"/>
    <cellStyle name="Normal 133 2 2 4 3 3" xfId="13415"/>
    <cellStyle name="Normal 133 2 2 4 3 3 2" xfId="36836"/>
    <cellStyle name="Normal 133 2 2 4 3 4" xfId="21289"/>
    <cellStyle name="Normal 133 2 2 4 3 4 2" xfId="43740"/>
    <cellStyle name="Normal 133 2 2 4 3 5" xfId="30204"/>
    <cellStyle name="Normal 133 2 2 4 4" xfId="8361"/>
    <cellStyle name="Normal 133 2 2 4 4 2" xfId="15073"/>
    <cellStyle name="Normal 133 2 2 4 4 2 2" xfId="38494"/>
    <cellStyle name="Normal 133 2 2 4 4 3" xfId="22097"/>
    <cellStyle name="Normal 133 2 2 4 4 3 2" xfId="44525"/>
    <cellStyle name="Normal 133 2 2 4 4 4" xfId="31862"/>
    <cellStyle name="Normal 133 2 2 4 5" xfId="11755"/>
    <cellStyle name="Normal 133 2 2 4 5 2" xfId="35178"/>
    <cellStyle name="Normal 133 2 2 4 6" xfId="19235"/>
    <cellStyle name="Normal 133 2 2 4 6 2" xfId="41792"/>
    <cellStyle name="Normal 133 2 2 4 7" xfId="28546"/>
    <cellStyle name="Normal 133 2 2 5" xfId="3932"/>
    <cellStyle name="Normal 133 2 2 5 2" xfId="7027"/>
    <cellStyle name="Normal 133 2 2 5 2 2" xfId="10359"/>
    <cellStyle name="Normal 133 2 2 5 2 2 2" xfId="17063"/>
    <cellStyle name="Normal 133 2 2 5 2 2 2 2" xfId="40484"/>
    <cellStyle name="Normal 133 2 2 5 2 2 3" xfId="33852"/>
    <cellStyle name="Normal 133 2 2 5 2 3" xfId="13747"/>
    <cellStyle name="Normal 133 2 2 5 2 3 2" xfId="37168"/>
    <cellStyle name="Normal 133 2 2 5 2 4" xfId="22518"/>
    <cellStyle name="Normal 133 2 2 5 2 4 2" xfId="44940"/>
    <cellStyle name="Normal 133 2 2 5 2 5" xfId="30536"/>
    <cellStyle name="Normal 133 2 2 5 3" xfId="8694"/>
    <cellStyle name="Normal 133 2 2 5 3 2" xfId="15405"/>
    <cellStyle name="Normal 133 2 2 5 3 2 2" xfId="38826"/>
    <cellStyle name="Normal 133 2 2 5 3 3" xfId="32194"/>
    <cellStyle name="Normal 133 2 2 5 4" xfId="12087"/>
    <cellStyle name="Normal 133 2 2 5 4 2" xfId="35510"/>
    <cellStyle name="Normal 133 2 2 5 5" xfId="19671"/>
    <cellStyle name="Normal 133 2 2 5 5 2" xfId="42208"/>
    <cellStyle name="Normal 133 2 2 5 6" xfId="28878"/>
    <cellStyle name="Normal 133 2 2 6" xfId="6222"/>
    <cellStyle name="Normal 133 2 2 6 2" xfId="9556"/>
    <cellStyle name="Normal 133 2 2 6 2 2" xfId="16260"/>
    <cellStyle name="Normal 133 2 2 6 2 2 2" xfId="39681"/>
    <cellStyle name="Normal 133 2 2 6 2 3" xfId="33049"/>
    <cellStyle name="Normal 133 2 2 6 3" xfId="12944"/>
    <cellStyle name="Normal 133 2 2 6 3 2" xfId="36365"/>
    <cellStyle name="Normal 133 2 2 6 4" xfId="20830"/>
    <cellStyle name="Normal 133 2 2 6 4 2" xfId="43281"/>
    <cellStyle name="Normal 133 2 2 6 5" xfId="29733"/>
    <cellStyle name="Normal 133 2 2 7" xfId="7888"/>
    <cellStyle name="Normal 133 2 2 7 2" xfId="14602"/>
    <cellStyle name="Normal 133 2 2 7 2 2" xfId="38023"/>
    <cellStyle name="Normal 133 2 2 7 3" xfId="21667"/>
    <cellStyle name="Normal 133 2 2 7 3 2" xfId="44116"/>
    <cellStyle name="Normal 133 2 2 7 4" xfId="31391"/>
    <cellStyle name="Normal 133 2 2 8" xfId="11284"/>
    <cellStyle name="Normal 133 2 2 8 2" xfId="34707"/>
    <cellStyle name="Normal 133 2 2 9" xfId="18034"/>
    <cellStyle name="Normal 133 2 2 9 2" xfId="41339"/>
    <cellStyle name="Normal 133 2 3" xfId="1811"/>
    <cellStyle name="Normal 133 2 3 10" xfId="28163"/>
    <cellStyle name="Normal 133 2 3 2" xfId="2280"/>
    <cellStyle name="Normal 133 2 3 2 2" xfId="5551"/>
    <cellStyle name="Normal 133 2 3 2 2 2" xfId="7375"/>
    <cellStyle name="Normal 133 2 3 2 2 2 2" xfId="10706"/>
    <cellStyle name="Normal 133 2 3 2 2 2 2 2" xfId="17410"/>
    <cellStyle name="Normal 133 2 3 2 2 2 2 2 2" xfId="40831"/>
    <cellStyle name="Normal 133 2 3 2 2 2 2 3" xfId="23126"/>
    <cellStyle name="Normal 133 2 3 2 2 2 2 3 2" xfId="45548"/>
    <cellStyle name="Normal 133 2 3 2 2 2 2 4" xfId="34199"/>
    <cellStyle name="Normal 133 2 3 2 2 2 3" xfId="14094"/>
    <cellStyle name="Normal 133 2 3 2 2 2 3 2" xfId="37515"/>
    <cellStyle name="Normal 133 2 3 2 2 2 4" xfId="20299"/>
    <cellStyle name="Normal 133 2 3 2 2 2 4 2" xfId="42834"/>
    <cellStyle name="Normal 133 2 3 2 2 2 5" xfId="30883"/>
    <cellStyle name="Normal 133 2 3 2 2 3" xfId="9048"/>
    <cellStyle name="Normal 133 2 3 2 2 3 2" xfId="15752"/>
    <cellStyle name="Normal 133 2 3 2 2 3 2 2" xfId="39173"/>
    <cellStyle name="Normal 133 2 3 2 2 3 3" xfId="21294"/>
    <cellStyle name="Normal 133 2 3 2 2 3 3 2" xfId="43745"/>
    <cellStyle name="Normal 133 2 3 2 2 3 4" xfId="32541"/>
    <cellStyle name="Normal 133 2 3 2 2 4" xfId="12436"/>
    <cellStyle name="Normal 133 2 3 2 2 4 2" xfId="22312"/>
    <cellStyle name="Normal 133 2 3 2 2 4 2 2" xfId="44734"/>
    <cellStyle name="Normal 133 2 3 2 2 4 3" xfId="35857"/>
    <cellStyle name="Normal 133 2 3 2 2 5" xfId="19460"/>
    <cellStyle name="Normal 133 2 3 2 2 5 2" xfId="42002"/>
    <cellStyle name="Normal 133 2 3 2 2 6" xfId="29225"/>
    <cellStyle name="Normal 133 2 3 2 3" xfId="6471"/>
    <cellStyle name="Normal 133 2 3 2 3 2" xfId="9805"/>
    <cellStyle name="Normal 133 2 3 2 3 2 2" xfId="16509"/>
    <cellStyle name="Normal 133 2 3 2 3 2 2 2" xfId="39930"/>
    <cellStyle name="Normal 133 2 3 2 3 2 3" xfId="22720"/>
    <cellStyle name="Normal 133 2 3 2 3 2 3 2" xfId="45142"/>
    <cellStyle name="Normal 133 2 3 2 3 2 4" xfId="33298"/>
    <cellStyle name="Normal 133 2 3 2 3 3" xfId="13193"/>
    <cellStyle name="Normal 133 2 3 2 3 3 2" xfId="36614"/>
    <cellStyle name="Normal 133 2 3 2 3 4" xfId="19883"/>
    <cellStyle name="Normal 133 2 3 2 3 4 2" xfId="42418"/>
    <cellStyle name="Normal 133 2 3 2 3 5" xfId="29982"/>
    <cellStyle name="Normal 133 2 3 2 4" xfId="8138"/>
    <cellStyle name="Normal 133 2 3 2 4 2" xfId="14851"/>
    <cellStyle name="Normal 133 2 3 2 4 2 2" xfId="38272"/>
    <cellStyle name="Normal 133 2 3 2 4 3" xfId="20835"/>
    <cellStyle name="Normal 133 2 3 2 4 3 2" xfId="43286"/>
    <cellStyle name="Normal 133 2 3 2 4 4" xfId="31640"/>
    <cellStyle name="Normal 133 2 3 2 5" xfId="11533"/>
    <cellStyle name="Normal 133 2 3 2 5 2" xfId="21880"/>
    <cellStyle name="Normal 133 2 3 2 5 2 2" xfId="44320"/>
    <cellStyle name="Normal 133 2 3 2 5 3" xfId="34956"/>
    <cellStyle name="Normal 133 2 3 2 6" xfId="18652"/>
    <cellStyle name="Normal 133 2 3 2 6 2" xfId="41577"/>
    <cellStyle name="Normal 133 2 3 2 7" xfId="25880"/>
    <cellStyle name="Normal 133 2 3 2 7 2" xfId="48125"/>
    <cellStyle name="Normal 133 2 3 2 8" xfId="28324"/>
    <cellStyle name="Normal 133 2 3 3" xfId="2808"/>
    <cellStyle name="Normal 133 2 3 3 2" xfId="5900"/>
    <cellStyle name="Normal 133 2 3 3 2 2" xfId="7682"/>
    <cellStyle name="Normal 133 2 3 3 2 2 2" xfId="11011"/>
    <cellStyle name="Normal 133 2 3 3 2 2 2 2" xfId="17715"/>
    <cellStyle name="Normal 133 2 3 3 2 2 2 2 2" xfId="41136"/>
    <cellStyle name="Normal 133 2 3 3 2 2 2 3" xfId="34504"/>
    <cellStyle name="Normal 133 2 3 3 2 2 3" xfId="14399"/>
    <cellStyle name="Normal 133 2 3 3 2 2 3 2" xfId="37820"/>
    <cellStyle name="Normal 133 2 3 3 2 2 4" xfId="22926"/>
    <cellStyle name="Normal 133 2 3 3 2 2 4 2" xfId="45348"/>
    <cellStyle name="Normal 133 2 3 3 2 2 5" xfId="31188"/>
    <cellStyle name="Normal 133 2 3 3 2 3" xfId="9353"/>
    <cellStyle name="Normal 133 2 3 3 2 3 2" xfId="16057"/>
    <cellStyle name="Normal 133 2 3 3 2 3 2 2" xfId="39478"/>
    <cellStyle name="Normal 133 2 3 3 2 3 3" xfId="32846"/>
    <cellStyle name="Normal 133 2 3 3 2 4" xfId="12741"/>
    <cellStyle name="Normal 133 2 3 3 2 4 2" xfId="36162"/>
    <cellStyle name="Normal 133 2 3 3 2 5" xfId="20091"/>
    <cellStyle name="Normal 133 2 3 3 2 5 2" xfId="42626"/>
    <cellStyle name="Normal 133 2 3 3 2 6" xfId="29530"/>
    <cellStyle name="Normal 133 2 3 3 3" xfId="6783"/>
    <cellStyle name="Normal 133 2 3 3 3 2" xfId="10115"/>
    <cellStyle name="Normal 133 2 3 3 3 2 2" xfId="16819"/>
    <cellStyle name="Normal 133 2 3 3 3 2 2 2" xfId="40240"/>
    <cellStyle name="Normal 133 2 3 3 3 2 3" xfId="33608"/>
    <cellStyle name="Normal 133 2 3 3 3 3" xfId="13503"/>
    <cellStyle name="Normal 133 2 3 3 3 3 2" xfId="36924"/>
    <cellStyle name="Normal 133 2 3 3 3 4" xfId="21293"/>
    <cellStyle name="Normal 133 2 3 3 3 4 2" xfId="43744"/>
    <cellStyle name="Normal 133 2 3 3 3 5" xfId="30292"/>
    <cellStyle name="Normal 133 2 3 3 4" xfId="8449"/>
    <cellStyle name="Normal 133 2 3 3 4 2" xfId="15161"/>
    <cellStyle name="Normal 133 2 3 3 4 2 2" xfId="38582"/>
    <cellStyle name="Normal 133 2 3 3 4 3" xfId="22099"/>
    <cellStyle name="Normal 133 2 3 3 4 3 2" xfId="44527"/>
    <cellStyle name="Normal 133 2 3 3 4 4" xfId="31950"/>
    <cellStyle name="Normal 133 2 3 3 5" xfId="11843"/>
    <cellStyle name="Normal 133 2 3 3 5 2" xfId="35266"/>
    <cellStyle name="Normal 133 2 3 3 6" xfId="19237"/>
    <cellStyle name="Normal 133 2 3 3 6 2" xfId="41794"/>
    <cellStyle name="Normal 133 2 3 3 7" xfId="28634"/>
    <cellStyle name="Normal 133 2 3 4" xfId="3934"/>
    <cellStyle name="Normal 133 2 3 4 2" xfId="7029"/>
    <cellStyle name="Normal 133 2 3 4 2 2" xfId="10361"/>
    <cellStyle name="Normal 133 2 3 4 2 2 2" xfId="17065"/>
    <cellStyle name="Normal 133 2 3 4 2 2 2 2" xfId="40486"/>
    <cellStyle name="Normal 133 2 3 4 2 2 3" xfId="33854"/>
    <cellStyle name="Normal 133 2 3 4 2 3" xfId="13749"/>
    <cellStyle name="Normal 133 2 3 4 2 3 2" xfId="37170"/>
    <cellStyle name="Normal 133 2 3 4 2 4" xfId="22520"/>
    <cellStyle name="Normal 133 2 3 4 2 4 2" xfId="44942"/>
    <cellStyle name="Normal 133 2 3 4 2 5" xfId="30538"/>
    <cellStyle name="Normal 133 2 3 4 3" xfId="8696"/>
    <cellStyle name="Normal 133 2 3 4 3 2" xfId="15407"/>
    <cellStyle name="Normal 133 2 3 4 3 2 2" xfId="38828"/>
    <cellStyle name="Normal 133 2 3 4 3 3" xfId="32196"/>
    <cellStyle name="Normal 133 2 3 4 4" xfId="12089"/>
    <cellStyle name="Normal 133 2 3 4 4 2" xfId="35512"/>
    <cellStyle name="Normal 133 2 3 4 5" xfId="19673"/>
    <cellStyle name="Normal 133 2 3 4 5 2" xfId="42210"/>
    <cellStyle name="Normal 133 2 3 4 6" xfId="28880"/>
    <cellStyle name="Normal 133 2 3 5" xfId="6310"/>
    <cellStyle name="Normal 133 2 3 5 2" xfId="9644"/>
    <cellStyle name="Normal 133 2 3 5 2 2" xfId="16348"/>
    <cellStyle name="Normal 133 2 3 5 2 2 2" xfId="39769"/>
    <cellStyle name="Normal 133 2 3 5 2 3" xfId="33137"/>
    <cellStyle name="Normal 133 2 3 5 3" xfId="13032"/>
    <cellStyle name="Normal 133 2 3 5 3 2" xfId="36453"/>
    <cellStyle name="Normal 133 2 3 5 4" xfId="20834"/>
    <cellStyle name="Normal 133 2 3 5 4 2" xfId="43285"/>
    <cellStyle name="Normal 133 2 3 5 5" xfId="29821"/>
    <cellStyle name="Normal 133 2 3 6" xfId="7976"/>
    <cellStyle name="Normal 133 2 3 6 2" xfId="14690"/>
    <cellStyle name="Normal 133 2 3 6 2 2" xfId="38111"/>
    <cellStyle name="Normal 133 2 3 6 3" xfId="21669"/>
    <cellStyle name="Normal 133 2 3 6 3 2" xfId="44118"/>
    <cellStyle name="Normal 133 2 3 6 4" xfId="31479"/>
    <cellStyle name="Normal 133 2 3 7" xfId="11372"/>
    <cellStyle name="Normal 133 2 3 7 2" xfId="34795"/>
    <cellStyle name="Normal 133 2 3 8" xfId="18036"/>
    <cellStyle name="Normal 133 2 3 8 2" xfId="41341"/>
    <cellStyle name="Normal 133 2 3 9" xfId="23618"/>
    <cellStyle name="Normal 133 2 3 9 2" xfId="45933"/>
    <cellStyle name="Normal 133 2 4" xfId="2277"/>
    <cellStyle name="Normal 133 2 4 2" xfId="5548"/>
    <cellStyle name="Normal 133 2 4 2 2" xfId="7372"/>
    <cellStyle name="Normal 133 2 4 2 2 2" xfId="10703"/>
    <cellStyle name="Normal 133 2 4 2 2 2 2" xfId="17407"/>
    <cellStyle name="Normal 133 2 4 2 2 2 2 2" xfId="40828"/>
    <cellStyle name="Normal 133 2 4 2 2 2 3" xfId="23123"/>
    <cellStyle name="Normal 133 2 4 2 2 2 3 2" xfId="45545"/>
    <cellStyle name="Normal 133 2 4 2 2 2 4" xfId="34196"/>
    <cellStyle name="Normal 133 2 4 2 2 3" xfId="14091"/>
    <cellStyle name="Normal 133 2 4 2 2 3 2" xfId="37512"/>
    <cellStyle name="Normal 133 2 4 2 2 4" xfId="20296"/>
    <cellStyle name="Normal 133 2 4 2 2 4 2" xfId="42831"/>
    <cellStyle name="Normal 133 2 4 2 2 5" xfId="30880"/>
    <cellStyle name="Normal 133 2 4 2 3" xfId="9045"/>
    <cellStyle name="Normal 133 2 4 2 3 2" xfId="15749"/>
    <cellStyle name="Normal 133 2 4 2 3 2 2" xfId="39170"/>
    <cellStyle name="Normal 133 2 4 2 3 3" xfId="21295"/>
    <cellStyle name="Normal 133 2 4 2 3 3 2" xfId="43746"/>
    <cellStyle name="Normal 133 2 4 2 3 4" xfId="32538"/>
    <cellStyle name="Normal 133 2 4 2 4" xfId="12433"/>
    <cellStyle name="Normal 133 2 4 2 4 2" xfId="22309"/>
    <cellStyle name="Normal 133 2 4 2 4 2 2" xfId="44731"/>
    <cellStyle name="Normal 133 2 4 2 4 3" xfId="35854"/>
    <cellStyle name="Normal 133 2 4 2 5" xfId="19457"/>
    <cellStyle name="Normal 133 2 4 2 5 2" xfId="41999"/>
    <cellStyle name="Normal 133 2 4 2 6" xfId="29222"/>
    <cellStyle name="Normal 133 2 4 3" xfId="6468"/>
    <cellStyle name="Normal 133 2 4 3 2" xfId="9802"/>
    <cellStyle name="Normal 133 2 4 3 2 2" xfId="16506"/>
    <cellStyle name="Normal 133 2 4 3 2 2 2" xfId="39927"/>
    <cellStyle name="Normal 133 2 4 3 2 3" xfId="22717"/>
    <cellStyle name="Normal 133 2 4 3 2 3 2" xfId="45139"/>
    <cellStyle name="Normal 133 2 4 3 2 4" xfId="33295"/>
    <cellStyle name="Normal 133 2 4 3 3" xfId="13190"/>
    <cellStyle name="Normal 133 2 4 3 3 2" xfId="36611"/>
    <cellStyle name="Normal 133 2 4 3 4" xfId="19880"/>
    <cellStyle name="Normal 133 2 4 3 4 2" xfId="42415"/>
    <cellStyle name="Normal 133 2 4 3 5" xfId="29979"/>
    <cellStyle name="Normal 133 2 4 4" xfId="8135"/>
    <cellStyle name="Normal 133 2 4 4 2" xfId="14848"/>
    <cellStyle name="Normal 133 2 4 4 2 2" xfId="38269"/>
    <cellStyle name="Normal 133 2 4 4 3" xfId="20836"/>
    <cellStyle name="Normal 133 2 4 4 3 2" xfId="43287"/>
    <cellStyle name="Normal 133 2 4 4 4" xfId="31637"/>
    <cellStyle name="Normal 133 2 4 5" xfId="11530"/>
    <cellStyle name="Normal 133 2 4 5 2" xfId="21877"/>
    <cellStyle name="Normal 133 2 4 5 2 2" xfId="44317"/>
    <cellStyle name="Normal 133 2 4 5 3" xfId="34953"/>
    <cellStyle name="Normal 133 2 4 6" xfId="18649"/>
    <cellStyle name="Normal 133 2 4 6 2" xfId="41574"/>
    <cellStyle name="Normal 133 2 4 7" xfId="25877"/>
    <cellStyle name="Normal 133 2 4 7 2" xfId="48122"/>
    <cellStyle name="Normal 133 2 4 8" xfId="28321"/>
    <cellStyle name="Normal 133 2 5" xfId="2676"/>
    <cellStyle name="Normal 133 2 5 2" xfId="5769"/>
    <cellStyle name="Normal 133 2 5 2 2" xfId="7551"/>
    <cellStyle name="Normal 133 2 5 2 2 2" xfId="10880"/>
    <cellStyle name="Normal 133 2 5 2 2 2 2" xfId="17584"/>
    <cellStyle name="Normal 133 2 5 2 2 2 2 2" xfId="41005"/>
    <cellStyle name="Normal 133 2 5 2 2 2 3" xfId="34373"/>
    <cellStyle name="Normal 133 2 5 2 2 3" xfId="14268"/>
    <cellStyle name="Normal 133 2 5 2 2 3 2" xfId="37689"/>
    <cellStyle name="Normal 133 2 5 2 2 4" xfId="20633"/>
    <cellStyle name="Normal 133 2 5 2 2 4 2" xfId="43084"/>
    <cellStyle name="Normal 133 2 5 2 2 5" xfId="31057"/>
    <cellStyle name="Normal 133 2 5 2 3" xfId="9222"/>
    <cellStyle name="Normal 133 2 5 2 3 2" xfId="15926"/>
    <cellStyle name="Normal 133 2 5 2 3 2 2" xfId="39347"/>
    <cellStyle name="Normal 133 2 5 2 3 3" xfId="21551"/>
    <cellStyle name="Normal 133 2 5 2 3 3 2" xfId="44002"/>
    <cellStyle name="Normal 133 2 5 2 3 4" xfId="32715"/>
    <cellStyle name="Normal 133 2 5 2 4" xfId="12610"/>
    <cellStyle name="Normal 133 2 5 2 4 2" xfId="22923"/>
    <cellStyle name="Normal 133 2 5 2 4 2 2" xfId="45345"/>
    <cellStyle name="Normal 133 2 5 2 4 3" xfId="36031"/>
    <cellStyle name="Normal 133 2 5 2 5" xfId="20088"/>
    <cellStyle name="Normal 133 2 5 2 5 2" xfId="42623"/>
    <cellStyle name="Normal 133 2 5 2 6" xfId="29399"/>
    <cellStyle name="Normal 133 2 5 3" xfId="6652"/>
    <cellStyle name="Normal 133 2 5 3 2" xfId="9984"/>
    <cellStyle name="Normal 133 2 5 3 2 2" xfId="16688"/>
    <cellStyle name="Normal 133 2 5 3 2 2 2" xfId="40109"/>
    <cellStyle name="Normal 133 2 5 3 2 3" xfId="33477"/>
    <cellStyle name="Normal 133 2 5 3 3" xfId="13372"/>
    <cellStyle name="Normal 133 2 5 3 3 2" xfId="36793"/>
    <cellStyle name="Normal 133 2 5 3 4" xfId="20535"/>
    <cellStyle name="Normal 133 2 5 3 4 2" xfId="42988"/>
    <cellStyle name="Normal 133 2 5 3 5" xfId="30161"/>
    <cellStyle name="Normal 133 2 5 4" xfId="8318"/>
    <cellStyle name="Normal 133 2 5 4 2" xfId="15030"/>
    <cellStyle name="Normal 133 2 5 4 2 2" xfId="38451"/>
    <cellStyle name="Normal 133 2 5 4 3" xfId="21092"/>
    <cellStyle name="Normal 133 2 5 4 3 2" xfId="43543"/>
    <cellStyle name="Normal 133 2 5 4 4" xfId="31819"/>
    <cellStyle name="Normal 133 2 5 5" xfId="11712"/>
    <cellStyle name="Normal 133 2 5 5 2" xfId="22096"/>
    <cellStyle name="Normal 133 2 5 5 2 2" xfId="44524"/>
    <cellStyle name="Normal 133 2 5 5 3" xfId="35135"/>
    <cellStyle name="Normal 133 2 5 6" xfId="19234"/>
    <cellStyle name="Normal 133 2 5 6 2" xfId="41791"/>
    <cellStyle name="Normal 133 2 5 7" xfId="28503"/>
    <cellStyle name="Normal 133 2 6" xfId="3931"/>
    <cellStyle name="Normal 133 2 6 2" xfId="7026"/>
    <cellStyle name="Normal 133 2 6 2 2" xfId="10358"/>
    <cellStyle name="Normal 133 2 6 2 2 2" xfId="17062"/>
    <cellStyle name="Normal 133 2 6 2 2 2 2" xfId="40483"/>
    <cellStyle name="Normal 133 2 6 2 2 3" xfId="33851"/>
    <cellStyle name="Normal 133 2 6 2 3" xfId="13746"/>
    <cellStyle name="Normal 133 2 6 2 3 2" xfId="37167"/>
    <cellStyle name="Normal 133 2 6 2 4" xfId="20581"/>
    <cellStyle name="Normal 133 2 6 2 4 2" xfId="43034"/>
    <cellStyle name="Normal 133 2 6 2 5" xfId="30535"/>
    <cellStyle name="Normal 133 2 6 3" xfId="8693"/>
    <cellStyle name="Normal 133 2 6 3 2" xfId="15404"/>
    <cellStyle name="Normal 133 2 6 3 2 2" xfId="38825"/>
    <cellStyle name="Normal 133 2 6 3 3" xfId="21288"/>
    <cellStyle name="Normal 133 2 6 3 3 2" xfId="43739"/>
    <cellStyle name="Normal 133 2 6 3 4" xfId="32193"/>
    <cellStyle name="Normal 133 2 6 4" xfId="12086"/>
    <cellStyle name="Normal 133 2 6 4 2" xfId="22517"/>
    <cellStyle name="Normal 133 2 6 4 2 2" xfId="44939"/>
    <cellStyle name="Normal 133 2 6 4 3" xfId="35509"/>
    <cellStyle name="Normal 133 2 6 5" xfId="19670"/>
    <cellStyle name="Normal 133 2 6 5 2" xfId="42207"/>
    <cellStyle name="Normal 133 2 6 6" xfId="28877"/>
    <cellStyle name="Normal 133 2 7" xfId="6179"/>
    <cellStyle name="Normal 133 2 7 2" xfId="9513"/>
    <cellStyle name="Normal 133 2 7 2 2" xfId="16217"/>
    <cellStyle name="Normal 133 2 7 2 2 2" xfId="39638"/>
    <cellStyle name="Normal 133 2 7 2 3" xfId="33006"/>
    <cellStyle name="Normal 133 2 7 3" xfId="12901"/>
    <cellStyle name="Normal 133 2 7 3 2" xfId="36322"/>
    <cellStyle name="Normal 133 2 7 4" xfId="17899"/>
    <cellStyle name="Normal 133 2 7 4 2" xfId="41249"/>
    <cellStyle name="Normal 133 2 7 5" xfId="29690"/>
    <cellStyle name="Normal 133 2 8" xfId="7845"/>
    <cellStyle name="Normal 133 2 8 2" xfId="14559"/>
    <cellStyle name="Normal 133 2 8 2 2" xfId="37980"/>
    <cellStyle name="Normal 133 2 8 3" xfId="20829"/>
    <cellStyle name="Normal 133 2 8 3 2" xfId="43280"/>
    <cellStyle name="Normal 133 2 8 4" xfId="31348"/>
    <cellStyle name="Normal 133 2 9" xfId="11241"/>
    <cellStyle name="Normal 133 2 9 2" xfId="21666"/>
    <cellStyle name="Normal 133 2 9 2 2" xfId="44115"/>
    <cellStyle name="Normal 133 2 9 3" xfId="34664"/>
    <cellStyle name="Normal 133 3" xfId="1635"/>
    <cellStyle name="Normal 133 3 10" xfId="23619"/>
    <cellStyle name="Normal 133 3 10 2" xfId="45934"/>
    <cellStyle name="Normal 133 3 11" xfId="28074"/>
    <cellStyle name="Normal 133 3 2" xfId="1853"/>
    <cellStyle name="Normal 133 3 2 10" xfId="28205"/>
    <cellStyle name="Normal 133 3 2 2" xfId="2282"/>
    <cellStyle name="Normal 133 3 2 2 2" xfId="5553"/>
    <cellStyle name="Normal 133 3 2 2 2 2" xfId="7377"/>
    <cellStyle name="Normal 133 3 2 2 2 2 2" xfId="10708"/>
    <cellStyle name="Normal 133 3 2 2 2 2 2 2" xfId="17412"/>
    <cellStyle name="Normal 133 3 2 2 2 2 2 2 2" xfId="40833"/>
    <cellStyle name="Normal 133 3 2 2 2 2 2 3" xfId="23128"/>
    <cellStyle name="Normal 133 3 2 2 2 2 2 3 2" xfId="45550"/>
    <cellStyle name="Normal 133 3 2 2 2 2 2 4" xfId="34201"/>
    <cellStyle name="Normal 133 3 2 2 2 2 3" xfId="14096"/>
    <cellStyle name="Normal 133 3 2 2 2 2 3 2" xfId="37517"/>
    <cellStyle name="Normal 133 3 2 2 2 2 4" xfId="20301"/>
    <cellStyle name="Normal 133 3 2 2 2 2 4 2" xfId="42836"/>
    <cellStyle name="Normal 133 3 2 2 2 2 5" xfId="30885"/>
    <cellStyle name="Normal 133 3 2 2 2 3" xfId="9050"/>
    <cellStyle name="Normal 133 3 2 2 2 3 2" xfId="15754"/>
    <cellStyle name="Normal 133 3 2 2 2 3 2 2" xfId="39175"/>
    <cellStyle name="Normal 133 3 2 2 2 3 3" xfId="21298"/>
    <cellStyle name="Normal 133 3 2 2 2 3 3 2" xfId="43749"/>
    <cellStyle name="Normal 133 3 2 2 2 3 4" xfId="32543"/>
    <cellStyle name="Normal 133 3 2 2 2 4" xfId="12438"/>
    <cellStyle name="Normal 133 3 2 2 2 4 2" xfId="22314"/>
    <cellStyle name="Normal 133 3 2 2 2 4 2 2" xfId="44736"/>
    <cellStyle name="Normal 133 3 2 2 2 4 3" xfId="35859"/>
    <cellStyle name="Normal 133 3 2 2 2 5" xfId="19462"/>
    <cellStyle name="Normal 133 3 2 2 2 5 2" xfId="42004"/>
    <cellStyle name="Normal 133 3 2 2 2 6" xfId="29227"/>
    <cellStyle name="Normal 133 3 2 2 3" xfId="6473"/>
    <cellStyle name="Normal 133 3 2 2 3 2" xfId="9807"/>
    <cellStyle name="Normal 133 3 2 2 3 2 2" xfId="16511"/>
    <cellStyle name="Normal 133 3 2 2 3 2 2 2" xfId="39932"/>
    <cellStyle name="Normal 133 3 2 2 3 2 3" xfId="22722"/>
    <cellStyle name="Normal 133 3 2 2 3 2 3 2" xfId="45144"/>
    <cellStyle name="Normal 133 3 2 2 3 2 4" xfId="33300"/>
    <cellStyle name="Normal 133 3 2 2 3 3" xfId="13195"/>
    <cellStyle name="Normal 133 3 2 2 3 3 2" xfId="36616"/>
    <cellStyle name="Normal 133 3 2 2 3 4" xfId="19885"/>
    <cellStyle name="Normal 133 3 2 2 3 4 2" xfId="42420"/>
    <cellStyle name="Normal 133 3 2 2 3 5" xfId="29984"/>
    <cellStyle name="Normal 133 3 2 2 4" xfId="8140"/>
    <cellStyle name="Normal 133 3 2 2 4 2" xfId="14853"/>
    <cellStyle name="Normal 133 3 2 2 4 2 2" xfId="38274"/>
    <cellStyle name="Normal 133 3 2 2 4 3" xfId="20839"/>
    <cellStyle name="Normal 133 3 2 2 4 3 2" xfId="43290"/>
    <cellStyle name="Normal 133 3 2 2 4 4" xfId="31642"/>
    <cellStyle name="Normal 133 3 2 2 5" xfId="11535"/>
    <cellStyle name="Normal 133 3 2 2 5 2" xfId="21882"/>
    <cellStyle name="Normal 133 3 2 2 5 2 2" xfId="44322"/>
    <cellStyle name="Normal 133 3 2 2 5 3" xfId="34958"/>
    <cellStyle name="Normal 133 3 2 2 6" xfId="18654"/>
    <cellStyle name="Normal 133 3 2 2 6 2" xfId="41579"/>
    <cellStyle name="Normal 133 3 2 2 7" xfId="25882"/>
    <cellStyle name="Normal 133 3 2 2 7 2" xfId="48127"/>
    <cellStyle name="Normal 133 3 2 2 8" xfId="28326"/>
    <cellStyle name="Normal 133 3 2 3" xfId="2850"/>
    <cellStyle name="Normal 133 3 2 3 2" xfId="5942"/>
    <cellStyle name="Normal 133 3 2 3 2 2" xfId="7724"/>
    <cellStyle name="Normal 133 3 2 3 2 2 2" xfId="11053"/>
    <cellStyle name="Normal 133 3 2 3 2 2 2 2" xfId="17757"/>
    <cellStyle name="Normal 133 3 2 3 2 2 2 2 2" xfId="41178"/>
    <cellStyle name="Normal 133 3 2 3 2 2 2 3" xfId="34546"/>
    <cellStyle name="Normal 133 3 2 3 2 2 3" xfId="14441"/>
    <cellStyle name="Normal 133 3 2 3 2 2 3 2" xfId="37862"/>
    <cellStyle name="Normal 133 3 2 3 2 2 4" xfId="22928"/>
    <cellStyle name="Normal 133 3 2 3 2 2 4 2" xfId="45350"/>
    <cellStyle name="Normal 133 3 2 3 2 2 5" xfId="31230"/>
    <cellStyle name="Normal 133 3 2 3 2 3" xfId="9395"/>
    <cellStyle name="Normal 133 3 2 3 2 3 2" xfId="16099"/>
    <cellStyle name="Normal 133 3 2 3 2 3 2 2" xfId="39520"/>
    <cellStyle name="Normal 133 3 2 3 2 3 3" xfId="32888"/>
    <cellStyle name="Normal 133 3 2 3 2 4" xfId="12783"/>
    <cellStyle name="Normal 133 3 2 3 2 4 2" xfId="36204"/>
    <cellStyle name="Normal 133 3 2 3 2 5" xfId="20093"/>
    <cellStyle name="Normal 133 3 2 3 2 5 2" xfId="42628"/>
    <cellStyle name="Normal 133 3 2 3 2 6" xfId="29572"/>
    <cellStyle name="Normal 133 3 2 3 3" xfId="6825"/>
    <cellStyle name="Normal 133 3 2 3 3 2" xfId="10157"/>
    <cellStyle name="Normal 133 3 2 3 3 2 2" xfId="16861"/>
    <cellStyle name="Normal 133 3 2 3 3 2 2 2" xfId="40282"/>
    <cellStyle name="Normal 133 3 2 3 3 2 3" xfId="33650"/>
    <cellStyle name="Normal 133 3 2 3 3 3" xfId="13545"/>
    <cellStyle name="Normal 133 3 2 3 3 3 2" xfId="36966"/>
    <cellStyle name="Normal 133 3 2 3 3 4" xfId="21297"/>
    <cellStyle name="Normal 133 3 2 3 3 4 2" xfId="43748"/>
    <cellStyle name="Normal 133 3 2 3 3 5" xfId="30334"/>
    <cellStyle name="Normal 133 3 2 3 4" xfId="8491"/>
    <cellStyle name="Normal 133 3 2 3 4 2" xfId="15203"/>
    <cellStyle name="Normal 133 3 2 3 4 2 2" xfId="38624"/>
    <cellStyle name="Normal 133 3 2 3 4 3" xfId="22101"/>
    <cellStyle name="Normal 133 3 2 3 4 3 2" xfId="44529"/>
    <cellStyle name="Normal 133 3 2 3 4 4" xfId="31992"/>
    <cellStyle name="Normal 133 3 2 3 5" xfId="11885"/>
    <cellStyle name="Normal 133 3 2 3 5 2" xfId="35308"/>
    <cellStyle name="Normal 133 3 2 3 6" xfId="19239"/>
    <cellStyle name="Normal 133 3 2 3 6 2" xfId="41796"/>
    <cellStyle name="Normal 133 3 2 3 7" xfId="28676"/>
    <cellStyle name="Normal 133 3 2 4" xfId="3936"/>
    <cellStyle name="Normal 133 3 2 4 2" xfId="7031"/>
    <cellStyle name="Normal 133 3 2 4 2 2" xfId="10363"/>
    <cellStyle name="Normal 133 3 2 4 2 2 2" xfId="17067"/>
    <cellStyle name="Normal 133 3 2 4 2 2 2 2" xfId="40488"/>
    <cellStyle name="Normal 133 3 2 4 2 2 3" xfId="33856"/>
    <cellStyle name="Normal 133 3 2 4 2 3" xfId="13751"/>
    <cellStyle name="Normal 133 3 2 4 2 3 2" xfId="37172"/>
    <cellStyle name="Normal 133 3 2 4 2 4" xfId="22522"/>
    <cellStyle name="Normal 133 3 2 4 2 4 2" xfId="44944"/>
    <cellStyle name="Normal 133 3 2 4 2 5" xfId="30540"/>
    <cellStyle name="Normal 133 3 2 4 3" xfId="8698"/>
    <cellStyle name="Normal 133 3 2 4 3 2" xfId="15409"/>
    <cellStyle name="Normal 133 3 2 4 3 2 2" xfId="38830"/>
    <cellStyle name="Normal 133 3 2 4 3 3" xfId="32198"/>
    <cellStyle name="Normal 133 3 2 4 4" xfId="12091"/>
    <cellStyle name="Normal 133 3 2 4 4 2" xfId="35514"/>
    <cellStyle name="Normal 133 3 2 4 5" xfId="19675"/>
    <cellStyle name="Normal 133 3 2 4 5 2" xfId="42212"/>
    <cellStyle name="Normal 133 3 2 4 6" xfId="28882"/>
    <cellStyle name="Normal 133 3 2 5" xfId="6352"/>
    <cellStyle name="Normal 133 3 2 5 2" xfId="9686"/>
    <cellStyle name="Normal 133 3 2 5 2 2" xfId="16390"/>
    <cellStyle name="Normal 133 3 2 5 2 2 2" xfId="39811"/>
    <cellStyle name="Normal 133 3 2 5 2 3" xfId="33179"/>
    <cellStyle name="Normal 133 3 2 5 3" xfId="13074"/>
    <cellStyle name="Normal 133 3 2 5 3 2" xfId="36495"/>
    <cellStyle name="Normal 133 3 2 5 4" xfId="20838"/>
    <cellStyle name="Normal 133 3 2 5 4 2" xfId="43289"/>
    <cellStyle name="Normal 133 3 2 5 5" xfId="29863"/>
    <cellStyle name="Normal 133 3 2 6" xfId="8018"/>
    <cellStyle name="Normal 133 3 2 6 2" xfId="14732"/>
    <cellStyle name="Normal 133 3 2 6 2 2" xfId="38153"/>
    <cellStyle name="Normal 133 3 2 6 3" xfId="21671"/>
    <cellStyle name="Normal 133 3 2 6 3 2" xfId="44120"/>
    <cellStyle name="Normal 133 3 2 6 4" xfId="31521"/>
    <cellStyle name="Normal 133 3 2 7" xfId="11414"/>
    <cellStyle name="Normal 133 3 2 7 2" xfId="34837"/>
    <cellStyle name="Normal 133 3 2 8" xfId="18038"/>
    <cellStyle name="Normal 133 3 2 8 2" xfId="41343"/>
    <cellStyle name="Normal 133 3 2 9" xfId="23620"/>
    <cellStyle name="Normal 133 3 2 9 2" xfId="45935"/>
    <cellStyle name="Normal 133 3 3" xfId="2281"/>
    <cellStyle name="Normal 133 3 3 2" xfId="5552"/>
    <cellStyle name="Normal 133 3 3 2 2" xfId="7376"/>
    <cellStyle name="Normal 133 3 3 2 2 2" xfId="10707"/>
    <cellStyle name="Normal 133 3 3 2 2 2 2" xfId="17411"/>
    <cellStyle name="Normal 133 3 3 2 2 2 2 2" xfId="40832"/>
    <cellStyle name="Normal 133 3 3 2 2 2 3" xfId="23127"/>
    <cellStyle name="Normal 133 3 3 2 2 2 3 2" xfId="45549"/>
    <cellStyle name="Normal 133 3 3 2 2 2 4" xfId="34200"/>
    <cellStyle name="Normal 133 3 3 2 2 3" xfId="14095"/>
    <cellStyle name="Normal 133 3 3 2 2 3 2" xfId="37516"/>
    <cellStyle name="Normal 133 3 3 2 2 4" xfId="20300"/>
    <cellStyle name="Normal 133 3 3 2 2 4 2" xfId="42835"/>
    <cellStyle name="Normal 133 3 3 2 2 5" xfId="30884"/>
    <cellStyle name="Normal 133 3 3 2 3" xfId="9049"/>
    <cellStyle name="Normal 133 3 3 2 3 2" xfId="15753"/>
    <cellStyle name="Normal 133 3 3 2 3 2 2" xfId="39174"/>
    <cellStyle name="Normal 133 3 3 2 3 3" xfId="21299"/>
    <cellStyle name="Normal 133 3 3 2 3 3 2" xfId="43750"/>
    <cellStyle name="Normal 133 3 3 2 3 4" xfId="32542"/>
    <cellStyle name="Normal 133 3 3 2 4" xfId="12437"/>
    <cellStyle name="Normal 133 3 3 2 4 2" xfId="22313"/>
    <cellStyle name="Normal 133 3 3 2 4 2 2" xfId="44735"/>
    <cellStyle name="Normal 133 3 3 2 4 3" xfId="35858"/>
    <cellStyle name="Normal 133 3 3 2 5" xfId="19461"/>
    <cellStyle name="Normal 133 3 3 2 5 2" xfId="42003"/>
    <cellStyle name="Normal 133 3 3 2 6" xfId="29226"/>
    <cellStyle name="Normal 133 3 3 3" xfId="6472"/>
    <cellStyle name="Normal 133 3 3 3 2" xfId="9806"/>
    <cellStyle name="Normal 133 3 3 3 2 2" xfId="16510"/>
    <cellStyle name="Normal 133 3 3 3 2 2 2" xfId="39931"/>
    <cellStyle name="Normal 133 3 3 3 2 3" xfId="22721"/>
    <cellStyle name="Normal 133 3 3 3 2 3 2" xfId="45143"/>
    <cellStyle name="Normal 133 3 3 3 2 4" xfId="33299"/>
    <cellStyle name="Normal 133 3 3 3 3" xfId="13194"/>
    <cellStyle name="Normal 133 3 3 3 3 2" xfId="36615"/>
    <cellStyle name="Normal 133 3 3 3 4" xfId="19884"/>
    <cellStyle name="Normal 133 3 3 3 4 2" xfId="42419"/>
    <cellStyle name="Normal 133 3 3 3 5" xfId="29983"/>
    <cellStyle name="Normal 133 3 3 4" xfId="8139"/>
    <cellStyle name="Normal 133 3 3 4 2" xfId="14852"/>
    <cellStyle name="Normal 133 3 3 4 2 2" xfId="38273"/>
    <cellStyle name="Normal 133 3 3 4 3" xfId="20840"/>
    <cellStyle name="Normal 133 3 3 4 3 2" xfId="43291"/>
    <cellStyle name="Normal 133 3 3 4 4" xfId="31641"/>
    <cellStyle name="Normal 133 3 3 5" xfId="11534"/>
    <cellStyle name="Normal 133 3 3 5 2" xfId="21881"/>
    <cellStyle name="Normal 133 3 3 5 2 2" xfId="44321"/>
    <cellStyle name="Normal 133 3 3 5 3" xfId="34957"/>
    <cellStyle name="Normal 133 3 3 6" xfId="18653"/>
    <cellStyle name="Normal 133 3 3 6 2" xfId="41578"/>
    <cellStyle name="Normal 133 3 3 7" xfId="25881"/>
    <cellStyle name="Normal 133 3 3 7 2" xfId="48126"/>
    <cellStyle name="Normal 133 3 3 8" xfId="28325"/>
    <cellStyle name="Normal 133 3 4" xfId="2718"/>
    <cellStyle name="Normal 133 3 4 2" xfId="5811"/>
    <cellStyle name="Normal 133 3 4 2 2" xfId="7593"/>
    <cellStyle name="Normal 133 3 4 2 2 2" xfId="10922"/>
    <cellStyle name="Normal 133 3 4 2 2 2 2" xfId="17626"/>
    <cellStyle name="Normal 133 3 4 2 2 2 2 2" xfId="41047"/>
    <cellStyle name="Normal 133 3 4 2 2 2 3" xfId="34415"/>
    <cellStyle name="Normal 133 3 4 2 2 3" xfId="14310"/>
    <cellStyle name="Normal 133 3 4 2 2 3 2" xfId="37731"/>
    <cellStyle name="Normal 133 3 4 2 2 4" xfId="22927"/>
    <cellStyle name="Normal 133 3 4 2 2 4 2" xfId="45349"/>
    <cellStyle name="Normal 133 3 4 2 2 5" xfId="31099"/>
    <cellStyle name="Normal 133 3 4 2 3" xfId="9264"/>
    <cellStyle name="Normal 133 3 4 2 3 2" xfId="15968"/>
    <cellStyle name="Normal 133 3 4 2 3 2 2" xfId="39389"/>
    <cellStyle name="Normal 133 3 4 2 3 3" xfId="32757"/>
    <cellStyle name="Normal 133 3 4 2 4" xfId="12652"/>
    <cellStyle name="Normal 133 3 4 2 4 2" xfId="36073"/>
    <cellStyle name="Normal 133 3 4 2 5" xfId="20092"/>
    <cellStyle name="Normal 133 3 4 2 5 2" xfId="42627"/>
    <cellStyle name="Normal 133 3 4 2 6" xfId="29441"/>
    <cellStyle name="Normal 133 3 4 3" xfId="6694"/>
    <cellStyle name="Normal 133 3 4 3 2" xfId="10026"/>
    <cellStyle name="Normal 133 3 4 3 2 2" xfId="16730"/>
    <cellStyle name="Normal 133 3 4 3 2 2 2" xfId="40151"/>
    <cellStyle name="Normal 133 3 4 3 2 3" xfId="33519"/>
    <cellStyle name="Normal 133 3 4 3 3" xfId="13414"/>
    <cellStyle name="Normal 133 3 4 3 3 2" xfId="36835"/>
    <cellStyle name="Normal 133 3 4 3 4" xfId="21296"/>
    <cellStyle name="Normal 133 3 4 3 4 2" xfId="43747"/>
    <cellStyle name="Normal 133 3 4 3 5" xfId="30203"/>
    <cellStyle name="Normal 133 3 4 4" xfId="8360"/>
    <cellStyle name="Normal 133 3 4 4 2" xfId="15072"/>
    <cellStyle name="Normal 133 3 4 4 2 2" xfId="38493"/>
    <cellStyle name="Normal 133 3 4 4 3" xfId="22100"/>
    <cellStyle name="Normal 133 3 4 4 3 2" xfId="44528"/>
    <cellStyle name="Normal 133 3 4 4 4" xfId="31861"/>
    <cellStyle name="Normal 133 3 4 5" xfId="11754"/>
    <cellStyle name="Normal 133 3 4 5 2" xfId="35177"/>
    <cellStyle name="Normal 133 3 4 6" xfId="19238"/>
    <cellStyle name="Normal 133 3 4 6 2" xfId="41795"/>
    <cellStyle name="Normal 133 3 4 7" xfId="28545"/>
    <cellStyle name="Normal 133 3 5" xfId="3935"/>
    <cellStyle name="Normal 133 3 5 2" xfId="7030"/>
    <cellStyle name="Normal 133 3 5 2 2" xfId="10362"/>
    <cellStyle name="Normal 133 3 5 2 2 2" xfId="17066"/>
    <cellStyle name="Normal 133 3 5 2 2 2 2" xfId="40487"/>
    <cellStyle name="Normal 133 3 5 2 2 3" xfId="33855"/>
    <cellStyle name="Normal 133 3 5 2 3" xfId="13750"/>
    <cellStyle name="Normal 133 3 5 2 3 2" xfId="37171"/>
    <cellStyle name="Normal 133 3 5 2 4" xfId="22521"/>
    <cellStyle name="Normal 133 3 5 2 4 2" xfId="44943"/>
    <cellStyle name="Normal 133 3 5 2 5" xfId="30539"/>
    <cellStyle name="Normal 133 3 5 3" xfId="8697"/>
    <cellStyle name="Normal 133 3 5 3 2" xfId="15408"/>
    <cellStyle name="Normal 133 3 5 3 2 2" xfId="38829"/>
    <cellStyle name="Normal 133 3 5 3 3" xfId="32197"/>
    <cellStyle name="Normal 133 3 5 4" xfId="12090"/>
    <cellStyle name="Normal 133 3 5 4 2" xfId="35513"/>
    <cellStyle name="Normal 133 3 5 5" xfId="19674"/>
    <cellStyle name="Normal 133 3 5 5 2" xfId="42211"/>
    <cellStyle name="Normal 133 3 5 6" xfId="28881"/>
    <cellStyle name="Normal 133 3 6" xfId="6221"/>
    <cellStyle name="Normal 133 3 6 2" xfId="9555"/>
    <cellStyle name="Normal 133 3 6 2 2" xfId="16259"/>
    <cellStyle name="Normal 133 3 6 2 2 2" xfId="39680"/>
    <cellStyle name="Normal 133 3 6 2 3" xfId="33048"/>
    <cellStyle name="Normal 133 3 6 3" xfId="12943"/>
    <cellStyle name="Normal 133 3 6 3 2" xfId="36364"/>
    <cellStyle name="Normal 133 3 6 4" xfId="20837"/>
    <cellStyle name="Normal 133 3 6 4 2" xfId="43288"/>
    <cellStyle name="Normal 133 3 6 5" xfId="29732"/>
    <cellStyle name="Normal 133 3 7" xfId="7887"/>
    <cellStyle name="Normal 133 3 7 2" xfId="14601"/>
    <cellStyle name="Normal 133 3 7 2 2" xfId="38022"/>
    <cellStyle name="Normal 133 3 7 3" xfId="21670"/>
    <cellStyle name="Normal 133 3 7 3 2" xfId="44119"/>
    <cellStyle name="Normal 133 3 7 4" xfId="31390"/>
    <cellStyle name="Normal 133 3 8" xfId="11283"/>
    <cellStyle name="Normal 133 3 8 2" xfId="34706"/>
    <cellStyle name="Normal 133 3 9" xfId="18037"/>
    <cellStyle name="Normal 133 3 9 2" xfId="41342"/>
    <cellStyle name="Normal 133 4" xfId="1775"/>
    <cellStyle name="Normal 133 4 10" xfId="28127"/>
    <cellStyle name="Normal 133 4 2" xfId="2283"/>
    <cellStyle name="Normal 133 4 2 2" xfId="5554"/>
    <cellStyle name="Normal 133 4 2 2 2" xfId="7378"/>
    <cellStyle name="Normal 133 4 2 2 2 2" xfId="10709"/>
    <cellStyle name="Normal 133 4 2 2 2 2 2" xfId="17413"/>
    <cellStyle name="Normal 133 4 2 2 2 2 2 2" xfId="40834"/>
    <cellStyle name="Normal 133 4 2 2 2 2 3" xfId="23129"/>
    <cellStyle name="Normal 133 4 2 2 2 2 3 2" xfId="45551"/>
    <cellStyle name="Normal 133 4 2 2 2 2 4" xfId="34202"/>
    <cellStyle name="Normal 133 4 2 2 2 3" xfId="14097"/>
    <cellStyle name="Normal 133 4 2 2 2 3 2" xfId="37518"/>
    <cellStyle name="Normal 133 4 2 2 2 4" xfId="20302"/>
    <cellStyle name="Normal 133 4 2 2 2 4 2" xfId="42837"/>
    <cellStyle name="Normal 133 4 2 2 2 5" xfId="30886"/>
    <cellStyle name="Normal 133 4 2 2 3" xfId="9051"/>
    <cellStyle name="Normal 133 4 2 2 3 2" xfId="15755"/>
    <cellStyle name="Normal 133 4 2 2 3 2 2" xfId="39176"/>
    <cellStyle name="Normal 133 4 2 2 3 3" xfId="21301"/>
    <cellStyle name="Normal 133 4 2 2 3 3 2" xfId="43752"/>
    <cellStyle name="Normal 133 4 2 2 3 4" xfId="32544"/>
    <cellStyle name="Normal 133 4 2 2 4" xfId="12439"/>
    <cellStyle name="Normal 133 4 2 2 4 2" xfId="22315"/>
    <cellStyle name="Normal 133 4 2 2 4 2 2" xfId="44737"/>
    <cellStyle name="Normal 133 4 2 2 4 3" xfId="35860"/>
    <cellStyle name="Normal 133 4 2 2 5" xfId="19463"/>
    <cellStyle name="Normal 133 4 2 2 5 2" xfId="42005"/>
    <cellStyle name="Normal 133 4 2 2 6" xfId="29228"/>
    <cellStyle name="Normal 133 4 2 3" xfId="6474"/>
    <cellStyle name="Normal 133 4 2 3 2" xfId="9808"/>
    <cellStyle name="Normal 133 4 2 3 2 2" xfId="16512"/>
    <cellStyle name="Normal 133 4 2 3 2 2 2" xfId="39933"/>
    <cellStyle name="Normal 133 4 2 3 2 3" xfId="22723"/>
    <cellStyle name="Normal 133 4 2 3 2 3 2" xfId="45145"/>
    <cellStyle name="Normal 133 4 2 3 2 4" xfId="33301"/>
    <cellStyle name="Normal 133 4 2 3 3" xfId="13196"/>
    <cellStyle name="Normal 133 4 2 3 3 2" xfId="36617"/>
    <cellStyle name="Normal 133 4 2 3 4" xfId="19886"/>
    <cellStyle name="Normal 133 4 2 3 4 2" xfId="42421"/>
    <cellStyle name="Normal 133 4 2 3 5" xfId="29985"/>
    <cellStyle name="Normal 133 4 2 4" xfId="8141"/>
    <cellStyle name="Normal 133 4 2 4 2" xfId="14854"/>
    <cellStyle name="Normal 133 4 2 4 2 2" xfId="38275"/>
    <cellStyle name="Normal 133 4 2 4 3" xfId="20842"/>
    <cellStyle name="Normal 133 4 2 4 3 2" xfId="43293"/>
    <cellStyle name="Normal 133 4 2 4 4" xfId="31643"/>
    <cellStyle name="Normal 133 4 2 5" xfId="11536"/>
    <cellStyle name="Normal 133 4 2 5 2" xfId="21883"/>
    <cellStyle name="Normal 133 4 2 5 2 2" xfId="44323"/>
    <cellStyle name="Normal 133 4 2 5 3" xfId="34959"/>
    <cellStyle name="Normal 133 4 2 6" xfId="18655"/>
    <cellStyle name="Normal 133 4 2 6 2" xfId="41580"/>
    <cellStyle name="Normal 133 4 2 7" xfId="25883"/>
    <cellStyle name="Normal 133 4 2 7 2" xfId="48128"/>
    <cellStyle name="Normal 133 4 2 8" xfId="28327"/>
    <cellStyle name="Normal 133 4 3" xfId="2772"/>
    <cellStyle name="Normal 133 4 3 2" xfId="5864"/>
    <cellStyle name="Normal 133 4 3 2 2" xfId="7646"/>
    <cellStyle name="Normal 133 4 3 2 2 2" xfId="10975"/>
    <cellStyle name="Normal 133 4 3 2 2 2 2" xfId="17679"/>
    <cellStyle name="Normal 133 4 3 2 2 2 2 2" xfId="41100"/>
    <cellStyle name="Normal 133 4 3 2 2 2 3" xfId="34468"/>
    <cellStyle name="Normal 133 4 3 2 2 3" xfId="14363"/>
    <cellStyle name="Normal 133 4 3 2 2 3 2" xfId="37784"/>
    <cellStyle name="Normal 133 4 3 2 2 4" xfId="22929"/>
    <cellStyle name="Normal 133 4 3 2 2 4 2" xfId="45351"/>
    <cellStyle name="Normal 133 4 3 2 2 5" xfId="31152"/>
    <cellStyle name="Normal 133 4 3 2 3" xfId="9317"/>
    <cellStyle name="Normal 133 4 3 2 3 2" xfId="16021"/>
    <cellStyle name="Normal 133 4 3 2 3 2 2" xfId="39442"/>
    <cellStyle name="Normal 133 4 3 2 3 3" xfId="32810"/>
    <cellStyle name="Normal 133 4 3 2 4" xfId="12705"/>
    <cellStyle name="Normal 133 4 3 2 4 2" xfId="36126"/>
    <cellStyle name="Normal 133 4 3 2 5" xfId="20094"/>
    <cellStyle name="Normal 133 4 3 2 5 2" xfId="42629"/>
    <cellStyle name="Normal 133 4 3 2 6" xfId="29494"/>
    <cellStyle name="Normal 133 4 3 3" xfId="6747"/>
    <cellStyle name="Normal 133 4 3 3 2" xfId="10079"/>
    <cellStyle name="Normal 133 4 3 3 2 2" xfId="16783"/>
    <cellStyle name="Normal 133 4 3 3 2 2 2" xfId="40204"/>
    <cellStyle name="Normal 133 4 3 3 2 3" xfId="33572"/>
    <cellStyle name="Normal 133 4 3 3 3" xfId="13467"/>
    <cellStyle name="Normal 133 4 3 3 3 2" xfId="36888"/>
    <cellStyle name="Normal 133 4 3 3 4" xfId="21300"/>
    <cellStyle name="Normal 133 4 3 3 4 2" xfId="43751"/>
    <cellStyle name="Normal 133 4 3 3 5" xfId="30256"/>
    <cellStyle name="Normal 133 4 3 4" xfId="8413"/>
    <cellStyle name="Normal 133 4 3 4 2" xfId="15125"/>
    <cellStyle name="Normal 133 4 3 4 2 2" xfId="38546"/>
    <cellStyle name="Normal 133 4 3 4 3" xfId="22102"/>
    <cellStyle name="Normal 133 4 3 4 3 2" xfId="44530"/>
    <cellStyle name="Normal 133 4 3 4 4" xfId="31914"/>
    <cellStyle name="Normal 133 4 3 5" xfId="11807"/>
    <cellStyle name="Normal 133 4 3 5 2" xfId="35230"/>
    <cellStyle name="Normal 133 4 3 6" xfId="19240"/>
    <cellStyle name="Normal 133 4 3 6 2" xfId="41797"/>
    <cellStyle name="Normal 133 4 3 7" xfId="28598"/>
    <cellStyle name="Normal 133 4 4" xfId="3937"/>
    <cellStyle name="Normal 133 4 4 2" xfId="7032"/>
    <cellStyle name="Normal 133 4 4 2 2" xfId="10364"/>
    <cellStyle name="Normal 133 4 4 2 2 2" xfId="17068"/>
    <cellStyle name="Normal 133 4 4 2 2 2 2" xfId="40489"/>
    <cellStyle name="Normal 133 4 4 2 2 3" xfId="33857"/>
    <cellStyle name="Normal 133 4 4 2 3" xfId="13752"/>
    <cellStyle name="Normal 133 4 4 2 3 2" xfId="37173"/>
    <cellStyle name="Normal 133 4 4 2 4" xfId="22523"/>
    <cellStyle name="Normal 133 4 4 2 4 2" xfId="44945"/>
    <cellStyle name="Normal 133 4 4 2 5" xfId="30541"/>
    <cellStyle name="Normal 133 4 4 3" xfId="8699"/>
    <cellStyle name="Normal 133 4 4 3 2" xfId="15410"/>
    <cellStyle name="Normal 133 4 4 3 2 2" xfId="38831"/>
    <cellStyle name="Normal 133 4 4 3 3" xfId="32199"/>
    <cellStyle name="Normal 133 4 4 4" xfId="12092"/>
    <cellStyle name="Normal 133 4 4 4 2" xfId="35515"/>
    <cellStyle name="Normal 133 4 4 5" xfId="19676"/>
    <cellStyle name="Normal 133 4 4 5 2" xfId="42213"/>
    <cellStyle name="Normal 133 4 4 6" xfId="28883"/>
    <cellStyle name="Normal 133 4 5" xfId="6274"/>
    <cellStyle name="Normal 133 4 5 2" xfId="9608"/>
    <cellStyle name="Normal 133 4 5 2 2" xfId="16312"/>
    <cellStyle name="Normal 133 4 5 2 2 2" xfId="39733"/>
    <cellStyle name="Normal 133 4 5 2 3" xfId="33101"/>
    <cellStyle name="Normal 133 4 5 3" xfId="12996"/>
    <cellStyle name="Normal 133 4 5 3 2" xfId="36417"/>
    <cellStyle name="Normal 133 4 5 4" xfId="20841"/>
    <cellStyle name="Normal 133 4 5 4 2" xfId="43292"/>
    <cellStyle name="Normal 133 4 5 5" xfId="29785"/>
    <cellStyle name="Normal 133 4 6" xfId="7940"/>
    <cellStyle name="Normal 133 4 6 2" xfId="14654"/>
    <cellStyle name="Normal 133 4 6 2 2" xfId="38075"/>
    <cellStyle name="Normal 133 4 6 3" xfId="21672"/>
    <cellStyle name="Normal 133 4 6 3 2" xfId="44121"/>
    <cellStyle name="Normal 133 4 6 4" xfId="31443"/>
    <cellStyle name="Normal 133 4 7" xfId="11336"/>
    <cellStyle name="Normal 133 4 7 2" xfId="34759"/>
    <cellStyle name="Normal 133 4 8" xfId="18039"/>
    <cellStyle name="Normal 133 4 8 2" xfId="41344"/>
    <cellStyle name="Normal 133 4 9" xfId="23621"/>
    <cellStyle name="Normal 133 4 9 2" xfId="45936"/>
    <cellStyle name="Normal 133 5" xfId="2276"/>
    <cellStyle name="Normal 133 5 2" xfId="5547"/>
    <cellStyle name="Normal 133 5 2 2" xfId="7371"/>
    <cellStyle name="Normal 133 5 2 2 2" xfId="10702"/>
    <cellStyle name="Normal 133 5 2 2 2 2" xfId="17406"/>
    <cellStyle name="Normal 133 5 2 2 2 2 2" xfId="40827"/>
    <cellStyle name="Normal 133 5 2 2 2 3" xfId="23122"/>
    <cellStyle name="Normal 133 5 2 2 2 3 2" xfId="45544"/>
    <cellStyle name="Normal 133 5 2 2 2 4" xfId="34195"/>
    <cellStyle name="Normal 133 5 2 2 3" xfId="14090"/>
    <cellStyle name="Normal 133 5 2 2 3 2" xfId="37511"/>
    <cellStyle name="Normal 133 5 2 2 4" xfId="20295"/>
    <cellStyle name="Normal 133 5 2 2 4 2" xfId="42830"/>
    <cellStyle name="Normal 133 5 2 2 5" xfId="30879"/>
    <cellStyle name="Normal 133 5 2 3" xfId="9044"/>
    <cellStyle name="Normal 133 5 2 3 2" xfId="15748"/>
    <cellStyle name="Normal 133 5 2 3 2 2" xfId="39169"/>
    <cellStyle name="Normal 133 5 2 3 3" xfId="21302"/>
    <cellStyle name="Normal 133 5 2 3 3 2" xfId="43753"/>
    <cellStyle name="Normal 133 5 2 3 4" xfId="32537"/>
    <cellStyle name="Normal 133 5 2 4" xfId="12432"/>
    <cellStyle name="Normal 133 5 2 4 2" xfId="22308"/>
    <cellStyle name="Normal 133 5 2 4 2 2" xfId="44730"/>
    <cellStyle name="Normal 133 5 2 4 3" xfId="35853"/>
    <cellStyle name="Normal 133 5 2 5" xfId="19456"/>
    <cellStyle name="Normal 133 5 2 5 2" xfId="41998"/>
    <cellStyle name="Normal 133 5 2 6" xfId="25876"/>
    <cellStyle name="Normal 133 5 2 6 2" xfId="48121"/>
    <cellStyle name="Normal 133 5 2 7" xfId="29221"/>
    <cellStyle name="Normal 133 5 3" xfId="6467"/>
    <cellStyle name="Normal 133 5 3 2" xfId="9801"/>
    <cellStyle name="Normal 133 5 3 2 2" xfId="16505"/>
    <cellStyle name="Normal 133 5 3 2 2 2" xfId="39926"/>
    <cellStyle name="Normal 133 5 3 2 3" xfId="22716"/>
    <cellStyle name="Normal 133 5 3 2 3 2" xfId="45138"/>
    <cellStyle name="Normal 133 5 3 2 4" xfId="33294"/>
    <cellStyle name="Normal 133 5 3 3" xfId="13189"/>
    <cellStyle name="Normal 133 5 3 3 2" xfId="36610"/>
    <cellStyle name="Normal 133 5 3 4" xfId="19879"/>
    <cellStyle name="Normal 133 5 3 4 2" xfId="42414"/>
    <cellStyle name="Normal 133 5 3 5" xfId="29978"/>
    <cellStyle name="Normal 133 5 4" xfId="8134"/>
    <cellStyle name="Normal 133 5 4 2" xfId="14847"/>
    <cellStyle name="Normal 133 5 4 2 2" xfId="38268"/>
    <cellStyle name="Normal 133 5 4 3" xfId="20843"/>
    <cellStyle name="Normal 133 5 4 3 2" xfId="43294"/>
    <cellStyle name="Normal 133 5 4 4" xfId="31636"/>
    <cellStyle name="Normal 133 5 5" xfId="11529"/>
    <cellStyle name="Normal 133 5 5 2" xfId="21876"/>
    <cellStyle name="Normal 133 5 5 2 2" xfId="44316"/>
    <cellStyle name="Normal 133 5 5 3" xfId="34952"/>
    <cellStyle name="Normal 133 5 6" xfId="18648"/>
    <cellStyle name="Normal 133 5 6 2" xfId="41573"/>
    <cellStyle name="Normal 133 5 7" xfId="23490"/>
    <cellStyle name="Normal 133 5 7 2" xfId="45829"/>
    <cellStyle name="Normal 133 5 8" xfId="28320"/>
    <cellStyle name="Normal 133 6" xfId="2639"/>
    <cellStyle name="Normal 133 6 2" xfId="5733"/>
    <cellStyle name="Normal 133 6 2 2" xfId="7516"/>
    <cellStyle name="Normal 133 6 2 2 2" xfId="10845"/>
    <cellStyle name="Normal 133 6 2 2 2 2" xfId="17549"/>
    <cellStyle name="Normal 133 6 2 2 2 2 2" xfId="40970"/>
    <cellStyle name="Normal 133 6 2 2 2 3" xfId="34338"/>
    <cellStyle name="Normal 133 6 2 2 3" xfId="14233"/>
    <cellStyle name="Normal 133 6 2 2 3 2" xfId="37654"/>
    <cellStyle name="Normal 133 6 2 2 4" xfId="20632"/>
    <cellStyle name="Normal 133 6 2 2 4 2" xfId="43083"/>
    <cellStyle name="Normal 133 6 2 2 5" xfId="31022"/>
    <cellStyle name="Normal 133 6 2 3" xfId="9187"/>
    <cellStyle name="Normal 133 6 2 3 2" xfId="15891"/>
    <cellStyle name="Normal 133 6 2 3 2 2" xfId="39312"/>
    <cellStyle name="Normal 133 6 2 3 3" xfId="21550"/>
    <cellStyle name="Normal 133 6 2 3 3 2" xfId="44001"/>
    <cellStyle name="Normal 133 6 2 3 4" xfId="32680"/>
    <cellStyle name="Normal 133 6 2 4" xfId="12575"/>
    <cellStyle name="Normal 133 6 2 4 2" xfId="22922"/>
    <cellStyle name="Normal 133 6 2 4 2 2" xfId="45344"/>
    <cellStyle name="Normal 133 6 2 4 3" xfId="35996"/>
    <cellStyle name="Normal 133 6 2 5" xfId="20087"/>
    <cellStyle name="Normal 133 6 2 5 2" xfId="42622"/>
    <cellStyle name="Normal 133 6 2 6" xfId="29364"/>
    <cellStyle name="Normal 133 6 3" xfId="6616"/>
    <cellStyle name="Normal 133 6 3 2" xfId="9948"/>
    <cellStyle name="Normal 133 6 3 2 2" xfId="16652"/>
    <cellStyle name="Normal 133 6 3 2 2 2" xfId="40073"/>
    <cellStyle name="Normal 133 6 3 2 3" xfId="33441"/>
    <cellStyle name="Normal 133 6 3 3" xfId="13336"/>
    <cellStyle name="Normal 133 6 3 3 2" xfId="36757"/>
    <cellStyle name="Normal 133 6 3 4" xfId="20534"/>
    <cellStyle name="Normal 133 6 3 4 2" xfId="42987"/>
    <cellStyle name="Normal 133 6 3 5" xfId="30125"/>
    <cellStyle name="Normal 133 6 4" xfId="8282"/>
    <cellStyle name="Normal 133 6 4 2" xfId="14994"/>
    <cellStyle name="Normal 133 6 4 2 2" xfId="38415"/>
    <cellStyle name="Normal 133 6 4 3" xfId="21091"/>
    <cellStyle name="Normal 133 6 4 3 2" xfId="43542"/>
    <cellStyle name="Normal 133 6 4 4" xfId="31783"/>
    <cellStyle name="Normal 133 6 5" xfId="11676"/>
    <cellStyle name="Normal 133 6 5 2" xfId="22095"/>
    <cellStyle name="Normal 133 6 5 2 2" xfId="44523"/>
    <cellStyle name="Normal 133 6 5 3" xfId="35099"/>
    <cellStyle name="Normal 133 6 6" xfId="19233"/>
    <cellStyle name="Normal 133 6 6 2" xfId="41790"/>
    <cellStyle name="Normal 133 6 7" xfId="28467"/>
    <cellStyle name="Normal 133 7" xfId="3930"/>
    <cellStyle name="Normal 133 7 2" xfId="7025"/>
    <cellStyle name="Normal 133 7 2 2" xfId="10357"/>
    <cellStyle name="Normal 133 7 2 2 2" xfId="17061"/>
    <cellStyle name="Normal 133 7 2 2 2 2" xfId="40482"/>
    <cellStyle name="Normal 133 7 2 2 3" xfId="33850"/>
    <cellStyle name="Normal 133 7 2 3" xfId="13745"/>
    <cellStyle name="Normal 133 7 2 3 2" xfId="37166"/>
    <cellStyle name="Normal 133 7 2 4" xfId="20580"/>
    <cellStyle name="Normal 133 7 2 4 2" xfId="43033"/>
    <cellStyle name="Normal 133 7 2 5" xfId="30534"/>
    <cellStyle name="Normal 133 7 3" xfId="8692"/>
    <cellStyle name="Normal 133 7 3 2" xfId="15403"/>
    <cellStyle name="Normal 133 7 3 2 2" xfId="38824"/>
    <cellStyle name="Normal 133 7 3 3" xfId="21287"/>
    <cellStyle name="Normal 133 7 3 3 2" xfId="43738"/>
    <cellStyle name="Normal 133 7 3 4" xfId="32192"/>
    <cellStyle name="Normal 133 7 4" xfId="12085"/>
    <cellStyle name="Normal 133 7 4 2" xfId="22516"/>
    <cellStyle name="Normal 133 7 4 2 2" xfId="44938"/>
    <cellStyle name="Normal 133 7 4 3" xfId="35508"/>
    <cellStyle name="Normal 133 7 5" xfId="19669"/>
    <cellStyle name="Normal 133 7 5 2" xfId="42206"/>
    <cellStyle name="Normal 133 7 6" xfId="28876"/>
    <cellStyle name="Normal 133 8" xfId="6143"/>
    <cellStyle name="Normal 133 8 2" xfId="9477"/>
    <cellStyle name="Normal 133 8 2 2" xfId="16181"/>
    <cellStyle name="Normal 133 8 2 2 2" xfId="39602"/>
    <cellStyle name="Normal 133 8 2 3" xfId="32970"/>
    <cellStyle name="Normal 133 8 3" xfId="12865"/>
    <cellStyle name="Normal 133 8 3 2" xfId="36286"/>
    <cellStyle name="Normal 133 8 4" xfId="17900"/>
    <cellStyle name="Normal 133 8 4 2" xfId="41250"/>
    <cellStyle name="Normal 133 8 5" xfId="29654"/>
    <cellStyle name="Normal 133 9" xfId="7808"/>
    <cellStyle name="Normal 133 9 2" xfId="14523"/>
    <cellStyle name="Normal 133 9 2 2" xfId="37944"/>
    <cellStyle name="Normal 133 9 3" xfId="20828"/>
    <cellStyle name="Normal 133 9 3 2" xfId="43279"/>
    <cellStyle name="Normal 133 9 4" xfId="31312"/>
    <cellStyle name="Normal 134" xfId="1457"/>
    <cellStyle name="Normal 134 2" xfId="18656"/>
    <cellStyle name="Normal 135" xfId="1460"/>
    <cellStyle name="Normal 135 2" xfId="18657"/>
    <cellStyle name="Normal 136" xfId="1458"/>
    <cellStyle name="Normal 136 2" xfId="18658"/>
    <cellStyle name="Normal 137" xfId="1459"/>
    <cellStyle name="Normal 137 2" xfId="18659"/>
    <cellStyle name="Normal 138" xfId="1469"/>
    <cellStyle name="Normal 138 2" xfId="18660"/>
    <cellStyle name="Normal 138 3" xfId="23397"/>
    <cellStyle name="Normal 139" xfId="1472"/>
    <cellStyle name="Normal 139 2" xfId="18661"/>
    <cellStyle name="Normal 14" xfId="526"/>
    <cellStyle name="Normal 14 2" xfId="527"/>
    <cellStyle name="Normal 14 2 2" xfId="3938"/>
    <cellStyle name="Normal 14 3" xfId="899"/>
    <cellStyle name="Normal 14 3 2" xfId="3939"/>
    <cellStyle name="Normal 14 4" xfId="900"/>
    <cellStyle name="Normal 14 4 2" xfId="3940"/>
    <cellStyle name="Normal 14 4 2 2" xfId="18663"/>
    <cellStyle name="Normal 14 5" xfId="18662"/>
    <cellStyle name="Normal 140" xfId="1471"/>
    <cellStyle name="Normal 140 2" xfId="18664"/>
    <cellStyle name="Normal 141" xfId="1470"/>
    <cellStyle name="Normal 141 2" xfId="18665"/>
    <cellStyle name="Normal 142" xfId="1509"/>
    <cellStyle name="Normal 142 10" xfId="23625"/>
    <cellStyle name="Normal 142 10 2" xfId="45937"/>
    <cellStyle name="Normal 142 11" xfId="28045"/>
    <cellStyle name="Normal 142 2" xfId="1637"/>
    <cellStyle name="Normal 142 2 2" xfId="18667"/>
    <cellStyle name="Normal 142 3" xfId="1824"/>
    <cellStyle name="Normal 142 3 10" xfId="28176"/>
    <cellStyle name="Normal 142 3 2" xfId="2284"/>
    <cellStyle name="Normal 142 3 2 2" xfId="5555"/>
    <cellStyle name="Normal 142 3 2 2 2" xfId="7379"/>
    <cellStyle name="Normal 142 3 2 2 2 2" xfId="10710"/>
    <cellStyle name="Normal 142 3 2 2 2 2 2" xfId="17414"/>
    <cellStyle name="Normal 142 3 2 2 2 2 2 2" xfId="40835"/>
    <cellStyle name="Normal 142 3 2 2 2 2 3" xfId="23130"/>
    <cellStyle name="Normal 142 3 2 2 2 2 3 2" xfId="45552"/>
    <cellStyle name="Normal 142 3 2 2 2 2 4" xfId="34203"/>
    <cellStyle name="Normal 142 3 2 2 2 3" xfId="14098"/>
    <cellStyle name="Normal 142 3 2 2 2 3 2" xfId="37519"/>
    <cellStyle name="Normal 142 3 2 2 2 4" xfId="20303"/>
    <cellStyle name="Normal 142 3 2 2 2 4 2" xfId="42838"/>
    <cellStyle name="Normal 142 3 2 2 2 5" xfId="30887"/>
    <cellStyle name="Normal 142 3 2 2 3" xfId="9052"/>
    <cellStyle name="Normal 142 3 2 2 3 2" xfId="15756"/>
    <cellStyle name="Normal 142 3 2 2 3 2 2" xfId="39177"/>
    <cellStyle name="Normal 142 3 2 2 3 3" xfId="21304"/>
    <cellStyle name="Normal 142 3 2 2 3 3 2" xfId="43755"/>
    <cellStyle name="Normal 142 3 2 2 3 4" xfId="32545"/>
    <cellStyle name="Normal 142 3 2 2 4" xfId="12440"/>
    <cellStyle name="Normal 142 3 2 2 4 2" xfId="22316"/>
    <cellStyle name="Normal 142 3 2 2 4 2 2" xfId="44738"/>
    <cellStyle name="Normal 142 3 2 2 4 3" xfId="35861"/>
    <cellStyle name="Normal 142 3 2 2 5" xfId="19464"/>
    <cellStyle name="Normal 142 3 2 2 5 2" xfId="42006"/>
    <cellStyle name="Normal 142 3 2 2 6" xfId="29229"/>
    <cellStyle name="Normal 142 3 2 3" xfId="6475"/>
    <cellStyle name="Normal 142 3 2 3 2" xfId="9809"/>
    <cellStyle name="Normal 142 3 2 3 2 2" xfId="16513"/>
    <cellStyle name="Normal 142 3 2 3 2 2 2" xfId="39934"/>
    <cellStyle name="Normal 142 3 2 3 2 3" xfId="22724"/>
    <cellStyle name="Normal 142 3 2 3 2 3 2" xfId="45146"/>
    <cellStyle name="Normal 142 3 2 3 2 4" xfId="33302"/>
    <cellStyle name="Normal 142 3 2 3 3" xfId="13197"/>
    <cellStyle name="Normal 142 3 2 3 3 2" xfId="36618"/>
    <cellStyle name="Normal 142 3 2 3 4" xfId="19887"/>
    <cellStyle name="Normal 142 3 2 3 4 2" xfId="42422"/>
    <cellStyle name="Normal 142 3 2 3 5" xfId="29986"/>
    <cellStyle name="Normal 142 3 2 4" xfId="8142"/>
    <cellStyle name="Normal 142 3 2 4 2" xfId="14855"/>
    <cellStyle name="Normal 142 3 2 4 2 2" xfId="38276"/>
    <cellStyle name="Normal 142 3 2 4 3" xfId="20845"/>
    <cellStyle name="Normal 142 3 2 4 3 2" xfId="43296"/>
    <cellStyle name="Normal 142 3 2 4 4" xfId="31644"/>
    <cellStyle name="Normal 142 3 2 5" xfId="11537"/>
    <cellStyle name="Normal 142 3 2 5 2" xfId="21885"/>
    <cellStyle name="Normal 142 3 2 5 2 2" xfId="44324"/>
    <cellStyle name="Normal 142 3 2 5 3" xfId="34960"/>
    <cellStyle name="Normal 142 3 2 6" xfId="18668"/>
    <cellStyle name="Normal 142 3 2 6 2" xfId="41581"/>
    <cellStyle name="Normal 142 3 2 7" xfId="25885"/>
    <cellStyle name="Normal 142 3 2 7 2" xfId="48130"/>
    <cellStyle name="Normal 142 3 2 8" xfId="28328"/>
    <cellStyle name="Normal 142 3 3" xfId="2821"/>
    <cellStyle name="Normal 142 3 3 2" xfId="5913"/>
    <cellStyle name="Normal 142 3 3 2 2" xfId="7695"/>
    <cellStyle name="Normal 142 3 3 2 2 2" xfId="11024"/>
    <cellStyle name="Normal 142 3 3 2 2 2 2" xfId="17728"/>
    <cellStyle name="Normal 142 3 3 2 2 2 2 2" xfId="41149"/>
    <cellStyle name="Normal 142 3 3 2 2 2 3" xfId="34517"/>
    <cellStyle name="Normal 142 3 3 2 2 3" xfId="14412"/>
    <cellStyle name="Normal 142 3 3 2 2 3 2" xfId="37833"/>
    <cellStyle name="Normal 142 3 3 2 2 4" xfId="22930"/>
    <cellStyle name="Normal 142 3 3 2 2 4 2" xfId="45352"/>
    <cellStyle name="Normal 142 3 3 2 2 5" xfId="31201"/>
    <cellStyle name="Normal 142 3 3 2 3" xfId="9366"/>
    <cellStyle name="Normal 142 3 3 2 3 2" xfId="16070"/>
    <cellStyle name="Normal 142 3 3 2 3 2 2" xfId="39491"/>
    <cellStyle name="Normal 142 3 3 2 3 3" xfId="32859"/>
    <cellStyle name="Normal 142 3 3 2 4" xfId="12754"/>
    <cellStyle name="Normal 142 3 3 2 4 2" xfId="36175"/>
    <cellStyle name="Normal 142 3 3 2 5" xfId="20095"/>
    <cellStyle name="Normal 142 3 3 2 5 2" xfId="42630"/>
    <cellStyle name="Normal 142 3 3 2 6" xfId="29543"/>
    <cellStyle name="Normal 142 3 3 3" xfId="6796"/>
    <cellStyle name="Normal 142 3 3 3 2" xfId="10128"/>
    <cellStyle name="Normal 142 3 3 3 2 2" xfId="16832"/>
    <cellStyle name="Normal 142 3 3 3 2 2 2" xfId="40253"/>
    <cellStyle name="Normal 142 3 3 3 2 3" xfId="33621"/>
    <cellStyle name="Normal 142 3 3 3 3" xfId="13516"/>
    <cellStyle name="Normal 142 3 3 3 3 2" xfId="36937"/>
    <cellStyle name="Normal 142 3 3 3 4" xfId="21303"/>
    <cellStyle name="Normal 142 3 3 3 4 2" xfId="43754"/>
    <cellStyle name="Normal 142 3 3 3 5" xfId="30305"/>
    <cellStyle name="Normal 142 3 3 4" xfId="8462"/>
    <cellStyle name="Normal 142 3 3 4 2" xfId="15174"/>
    <cellStyle name="Normal 142 3 3 4 2 2" xfId="38595"/>
    <cellStyle name="Normal 142 3 3 4 3" xfId="22103"/>
    <cellStyle name="Normal 142 3 3 4 3 2" xfId="44531"/>
    <cellStyle name="Normal 142 3 3 4 4" xfId="31963"/>
    <cellStyle name="Normal 142 3 3 5" xfId="11856"/>
    <cellStyle name="Normal 142 3 3 5 2" xfId="35279"/>
    <cellStyle name="Normal 142 3 3 6" xfId="19241"/>
    <cellStyle name="Normal 142 3 3 6 2" xfId="41798"/>
    <cellStyle name="Normal 142 3 3 7" xfId="28647"/>
    <cellStyle name="Normal 142 3 4" xfId="3942"/>
    <cellStyle name="Normal 142 3 4 2" xfId="7034"/>
    <cellStyle name="Normal 142 3 4 2 2" xfId="10366"/>
    <cellStyle name="Normal 142 3 4 2 2 2" xfId="17070"/>
    <cellStyle name="Normal 142 3 4 2 2 2 2" xfId="40491"/>
    <cellStyle name="Normal 142 3 4 2 2 3" xfId="33859"/>
    <cellStyle name="Normal 142 3 4 2 3" xfId="13754"/>
    <cellStyle name="Normal 142 3 4 2 3 2" xfId="37175"/>
    <cellStyle name="Normal 142 3 4 2 4" xfId="22524"/>
    <cellStyle name="Normal 142 3 4 2 4 2" xfId="44946"/>
    <cellStyle name="Normal 142 3 4 2 5" xfId="30543"/>
    <cellStyle name="Normal 142 3 4 3" xfId="8701"/>
    <cellStyle name="Normal 142 3 4 3 2" xfId="15412"/>
    <cellStyle name="Normal 142 3 4 3 2 2" xfId="38833"/>
    <cellStyle name="Normal 142 3 4 3 3" xfId="32201"/>
    <cellStyle name="Normal 142 3 4 4" xfId="12094"/>
    <cellStyle name="Normal 142 3 4 4 2" xfId="35517"/>
    <cellStyle name="Normal 142 3 4 5" xfId="19677"/>
    <cellStyle name="Normal 142 3 4 5 2" xfId="42214"/>
    <cellStyle name="Normal 142 3 4 6" xfId="28885"/>
    <cellStyle name="Normal 142 3 5" xfId="6323"/>
    <cellStyle name="Normal 142 3 5 2" xfId="9657"/>
    <cellStyle name="Normal 142 3 5 2 2" xfId="16361"/>
    <cellStyle name="Normal 142 3 5 2 2 2" xfId="39782"/>
    <cellStyle name="Normal 142 3 5 2 3" xfId="33150"/>
    <cellStyle name="Normal 142 3 5 3" xfId="13045"/>
    <cellStyle name="Normal 142 3 5 3 2" xfId="36466"/>
    <cellStyle name="Normal 142 3 5 4" xfId="20844"/>
    <cellStyle name="Normal 142 3 5 4 2" xfId="43295"/>
    <cellStyle name="Normal 142 3 5 5" xfId="29834"/>
    <cellStyle name="Normal 142 3 6" xfId="7989"/>
    <cellStyle name="Normal 142 3 6 2" xfId="14703"/>
    <cellStyle name="Normal 142 3 6 2 2" xfId="38124"/>
    <cellStyle name="Normal 142 3 6 3" xfId="21673"/>
    <cellStyle name="Normal 142 3 6 3 2" xfId="44122"/>
    <cellStyle name="Normal 142 3 6 4" xfId="31492"/>
    <cellStyle name="Normal 142 3 7" xfId="11385"/>
    <cellStyle name="Normal 142 3 7 2" xfId="34808"/>
    <cellStyle name="Normal 142 3 8" xfId="18040"/>
    <cellStyle name="Normal 142 3 8 2" xfId="41345"/>
    <cellStyle name="Normal 142 3 9" xfId="23626"/>
    <cellStyle name="Normal 142 3 9 2" xfId="45938"/>
    <cellStyle name="Normal 142 4" xfId="2285"/>
    <cellStyle name="Normal 142 4 2" xfId="5556"/>
    <cellStyle name="Normal 142 4 2 2" xfId="7380"/>
    <cellStyle name="Normal 142 4 2 2 2" xfId="10711"/>
    <cellStyle name="Normal 142 4 2 2 2 2" xfId="17415"/>
    <cellStyle name="Normal 142 4 2 2 2 2 2" xfId="40836"/>
    <cellStyle name="Normal 142 4 2 2 2 3" xfId="20304"/>
    <cellStyle name="Normal 142 4 2 2 2 3 2" xfId="42839"/>
    <cellStyle name="Normal 142 4 2 2 2 4" xfId="34204"/>
    <cellStyle name="Normal 142 4 2 2 3" xfId="14099"/>
    <cellStyle name="Normal 142 4 2 2 3 2" xfId="22317"/>
    <cellStyle name="Normal 142 4 2 2 3 2 2" xfId="44739"/>
    <cellStyle name="Normal 142 4 2 2 3 3" xfId="37520"/>
    <cellStyle name="Normal 142 4 2 2 4" xfId="19465"/>
    <cellStyle name="Normal 142 4 2 2 4 2" xfId="42007"/>
    <cellStyle name="Normal 142 4 2 2 5" xfId="30888"/>
    <cellStyle name="Normal 142 4 2 3" xfId="9053"/>
    <cellStyle name="Normal 142 4 2 3 2" xfId="15757"/>
    <cellStyle name="Normal 142 4 2 3 2 2" xfId="22725"/>
    <cellStyle name="Normal 142 4 2 3 2 2 2" xfId="45147"/>
    <cellStyle name="Normal 142 4 2 3 2 3" xfId="39178"/>
    <cellStyle name="Normal 142 4 2 3 3" xfId="19888"/>
    <cellStyle name="Normal 142 4 2 3 3 2" xfId="42423"/>
    <cellStyle name="Normal 142 4 2 3 4" xfId="32546"/>
    <cellStyle name="Normal 142 4 2 4" xfId="12441"/>
    <cellStyle name="Normal 142 4 2 4 2" xfId="21886"/>
    <cellStyle name="Normal 142 4 2 4 2 2" xfId="44325"/>
    <cellStyle name="Normal 142 4 2 4 3" xfId="35862"/>
    <cellStyle name="Normal 142 4 2 5" xfId="18669"/>
    <cellStyle name="Normal 142 4 2 5 2" xfId="41582"/>
    <cellStyle name="Normal 142 4 2 6" xfId="29230"/>
    <cellStyle name="Normal 142 4 3" xfId="6476"/>
    <cellStyle name="Normal 142 4 3 2" xfId="9810"/>
    <cellStyle name="Normal 142 4 3 2 2" xfId="16514"/>
    <cellStyle name="Normal 142 4 3 2 2 2" xfId="39935"/>
    <cellStyle name="Normal 142 4 3 2 3" xfId="20096"/>
    <cellStyle name="Normal 142 4 3 2 3 2" xfId="42631"/>
    <cellStyle name="Normal 142 4 3 2 4" xfId="33303"/>
    <cellStyle name="Normal 142 4 3 3" xfId="13198"/>
    <cellStyle name="Normal 142 4 3 3 2" xfId="22104"/>
    <cellStyle name="Normal 142 4 3 3 2 2" xfId="44532"/>
    <cellStyle name="Normal 142 4 3 3 3" xfId="36619"/>
    <cellStyle name="Normal 142 4 3 4" xfId="19242"/>
    <cellStyle name="Normal 142 4 3 4 2" xfId="41799"/>
    <cellStyle name="Normal 142 4 3 5" xfId="29987"/>
    <cellStyle name="Normal 142 4 4" xfId="8143"/>
    <cellStyle name="Normal 142 4 4 2" xfId="14856"/>
    <cellStyle name="Normal 142 4 4 2 2" xfId="22525"/>
    <cellStyle name="Normal 142 4 4 2 2 2" xfId="44947"/>
    <cellStyle name="Normal 142 4 4 2 3" xfId="38277"/>
    <cellStyle name="Normal 142 4 4 3" xfId="19678"/>
    <cellStyle name="Normal 142 4 4 3 2" xfId="42215"/>
    <cellStyle name="Normal 142 4 4 4" xfId="31645"/>
    <cellStyle name="Normal 142 4 5" xfId="11538"/>
    <cellStyle name="Normal 142 4 5 2" xfId="21674"/>
    <cellStyle name="Normal 142 4 5 2 2" xfId="44123"/>
    <cellStyle name="Normal 142 4 5 3" xfId="34961"/>
    <cellStyle name="Normal 142 4 6" xfId="18041"/>
    <cellStyle name="Normal 142 4 6 2" xfId="41346"/>
    <cellStyle name="Normal 142 4 7" xfId="25884"/>
    <cellStyle name="Normal 142 4 7 2" xfId="48129"/>
    <cellStyle name="Normal 142 4 8" xfId="28329"/>
    <cellStyle name="Normal 142 5" xfId="2689"/>
    <cellStyle name="Normal 142 5 2" xfId="5782"/>
    <cellStyle name="Normal 142 5 2 2" xfId="7564"/>
    <cellStyle name="Normal 142 5 2 2 2" xfId="10893"/>
    <cellStyle name="Normal 142 5 2 2 2 2" xfId="17597"/>
    <cellStyle name="Normal 142 5 2 2 2 2 2" xfId="41018"/>
    <cellStyle name="Normal 142 5 2 2 2 3" xfId="34386"/>
    <cellStyle name="Normal 142 5 2 2 3" xfId="14281"/>
    <cellStyle name="Normal 142 5 2 2 3 2" xfId="37702"/>
    <cellStyle name="Normal 142 5 2 2 4" xfId="20583"/>
    <cellStyle name="Normal 142 5 2 2 4 2" xfId="43035"/>
    <cellStyle name="Normal 142 5 2 2 5" xfId="31070"/>
    <cellStyle name="Normal 142 5 2 3" xfId="9235"/>
    <cellStyle name="Normal 142 5 2 3 2" xfId="15939"/>
    <cellStyle name="Normal 142 5 2 3 2 2" xfId="39360"/>
    <cellStyle name="Normal 142 5 2 3 3" xfId="21305"/>
    <cellStyle name="Normal 142 5 2 3 3 2" xfId="43756"/>
    <cellStyle name="Normal 142 5 2 3 4" xfId="32728"/>
    <cellStyle name="Normal 142 5 2 4" xfId="12623"/>
    <cellStyle name="Normal 142 5 2 4 2" xfId="36044"/>
    <cellStyle name="Normal 142 5 2 5" xfId="19022"/>
    <cellStyle name="Normal 142 5 2 5 2" xfId="41697"/>
    <cellStyle name="Normal 142 5 2 6" xfId="29412"/>
    <cellStyle name="Normal 142 5 3" xfId="6665"/>
    <cellStyle name="Normal 142 5 3 2" xfId="9997"/>
    <cellStyle name="Normal 142 5 3 2 2" xfId="16701"/>
    <cellStyle name="Normal 142 5 3 2 2 2" xfId="40122"/>
    <cellStyle name="Normal 142 5 3 2 3" xfId="33490"/>
    <cellStyle name="Normal 142 5 3 3" xfId="13385"/>
    <cellStyle name="Normal 142 5 3 3 2" xfId="36806"/>
    <cellStyle name="Normal 142 5 3 4" xfId="18343"/>
    <cellStyle name="Normal 142 5 3 4 2" xfId="41476"/>
    <cellStyle name="Normal 142 5 3 5" xfId="30174"/>
    <cellStyle name="Normal 142 5 4" xfId="8331"/>
    <cellStyle name="Normal 142 5 4 2" xfId="15043"/>
    <cellStyle name="Normal 142 5 4 2 2" xfId="38464"/>
    <cellStyle name="Normal 142 5 4 3" xfId="20846"/>
    <cellStyle name="Normal 142 5 4 3 2" xfId="43297"/>
    <cellStyle name="Normal 142 5 4 4" xfId="31832"/>
    <cellStyle name="Normal 142 5 5" xfId="11725"/>
    <cellStyle name="Normal 142 5 5 2" xfId="21884"/>
    <cellStyle name="Normal 142 5 5 3" xfId="35148"/>
    <cellStyle name="Normal 142 5 6" xfId="18666"/>
    <cellStyle name="Normal 142 5 7" xfId="20444"/>
    <cellStyle name="Normal 142 5 7 2" xfId="42954"/>
    <cellStyle name="Normal 142 5 8" xfId="28516"/>
    <cellStyle name="Normal 142 6" xfId="3941"/>
    <cellStyle name="Normal 142 6 2" xfId="7033"/>
    <cellStyle name="Normal 142 6 2 2" xfId="10365"/>
    <cellStyle name="Normal 142 6 2 2 2" xfId="17069"/>
    <cellStyle name="Normal 142 6 2 2 2 2" xfId="40490"/>
    <cellStyle name="Normal 142 6 2 2 3" xfId="33858"/>
    <cellStyle name="Normal 142 6 2 3" xfId="13753"/>
    <cellStyle name="Normal 142 6 2 3 2" xfId="37174"/>
    <cellStyle name="Normal 142 6 2 4" xfId="30542"/>
    <cellStyle name="Normal 142 6 3" xfId="8700"/>
    <cellStyle name="Normal 142 6 3 2" xfId="15411"/>
    <cellStyle name="Normal 142 6 3 2 2" xfId="38832"/>
    <cellStyle name="Normal 142 6 3 3" xfId="32200"/>
    <cellStyle name="Normal 142 6 4" xfId="12093"/>
    <cellStyle name="Normal 142 6 4 2" xfId="35516"/>
    <cellStyle name="Normal 142 6 5" xfId="20459"/>
    <cellStyle name="Normal 142 6 6" xfId="28884"/>
    <cellStyle name="Normal 142 7" xfId="6192"/>
    <cellStyle name="Normal 142 7 2" xfId="9526"/>
    <cellStyle name="Normal 142 7 2 2" xfId="16230"/>
    <cellStyle name="Normal 142 7 2 2 2" xfId="39651"/>
    <cellStyle name="Normal 142 7 2 3" xfId="33019"/>
    <cellStyle name="Normal 142 7 3" xfId="12914"/>
    <cellStyle name="Normal 142 7 3 2" xfId="36335"/>
    <cellStyle name="Normal 142 7 4" xfId="29703"/>
    <cellStyle name="Normal 142 8" xfId="7858"/>
    <cellStyle name="Normal 142 8 2" xfId="14572"/>
    <cellStyle name="Normal 142 8 2 2" xfId="37993"/>
    <cellStyle name="Normal 142 8 3" xfId="31361"/>
    <cellStyle name="Normal 142 9" xfId="11254"/>
    <cellStyle name="Normal 142 9 2" xfId="34677"/>
    <cellStyle name="Normal 143" xfId="1513"/>
    <cellStyle name="Normal 143 2" xfId="18670"/>
    <cellStyle name="Normal 144" xfId="1638"/>
    <cellStyle name="Normal 144 2" xfId="18671"/>
    <cellStyle name="Normal 145" xfId="1639"/>
    <cellStyle name="Normal 145 2" xfId="18672"/>
    <cellStyle name="Normal 146" xfId="1640"/>
    <cellStyle name="Normal 146 2" xfId="18673"/>
    <cellStyle name="Normal 147" xfId="1524"/>
    <cellStyle name="Normal 147 2" xfId="2286"/>
    <cellStyle name="Normal 147 2 2" xfId="18042"/>
    <cellStyle name="Normal 147 2 2 2" xfId="18676"/>
    <cellStyle name="Normal 147 2 3" xfId="18675"/>
    <cellStyle name="Normal 147 3" xfId="18674"/>
    <cellStyle name="Normal 148" xfId="1746"/>
    <cellStyle name="Normal 148 2" xfId="2288"/>
    <cellStyle name="Normal 148 2 2" xfId="18677"/>
    <cellStyle name="Normal 148 3" xfId="2287"/>
    <cellStyle name="Normal 148 4" xfId="2156"/>
    <cellStyle name="Normal 148 4 2" xfId="17874"/>
    <cellStyle name="Normal 148 5" xfId="20464"/>
    <cellStyle name="Normal 148 5 2" xfId="18272"/>
    <cellStyle name="Normal 148 6" xfId="20477"/>
    <cellStyle name="Normal 149" xfId="1747"/>
    <cellStyle name="Normal 149 2" xfId="2290"/>
    <cellStyle name="Normal 149 2 2" xfId="18678"/>
    <cellStyle name="Normal 149 3" xfId="2289"/>
    <cellStyle name="Normal 149 4" xfId="20493"/>
    <cellStyle name="Normal 15" xfId="528"/>
    <cellStyle name="Normal 15 2" xfId="529"/>
    <cellStyle name="Normal 15 2 2" xfId="3943"/>
    <cellStyle name="Normal 15 3" xfId="3944"/>
    <cellStyle name="Normal 15 3 2" xfId="3945"/>
    <cellStyle name="Normal 15 4" xfId="3946"/>
    <cellStyle name="Normal 150" xfId="1748"/>
    <cellStyle name="Normal 150 2" xfId="2292"/>
    <cellStyle name="Normal 150 2 2" xfId="18680"/>
    <cellStyle name="Normal 150 3" xfId="2291"/>
    <cellStyle name="Normal 150 3 2" xfId="5557"/>
    <cellStyle name="Normal 150 3 2 2" xfId="7381"/>
    <cellStyle name="Normal 150 3 2 2 2" xfId="10712"/>
    <cellStyle name="Normal 150 3 2 2 2 2" xfId="17416"/>
    <cellStyle name="Normal 150 3 2 2 2 2 2" xfId="40837"/>
    <cellStyle name="Normal 150 3 2 2 2 3" xfId="23131"/>
    <cellStyle name="Normal 150 3 2 2 2 3 2" xfId="45553"/>
    <cellStyle name="Normal 150 3 2 2 2 4" xfId="34205"/>
    <cellStyle name="Normal 150 3 2 2 3" xfId="14100"/>
    <cellStyle name="Normal 150 3 2 2 3 2" xfId="37521"/>
    <cellStyle name="Normal 150 3 2 2 4" xfId="20305"/>
    <cellStyle name="Normal 150 3 2 2 4 2" xfId="42840"/>
    <cellStyle name="Normal 150 3 2 2 5" xfId="30889"/>
    <cellStyle name="Normal 150 3 2 3" xfId="9054"/>
    <cellStyle name="Normal 150 3 2 3 2" xfId="15758"/>
    <cellStyle name="Normal 150 3 2 3 2 2" xfId="39179"/>
    <cellStyle name="Normal 150 3 2 3 3" xfId="21306"/>
    <cellStyle name="Normal 150 3 2 3 3 2" xfId="43757"/>
    <cellStyle name="Normal 150 3 2 3 4" xfId="32547"/>
    <cellStyle name="Normal 150 3 2 4" xfId="12442"/>
    <cellStyle name="Normal 150 3 2 4 2" xfId="22318"/>
    <cellStyle name="Normal 150 3 2 4 2 2" xfId="44740"/>
    <cellStyle name="Normal 150 3 2 4 3" xfId="35863"/>
    <cellStyle name="Normal 150 3 2 5" xfId="19466"/>
    <cellStyle name="Normal 150 3 2 5 2" xfId="42008"/>
    <cellStyle name="Normal 150 3 2 6" xfId="29231"/>
    <cellStyle name="Normal 150 3 3" xfId="6477"/>
    <cellStyle name="Normal 150 3 3 2" xfId="9811"/>
    <cellStyle name="Normal 150 3 3 2 2" xfId="16515"/>
    <cellStyle name="Normal 150 3 3 2 2 2" xfId="39936"/>
    <cellStyle name="Normal 150 3 3 2 3" xfId="22726"/>
    <cellStyle name="Normal 150 3 3 2 3 2" xfId="45148"/>
    <cellStyle name="Normal 150 3 3 2 4" xfId="33304"/>
    <cellStyle name="Normal 150 3 3 3" xfId="13199"/>
    <cellStyle name="Normal 150 3 3 3 2" xfId="36620"/>
    <cellStyle name="Normal 150 3 3 4" xfId="19889"/>
    <cellStyle name="Normal 150 3 3 4 2" xfId="42424"/>
    <cellStyle name="Normal 150 3 3 5" xfId="29988"/>
    <cellStyle name="Normal 150 3 4" xfId="8144"/>
    <cellStyle name="Normal 150 3 4 2" xfId="14857"/>
    <cellStyle name="Normal 150 3 4 2 2" xfId="38278"/>
    <cellStyle name="Normal 150 3 4 3" xfId="20847"/>
    <cellStyle name="Normal 150 3 4 3 2" xfId="43298"/>
    <cellStyle name="Normal 150 3 4 4" xfId="31646"/>
    <cellStyle name="Normal 150 3 5" xfId="11539"/>
    <cellStyle name="Normal 150 3 5 2" xfId="21887"/>
    <cellStyle name="Normal 150 3 5 2 2" xfId="44326"/>
    <cellStyle name="Normal 150 3 5 3" xfId="34962"/>
    <cellStyle name="Normal 150 3 6" xfId="18679"/>
    <cellStyle name="Normal 150 3 6 2" xfId="41583"/>
    <cellStyle name="Normal 150 3 7" xfId="28330"/>
    <cellStyle name="Normal 150 4" xfId="19243"/>
    <cellStyle name="Normal 150 4 2" xfId="20097"/>
    <cellStyle name="Normal 150 4 2 2" xfId="42632"/>
    <cellStyle name="Normal 150 4 3" xfId="22105"/>
    <cellStyle name="Normal 150 4 3 2" xfId="44533"/>
    <cellStyle name="Normal 150 4 4" xfId="20497"/>
    <cellStyle name="Normal 150 4 5" xfId="41800"/>
    <cellStyle name="Normal 150 5" xfId="19679"/>
    <cellStyle name="Normal 150 5 2" xfId="42216"/>
    <cellStyle name="Normal 150 6" xfId="18043"/>
    <cellStyle name="Normal 150 6 2" xfId="41347"/>
    <cellStyle name="Normal 151" xfId="1750"/>
    <cellStyle name="Normal 151 2" xfId="2294"/>
    <cellStyle name="Normal 151 2 2" xfId="18682"/>
    <cellStyle name="Normal 151 3" xfId="2293"/>
    <cellStyle name="Normal 151 3 2" xfId="5558"/>
    <cellStyle name="Normal 151 3 2 2" xfId="7382"/>
    <cellStyle name="Normal 151 3 2 2 2" xfId="10713"/>
    <cellStyle name="Normal 151 3 2 2 2 2" xfId="17417"/>
    <cellStyle name="Normal 151 3 2 2 2 2 2" xfId="40838"/>
    <cellStyle name="Normal 151 3 2 2 2 3" xfId="23132"/>
    <cellStyle name="Normal 151 3 2 2 2 3 2" xfId="45554"/>
    <cellStyle name="Normal 151 3 2 2 2 4" xfId="34206"/>
    <cellStyle name="Normal 151 3 2 2 3" xfId="14101"/>
    <cellStyle name="Normal 151 3 2 2 3 2" xfId="37522"/>
    <cellStyle name="Normal 151 3 2 2 4" xfId="20306"/>
    <cellStyle name="Normal 151 3 2 2 4 2" xfId="42841"/>
    <cellStyle name="Normal 151 3 2 2 5" xfId="30890"/>
    <cellStyle name="Normal 151 3 2 3" xfId="9055"/>
    <cellStyle name="Normal 151 3 2 3 2" xfId="15759"/>
    <cellStyle name="Normal 151 3 2 3 2 2" xfId="39180"/>
    <cellStyle name="Normal 151 3 2 3 3" xfId="21307"/>
    <cellStyle name="Normal 151 3 2 3 3 2" xfId="43758"/>
    <cellStyle name="Normal 151 3 2 3 4" xfId="32548"/>
    <cellStyle name="Normal 151 3 2 4" xfId="12443"/>
    <cellStyle name="Normal 151 3 2 4 2" xfId="22319"/>
    <cellStyle name="Normal 151 3 2 4 2 2" xfId="44741"/>
    <cellStyle name="Normal 151 3 2 4 3" xfId="35864"/>
    <cellStyle name="Normal 151 3 2 5" xfId="19467"/>
    <cellStyle name="Normal 151 3 2 5 2" xfId="42009"/>
    <cellStyle name="Normal 151 3 2 6" xfId="29232"/>
    <cellStyle name="Normal 151 3 3" xfId="6478"/>
    <cellStyle name="Normal 151 3 3 2" xfId="9812"/>
    <cellStyle name="Normal 151 3 3 2 2" xfId="16516"/>
    <cellStyle name="Normal 151 3 3 2 2 2" xfId="39937"/>
    <cellStyle name="Normal 151 3 3 2 3" xfId="22727"/>
    <cellStyle name="Normal 151 3 3 2 3 2" xfId="45149"/>
    <cellStyle name="Normal 151 3 3 2 4" xfId="33305"/>
    <cellStyle name="Normal 151 3 3 3" xfId="13200"/>
    <cellStyle name="Normal 151 3 3 3 2" xfId="36621"/>
    <cellStyle name="Normal 151 3 3 4" xfId="19890"/>
    <cellStyle name="Normal 151 3 3 4 2" xfId="42425"/>
    <cellStyle name="Normal 151 3 3 5" xfId="29989"/>
    <cellStyle name="Normal 151 3 4" xfId="8145"/>
    <cellStyle name="Normal 151 3 4 2" xfId="14858"/>
    <cellStyle name="Normal 151 3 4 2 2" xfId="38279"/>
    <cellStyle name="Normal 151 3 4 3" xfId="20848"/>
    <cellStyle name="Normal 151 3 4 3 2" xfId="43299"/>
    <cellStyle name="Normal 151 3 4 4" xfId="31647"/>
    <cellStyle name="Normal 151 3 5" xfId="11540"/>
    <cellStyle name="Normal 151 3 5 2" xfId="21888"/>
    <cellStyle name="Normal 151 3 5 2 2" xfId="44327"/>
    <cellStyle name="Normal 151 3 5 3" xfId="34963"/>
    <cellStyle name="Normal 151 3 6" xfId="18681"/>
    <cellStyle name="Normal 151 3 6 2" xfId="41584"/>
    <cellStyle name="Normal 151 3 7" xfId="28331"/>
    <cellStyle name="Normal 151 4" xfId="19244"/>
    <cellStyle name="Normal 151 4 2" xfId="20098"/>
    <cellStyle name="Normal 151 4 2 2" xfId="42633"/>
    <cellStyle name="Normal 151 4 3" xfId="22106"/>
    <cellStyle name="Normal 151 4 3 2" xfId="44534"/>
    <cellStyle name="Normal 151 4 4" xfId="20466"/>
    <cellStyle name="Normal 151 4 5" xfId="41801"/>
    <cellStyle name="Normal 151 5" xfId="19680"/>
    <cellStyle name="Normal 151 5 2" xfId="42217"/>
    <cellStyle name="Normal 151 6" xfId="18044"/>
    <cellStyle name="Normal 151 6 2" xfId="41348"/>
    <cellStyle name="Normal 152" xfId="1772"/>
    <cellStyle name="Normal 152 2" xfId="2296"/>
    <cellStyle name="Normal 152 2 2" xfId="18684"/>
    <cellStyle name="Normal 152 3" xfId="2295"/>
    <cellStyle name="Normal 152 3 2" xfId="5559"/>
    <cellStyle name="Normal 152 3 2 2" xfId="7383"/>
    <cellStyle name="Normal 152 3 2 2 2" xfId="10714"/>
    <cellStyle name="Normal 152 3 2 2 2 2" xfId="17418"/>
    <cellStyle name="Normal 152 3 2 2 2 2 2" xfId="40839"/>
    <cellStyle name="Normal 152 3 2 2 2 3" xfId="23133"/>
    <cellStyle name="Normal 152 3 2 2 2 3 2" xfId="45555"/>
    <cellStyle name="Normal 152 3 2 2 2 4" xfId="34207"/>
    <cellStyle name="Normal 152 3 2 2 3" xfId="14102"/>
    <cellStyle name="Normal 152 3 2 2 3 2" xfId="37523"/>
    <cellStyle name="Normal 152 3 2 2 4" xfId="20307"/>
    <cellStyle name="Normal 152 3 2 2 4 2" xfId="42842"/>
    <cellStyle name="Normal 152 3 2 2 5" xfId="30891"/>
    <cellStyle name="Normal 152 3 2 3" xfId="9056"/>
    <cellStyle name="Normal 152 3 2 3 2" xfId="15760"/>
    <cellStyle name="Normal 152 3 2 3 2 2" xfId="39181"/>
    <cellStyle name="Normal 152 3 2 3 3" xfId="21308"/>
    <cellStyle name="Normal 152 3 2 3 3 2" xfId="43759"/>
    <cellStyle name="Normal 152 3 2 3 4" xfId="32549"/>
    <cellStyle name="Normal 152 3 2 4" xfId="12444"/>
    <cellStyle name="Normal 152 3 2 4 2" xfId="22320"/>
    <cellStyle name="Normal 152 3 2 4 2 2" xfId="44742"/>
    <cellStyle name="Normal 152 3 2 4 3" xfId="35865"/>
    <cellStyle name="Normal 152 3 2 5" xfId="19468"/>
    <cellStyle name="Normal 152 3 2 5 2" xfId="42010"/>
    <cellStyle name="Normal 152 3 2 6" xfId="29233"/>
    <cellStyle name="Normal 152 3 3" xfId="6479"/>
    <cellStyle name="Normal 152 3 3 2" xfId="9813"/>
    <cellStyle name="Normal 152 3 3 2 2" xfId="16517"/>
    <cellStyle name="Normal 152 3 3 2 2 2" xfId="39938"/>
    <cellStyle name="Normal 152 3 3 2 3" xfId="22728"/>
    <cellStyle name="Normal 152 3 3 2 3 2" xfId="45150"/>
    <cellStyle name="Normal 152 3 3 2 4" xfId="33306"/>
    <cellStyle name="Normal 152 3 3 3" xfId="13201"/>
    <cellStyle name="Normal 152 3 3 3 2" xfId="36622"/>
    <cellStyle name="Normal 152 3 3 4" xfId="19891"/>
    <cellStyle name="Normal 152 3 3 4 2" xfId="42426"/>
    <cellStyle name="Normal 152 3 3 5" xfId="29990"/>
    <cellStyle name="Normal 152 3 4" xfId="8146"/>
    <cellStyle name="Normal 152 3 4 2" xfId="14859"/>
    <cellStyle name="Normal 152 3 4 2 2" xfId="38280"/>
    <cellStyle name="Normal 152 3 4 3" xfId="20849"/>
    <cellStyle name="Normal 152 3 4 3 2" xfId="43300"/>
    <cellStyle name="Normal 152 3 4 4" xfId="31648"/>
    <cellStyle name="Normal 152 3 5" xfId="11541"/>
    <cellStyle name="Normal 152 3 5 2" xfId="21889"/>
    <cellStyle name="Normal 152 3 5 2 2" xfId="44328"/>
    <cellStyle name="Normal 152 3 5 3" xfId="34964"/>
    <cellStyle name="Normal 152 3 6" xfId="18683"/>
    <cellStyle name="Normal 152 3 6 2" xfId="41585"/>
    <cellStyle name="Normal 152 3 7" xfId="28332"/>
    <cellStyle name="Normal 152 4" xfId="19245"/>
    <cellStyle name="Normal 152 4 2" xfId="20099"/>
    <cellStyle name="Normal 152 4 2 2" xfId="42634"/>
    <cellStyle name="Normal 152 4 3" xfId="22107"/>
    <cellStyle name="Normal 152 4 3 2" xfId="44535"/>
    <cellStyle name="Normal 152 4 4" xfId="20426"/>
    <cellStyle name="Normal 152 4 5" xfId="41802"/>
    <cellStyle name="Normal 152 5" xfId="19681"/>
    <cellStyle name="Normal 152 5 2" xfId="42218"/>
    <cellStyle name="Normal 152 6" xfId="18045"/>
    <cellStyle name="Normal 152 6 2" xfId="41349"/>
    <cellStyle name="Normal 153" xfId="1749"/>
    <cellStyle name="Normal 153 2" xfId="2298"/>
    <cellStyle name="Normal 153 2 2" xfId="18686"/>
    <cellStyle name="Normal 153 3" xfId="2297"/>
    <cellStyle name="Normal 153 3 2" xfId="5560"/>
    <cellStyle name="Normal 153 3 2 2" xfId="7384"/>
    <cellStyle name="Normal 153 3 2 2 2" xfId="10715"/>
    <cellStyle name="Normal 153 3 2 2 2 2" xfId="17419"/>
    <cellStyle name="Normal 153 3 2 2 2 2 2" xfId="40840"/>
    <cellStyle name="Normal 153 3 2 2 2 3" xfId="23134"/>
    <cellStyle name="Normal 153 3 2 2 2 3 2" xfId="45556"/>
    <cellStyle name="Normal 153 3 2 2 2 4" xfId="34208"/>
    <cellStyle name="Normal 153 3 2 2 3" xfId="14103"/>
    <cellStyle name="Normal 153 3 2 2 3 2" xfId="37524"/>
    <cellStyle name="Normal 153 3 2 2 4" xfId="20308"/>
    <cellStyle name="Normal 153 3 2 2 4 2" xfId="42843"/>
    <cellStyle name="Normal 153 3 2 2 5" xfId="30892"/>
    <cellStyle name="Normal 153 3 2 3" xfId="9057"/>
    <cellStyle name="Normal 153 3 2 3 2" xfId="15761"/>
    <cellStyle name="Normal 153 3 2 3 2 2" xfId="39182"/>
    <cellStyle name="Normal 153 3 2 3 3" xfId="21309"/>
    <cellStyle name="Normal 153 3 2 3 3 2" xfId="43760"/>
    <cellStyle name="Normal 153 3 2 3 4" xfId="32550"/>
    <cellStyle name="Normal 153 3 2 4" xfId="12445"/>
    <cellStyle name="Normal 153 3 2 4 2" xfId="22321"/>
    <cellStyle name="Normal 153 3 2 4 2 2" xfId="44743"/>
    <cellStyle name="Normal 153 3 2 4 3" xfId="35866"/>
    <cellStyle name="Normal 153 3 2 5" xfId="19469"/>
    <cellStyle name="Normal 153 3 2 5 2" xfId="42011"/>
    <cellStyle name="Normal 153 3 2 6" xfId="29234"/>
    <cellStyle name="Normal 153 3 3" xfId="6480"/>
    <cellStyle name="Normal 153 3 3 2" xfId="9814"/>
    <cellStyle name="Normal 153 3 3 2 2" xfId="16518"/>
    <cellStyle name="Normal 153 3 3 2 2 2" xfId="39939"/>
    <cellStyle name="Normal 153 3 3 2 3" xfId="22729"/>
    <cellStyle name="Normal 153 3 3 2 3 2" xfId="45151"/>
    <cellStyle name="Normal 153 3 3 2 4" xfId="33307"/>
    <cellStyle name="Normal 153 3 3 3" xfId="13202"/>
    <cellStyle name="Normal 153 3 3 3 2" xfId="36623"/>
    <cellStyle name="Normal 153 3 3 4" xfId="19892"/>
    <cellStyle name="Normal 153 3 3 4 2" xfId="42427"/>
    <cellStyle name="Normal 153 3 3 5" xfId="29991"/>
    <cellStyle name="Normal 153 3 4" xfId="8147"/>
    <cellStyle name="Normal 153 3 4 2" xfId="14860"/>
    <cellStyle name="Normal 153 3 4 2 2" xfId="38281"/>
    <cellStyle name="Normal 153 3 4 3" xfId="20850"/>
    <cellStyle name="Normal 153 3 4 3 2" xfId="43301"/>
    <cellStyle name="Normal 153 3 4 4" xfId="31649"/>
    <cellStyle name="Normal 153 3 5" xfId="11542"/>
    <cellStyle name="Normal 153 3 5 2" xfId="21890"/>
    <cellStyle name="Normal 153 3 5 2 2" xfId="44329"/>
    <cellStyle name="Normal 153 3 5 3" xfId="34965"/>
    <cellStyle name="Normal 153 3 6" xfId="18685"/>
    <cellStyle name="Normal 153 3 6 2" xfId="41586"/>
    <cellStyle name="Normal 153 3 7" xfId="28333"/>
    <cellStyle name="Normal 153 4" xfId="19246"/>
    <cellStyle name="Normal 153 4 2" xfId="20100"/>
    <cellStyle name="Normal 153 4 2 2" xfId="42635"/>
    <cellStyle name="Normal 153 4 3" xfId="22108"/>
    <cellStyle name="Normal 153 4 3 2" xfId="44536"/>
    <cellStyle name="Normal 153 4 4" xfId="18273"/>
    <cellStyle name="Normal 153 4 5" xfId="41803"/>
    <cellStyle name="Normal 153 5" xfId="19682"/>
    <cellStyle name="Normal 153 5 2" xfId="42219"/>
    <cellStyle name="Normal 153 6" xfId="18046"/>
    <cellStyle name="Normal 153 6 2" xfId="41350"/>
    <cellStyle name="Normal 154" xfId="1883"/>
    <cellStyle name="Normal 154 2" xfId="2299"/>
    <cellStyle name="Normal 154 2 2" xfId="18688"/>
    <cellStyle name="Normal 154 3" xfId="5444"/>
    <cellStyle name="Normal 154 3 2" xfId="18687"/>
    <cellStyle name="Normal 155" xfId="1890"/>
    <cellStyle name="Normal 155 2" xfId="2300"/>
    <cellStyle name="Normal 155 2 2" xfId="18690"/>
    <cellStyle name="Normal 155 3" xfId="5447"/>
    <cellStyle name="Normal 155 3 2" xfId="18689"/>
    <cellStyle name="Normal 156" xfId="1884"/>
    <cellStyle name="Normal 156 2" xfId="2301"/>
    <cellStyle name="Normal 156 2 2" xfId="18692"/>
    <cellStyle name="Normal 156 3" xfId="5445"/>
    <cellStyle name="Normal 156 3 2" xfId="18691"/>
    <cellStyle name="Normal 157" xfId="1889"/>
    <cellStyle name="Normal 157 2" xfId="2302"/>
    <cellStyle name="Normal 157 2 2" xfId="18694"/>
    <cellStyle name="Normal 157 3" xfId="5446"/>
    <cellStyle name="Normal 157 3 2" xfId="18693"/>
    <cellStyle name="Normal 158" xfId="1891"/>
    <cellStyle name="Normal 158 2" xfId="5448"/>
    <cellStyle name="Normal 158 3" xfId="3947"/>
    <cellStyle name="Normal 159" xfId="2564"/>
    <cellStyle name="Normal 159 2" xfId="5698"/>
    <cellStyle name="Normal 159 3" xfId="3948"/>
    <cellStyle name="Normal 16" xfId="530"/>
    <cellStyle name="Normal 16 2" xfId="531"/>
    <cellStyle name="Normal 16 2 2" xfId="1125"/>
    <cellStyle name="Normal 16 2 2 2" xfId="3950"/>
    <cellStyle name="Normal 16 2 2 3" xfId="3949"/>
    <cellStyle name="Normal 16 2 3" xfId="1190"/>
    <cellStyle name="Normal 16 2 3 2" xfId="18696"/>
    <cellStyle name="Normal 16 2 3 3" xfId="23290"/>
    <cellStyle name="Normal 16 2 4" xfId="1124"/>
    <cellStyle name="Normal 16 2 4 2" xfId="18697"/>
    <cellStyle name="Normal 16 2 5" xfId="18695"/>
    <cellStyle name="Normal 16 3" xfId="1189"/>
    <cellStyle name="Normal 16 3 2" xfId="18698"/>
    <cellStyle name="Normal 16 4" xfId="1123"/>
    <cellStyle name="Normal 16 4 2" xfId="18699"/>
    <cellStyle name="Normal 16 5" xfId="2175"/>
    <cellStyle name="Normal 16 5 2" xfId="5464"/>
    <cellStyle name="Normal 16 5 2 2" xfId="7291"/>
    <cellStyle name="Normal 16 5 2 2 2" xfId="10622"/>
    <cellStyle name="Normal 16 5 2 2 2 2" xfId="17326"/>
    <cellStyle name="Normal 16 5 2 2 2 2 2" xfId="40747"/>
    <cellStyle name="Normal 16 5 2 2 2 3" xfId="34115"/>
    <cellStyle name="Normal 16 5 2 2 3" xfId="14010"/>
    <cellStyle name="Normal 16 5 2 2 3 2" xfId="37431"/>
    <cellStyle name="Normal 16 5 2 2 4" xfId="20584"/>
    <cellStyle name="Normal 16 5 2 2 4 2" xfId="43036"/>
    <cellStyle name="Normal 16 5 2 2 5" xfId="30799"/>
    <cellStyle name="Normal 16 5 2 3" xfId="8964"/>
    <cellStyle name="Normal 16 5 2 3 2" xfId="15668"/>
    <cellStyle name="Normal 16 5 2 3 2 2" xfId="39089"/>
    <cellStyle name="Normal 16 5 2 3 3" xfId="21310"/>
    <cellStyle name="Normal 16 5 2 3 3 2" xfId="43761"/>
    <cellStyle name="Normal 16 5 2 3 4" xfId="32457"/>
    <cellStyle name="Normal 16 5 2 4" xfId="12352"/>
    <cellStyle name="Normal 16 5 2 4 2" xfId="35773"/>
    <cellStyle name="Normal 16 5 2 5" xfId="18274"/>
    <cellStyle name="Normal 16 5 2 5 2" xfId="41463"/>
    <cellStyle name="Normal 16 5 2 6" xfId="23880"/>
    <cellStyle name="Normal 16 5 2 7" xfId="29141"/>
    <cellStyle name="Normal 16 5 3" xfId="5158"/>
    <cellStyle name="Normal 16 5 3 2" xfId="17901"/>
    <cellStyle name="Normal 16 5 3 2 2" xfId="41251"/>
    <cellStyle name="Normal 16 5 4" xfId="6382"/>
    <cellStyle name="Normal 16 5 4 2" xfId="9716"/>
    <cellStyle name="Normal 16 5 4 2 2" xfId="16420"/>
    <cellStyle name="Normal 16 5 4 2 2 2" xfId="39841"/>
    <cellStyle name="Normal 16 5 4 2 3" xfId="33209"/>
    <cellStyle name="Normal 16 5 4 3" xfId="13104"/>
    <cellStyle name="Normal 16 5 4 3 2" xfId="36525"/>
    <cellStyle name="Normal 16 5 4 4" xfId="20851"/>
    <cellStyle name="Normal 16 5 4 4 2" xfId="43302"/>
    <cellStyle name="Normal 16 5 4 5" xfId="29893"/>
    <cellStyle name="Normal 16 5 5" xfId="8049"/>
    <cellStyle name="Normal 16 5 5 2" xfId="14762"/>
    <cellStyle name="Normal 16 5 5 2 2" xfId="38183"/>
    <cellStyle name="Normal 16 5 5 3" xfId="21891"/>
    <cellStyle name="Normal 16 5 5 4" xfId="31551"/>
    <cellStyle name="Normal 16 5 6" xfId="11444"/>
    <cellStyle name="Normal 16 5 6 2" xfId="34867"/>
    <cellStyle name="Normal 16 5 7" xfId="20445"/>
    <cellStyle name="Normal 16 5 7 2" xfId="42955"/>
    <cellStyle name="Normal 16 5 8" xfId="23288"/>
    <cellStyle name="Normal 16 5 9" xfId="28235"/>
    <cellStyle name="Normal 16 6" xfId="20478"/>
    <cellStyle name="Normal 16 7" xfId="50278"/>
    <cellStyle name="Normal 160" xfId="2593"/>
    <cellStyle name="Normal 160 2" xfId="5701"/>
    <cellStyle name="Normal 160 3" xfId="3951"/>
    <cellStyle name="Normal 161" xfId="2594"/>
    <cellStyle name="Normal 161 2" xfId="18700"/>
    <cellStyle name="Normal 161 2 2" xfId="21892"/>
    <cellStyle name="Normal 161 2 3" xfId="18400"/>
    <cellStyle name="Normal 161 3" xfId="18047"/>
    <cellStyle name="Normal 162" xfId="2592"/>
    <cellStyle name="Normal 162 2" xfId="18701"/>
    <cellStyle name="Normal 162 2 2" xfId="21893"/>
    <cellStyle name="Normal 162 2 3" xfId="18401"/>
    <cellStyle name="Normal 162 3" xfId="18048"/>
    <cellStyle name="Normal 163" xfId="2595"/>
    <cellStyle name="Normal 163 2" xfId="18702"/>
    <cellStyle name="Normal 163 2 2" xfId="21894"/>
    <cellStyle name="Normal 163 2 3" xfId="18276"/>
    <cellStyle name="Normal 163 3" xfId="18049"/>
    <cellStyle name="Normal 164" xfId="2591"/>
    <cellStyle name="Normal 164 2" xfId="5699"/>
    <cellStyle name="Normal 164 3" xfId="3952"/>
    <cellStyle name="Normal 165" xfId="2500"/>
    <cellStyle name="Normal 165 2" xfId="5675"/>
    <cellStyle name="Normal 165 3" xfId="3953"/>
    <cellStyle name="Normal 166" xfId="2599"/>
    <cellStyle name="Normal 166 2" xfId="5703"/>
    <cellStyle name="Normal 166 3" xfId="3954"/>
    <cellStyle name="Normal 167" xfId="2600"/>
    <cellStyle name="Normal 167 2" xfId="5704"/>
    <cellStyle name="Normal 167 3" xfId="3955"/>
    <cellStyle name="Normal 168" xfId="2601"/>
    <cellStyle name="Normal 168 2" xfId="5705"/>
    <cellStyle name="Normal 168 3" xfId="3956"/>
    <cellStyle name="Normal 169" xfId="2499"/>
    <cellStyle name="Normal 169 2" xfId="19247"/>
    <cellStyle name="Normal 169 2 2" xfId="22109"/>
    <cellStyle name="Normal 169 2 3" xfId="18278"/>
    <cellStyle name="Normal 169 3" xfId="18050"/>
    <cellStyle name="Normal 17" xfId="532"/>
    <cellStyle name="Normal 17 2" xfId="533"/>
    <cellStyle name="Normal 17 2 2" xfId="3957"/>
    <cellStyle name="Normal 17 3" xfId="2177"/>
    <cellStyle name="Normal 17 3 2" xfId="3959"/>
    <cellStyle name="Normal 17 3 3" xfId="3958"/>
    <cellStyle name="Normal 17 4" xfId="2176"/>
    <cellStyle name="Normal 17 4 2" xfId="23313"/>
    <cellStyle name="Normal 17 5" xfId="18097"/>
    <cellStyle name="Normal 170" xfId="2598"/>
    <cellStyle name="Normal 170 2" xfId="19248"/>
    <cellStyle name="Normal 170 2 2" xfId="22110"/>
    <cellStyle name="Normal 170 2 3" xfId="18279"/>
    <cellStyle name="Normal 170 3" xfId="18051"/>
    <cellStyle name="Normal 171" xfId="2602"/>
    <cellStyle name="Normal 171 2" xfId="19249"/>
    <cellStyle name="Normal 171 2 2" xfId="22111"/>
    <cellStyle name="Normal 171 2 3" xfId="20458"/>
    <cellStyle name="Normal 171 3" xfId="18052"/>
    <cellStyle name="Normal 172" xfId="2603"/>
    <cellStyle name="Normal 172 2" xfId="19250"/>
    <cellStyle name="Normal 172 2 2" xfId="22112"/>
    <cellStyle name="Normal 172 2 3" xfId="19024"/>
    <cellStyle name="Normal 172 3" xfId="18053"/>
    <cellStyle name="Normal 173" xfId="2604"/>
    <cellStyle name="Normal 173 2" xfId="18352"/>
    <cellStyle name="Normal 173 2 2" xfId="20457"/>
    <cellStyle name="Normal 173 3" xfId="21784"/>
    <cellStyle name="Normal 174" xfId="2605"/>
    <cellStyle name="Normal 174 2" xfId="19141"/>
    <cellStyle name="Normal 174 2 2" xfId="18280"/>
    <cellStyle name="Normal 174 3" xfId="22010"/>
    <cellStyle name="Normal 175" xfId="2606"/>
    <cellStyle name="Normal 175 2" xfId="19142"/>
    <cellStyle name="Normal 175 2 2" xfId="17875"/>
    <cellStyle name="Normal 175 3" xfId="22011"/>
    <cellStyle name="Normal 176" xfId="2607"/>
    <cellStyle name="Normal 176 2" xfId="19369"/>
    <cellStyle name="Normal 176 2 2" xfId="18281"/>
    <cellStyle name="Normal 176 3" xfId="22222"/>
    <cellStyle name="Normal 177" xfId="2608"/>
    <cellStyle name="Normal 177 2" xfId="19370"/>
    <cellStyle name="Normal 177 2 2" xfId="17876"/>
    <cellStyle name="Normal 177 3" xfId="22223"/>
    <cellStyle name="Normal 178" xfId="2609"/>
    <cellStyle name="Normal 178 2" xfId="19366"/>
    <cellStyle name="Normal 179" xfId="2615"/>
    <cellStyle name="Normal 179 2" xfId="5709"/>
    <cellStyle name="Normal 179 2 2" xfId="17877"/>
    <cellStyle name="Normal 179 3" xfId="5187"/>
    <cellStyle name="Normal 18" xfId="534"/>
    <cellStyle name="Normal 18 2" xfId="535"/>
    <cellStyle name="Normal 18 2 2" xfId="2180"/>
    <cellStyle name="Normal 18 2 2 2" xfId="18282"/>
    <cellStyle name="Normal 18 2 3" xfId="2179"/>
    <cellStyle name="Normal 18 2 4" xfId="18785"/>
    <cellStyle name="Normal 18 3" xfId="2181"/>
    <cellStyle name="Normal 18 3 2" xfId="18402"/>
    <cellStyle name="Normal 18 4" xfId="2178"/>
    <cellStyle name="Normal 18 5" xfId="18098"/>
    <cellStyle name="Normal 180" xfId="2642"/>
    <cellStyle name="Normal 180 2" xfId="5735"/>
    <cellStyle name="Normal 180 2 2" xfId="18283"/>
    <cellStyle name="Normal 180 3" xfId="19368"/>
    <cellStyle name="Normal 181" xfId="2747"/>
    <cellStyle name="Normal 181 2" xfId="19371"/>
    <cellStyle name="Normal 182" xfId="2612"/>
    <cellStyle name="Normal 182 2" xfId="19580"/>
    <cellStyle name="Normal 183" xfId="2611"/>
    <cellStyle name="Normal 183 2" xfId="19793"/>
    <cellStyle name="Normal 184" xfId="2610"/>
    <cellStyle name="Normal 184 2" xfId="19584"/>
    <cellStyle name="Normal 185" xfId="5188"/>
    <cellStyle name="Normal 185 2" xfId="19581"/>
    <cellStyle name="Normal 186" xfId="5298"/>
    <cellStyle name="Normal 186 2" xfId="19583"/>
    <cellStyle name="Normal 187" xfId="5388"/>
    <cellStyle name="Normal 187 2" xfId="19582"/>
    <cellStyle name="Normal 188" xfId="6008"/>
    <cellStyle name="Normal 188 2" xfId="19794"/>
    <cellStyle name="Normal 189" xfId="5362"/>
    <cellStyle name="Normal 19" xfId="536"/>
    <cellStyle name="Normal 19 2" xfId="537"/>
    <cellStyle name="Normal 19 2 2" xfId="1192"/>
    <cellStyle name="Normal 19 2 2 2" xfId="18707"/>
    <cellStyle name="Normal 19 2 3" xfId="1127"/>
    <cellStyle name="Normal 19 2 3 2" xfId="18708"/>
    <cellStyle name="Normal 19 2 4" xfId="18706"/>
    <cellStyle name="Normal 19 3" xfId="1191"/>
    <cellStyle name="Normal 19 3 2" xfId="18709"/>
    <cellStyle name="Normal 19 4" xfId="1126"/>
    <cellStyle name="Normal 19 4 2" xfId="18710"/>
    <cellStyle name="Normal 19 5" xfId="18705"/>
    <cellStyle name="Normal 19 5 2" xfId="21895"/>
    <cellStyle name="Normal 19 5 3" xfId="20475"/>
    <cellStyle name="Normal 190" xfId="5198"/>
    <cellStyle name="Normal 191" xfId="2886"/>
    <cellStyle name="Normal 191 2" xfId="6857"/>
    <cellStyle name="Normal 191 2 2" xfId="10189"/>
    <cellStyle name="Normal 191 2 2 2" xfId="16893"/>
    <cellStyle name="Normal 191 2 2 2 2" xfId="40314"/>
    <cellStyle name="Normal 191 2 2 3" xfId="33682"/>
    <cellStyle name="Normal 191 2 3" xfId="13577"/>
    <cellStyle name="Normal 191 2 3 2" xfId="36998"/>
    <cellStyle name="Normal 191 2 4" xfId="30366"/>
    <cellStyle name="Normal 191 3" xfId="8523"/>
    <cellStyle name="Normal 191 3 2" xfId="15235"/>
    <cellStyle name="Normal 191 3 2 2" xfId="38656"/>
    <cellStyle name="Normal 191 3 3" xfId="32024"/>
    <cellStyle name="Normal 191 4" xfId="11917"/>
    <cellStyle name="Normal 191 4 2" xfId="35340"/>
    <cellStyle name="Normal 191 5" xfId="17823"/>
    <cellStyle name="Normal 191 6" xfId="28708"/>
    <cellStyle name="Normal 192" xfId="4808"/>
    <cellStyle name="Normal 192 2" xfId="7197"/>
    <cellStyle name="Normal 192 2 2" xfId="10529"/>
    <cellStyle name="Normal 192 2 2 2" xfId="17233"/>
    <cellStyle name="Normal 192 2 2 2 2" xfId="40654"/>
    <cellStyle name="Normal 192 2 2 3" xfId="34022"/>
    <cellStyle name="Normal 192 2 3" xfId="13917"/>
    <cellStyle name="Normal 192 2 3 2" xfId="37338"/>
    <cellStyle name="Normal 192 2 4" xfId="30706"/>
    <cellStyle name="Normal 192 3" xfId="8866"/>
    <cellStyle name="Normal 192 3 2" xfId="15575"/>
    <cellStyle name="Normal 192 3 2 2" xfId="38996"/>
    <cellStyle name="Normal 192 3 3" xfId="32364"/>
    <cellStyle name="Normal 192 4" xfId="12257"/>
    <cellStyle name="Normal 192 4 2" xfId="35680"/>
    <cellStyle name="Normal 192 5" xfId="18193"/>
    <cellStyle name="Normal 192 6" xfId="29048"/>
    <cellStyle name="Normal 193" xfId="6068"/>
    <cellStyle name="Normal 193 2" xfId="7761"/>
    <cellStyle name="Normal 193 2 2" xfId="11090"/>
    <cellStyle name="Normal 193 2 2 2" xfId="17794"/>
    <cellStyle name="Normal 193 2 2 2 2" xfId="41215"/>
    <cellStyle name="Normal 193 2 2 3" xfId="34583"/>
    <cellStyle name="Normal 193 2 3" xfId="14478"/>
    <cellStyle name="Normal 193 2 3 2" xfId="37899"/>
    <cellStyle name="Normal 193 2 4" xfId="31267"/>
    <cellStyle name="Normal 193 3" xfId="9432"/>
    <cellStyle name="Normal 193 3 2" xfId="16136"/>
    <cellStyle name="Normal 193 3 2 2" xfId="39557"/>
    <cellStyle name="Normal 193 3 3" xfId="32925"/>
    <cellStyle name="Normal 193 4" xfId="12820"/>
    <cellStyle name="Normal 193 4 2" xfId="36241"/>
    <cellStyle name="Normal 193 5" xfId="18961"/>
    <cellStyle name="Normal 193 6" xfId="29609"/>
    <cellStyle name="Normal 194" xfId="3796"/>
    <cellStyle name="Normal 194 2" xfId="6936"/>
    <cellStyle name="Normal 194 2 2" xfId="10268"/>
    <cellStyle name="Normal 194 2 2 2" xfId="16972"/>
    <cellStyle name="Normal 194 2 2 2 2" xfId="40393"/>
    <cellStyle name="Normal 194 2 2 3" xfId="33761"/>
    <cellStyle name="Normal 194 2 3" xfId="13656"/>
    <cellStyle name="Normal 194 2 3 2" xfId="37077"/>
    <cellStyle name="Normal 194 2 4" xfId="30445"/>
    <cellStyle name="Normal 194 3" xfId="8603"/>
    <cellStyle name="Normal 194 3 2" xfId="15314"/>
    <cellStyle name="Normal 194 3 2 2" xfId="38735"/>
    <cellStyle name="Normal 194 3 3" xfId="32103"/>
    <cellStyle name="Normal 194 4" xfId="11996"/>
    <cellStyle name="Normal 194 4 2" xfId="35419"/>
    <cellStyle name="Normal 194 5" xfId="18194"/>
    <cellStyle name="Normal 194 6" xfId="28787"/>
    <cellStyle name="Normal 195" xfId="6063"/>
    <cellStyle name="Normal 195 2" xfId="7756"/>
    <cellStyle name="Normal 195 2 2" xfId="11085"/>
    <cellStyle name="Normal 195 2 2 2" xfId="17789"/>
    <cellStyle name="Normal 195 2 2 2 2" xfId="41210"/>
    <cellStyle name="Normal 195 2 2 3" xfId="34578"/>
    <cellStyle name="Normal 195 2 3" xfId="14473"/>
    <cellStyle name="Normal 195 2 3 2" xfId="37894"/>
    <cellStyle name="Normal 195 2 4" xfId="31262"/>
    <cellStyle name="Normal 195 3" xfId="9427"/>
    <cellStyle name="Normal 195 3 2" xfId="16131"/>
    <cellStyle name="Normal 195 3 2 2" xfId="39552"/>
    <cellStyle name="Normal 195 3 3" xfId="32920"/>
    <cellStyle name="Normal 195 4" xfId="12815"/>
    <cellStyle name="Normal 195 4 2" xfId="36236"/>
    <cellStyle name="Normal 195 5" xfId="17824"/>
    <cellStyle name="Normal 195 6" xfId="29604"/>
    <cellStyle name="Normal 196" xfId="6106"/>
    <cellStyle name="Normal 196 2" xfId="7772"/>
    <cellStyle name="Normal 196 2 2" xfId="11101"/>
    <cellStyle name="Normal 196 2 2 2" xfId="17805"/>
    <cellStyle name="Normal 196 2 2 2 2" xfId="41226"/>
    <cellStyle name="Normal 196 2 2 3" xfId="34594"/>
    <cellStyle name="Normal 196 2 3" xfId="14489"/>
    <cellStyle name="Normal 196 2 3 2" xfId="37910"/>
    <cellStyle name="Normal 196 2 4" xfId="31278"/>
    <cellStyle name="Normal 196 3" xfId="9443"/>
    <cellStyle name="Normal 196 3 2" xfId="16147"/>
    <cellStyle name="Normal 196 3 2 2" xfId="39568"/>
    <cellStyle name="Normal 196 3 3" xfId="32936"/>
    <cellStyle name="Normal 196 4" xfId="12831"/>
    <cellStyle name="Normal 196 4 2" xfId="36252"/>
    <cellStyle name="Normal 196 5" xfId="19086"/>
    <cellStyle name="Normal 196 6" xfId="29620"/>
    <cellStyle name="Normal 197" xfId="6119"/>
    <cellStyle name="Normal 198" xfId="7208"/>
    <cellStyle name="Normal 199" xfId="11112"/>
    <cellStyle name="Normal 199 2" xfId="18257"/>
    <cellStyle name="Normal 2" xfId="67"/>
    <cellStyle name="Normal 2 10" xfId="2305"/>
    <cellStyle name="Normal 2 10 2" xfId="18712"/>
    <cellStyle name="Normal 2 11" xfId="18711"/>
    <cellStyle name="Normal 2 12" xfId="538"/>
    <cellStyle name="Normal 2 2" xfId="539"/>
    <cellStyle name="Normal 2 2 10" xfId="21675"/>
    <cellStyle name="Normal 2 2 10 2" xfId="44124"/>
    <cellStyle name="Normal 2 2 2" xfId="540"/>
    <cellStyle name="Normal 2 2 2 2" xfId="3960"/>
    <cellStyle name="Normal 2 2 3" xfId="541"/>
    <cellStyle name="Normal 2 2 3 2" xfId="1643"/>
    <cellStyle name="Normal 2 2 3 2 2" xfId="18716"/>
    <cellStyle name="Normal 2 2 3 3" xfId="1642"/>
    <cellStyle name="Normal 2 2 3 3 2" xfId="18717"/>
    <cellStyle name="Normal 2 2 3 4" xfId="18715"/>
    <cellStyle name="Normal 2 2 4" xfId="1641"/>
    <cellStyle name="Normal 2 2 4 10" xfId="28076"/>
    <cellStyle name="Normal 2 2 4 2" xfId="1855"/>
    <cellStyle name="Normal 2 2 4 2 10" xfId="28207"/>
    <cellStyle name="Normal 2 2 4 2 2" xfId="2311"/>
    <cellStyle name="Normal 2 2 4 2 2 2" xfId="5562"/>
    <cellStyle name="Normal 2 2 4 2 2 2 2" xfId="7386"/>
    <cellStyle name="Normal 2 2 4 2 2 2 2 2" xfId="10717"/>
    <cellStyle name="Normal 2 2 4 2 2 2 2 2 2" xfId="17421"/>
    <cellStyle name="Normal 2 2 4 2 2 2 2 2 2 2" xfId="40842"/>
    <cellStyle name="Normal 2 2 4 2 2 2 2 2 3" xfId="23137"/>
    <cellStyle name="Normal 2 2 4 2 2 2 2 2 3 2" xfId="45559"/>
    <cellStyle name="Normal 2 2 4 2 2 2 2 2 4" xfId="34210"/>
    <cellStyle name="Normal 2 2 4 2 2 2 2 3" xfId="14105"/>
    <cellStyle name="Normal 2 2 4 2 2 2 2 3 2" xfId="37526"/>
    <cellStyle name="Normal 2 2 4 2 2 2 2 4" xfId="20311"/>
    <cellStyle name="Normal 2 2 4 2 2 2 2 4 2" xfId="42846"/>
    <cellStyle name="Normal 2 2 4 2 2 2 2 5" xfId="30894"/>
    <cellStyle name="Normal 2 2 4 2 2 2 3" xfId="9059"/>
    <cellStyle name="Normal 2 2 4 2 2 2 3 2" xfId="15763"/>
    <cellStyle name="Normal 2 2 4 2 2 2 3 2 2" xfId="39184"/>
    <cellStyle name="Normal 2 2 4 2 2 2 3 3" xfId="21314"/>
    <cellStyle name="Normal 2 2 4 2 2 2 3 3 2" xfId="43765"/>
    <cellStyle name="Normal 2 2 4 2 2 2 3 4" xfId="32552"/>
    <cellStyle name="Normal 2 2 4 2 2 2 4" xfId="12447"/>
    <cellStyle name="Normal 2 2 4 2 2 2 4 2" xfId="22324"/>
    <cellStyle name="Normal 2 2 4 2 2 2 4 2 2" xfId="44746"/>
    <cellStyle name="Normal 2 2 4 2 2 2 4 3" xfId="35868"/>
    <cellStyle name="Normal 2 2 4 2 2 2 5" xfId="19472"/>
    <cellStyle name="Normal 2 2 4 2 2 2 5 2" xfId="42014"/>
    <cellStyle name="Normal 2 2 4 2 2 2 6" xfId="29236"/>
    <cellStyle name="Normal 2 2 4 2 2 3" xfId="6483"/>
    <cellStyle name="Normal 2 2 4 2 2 3 2" xfId="9817"/>
    <cellStyle name="Normal 2 2 4 2 2 3 2 2" xfId="16521"/>
    <cellStyle name="Normal 2 2 4 2 2 3 2 2 2" xfId="39942"/>
    <cellStyle name="Normal 2 2 4 2 2 3 2 3" xfId="22731"/>
    <cellStyle name="Normal 2 2 4 2 2 3 2 3 2" xfId="45153"/>
    <cellStyle name="Normal 2 2 4 2 2 3 2 4" xfId="33310"/>
    <cellStyle name="Normal 2 2 4 2 2 3 3" xfId="13205"/>
    <cellStyle name="Normal 2 2 4 2 2 3 3 2" xfId="36626"/>
    <cellStyle name="Normal 2 2 4 2 2 3 4" xfId="19895"/>
    <cellStyle name="Normal 2 2 4 2 2 3 4 2" xfId="42430"/>
    <cellStyle name="Normal 2 2 4 2 2 3 5" xfId="29994"/>
    <cellStyle name="Normal 2 2 4 2 2 4" xfId="8150"/>
    <cellStyle name="Normal 2 2 4 2 2 4 2" xfId="14863"/>
    <cellStyle name="Normal 2 2 4 2 2 4 2 2" xfId="38284"/>
    <cellStyle name="Normal 2 2 4 2 2 4 3" xfId="20855"/>
    <cellStyle name="Normal 2 2 4 2 2 4 3 2" xfId="43306"/>
    <cellStyle name="Normal 2 2 4 2 2 4 4" xfId="31652"/>
    <cellStyle name="Normal 2 2 4 2 2 5" xfId="11545"/>
    <cellStyle name="Normal 2 2 4 2 2 5 2" xfId="21898"/>
    <cellStyle name="Normal 2 2 4 2 2 5 2 2" xfId="44332"/>
    <cellStyle name="Normal 2 2 4 2 2 5 3" xfId="34968"/>
    <cellStyle name="Normal 2 2 4 2 2 6" xfId="18719"/>
    <cellStyle name="Normal 2 2 4 2 2 6 2" xfId="41589"/>
    <cellStyle name="Normal 2 2 4 2 2 7" xfId="25886"/>
    <cellStyle name="Normal 2 2 4 2 2 7 2" xfId="48131"/>
    <cellStyle name="Normal 2 2 4 2 2 8" xfId="28336"/>
    <cellStyle name="Normal 2 2 4 2 3" xfId="2852"/>
    <cellStyle name="Normal 2 2 4 2 3 2" xfId="5944"/>
    <cellStyle name="Normal 2 2 4 2 3 2 2" xfId="7726"/>
    <cellStyle name="Normal 2 2 4 2 3 2 2 2" xfId="11055"/>
    <cellStyle name="Normal 2 2 4 2 3 2 2 2 2" xfId="17759"/>
    <cellStyle name="Normal 2 2 4 2 3 2 2 2 2 2" xfId="41180"/>
    <cellStyle name="Normal 2 2 4 2 3 2 2 2 3" xfId="34548"/>
    <cellStyle name="Normal 2 2 4 2 3 2 2 3" xfId="14443"/>
    <cellStyle name="Normal 2 2 4 2 3 2 2 3 2" xfId="37864"/>
    <cellStyle name="Normal 2 2 4 2 3 2 2 4" xfId="22933"/>
    <cellStyle name="Normal 2 2 4 2 3 2 2 4 2" xfId="45355"/>
    <cellStyle name="Normal 2 2 4 2 3 2 2 5" xfId="31232"/>
    <cellStyle name="Normal 2 2 4 2 3 2 3" xfId="9397"/>
    <cellStyle name="Normal 2 2 4 2 3 2 3 2" xfId="16101"/>
    <cellStyle name="Normal 2 2 4 2 3 2 3 2 2" xfId="39522"/>
    <cellStyle name="Normal 2 2 4 2 3 2 3 3" xfId="32890"/>
    <cellStyle name="Normal 2 2 4 2 3 2 4" xfId="12785"/>
    <cellStyle name="Normal 2 2 4 2 3 2 4 2" xfId="36206"/>
    <cellStyle name="Normal 2 2 4 2 3 2 5" xfId="20103"/>
    <cellStyle name="Normal 2 2 4 2 3 2 5 2" xfId="42638"/>
    <cellStyle name="Normal 2 2 4 2 3 2 6" xfId="29574"/>
    <cellStyle name="Normal 2 2 4 2 3 3" xfId="6827"/>
    <cellStyle name="Normal 2 2 4 2 3 3 2" xfId="10159"/>
    <cellStyle name="Normal 2 2 4 2 3 3 2 2" xfId="16863"/>
    <cellStyle name="Normal 2 2 4 2 3 3 2 2 2" xfId="40284"/>
    <cellStyle name="Normal 2 2 4 2 3 3 2 3" xfId="33652"/>
    <cellStyle name="Normal 2 2 4 2 3 3 3" xfId="13547"/>
    <cellStyle name="Normal 2 2 4 2 3 3 3 2" xfId="36968"/>
    <cellStyle name="Normal 2 2 4 2 3 3 4" xfId="21313"/>
    <cellStyle name="Normal 2 2 4 2 3 3 4 2" xfId="43764"/>
    <cellStyle name="Normal 2 2 4 2 3 3 5" xfId="30336"/>
    <cellStyle name="Normal 2 2 4 2 3 4" xfId="8493"/>
    <cellStyle name="Normal 2 2 4 2 3 4 2" xfId="15205"/>
    <cellStyle name="Normal 2 2 4 2 3 4 2 2" xfId="38626"/>
    <cellStyle name="Normal 2 2 4 2 3 4 3" xfId="22115"/>
    <cellStyle name="Normal 2 2 4 2 3 4 3 2" xfId="44539"/>
    <cellStyle name="Normal 2 2 4 2 3 4 4" xfId="31994"/>
    <cellStyle name="Normal 2 2 4 2 3 5" xfId="11887"/>
    <cellStyle name="Normal 2 2 4 2 3 5 2" xfId="35310"/>
    <cellStyle name="Normal 2 2 4 2 3 6" xfId="19253"/>
    <cellStyle name="Normal 2 2 4 2 3 6 2" xfId="41806"/>
    <cellStyle name="Normal 2 2 4 2 3 7" xfId="28678"/>
    <cellStyle name="Normal 2 2 4 2 4" xfId="3962"/>
    <cellStyle name="Normal 2 2 4 2 4 2" xfId="7035"/>
    <cellStyle name="Normal 2 2 4 2 4 2 2" xfId="10367"/>
    <cellStyle name="Normal 2 2 4 2 4 2 2 2" xfId="17071"/>
    <cellStyle name="Normal 2 2 4 2 4 2 2 2 2" xfId="40492"/>
    <cellStyle name="Normal 2 2 4 2 4 2 2 3" xfId="33860"/>
    <cellStyle name="Normal 2 2 4 2 4 2 3" xfId="13755"/>
    <cellStyle name="Normal 2 2 4 2 4 2 3 2" xfId="37176"/>
    <cellStyle name="Normal 2 2 4 2 4 2 4" xfId="22527"/>
    <cellStyle name="Normal 2 2 4 2 4 2 4 2" xfId="44949"/>
    <cellStyle name="Normal 2 2 4 2 4 2 5" xfId="30544"/>
    <cellStyle name="Normal 2 2 4 2 4 3" xfId="8702"/>
    <cellStyle name="Normal 2 2 4 2 4 3 2" xfId="15413"/>
    <cellStyle name="Normal 2 2 4 2 4 3 2 2" xfId="38834"/>
    <cellStyle name="Normal 2 2 4 2 4 3 3" xfId="32202"/>
    <cellStyle name="Normal 2 2 4 2 4 4" xfId="12095"/>
    <cellStyle name="Normal 2 2 4 2 4 4 2" xfId="35518"/>
    <cellStyle name="Normal 2 2 4 2 4 5" xfId="19685"/>
    <cellStyle name="Normal 2 2 4 2 4 5 2" xfId="42222"/>
    <cellStyle name="Normal 2 2 4 2 4 6" xfId="28886"/>
    <cellStyle name="Normal 2 2 4 2 5" xfId="6354"/>
    <cellStyle name="Normal 2 2 4 2 5 2" xfId="9688"/>
    <cellStyle name="Normal 2 2 4 2 5 2 2" xfId="16392"/>
    <cellStyle name="Normal 2 2 4 2 5 2 2 2" xfId="39813"/>
    <cellStyle name="Normal 2 2 4 2 5 2 3" xfId="33181"/>
    <cellStyle name="Normal 2 2 4 2 5 3" xfId="13076"/>
    <cellStyle name="Normal 2 2 4 2 5 3 2" xfId="36497"/>
    <cellStyle name="Normal 2 2 4 2 5 4" xfId="20854"/>
    <cellStyle name="Normal 2 2 4 2 5 4 2" xfId="43305"/>
    <cellStyle name="Normal 2 2 4 2 5 5" xfId="29865"/>
    <cellStyle name="Normal 2 2 4 2 6" xfId="8020"/>
    <cellStyle name="Normal 2 2 4 2 6 2" xfId="14734"/>
    <cellStyle name="Normal 2 2 4 2 6 2 2" xfId="38155"/>
    <cellStyle name="Normal 2 2 4 2 6 3" xfId="21677"/>
    <cellStyle name="Normal 2 2 4 2 6 3 2" xfId="44126"/>
    <cellStyle name="Normal 2 2 4 2 6 4" xfId="31523"/>
    <cellStyle name="Normal 2 2 4 2 7" xfId="11416"/>
    <cellStyle name="Normal 2 2 4 2 7 2" xfId="34839"/>
    <cellStyle name="Normal 2 2 4 2 8" xfId="18059"/>
    <cellStyle name="Normal 2 2 4 2 8 2" xfId="41353"/>
    <cellStyle name="Normal 2 2 4 2 9" xfId="23645"/>
    <cellStyle name="Normal 2 2 4 2 9 2" xfId="45939"/>
    <cellStyle name="Normal 2 2 4 3" xfId="2310"/>
    <cellStyle name="Normal 2 2 4 3 2" xfId="3963"/>
    <cellStyle name="Normal 2 2 4 3 2 2" xfId="7036"/>
    <cellStyle name="Normal 2 2 4 3 2 2 2" xfId="10368"/>
    <cellStyle name="Normal 2 2 4 3 2 2 2 2" xfId="17072"/>
    <cellStyle name="Normal 2 2 4 3 2 2 2 2 2" xfId="40493"/>
    <cellStyle name="Normal 2 2 4 3 2 2 2 3" xfId="23136"/>
    <cellStyle name="Normal 2 2 4 3 2 2 2 3 2" xfId="45558"/>
    <cellStyle name="Normal 2 2 4 3 2 2 2 4" xfId="33861"/>
    <cellStyle name="Normal 2 2 4 3 2 2 3" xfId="13756"/>
    <cellStyle name="Normal 2 2 4 3 2 2 3 2" xfId="37177"/>
    <cellStyle name="Normal 2 2 4 3 2 2 4" xfId="20310"/>
    <cellStyle name="Normal 2 2 4 3 2 2 4 2" xfId="42845"/>
    <cellStyle name="Normal 2 2 4 3 2 2 5" xfId="30545"/>
    <cellStyle name="Normal 2 2 4 3 2 3" xfId="8703"/>
    <cellStyle name="Normal 2 2 4 3 2 3 2" xfId="15414"/>
    <cellStyle name="Normal 2 2 4 3 2 3 2 2" xfId="38835"/>
    <cellStyle name="Normal 2 2 4 3 2 3 3" xfId="21315"/>
    <cellStyle name="Normal 2 2 4 3 2 3 3 2" xfId="43766"/>
    <cellStyle name="Normal 2 2 4 3 2 3 4" xfId="32203"/>
    <cellStyle name="Normal 2 2 4 3 2 4" xfId="12096"/>
    <cellStyle name="Normal 2 2 4 3 2 4 2" xfId="22323"/>
    <cellStyle name="Normal 2 2 4 3 2 4 2 2" xfId="44745"/>
    <cellStyle name="Normal 2 2 4 3 2 4 3" xfId="35519"/>
    <cellStyle name="Normal 2 2 4 3 2 5" xfId="19471"/>
    <cellStyle name="Normal 2 2 4 3 2 5 2" xfId="42013"/>
    <cellStyle name="Normal 2 2 4 3 2 6" xfId="25887"/>
    <cellStyle name="Normal 2 2 4 3 2 6 2" xfId="48132"/>
    <cellStyle name="Normal 2 2 4 3 2 7" xfId="28887"/>
    <cellStyle name="Normal 2 2 4 3 3" xfId="6482"/>
    <cellStyle name="Normal 2 2 4 3 3 2" xfId="9816"/>
    <cellStyle name="Normal 2 2 4 3 3 2 2" xfId="16520"/>
    <cellStyle name="Normal 2 2 4 3 3 2 2 2" xfId="39941"/>
    <cellStyle name="Normal 2 2 4 3 3 2 3" xfId="22730"/>
    <cellStyle name="Normal 2 2 4 3 3 2 3 2" xfId="45152"/>
    <cellStyle name="Normal 2 2 4 3 3 2 4" xfId="33309"/>
    <cellStyle name="Normal 2 2 4 3 3 3" xfId="13204"/>
    <cellStyle name="Normal 2 2 4 3 3 3 2" xfId="36625"/>
    <cellStyle name="Normal 2 2 4 3 3 4" xfId="19894"/>
    <cellStyle name="Normal 2 2 4 3 3 4 2" xfId="42429"/>
    <cellStyle name="Normal 2 2 4 3 3 5" xfId="29993"/>
    <cellStyle name="Normal 2 2 4 3 4" xfId="8149"/>
    <cellStyle name="Normal 2 2 4 3 4 2" xfId="14862"/>
    <cellStyle name="Normal 2 2 4 3 4 2 2" xfId="38283"/>
    <cellStyle name="Normal 2 2 4 3 4 3" xfId="20856"/>
    <cellStyle name="Normal 2 2 4 3 4 3 2" xfId="43307"/>
    <cellStyle name="Normal 2 2 4 3 4 4" xfId="31651"/>
    <cellStyle name="Normal 2 2 4 3 5" xfId="11544"/>
    <cellStyle name="Normal 2 2 4 3 5 2" xfId="21897"/>
    <cellStyle name="Normal 2 2 4 3 5 2 2" xfId="44331"/>
    <cellStyle name="Normal 2 2 4 3 5 3" xfId="34967"/>
    <cellStyle name="Normal 2 2 4 3 6" xfId="18718"/>
    <cellStyle name="Normal 2 2 4 3 6 2" xfId="41588"/>
    <cellStyle name="Normal 2 2 4 3 7" xfId="23646"/>
    <cellStyle name="Normal 2 2 4 3 7 2" xfId="45940"/>
    <cellStyle name="Normal 2 2 4 3 8" xfId="28335"/>
    <cellStyle name="Normal 2 2 4 4" xfId="2720"/>
    <cellStyle name="Normal 2 2 4 4 2" xfId="5813"/>
    <cellStyle name="Normal 2 2 4 4 2 2" xfId="7595"/>
    <cellStyle name="Normal 2 2 4 4 2 2 2" xfId="10924"/>
    <cellStyle name="Normal 2 2 4 4 2 2 2 2" xfId="17628"/>
    <cellStyle name="Normal 2 2 4 4 2 2 2 2 2" xfId="41049"/>
    <cellStyle name="Normal 2 2 4 4 2 2 2 3" xfId="34417"/>
    <cellStyle name="Normal 2 2 4 4 2 2 3" xfId="14312"/>
    <cellStyle name="Normal 2 2 4 4 2 2 3 2" xfId="37733"/>
    <cellStyle name="Normal 2 2 4 4 2 2 4" xfId="22932"/>
    <cellStyle name="Normal 2 2 4 4 2 2 4 2" xfId="45354"/>
    <cellStyle name="Normal 2 2 4 4 2 2 5" xfId="31101"/>
    <cellStyle name="Normal 2 2 4 4 2 3" xfId="9266"/>
    <cellStyle name="Normal 2 2 4 4 2 3 2" xfId="15970"/>
    <cellStyle name="Normal 2 2 4 4 2 3 2 2" xfId="39391"/>
    <cellStyle name="Normal 2 2 4 4 2 3 3" xfId="32759"/>
    <cellStyle name="Normal 2 2 4 4 2 4" xfId="12654"/>
    <cellStyle name="Normal 2 2 4 4 2 4 2" xfId="36075"/>
    <cellStyle name="Normal 2 2 4 4 2 5" xfId="20102"/>
    <cellStyle name="Normal 2 2 4 4 2 5 2" xfId="42637"/>
    <cellStyle name="Normal 2 2 4 4 2 6" xfId="29443"/>
    <cellStyle name="Normal 2 2 4 4 3" xfId="6696"/>
    <cellStyle name="Normal 2 2 4 4 3 2" xfId="10028"/>
    <cellStyle name="Normal 2 2 4 4 3 2 2" xfId="16732"/>
    <cellStyle name="Normal 2 2 4 4 3 2 2 2" xfId="40153"/>
    <cellStyle name="Normal 2 2 4 4 3 2 3" xfId="33521"/>
    <cellStyle name="Normal 2 2 4 4 3 3" xfId="13416"/>
    <cellStyle name="Normal 2 2 4 4 3 3 2" xfId="36837"/>
    <cellStyle name="Normal 2 2 4 4 3 4" xfId="21312"/>
    <cellStyle name="Normal 2 2 4 4 3 4 2" xfId="43763"/>
    <cellStyle name="Normal 2 2 4 4 3 5" xfId="30205"/>
    <cellStyle name="Normal 2 2 4 4 4" xfId="8362"/>
    <cellStyle name="Normal 2 2 4 4 4 2" xfId="15074"/>
    <cellStyle name="Normal 2 2 4 4 4 2 2" xfId="38495"/>
    <cellStyle name="Normal 2 2 4 4 4 3" xfId="22114"/>
    <cellStyle name="Normal 2 2 4 4 4 3 2" xfId="44538"/>
    <cellStyle name="Normal 2 2 4 4 4 4" xfId="31863"/>
    <cellStyle name="Normal 2 2 4 4 5" xfId="11756"/>
    <cellStyle name="Normal 2 2 4 4 5 2" xfId="35179"/>
    <cellStyle name="Normal 2 2 4 4 6" xfId="19252"/>
    <cellStyle name="Normal 2 2 4 4 6 2" xfId="41805"/>
    <cellStyle name="Normal 2 2 4 4 7" xfId="28547"/>
    <cellStyle name="Normal 2 2 4 5" xfId="3961"/>
    <cellStyle name="Normal 2 2 4 5 2" xfId="19684"/>
    <cellStyle name="Normal 2 2 4 5 2 2" xfId="42221"/>
    <cellStyle name="Normal 2 2 4 6" xfId="6223"/>
    <cellStyle name="Normal 2 2 4 6 2" xfId="9557"/>
    <cellStyle name="Normal 2 2 4 6 2 2" xfId="16261"/>
    <cellStyle name="Normal 2 2 4 6 2 2 2" xfId="39682"/>
    <cellStyle name="Normal 2 2 4 6 2 3" xfId="33050"/>
    <cellStyle name="Normal 2 2 4 6 3" xfId="12945"/>
    <cellStyle name="Normal 2 2 4 6 3 2" xfId="36366"/>
    <cellStyle name="Normal 2 2 4 6 4" xfId="20853"/>
    <cellStyle name="Normal 2 2 4 6 4 2" xfId="43304"/>
    <cellStyle name="Normal 2 2 4 6 5" xfId="29734"/>
    <cellStyle name="Normal 2 2 4 7" xfId="7889"/>
    <cellStyle name="Normal 2 2 4 7 2" xfId="14603"/>
    <cellStyle name="Normal 2 2 4 7 2 2" xfId="38024"/>
    <cellStyle name="Normal 2 2 4 7 3" xfId="21676"/>
    <cellStyle name="Normal 2 2 4 7 3 2" xfId="44125"/>
    <cellStyle name="Normal 2 2 4 7 4" xfId="31392"/>
    <cellStyle name="Normal 2 2 4 8" xfId="11285"/>
    <cellStyle name="Normal 2 2 4 8 2" xfId="34708"/>
    <cellStyle name="Normal 2 2 4 9" xfId="18058"/>
    <cellStyle name="Normal 2 2 4 9 2" xfId="41352"/>
    <cellStyle name="Normal 2 2 5" xfId="2306"/>
    <cellStyle name="Normal 2 2 5 2" xfId="5561"/>
    <cellStyle name="Normal 2 2 5 2 2" xfId="7385"/>
    <cellStyle name="Normal 2 2 5 2 2 2" xfId="10716"/>
    <cellStyle name="Normal 2 2 5 2 2 2 2" xfId="17420"/>
    <cellStyle name="Normal 2 2 5 2 2 2 2 2" xfId="40841"/>
    <cellStyle name="Normal 2 2 5 2 2 2 3" xfId="23135"/>
    <cellStyle name="Normal 2 2 5 2 2 2 3 2" xfId="45557"/>
    <cellStyle name="Normal 2 2 5 2 2 2 4" xfId="34209"/>
    <cellStyle name="Normal 2 2 5 2 2 3" xfId="14104"/>
    <cellStyle name="Normal 2 2 5 2 2 3 2" xfId="37525"/>
    <cellStyle name="Normal 2 2 5 2 2 4" xfId="20309"/>
    <cellStyle name="Normal 2 2 5 2 2 4 2" xfId="42844"/>
    <cellStyle name="Normal 2 2 5 2 2 5" xfId="30893"/>
    <cellStyle name="Normal 2 2 5 2 3" xfId="9058"/>
    <cellStyle name="Normal 2 2 5 2 3 2" xfId="15762"/>
    <cellStyle name="Normal 2 2 5 2 3 2 2" xfId="39183"/>
    <cellStyle name="Normal 2 2 5 2 3 3" xfId="21316"/>
    <cellStyle name="Normal 2 2 5 2 3 3 2" xfId="43767"/>
    <cellStyle name="Normal 2 2 5 2 3 4" xfId="32551"/>
    <cellStyle name="Normal 2 2 5 2 4" xfId="12446"/>
    <cellStyle name="Normal 2 2 5 2 4 2" xfId="22322"/>
    <cellStyle name="Normal 2 2 5 2 4 2 2" xfId="44744"/>
    <cellStyle name="Normal 2 2 5 2 4 3" xfId="35867"/>
    <cellStyle name="Normal 2 2 5 2 5" xfId="19470"/>
    <cellStyle name="Normal 2 2 5 2 5 2" xfId="42012"/>
    <cellStyle name="Normal 2 2 5 2 6" xfId="29235"/>
    <cellStyle name="Normal 2 2 5 3" xfId="5047"/>
    <cellStyle name="Normal 2 2 5 3 2" xfId="19893"/>
    <cellStyle name="Normal 2 2 5 3 2 2" xfId="42428"/>
    <cellStyle name="Normal 2 2 5 4" xfId="6481"/>
    <cellStyle name="Normal 2 2 5 4 2" xfId="9815"/>
    <cellStyle name="Normal 2 2 5 4 2 2" xfId="16519"/>
    <cellStyle name="Normal 2 2 5 4 2 2 2" xfId="39940"/>
    <cellStyle name="Normal 2 2 5 4 2 3" xfId="33308"/>
    <cellStyle name="Normal 2 2 5 4 3" xfId="13203"/>
    <cellStyle name="Normal 2 2 5 4 3 2" xfId="36624"/>
    <cellStyle name="Normal 2 2 5 4 4" xfId="20857"/>
    <cellStyle name="Normal 2 2 5 4 4 2" xfId="43308"/>
    <cellStyle name="Normal 2 2 5 4 5" xfId="29992"/>
    <cellStyle name="Normal 2 2 5 5" xfId="8148"/>
    <cellStyle name="Normal 2 2 5 5 2" xfId="14861"/>
    <cellStyle name="Normal 2 2 5 5 2 2" xfId="38282"/>
    <cellStyle name="Normal 2 2 5 5 3" xfId="21896"/>
    <cellStyle name="Normal 2 2 5 5 3 2" xfId="44330"/>
    <cellStyle name="Normal 2 2 5 5 4" xfId="31650"/>
    <cellStyle name="Normal 2 2 5 6" xfId="11543"/>
    <cellStyle name="Normal 2 2 5 6 2" xfId="34966"/>
    <cellStyle name="Normal 2 2 5 7" xfId="18713"/>
    <cellStyle name="Normal 2 2 5 7 2" xfId="41587"/>
    <cellStyle name="Normal 2 2 5 8" xfId="28334"/>
    <cellStyle name="Normal 2 2 6" xfId="19251"/>
    <cellStyle name="Normal 2 2 6 2" xfId="20101"/>
    <cellStyle name="Normal 2 2 6 2 2" xfId="20634"/>
    <cellStyle name="Normal 2 2 6 2 2 2" xfId="43085"/>
    <cellStyle name="Normal 2 2 6 2 3" xfId="21552"/>
    <cellStyle name="Normal 2 2 6 2 3 2" xfId="44003"/>
    <cellStyle name="Normal 2 2 6 2 4" xfId="22931"/>
    <cellStyle name="Normal 2 2 6 2 4 2" xfId="45353"/>
    <cellStyle name="Normal 2 2 6 2 5" xfId="42636"/>
    <cellStyle name="Normal 2 2 6 3" xfId="20536"/>
    <cellStyle name="Normal 2 2 6 3 2" xfId="42989"/>
    <cellStyle name="Normal 2 2 6 4" xfId="21093"/>
    <cellStyle name="Normal 2 2 6 4 2" xfId="43544"/>
    <cellStyle name="Normal 2 2 6 5" xfId="22113"/>
    <cellStyle name="Normal 2 2 6 5 2" xfId="44537"/>
    <cellStyle name="Normal 2 2 6 6" xfId="41804"/>
    <cellStyle name="Normal 2 2 7" xfId="19683"/>
    <cellStyle name="Normal 2 2 7 2" xfId="20585"/>
    <cellStyle name="Normal 2 2 7 2 2" xfId="43037"/>
    <cellStyle name="Normal 2 2 7 3" xfId="21311"/>
    <cellStyle name="Normal 2 2 7 3 2" xfId="43762"/>
    <cellStyle name="Normal 2 2 7 4" xfId="22526"/>
    <cellStyle name="Normal 2 2 7 4 2" xfId="44948"/>
    <cellStyle name="Normal 2 2 7 5" xfId="42220"/>
    <cellStyle name="Normal 2 2 8" xfId="18056"/>
    <cellStyle name="Normal 2 2 8 2" xfId="41351"/>
    <cellStyle name="Normal 2 2 9" xfId="20852"/>
    <cellStyle name="Normal 2 2 9 2" xfId="43303"/>
    <cellStyle name="Normal 2 2_Pivot Table Tips" xfId="1644"/>
    <cellStyle name="Normal 2 3" xfId="542"/>
    <cellStyle name="Normal 2 3 2" xfId="1193"/>
    <cellStyle name="Normal 2 3 2 2" xfId="3965"/>
    <cellStyle name="Normal 2 3 2 3" xfId="3966"/>
    <cellStyle name="Normal 2 3 2 4" xfId="3964"/>
    <cellStyle name="Normal 2 3 3" xfId="1128"/>
    <cellStyle name="Normal 2 3 3 2" xfId="3968"/>
    <cellStyle name="Normal 2 3 3 3" xfId="5159"/>
    <cellStyle name="Normal 2 3 3 4" xfId="3967"/>
    <cellStyle name="Normal 2 3 4" xfId="1646"/>
    <cellStyle name="Normal 2 3 4 2" xfId="3970"/>
    <cellStyle name="Normal 2 3 4 3" xfId="3969"/>
    <cellStyle name="Normal 2 3 5" xfId="1645"/>
    <cellStyle name="Normal 2 3 5 2" xfId="18722"/>
    <cellStyle name="Normal 2 3 6" xfId="18720"/>
    <cellStyle name="Normal 2 4" xfId="901"/>
    <cellStyle name="Normal 2 4 2" xfId="1194"/>
    <cellStyle name="Normal 2 4 2 2" xfId="3972"/>
    <cellStyle name="Normal 2 4 2 2 2" xfId="18723"/>
    <cellStyle name="Normal 2 4 2 3" xfId="3973"/>
    <cellStyle name="Normal 2 4 2 4" xfId="3971"/>
    <cellStyle name="Normal 2 4 3" xfId="1129"/>
    <cellStyle name="Normal 2 4 3 2" xfId="3975"/>
    <cellStyle name="Normal 2 4 3 3" xfId="3974"/>
    <cellStyle name="Normal 2 4 4" xfId="1648"/>
    <cellStyle name="Normal 2 4 4 2" xfId="18724"/>
    <cellStyle name="Normal 2 4 5" xfId="1647"/>
    <cellStyle name="Normal 2 4 6" xfId="5046"/>
    <cellStyle name="Normal 2 5" xfId="902"/>
    <cellStyle name="Normal 2 5 2" xfId="1650"/>
    <cellStyle name="Normal 2 5 2 2" xfId="18726"/>
    <cellStyle name="Normal 2 5 3" xfId="1649"/>
    <cellStyle name="Normal 2 5 3 2" xfId="18727"/>
    <cellStyle name="Normal 2 5 4" xfId="18725"/>
    <cellStyle name="Normal 2 6" xfId="1265"/>
    <cellStyle name="Normal 2 6 2" xfId="1652"/>
    <cellStyle name="Normal 2 6 2 2" xfId="3977"/>
    <cellStyle name="Normal 2 6 2 3" xfId="3976"/>
    <cellStyle name="Normal 2 6 3" xfId="1651"/>
    <cellStyle name="Normal 2 6 3 2" xfId="3979"/>
    <cellStyle name="Normal 2 6 3 3" xfId="3978"/>
    <cellStyle name="Normal 2 6 4" xfId="3980"/>
    <cellStyle name="Normal 2 6 4 2" xfId="18728"/>
    <cellStyle name="Normal 2 7" xfId="1445"/>
    <cellStyle name="Normal 2 7 10" xfId="11207"/>
    <cellStyle name="Normal 2 7 10 2" xfId="34630"/>
    <cellStyle name="Normal 2 7 11" xfId="27998"/>
    <cellStyle name="Normal 2 7 2" xfId="1498"/>
    <cellStyle name="Normal 2 7 2 10" xfId="18061"/>
    <cellStyle name="Normal 2 7 2 10 2" xfId="41354"/>
    <cellStyle name="Normal 2 7 2 11" xfId="23652"/>
    <cellStyle name="Normal 2 7 2 11 2" xfId="45942"/>
    <cellStyle name="Normal 2 7 2 12" xfId="28034"/>
    <cellStyle name="Normal 2 7 2 2" xfId="1654"/>
    <cellStyle name="Normal 2 7 2 2 10" xfId="23653"/>
    <cellStyle name="Normal 2 7 2 2 10 2" xfId="45943"/>
    <cellStyle name="Normal 2 7 2 2 11" xfId="28077"/>
    <cellStyle name="Normal 2 7 2 2 2" xfId="1856"/>
    <cellStyle name="Normal 2 7 2 2 2 10" xfId="28208"/>
    <cellStyle name="Normal 2 7 2 2 2 2" xfId="2316"/>
    <cellStyle name="Normal 2 7 2 2 2 2 2" xfId="5565"/>
    <cellStyle name="Normal 2 7 2 2 2 2 2 2" xfId="7389"/>
    <cellStyle name="Normal 2 7 2 2 2 2 2 2 2" xfId="10720"/>
    <cellStyle name="Normal 2 7 2 2 2 2 2 2 2 2" xfId="17424"/>
    <cellStyle name="Normal 2 7 2 2 2 2 2 2 2 2 2" xfId="40845"/>
    <cellStyle name="Normal 2 7 2 2 2 2 2 2 2 3" xfId="23140"/>
    <cellStyle name="Normal 2 7 2 2 2 2 2 2 2 3 2" xfId="45562"/>
    <cellStyle name="Normal 2 7 2 2 2 2 2 2 2 4" xfId="34213"/>
    <cellStyle name="Normal 2 7 2 2 2 2 2 2 3" xfId="14108"/>
    <cellStyle name="Normal 2 7 2 2 2 2 2 2 3 2" xfId="37529"/>
    <cellStyle name="Normal 2 7 2 2 2 2 2 2 4" xfId="20314"/>
    <cellStyle name="Normal 2 7 2 2 2 2 2 2 4 2" xfId="42849"/>
    <cellStyle name="Normal 2 7 2 2 2 2 2 2 5" xfId="30897"/>
    <cellStyle name="Normal 2 7 2 2 2 2 2 3" xfId="9062"/>
    <cellStyle name="Normal 2 7 2 2 2 2 2 3 2" xfId="15766"/>
    <cellStyle name="Normal 2 7 2 2 2 2 2 3 2 2" xfId="39187"/>
    <cellStyle name="Normal 2 7 2 2 2 2 2 3 3" xfId="21320"/>
    <cellStyle name="Normal 2 7 2 2 2 2 2 3 3 2" xfId="43771"/>
    <cellStyle name="Normal 2 7 2 2 2 2 2 3 4" xfId="32555"/>
    <cellStyle name="Normal 2 7 2 2 2 2 2 4" xfId="12450"/>
    <cellStyle name="Normal 2 7 2 2 2 2 2 4 2" xfId="22327"/>
    <cellStyle name="Normal 2 7 2 2 2 2 2 4 2 2" xfId="44749"/>
    <cellStyle name="Normal 2 7 2 2 2 2 2 4 3" xfId="35871"/>
    <cellStyle name="Normal 2 7 2 2 2 2 2 5" xfId="19475"/>
    <cellStyle name="Normal 2 7 2 2 2 2 2 5 2" xfId="42017"/>
    <cellStyle name="Normal 2 7 2 2 2 2 2 6" xfId="29239"/>
    <cellStyle name="Normal 2 7 2 2 2 2 3" xfId="6486"/>
    <cellStyle name="Normal 2 7 2 2 2 2 3 2" xfId="9820"/>
    <cellStyle name="Normal 2 7 2 2 2 2 3 2 2" xfId="16524"/>
    <cellStyle name="Normal 2 7 2 2 2 2 3 2 2 2" xfId="39945"/>
    <cellStyle name="Normal 2 7 2 2 2 2 3 2 3" xfId="22734"/>
    <cellStyle name="Normal 2 7 2 2 2 2 3 2 3 2" xfId="45156"/>
    <cellStyle name="Normal 2 7 2 2 2 2 3 2 4" xfId="33313"/>
    <cellStyle name="Normal 2 7 2 2 2 2 3 3" xfId="13208"/>
    <cellStyle name="Normal 2 7 2 2 2 2 3 3 2" xfId="36629"/>
    <cellStyle name="Normal 2 7 2 2 2 2 3 4" xfId="19898"/>
    <cellStyle name="Normal 2 7 2 2 2 2 3 4 2" xfId="42433"/>
    <cellStyle name="Normal 2 7 2 2 2 2 3 5" xfId="29997"/>
    <cellStyle name="Normal 2 7 2 2 2 2 4" xfId="8153"/>
    <cellStyle name="Normal 2 7 2 2 2 2 4 2" xfId="14866"/>
    <cellStyle name="Normal 2 7 2 2 2 2 4 2 2" xfId="38287"/>
    <cellStyle name="Normal 2 7 2 2 2 2 4 3" xfId="20861"/>
    <cellStyle name="Normal 2 7 2 2 2 2 4 3 2" xfId="43312"/>
    <cellStyle name="Normal 2 7 2 2 2 2 4 4" xfId="31655"/>
    <cellStyle name="Normal 2 7 2 2 2 2 5" xfId="11548"/>
    <cellStyle name="Normal 2 7 2 2 2 2 5 2" xfId="21901"/>
    <cellStyle name="Normal 2 7 2 2 2 2 5 2 2" xfId="44335"/>
    <cellStyle name="Normal 2 7 2 2 2 2 5 3" xfId="34971"/>
    <cellStyle name="Normal 2 7 2 2 2 2 6" xfId="18732"/>
    <cellStyle name="Normal 2 7 2 2 2 2 6 2" xfId="41592"/>
    <cellStyle name="Normal 2 7 2 2 2 2 7" xfId="25890"/>
    <cellStyle name="Normal 2 7 2 2 2 2 7 2" xfId="48135"/>
    <cellStyle name="Normal 2 7 2 2 2 2 8" xfId="28339"/>
    <cellStyle name="Normal 2 7 2 2 2 3" xfId="2853"/>
    <cellStyle name="Normal 2 7 2 2 2 3 2" xfId="5945"/>
    <cellStyle name="Normal 2 7 2 2 2 3 2 2" xfId="7727"/>
    <cellStyle name="Normal 2 7 2 2 2 3 2 2 2" xfId="11056"/>
    <cellStyle name="Normal 2 7 2 2 2 3 2 2 2 2" xfId="17760"/>
    <cellStyle name="Normal 2 7 2 2 2 3 2 2 2 2 2" xfId="41181"/>
    <cellStyle name="Normal 2 7 2 2 2 3 2 2 2 3" xfId="34549"/>
    <cellStyle name="Normal 2 7 2 2 2 3 2 2 3" xfId="14444"/>
    <cellStyle name="Normal 2 7 2 2 2 3 2 2 3 2" xfId="37865"/>
    <cellStyle name="Normal 2 7 2 2 2 3 2 2 4" xfId="22936"/>
    <cellStyle name="Normal 2 7 2 2 2 3 2 2 4 2" xfId="45358"/>
    <cellStyle name="Normal 2 7 2 2 2 3 2 2 5" xfId="31233"/>
    <cellStyle name="Normal 2 7 2 2 2 3 2 3" xfId="9398"/>
    <cellStyle name="Normal 2 7 2 2 2 3 2 3 2" xfId="16102"/>
    <cellStyle name="Normal 2 7 2 2 2 3 2 3 2 2" xfId="39523"/>
    <cellStyle name="Normal 2 7 2 2 2 3 2 3 3" xfId="32891"/>
    <cellStyle name="Normal 2 7 2 2 2 3 2 4" xfId="12786"/>
    <cellStyle name="Normal 2 7 2 2 2 3 2 4 2" xfId="36207"/>
    <cellStyle name="Normal 2 7 2 2 2 3 2 5" xfId="20106"/>
    <cellStyle name="Normal 2 7 2 2 2 3 2 5 2" xfId="42641"/>
    <cellStyle name="Normal 2 7 2 2 2 3 2 6" xfId="29575"/>
    <cellStyle name="Normal 2 7 2 2 2 3 3" xfId="6828"/>
    <cellStyle name="Normal 2 7 2 2 2 3 3 2" xfId="10160"/>
    <cellStyle name="Normal 2 7 2 2 2 3 3 2 2" xfId="16864"/>
    <cellStyle name="Normal 2 7 2 2 2 3 3 2 2 2" xfId="40285"/>
    <cellStyle name="Normal 2 7 2 2 2 3 3 2 3" xfId="33653"/>
    <cellStyle name="Normal 2 7 2 2 2 3 3 3" xfId="13548"/>
    <cellStyle name="Normal 2 7 2 2 2 3 3 3 2" xfId="36969"/>
    <cellStyle name="Normal 2 7 2 2 2 3 3 4" xfId="21319"/>
    <cellStyle name="Normal 2 7 2 2 2 3 3 4 2" xfId="43770"/>
    <cellStyle name="Normal 2 7 2 2 2 3 3 5" xfId="30337"/>
    <cellStyle name="Normal 2 7 2 2 2 3 4" xfId="8494"/>
    <cellStyle name="Normal 2 7 2 2 2 3 4 2" xfId="15206"/>
    <cellStyle name="Normal 2 7 2 2 2 3 4 2 2" xfId="38627"/>
    <cellStyle name="Normal 2 7 2 2 2 3 4 3" xfId="22118"/>
    <cellStyle name="Normal 2 7 2 2 2 3 4 3 2" xfId="44542"/>
    <cellStyle name="Normal 2 7 2 2 2 3 4 4" xfId="31995"/>
    <cellStyle name="Normal 2 7 2 2 2 3 5" xfId="11888"/>
    <cellStyle name="Normal 2 7 2 2 2 3 5 2" xfId="35311"/>
    <cellStyle name="Normal 2 7 2 2 2 3 6" xfId="19256"/>
    <cellStyle name="Normal 2 7 2 2 2 3 6 2" xfId="41809"/>
    <cellStyle name="Normal 2 7 2 2 2 3 7" xfId="28679"/>
    <cellStyle name="Normal 2 7 2 2 2 4" xfId="3984"/>
    <cellStyle name="Normal 2 7 2 2 2 4 2" xfId="7039"/>
    <cellStyle name="Normal 2 7 2 2 2 4 2 2" xfId="10371"/>
    <cellStyle name="Normal 2 7 2 2 2 4 2 2 2" xfId="17075"/>
    <cellStyle name="Normal 2 7 2 2 2 4 2 2 2 2" xfId="40496"/>
    <cellStyle name="Normal 2 7 2 2 2 4 2 2 3" xfId="33864"/>
    <cellStyle name="Normal 2 7 2 2 2 4 2 3" xfId="13759"/>
    <cellStyle name="Normal 2 7 2 2 2 4 2 3 2" xfId="37180"/>
    <cellStyle name="Normal 2 7 2 2 2 4 2 4" xfId="22530"/>
    <cellStyle name="Normal 2 7 2 2 2 4 2 4 2" xfId="44952"/>
    <cellStyle name="Normal 2 7 2 2 2 4 2 5" xfId="30548"/>
    <cellStyle name="Normal 2 7 2 2 2 4 3" xfId="8706"/>
    <cellStyle name="Normal 2 7 2 2 2 4 3 2" xfId="15417"/>
    <cellStyle name="Normal 2 7 2 2 2 4 3 2 2" xfId="38838"/>
    <cellStyle name="Normal 2 7 2 2 2 4 3 3" xfId="32206"/>
    <cellStyle name="Normal 2 7 2 2 2 4 4" xfId="12099"/>
    <cellStyle name="Normal 2 7 2 2 2 4 4 2" xfId="35522"/>
    <cellStyle name="Normal 2 7 2 2 2 4 5" xfId="19688"/>
    <cellStyle name="Normal 2 7 2 2 2 4 5 2" xfId="42225"/>
    <cellStyle name="Normal 2 7 2 2 2 4 6" xfId="28890"/>
    <cellStyle name="Normal 2 7 2 2 2 5" xfId="6355"/>
    <cellStyle name="Normal 2 7 2 2 2 5 2" xfId="9689"/>
    <cellStyle name="Normal 2 7 2 2 2 5 2 2" xfId="16393"/>
    <cellStyle name="Normal 2 7 2 2 2 5 2 2 2" xfId="39814"/>
    <cellStyle name="Normal 2 7 2 2 2 5 2 3" xfId="33182"/>
    <cellStyle name="Normal 2 7 2 2 2 5 3" xfId="13077"/>
    <cellStyle name="Normal 2 7 2 2 2 5 3 2" xfId="36498"/>
    <cellStyle name="Normal 2 7 2 2 2 5 4" xfId="20860"/>
    <cellStyle name="Normal 2 7 2 2 2 5 4 2" xfId="43311"/>
    <cellStyle name="Normal 2 7 2 2 2 5 5" xfId="29866"/>
    <cellStyle name="Normal 2 7 2 2 2 6" xfId="8021"/>
    <cellStyle name="Normal 2 7 2 2 2 6 2" xfId="14735"/>
    <cellStyle name="Normal 2 7 2 2 2 6 2 2" xfId="38156"/>
    <cellStyle name="Normal 2 7 2 2 2 6 3" xfId="21680"/>
    <cellStyle name="Normal 2 7 2 2 2 6 3 2" xfId="44129"/>
    <cellStyle name="Normal 2 7 2 2 2 6 4" xfId="31524"/>
    <cellStyle name="Normal 2 7 2 2 2 7" xfId="11417"/>
    <cellStyle name="Normal 2 7 2 2 2 7 2" xfId="34840"/>
    <cellStyle name="Normal 2 7 2 2 2 8" xfId="18063"/>
    <cellStyle name="Normal 2 7 2 2 2 8 2" xfId="41356"/>
    <cellStyle name="Normal 2 7 2 2 2 9" xfId="23654"/>
    <cellStyle name="Normal 2 7 2 2 2 9 2" xfId="45944"/>
    <cellStyle name="Normal 2 7 2 2 3" xfId="2315"/>
    <cellStyle name="Normal 2 7 2 2 3 2" xfId="5564"/>
    <cellStyle name="Normal 2 7 2 2 3 2 2" xfId="7388"/>
    <cellStyle name="Normal 2 7 2 2 3 2 2 2" xfId="10719"/>
    <cellStyle name="Normal 2 7 2 2 3 2 2 2 2" xfId="17423"/>
    <cellStyle name="Normal 2 7 2 2 3 2 2 2 2 2" xfId="40844"/>
    <cellStyle name="Normal 2 7 2 2 3 2 2 2 3" xfId="23139"/>
    <cellStyle name="Normal 2 7 2 2 3 2 2 2 3 2" xfId="45561"/>
    <cellStyle name="Normal 2 7 2 2 3 2 2 2 4" xfId="34212"/>
    <cellStyle name="Normal 2 7 2 2 3 2 2 3" xfId="14107"/>
    <cellStyle name="Normal 2 7 2 2 3 2 2 3 2" xfId="37528"/>
    <cellStyle name="Normal 2 7 2 2 3 2 2 4" xfId="20313"/>
    <cellStyle name="Normal 2 7 2 2 3 2 2 4 2" xfId="42848"/>
    <cellStyle name="Normal 2 7 2 2 3 2 2 5" xfId="30896"/>
    <cellStyle name="Normal 2 7 2 2 3 2 3" xfId="9061"/>
    <cellStyle name="Normal 2 7 2 2 3 2 3 2" xfId="15765"/>
    <cellStyle name="Normal 2 7 2 2 3 2 3 2 2" xfId="39186"/>
    <cellStyle name="Normal 2 7 2 2 3 2 3 3" xfId="21321"/>
    <cellStyle name="Normal 2 7 2 2 3 2 3 3 2" xfId="43772"/>
    <cellStyle name="Normal 2 7 2 2 3 2 3 4" xfId="32554"/>
    <cellStyle name="Normal 2 7 2 2 3 2 4" xfId="12449"/>
    <cellStyle name="Normal 2 7 2 2 3 2 4 2" xfId="22326"/>
    <cellStyle name="Normal 2 7 2 2 3 2 4 2 2" xfId="44748"/>
    <cellStyle name="Normal 2 7 2 2 3 2 4 3" xfId="35870"/>
    <cellStyle name="Normal 2 7 2 2 3 2 5" xfId="19474"/>
    <cellStyle name="Normal 2 7 2 2 3 2 5 2" xfId="42016"/>
    <cellStyle name="Normal 2 7 2 2 3 2 6" xfId="29238"/>
    <cellStyle name="Normal 2 7 2 2 3 3" xfId="6485"/>
    <cellStyle name="Normal 2 7 2 2 3 3 2" xfId="9819"/>
    <cellStyle name="Normal 2 7 2 2 3 3 2 2" xfId="16523"/>
    <cellStyle name="Normal 2 7 2 2 3 3 2 2 2" xfId="39944"/>
    <cellStyle name="Normal 2 7 2 2 3 3 2 3" xfId="22733"/>
    <cellStyle name="Normal 2 7 2 2 3 3 2 3 2" xfId="45155"/>
    <cellStyle name="Normal 2 7 2 2 3 3 2 4" xfId="33312"/>
    <cellStyle name="Normal 2 7 2 2 3 3 3" xfId="13207"/>
    <cellStyle name="Normal 2 7 2 2 3 3 3 2" xfId="36628"/>
    <cellStyle name="Normal 2 7 2 2 3 3 4" xfId="19897"/>
    <cellStyle name="Normal 2 7 2 2 3 3 4 2" xfId="42432"/>
    <cellStyle name="Normal 2 7 2 2 3 3 5" xfId="29996"/>
    <cellStyle name="Normal 2 7 2 2 3 4" xfId="8152"/>
    <cellStyle name="Normal 2 7 2 2 3 4 2" xfId="14865"/>
    <cellStyle name="Normal 2 7 2 2 3 4 2 2" xfId="38286"/>
    <cellStyle name="Normal 2 7 2 2 3 4 3" xfId="20862"/>
    <cellStyle name="Normal 2 7 2 2 3 4 3 2" xfId="43313"/>
    <cellStyle name="Normal 2 7 2 2 3 4 4" xfId="31654"/>
    <cellStyle name="Normal 2 7 2 2 3 5" xfId="11547"/>
    <cellStyle name="Normal 2 7 2 2 3 5 2" xfId="21900"/>
    <cellStyle name="Normal 2 7 2 2 3 5 2 2" xfId="44334"/>
    <cellStyle name="Normal 2 7 2 2 3 5 3" xfId="34970"/>
    <cellStyle name="Normal 2 7 2 2 3 6" xfId="18731"/>
    <cellStyle name="Normal 2 7 2 2 3 6 2" xfId="41591"/>
    <cellStyle name="Normal 2 7 2 2 3 7" xfId="25889"/>
    <cellStyle name="Normal 2 7 2 2 3 7 2" xfId="48134"/>
    <cellStyle name="Normal 2 7 2 2 3 8" xfId="28338"/>
    <cellStyle name="Normal 2 7 2 2 4" xfId="2721"/>
    <cellStyle name="Normal 2 7 2 2 4 2" xfId="5814"/>
    <cellStyle name="Normal 2 7 2 2 4 2 2" xfId="7596"/>
    <cellStyle name="Normal 2 7 2 2 4 2 2 2" xfId="10925"/>
    <cellStyle name="Normal 2 7 2 2 4 2 2 2 2" xfId="17629"/>
    <cellStyle name="Normal 2 7 2 2 4 2 2 2 2 2" xfId="41050"/>
    <cellStyle name="Normal 2 7 2 2 4 2 2 2 3" xfId="34418"/>
    <cellStyle name="Normal 2 7 2 2 4 2 2 3" xfId="14313"/>
    <cellStyle name="Normal 2 7 2 2 4 2 2 3 2" xfId="37734"/>
    <cellStyle name="Normal 2 7 2 2 4 2 2 4" xfId="22935"/>
    <cellStyle name="Normal 2 7 2 2 4 2 2 4 2" xfId="45357"/>
    <cellStyle name="Normal 2 7 2 2 4 2 2 5" xfId="31102"/>
    <cellStyle name="Normal 2 7 2 2 4 2 3" xfId="9267"/>
    <cellStyle name="Normal 2 7 2 2 4 2 3 2" xfId="15971"/>
    <cellStyle name="Normal 2 7 2 2 4 2 3 2 2" xfId="39392"/>
    <cellStyle name="Normal 2 7 2 2 4 2 3 3" xfId="32760"/>
    <cellStyle name="Normal 2 7 2 2 4 2 4" xfId="12655"/>
    <cellStyle name="Normal 2 7 2 2 4 2 4 2" xfId="36076"/>
    <cellStyle name="Normal 2 7 2 2 4 2 5" xfId="20105"/>
    <cellStyle name="Normal 2 7 2 2 4 2 5 2" xfId="42640"/>
    <cellStyle name="Normal 2 7 2 2 4 2 6" xfId="29444"/>
    <cellStyle name="Normal 2 7 2 2 4 3" xfId="6697"/>
    <cellStyle name="Normal 2 7 2 2 4 3 2" xfId="10029"/>
    <cellStyle name="Normal 2 7 2 2 4 3 2 2" xfId="16733"/>
    <cellStyle name="Normal 2 7 2 2 4 3 2 2 2" xfId="40154"/>
    <cellStyle name="Normal 2 7 2 2 4 3 2 3" xfId="33522"/>
    <cellStyle name="Normal 2 7 2 2 4 3 3" xfId="13417"/>
    <cellStyle name="Normal 2 7 2 2 4 3 3 2" xfId="36838"/>
    <cellStyle name="Normal 2 7 2 2 4 3 4" xfId="21318"/>
    <cellStyle name="Normal 2 7 2 2 4 3 4 2" xfId="43769"/>
    <cellStyle name="Normal 2 7 2 2 4 3 5" xfId="30206"/>
    <cellStyle name="Normal 2 7 2 2 4 4" xfId="8363"/>
    <cellStyle name="Normal 2 7 2 2 4 4 2" xfId="15075"/>
    <cellStyle name="Normal 2 7 2 2 4 4 2 2" xfId="38496"/>
    <cellStyle name="Normal 2 7 2 2 4 4 3" xfId="22117"/>
    <cellStyle name="Normal 2 7 2 2 4 4 3 2" xfId="44541"/>
    <cellStyle name="Normal 2 7 2 2 4 4 4" xfId="31864"/>
    <cellStyle name="Normal 2 7 2 2 4 5" xfId="11757"/>
    <cellStyle name="Normal 2 7 2 2 4 5 2" xfId="35180"/>
    <cellStyle name="Normal 2 7 2 2 4 6" xfId="19255"/>
    <cellStyle name="Normal 2 7 2 2 4 6 2" xfId="41808"/>
    <cellStyle name="Normal 2 7 2 2 4 7" xfId="28548"/>
    <cellStyle name="Normal 2 7 2 2 5" xfId="3983"/>
    <cellStyle name="Normal 2 7 2 2 5 2" xfId="7038"/>
    <cellStyle name="Normal 2 7 2 2 5 2 2" xfId="10370"/>
    <cellStyle name="Normal 2 7 2 2 5 2 2 2" xfId="17074"/>
    <cellStyle name="Normal 2 7 2 2 5 2 2 2 2" xfId="40495"/>
    <cellStyle name="Normal 2 7 2 2 5 2 2 3" xfId="33863"/>
    <cellStyle name="Normal 2 7 2 2 5 2 3" xfId="13758"/>
    <cellStyle name="Normal 2 7 2 2 5 2 3 2" xfId="37179"/>
    <cellStyle name="Normal 2 7 2 2 5 2 4" xfId="22529"/>
    <cellStyle name="Normal 2 7 2 2 5 2 4 2" xfId="44951"/>
    <cellStyle name="Normal 2 7 2 2 5 2 5" xfId="30547"/>
    <cellStyle name="Normal 2 7 2 2 5 3" xfId="8705"/>
    <cellStyle name="Normal 2 7 2 2 5 3 2" xfId="15416"/>
    <cellStyle name="Normal 2 7 2 2 5 3 2 2" xfId="38837"/>
    <cellStyle name="Normal 2 7 2 2 5 3 3" xfId="32205"/>
    <cellStyle name="Normal 2 7 2 2 5 4" xfId="12098"/>
    <cellStyle name="Normal 2 7 2 2 5 4 2" xfId="35521"/>
    <cellStyle name="Normal 2 7 2 2 5 5" xfId="19687"/>
    <cellStyle name="Normal 2 7 2 2 5 5 2" xfId="42224"/>
    <cellStyle name="Normal 2 7 2 2 5 6" xfId="28889"/>
    <cellStyle name="Normal 2 7 2 2 6" xfId="6224"/>
    <cellStyle name="Normal 2 7 2 2 6 2" xfId="9558"/>
    <cellStyle name="Normal 2 7 2 2 6 2 2" xfId="16262"/>
    <cellStyle name="Normal 2 7 2 2 6 2 2 2" xfId="39683"/>
    <cellStyle name="Normal 2 7 2 2 6 2 3" xfId="33051"/>
    <cellStyle name="Normal 2 7 2 2 6 3" xfId="12946"/>
    <cellStyle name="Normal 2 7 2 2 6 3 2" xfId="36367"/>
    <cellStyle name="Normal 2 7 2 2 6 4" xfId="20859"/>
    <cellStyle name="Normal 2 7 2 2 6 4 2" xfId="43310"/>
    <cellStyle name="Normal 2 7 2 2 6 5" xfId="29735"/>
    <cellStyle name="Normal 2 7 2 2 7" xfId="7890"/>
    <cellStyle name="Normal 2 7 2 2 7 2" xfId="14604"/>
    <cellStyle name="Normal 2 7 2 2 7 2 2" xfId="38025"/>
    <cellStyle name="Normal 2 7 2 2 7 3" xfId="21679"/>
    <cellStyle name="Normal 2 7 2 2 7 3 2" xfId="44128"/>
    <cellStyle name="Normal 2 7 2 2 7 4" xfId="31393"/>
    <cellStyle name="Normal 2 7 2 2 8" xfId="11286"/>
    <cellStyle name="Normal 2 7 2 2 8 2" xfId="34709"/>
    <cellStyle name="Normal 2 7 2 2 9" xfId="18062"/>
    <cellStyle name="Normal 2 7 2 2 9 2" xfId="41355"/>
    <cellStyle name="Normal 2 7 2 3" xfId="1813"/>
    <cellStyle name="Normal 2 7 2 3 10" xfId="28165"/>
    <cellStyle name="Normal 2 7 2 3 2" xfId="2317"/>
    <cellStyle name="Normal 2 7 2 3 2 2" xfId="5566"/>
    <cellStyle name="Normal 2 7 2 3 2 2 2" xfId="7390"/>
    <cellStyle name="Normal 2 7 2 3 2 2 2 2" xfId="10721"/>
    <cellStyle name="Normal 2 7 2 3 2 2 2 2 2" xfId="17425"/>
    <cellStyle name="Normal 2 7 2 3 2 2 2 2 2 2" xfId="40846"/>
    <cellStyle name="Normal 2 7 2 3 2 2 2 2 3" xfId="23141"/>
    <cellStyle name="Normal 2 7 2 3 2 2 2 2 3 2" xfId="45563"/>
    <cellStyle name="Normal 2 7 2 3 2 2 2 2 4" xfId="34214"/>
    <cellStyle name="Normal 2 7 2 3 2 2 2 3" xfId="14109"/>
    <cellStyle name="Normal 2 7 2 3 2 2 2 3 2" xfId="37530"/>
    <cellStyle name="Normal 2 7 2 3 2 2 2 4" xfId="20315"/>
    <cellStyle name="Normal 2 7 2 3 2 2 2 4 2" xfId="42850"/>
    <cellStyle name="Normal 2 7 2 3 2 2 2 5" xfId="30898"/>
    <cellStyle name="Normal 2 7 2 3 2 2 3" xfId="9063"/>
    <cellStyle name="Normal 2 7 2 3 2 2 3 2" xfId="15767"/>
    <cellStyle name="Normal 2 7 2 3 2 2 3 2 2" xfId="39188"/>
    <cellStyle name="Normal 2 7 2 3 2 2 3 3" xfId="21323"/>
    <cellStyle name="Normal 2 7 2 3 2 2 3 3 2" xfId="43774"/>
    <cellStyle name="Normal 2 7 2 3 2 2 3 4" xfId="32556"/>
    <cellStyle name="Normal 2 7 2 3 2 2 4" xfId="12451"/>
    <cellStyle name="Normal 2 7 2 3 2 2 4 2" xfId="22328"/>
    <cellStyle name="Normal 2 7 2 3 2 2 4 2 2" xfId="44750"/>
    <cellStyle name="Normal 2 7 2 3 2 2 4 3" xfId="35872"/>
    <cellStyle name="Normal 2 7 2 3 2 2 5" xfId="19476"/>
    <cellStyle name="Normal 2 7 2 3 2 2 5 2" xfId="42018"/>
    <cellStyle name="Normal 2 7 2 3 2 2 6" xfId="29240"/>
    <cellStyle name="Normal 2 7 2 3 2 3" xfId="6487"/>
    <cellStyle name="Normal 2 7 2 3 2 3 2" xfId="9821"/>
    <cellStyle name="Normal 2 7 2 3 2 3 2 2" xfId="16525"/>
    <cellStyle name="Normal 2 7 2 3 2 3 2 2 2" xfId="39946"/>
    <cellStyle name="Normal 2 7 2 3 2 3 2 3" xfId="22735"/>
    <cellStyle name="Normal 2 7 2 3 2 3 2 3 2" xfId="45157"/>
    <cellStyle name="Normal 2 7 2 3 2 3 2 4" xfId="33314"/>
    <cellStyle name="Normal 2 7 2 3 2 3 3" xfId="13209"/>
    <cellStyle name="Normal 2 7 2 3 2 3 3 2" xfId="36630"/>
    <cellStyle name="Normal 2 7 2 3 2 3 4" xfId="19899"/>
    <cellStyle name="Normal 2 7 2 3 2 3 4 2" xfId="42434"/>
    <cellStyle name="Normal 2 7 2 3 2 3 5" xfId="29998"/>
    <cellStyle name="Normal 2 7 2 3 2 4" xfId="8154"/>
    <cellStyle name="Normal 2 7 2 3 2 4 2" xfId="14867"/>
    <cellStyle name="Normal 2 7 2 3 2 4 2 2" xfId="38288"/>
    <cellStyle name="Normal 2 7 2 3 2 4 3" xfId="20864"/>
    <cellStyle name="Normal 2 7 2 3 2 4 3 2" xfId="43315"/>
    <cellStyle name="Normal 2 7 2 3 2 4 4" xfId="31656"/>
    <cellStyle name="Normal 2 7 2 3 2 5" xfId="11549"/>
    <cellStyle name="Normal 2 7 2 3 2 5 2" xfId="21902"/>
    <cellStyle name="Normal 2 7 2 3 2 5 2 2" xfId="44336"/>
    <cellStyle name="Normal 2 7 2 3 2 5 3" xfId="34972"/>
    <cellStyle name="Normal 2 7 2 3 2 6" xfId="18733"/>
    <cellStyle name="Normal 2 7 2 3 2 6 2" xfId="41593"/>
    <cellStyle name="Normal 2 7 2 3 2 7" xfId="25891"/>
    <cellStyle name="Normal 2 7 2 3 2 7 2" xfId="48136"/>
    <cellStyle name="Normal 2 7 2 3 2 8" xfId="28340"/>
    <cellStyle name="Normal 2 7 2 3 3" xfId="2810"/>
    <cellStyle name="Normal 2 7 2 3 3 2" xfId="5902"/>
    <cellStyle name="Normal 2 7 2 3 3 2 2" xfId="7684"/>
    <cellStyle name="Normal 2 7 2 3 3 2 2 2" xfId="11013"/>
    <cellStyle name="Normal 2 7 2 3 3 2 2 2 2" xfId="17717"/>
    <cellStyle name="Normal 2 7 2 3 3 2 2 2 2 2" xfId="41138"/>
    <cellStyle name="Normal 2 7 2 3 3 2 2 2 3" xfId="34506"/>
    <cellStyle name="Normal 2 7 2 3 3 2 2 3" xfId="14401"/>
    <cellStyle name="Normal 2 7 2 3 3 2 2 3 2" xfId="37822"/>
    <cellStyle name="Normal 2 7 2 3 3 2 2 4" xfId="22937"/>
    <cellStyle name="Normal 2 7 2 3 3 2 2 4 2" xfId="45359"/>
    <cellStyle name="Normal 2 7 2 3 3 2 2 5" xfId="31190"/>
    <cellStyle name="Normal 2 7 2 3 3 2 3" xfId="9355"/>
    <cellStyle name="Normal 2 7 2 3 3 2 3 2" xfId="16059"/>
    <cellStyle name="Normal 2 7 2 3 3 2 3 2 2" xfId="39480"/>
    <cellStyle name="Normal 2 7 2 3 3 2 3 3" xfId="32848"/>
    <cellStyle name="Normal 2 7 2 3 3 2 4" xfId="12743"/>
    <cellStyle name="Normal 2 7 2 3 3 2 4 2" xfId="36164"/>
    <cellStyle name="Normal 2 7 2 3 3 2 5" xfId="20107"/>
    <cellStyle name="Normal 2 7 2 3 3 2 5 2" xfId="42642"/>
    <cellStyle name="Normal 2 7 2 3 3 2 6" xfId="29532"/>
    <cellStyle name="Normal 2 7 2 3 3 3" xfId="6785"/>
    <cellStyle name="Normal 2 7 2 3 3 3 2" xfId="10117"/>
    <cellStyle name="Normal 2 7 2 3 3 3 2 2" xfId="16821"/>
    <cellStyle name="Normal 2 7 2 3 3 3 2 2 2" xfId="40242"/>
    <cellStyle name="Normal 2 7 2 3 3 3 2 3" xfId="33610"/>
    <cellStyle name="Normal 2 7 2 3 3 3 3" xfId="13505"/>
    <cellStyle name="Normal 2 7 2 3 3 3 3 2" xfId="36926"/>
    <cellStyle name="Normal 2 7 2 3 3 3 4" xfId="21322"/>
    <cellStyle name="Normal 2 7 2 3 3 3 4 2" xfId="43773"/>
    <cellStyle name="Normal 2 7 2 3 3 3 5" xfId="30294"/>
    <cellStyle name="Normal 2 7 2 3 3 4" xfId="8451"/>
    <cellStyle name="Normal 2 7 2 3 3 4 2" xfId="15163"/>
    <cellStyle name="Normal 2 7 2 3 3 4 2 2" xfId="38584"/>
    <cellStyle name="Normal 2 7 2 3 3 4 3" xfId="22119"/>
    <cellStyle name="Normal 2 7 2 3 3 4 3 2" xfId="44543"/>
    <cellStyle name="Normal 2 7 2 3 3 4 4" xfId="31952"/>
    <cellStyle name="Normal 2 7 2 3 3 5" xfId="11845"/>
    <cellStyle name="Normal 2 7 2 3 3 5 2" xfId="35268"/>
    <cellStyle name="Normal 2 7 2 3 3 6" xfId="19257"/>
    <cellStyle name="Normal 2 7 2 3 3 6 2" xfId="41810"/>
    <cellStyle name="Normal 2 7 2 3 3 7" xfId="28636"/>
    <cellStyle name="Normal 2 7 2 3 4" xfId="3985"/>
    <cellStyle name="Normal 2 7 2 3 4 2" xfId="7040"/>
    <cellStyle name="Normal 2 7 2 3 4 2 2" xfId="10372"/>
    <cellStyle name="Normal 2 7 2 3 4 2 2 2" xfId="17076"/>
    <cellStyle name="Normal 2 7 2 3 4 2 2 2 2" xfId="40497"/>
    <cellStyle name="Normal 2 7 2 3 4 2 2 3" xfId="33865"/>
    <cellStyle name="Normal 2 7 2 3 4 2 3" xfId="13760"/>
    <cellStyle name="Normal 2 7 2 3 4 2 3 2" xfId="37181"/>
    <cellStyle name="Normal 2 7 2 3 4 2 4" xfId="22531"/>
    <cellStyle name="Normal 2 7 2 3 4 2 4 2" xfId="44953"/>
    <cellStyle name="Normal 2 7 2 3 4 2 5" xfId="30549"/>
    <cellStyle name="Normal 2 7 2 3 4 3" xfId="8707"/>
    <cellStyle name="Normal 2 7 2 3 4 3 2" xfId="15418"/>
    <cellStyle name="Normal 2 7 2 3 4 3 2 2" xfId="38839"/>
    <cellStyle name="Normal 2 7 2 3 4 3 3" xfId="32207"/>
    <cellStyle name="Normal 2 7 2 3 4 4" xfId="12100"/>
    <cellStyle name="Normal 2 7 2 3 4 4 2" xfId="35523"/>
    <cellStyle name="Normal 2 7 2 3 4 5" xfId="19689"/>
    <cellStyle name="Normal 2 7 2 3 4 5 2" xfId="42226"/>
    <cellStyle name="Normal 2 7 2 3 4 6" xfId="28891"/>
    <cellStyle name="Normal 2 7 2 3 5" xfId="6312"/>
    <cellStyle name="Normal 2 7 2 3 5 2" xfId="9646"/>
    <cellStyle name="Normal 2 7 2 3 5 2 2" xfId="16350"/>
    <cellStyle name="Normal 2 7 2 3 5 2 2 2" xfId="39771"/>
    <cellStyle name="Normal 2 7 2 3 5 2 3" xfId="33139"/>
    <cellStyle name="Normal 2 7 2 3 5 3" xfId="13034"/>
    <cellStyle name="Normal 2 7 2 3 5 3 2" xfId="36455"/>
    <cellStyle name="Normal 2 7 2 3 5 4" xfId="20863"/>
    <cellStyle name="Normal 2 7 2 3 5 4 2" xfId="43314"/>
    <cellStyle name="Normal 2 7 2 3 5 5" xfId="29823"/>
    <cellStyle name="Normal 2 7 2 3 6" xfId="7978"/>
    <cellStyle name="Normal 2 7 2 3 6 2" xfId="14692"/>
    <cellStyle name="Normal 2 7 2 3 6 2 2" xfId="38113"/>
    <cellStyle name="Normal 2 7 2 3 6 3" xfId="21681"/>
    <cellStyle name="Normal 2 7 2 3 6 3 2" xfId="44130"/>
    <cellStyle name="Normal 2 7 2 3 6 4" xfId="31481"/>
    <cellStyle name="Normal 2 7 2 3 7" xfId="11374"/>
    <cellStyle name="Normal 2 7 2 3 7 2" xfId="34797"/>
    <cellStyle name="Normal 2 7 2 3 8" xfId="18064"/>
    <cellStyle name="Normal 2 7 2 3 8 2" xfId="41357"/>
    <cellStyle name="Normal 2 7 2 3 9" xfId="23655"/>
    <cellStyle name="Normal 2 7 2 3 9 2" xfId="45945"/>
    <cellStyle name="Normal 2 7 2 4" xfId="2314"/>
    <cellStyle name="Normal 2 7 2 4 2" xfId="5563"/>
    <cellStyle name="Normal 2 7 2 4 2 2" xfId="7387"/>
    <cellStyle name="Normal 2 7 2 4 2 2 2" xfId="10718"/>
    <cellStyle name="Normal 2 7 2 4 2 2 2 2" xfId="17422"/>
    <cellStyle name="Normal 2 7 2 4 2 2 2 2 2" xfId="40843"/>
    <cellStyle name="Normal 2 7 2 4 2 2 2 3" xfId="23138"/>
    <cellStyle name="Normal 2 7 2 4 2 2 2 3 2" xfId="45560"/>
    <cellStyle name="Normal 2 7 2 4 2 2 2 4" xfId="34211"/>
    <cellStyle name="Normal 2 7 2 4 2 2 3" xfId="14106"/>
    <cellStyle name="Normal 2 7 2 4 2 2 3 2" xfId="37527"/>
    <cellStyle name="Normal 2 7 2 4 2 2 4" xfId="20312"/>
    <cellStyle name="Normal 2 7 2 4 2 2 4 2" xfId="42847"/>
    <cellStyle name="Normal 2 7 2 4 2 2 5" xfId="30895"/>
    <cellStyle name="Normal 2 7 2 4 2 3" xfId="9060"/>
    <cellStyle name="Normal 2 7 2 4 2 3 2" xfId="15764"/>
    <cellStyle name="Normal 2 7 2 4 2 3 2 2" xfId="39185"/>
    <cellStyle name="Normal 2 7 2 4 2 3 3" xfId="21324"/>
    <cellStyle name="Normal 2 7 2 4 2 3 3 2" xfId="43775"/>
    <cellStyle name="Normal 2 7 2 4 2 3 4" xfId="32553"/>
    <cellStyle name="Normal 2 7 2 4 2 4" xfId="12448"/>
    <cellStyle name="Normal 2 7 2 4 2 4 2" xfId="22325"/>
    <cellStyle name="Normal 2 7 2 4 2 4 2 2" xfId="44747"/>
    <cellStyle name="Normal 2 7 2 4 2 4 3" xfId="35869"/>
    <cellStyle name="Normal 2 7 2 4 2 5" xfId="19473"/>
    <cellStyle name="Normal 2 7 2 4 2 5 2" xfId="42015"/>
    <cellStyle name="Normal 2 7 2 4 2 6" xfId="29237"/>
    <cellStyle name="Normal 2 7 2 4 3" xfId="6484"/>
    <cellStyle name="Normal 2 7 2 4 3 2" xfId="9818"/>
    <cellStyle name="Normal 2 7 2 4 3 2 2" xfId="16522"/>
    <cellStyle name="Normal 2 7 2 4 3 2 2 2" xfId="39943"/>
    <cellStyle name="Normal 2 7 2 4 3 2 3" xfId="22732"/>
    <cellStyle name="Normal 2 7 2 4 3 2 3 2" xfId="45154"/>
    <cellStyle name="Normal 2 7 2 4 3 2 4" xfId="33311"/>
    <cellStyle name="Normal 2 7 2 4 3 3" xfId="13206"/>
    <cellStyle name="Normal 2 7 2 4 3 3 2" xfId="36627"/>
    <cellStyle name="Normal 2 7 2 4 3 4" xfId="19896"/>
    <cellStyle name="Normal 2 7 2 4 3 4 2" xfId="42431"/>
    <cellStyle name="Normal 2 7 2 4 3 5" xfId="29995"/>
    <cellStyle name="Normal 2 7 2 4 4" xfId="8151"/>
    <cellStyle name="Normal 2 7 2 4 4 2" xfId="14864"/>
    <cellStyle name="Normal 2 7 2 4 4 2 2" xfId="38285"/>
    <cellStyle name="Normal 2 7 2 4 4 3" xfId="20865"/>
    <cellStyle name="Normal 2 7 2 4 4 3 2" xfId="43316"/>
    <cellStyle name="Normal 2 7 2 4 4 4" xfId="31653"/>
    <cellStyle name="Normal 2 7 2 4 5" xfId="11546"/>
    <cellStyle name="Normal 2 7 2 4 5 2" xfId="21899"/>
    <cellStyle name="Normal 2 7 2 4 5 2 2" xfId="44333"/>
    <cellStyle name="Normal 2 7 2 4 5 3" xfId="34969"/>
    <cellStyle name="Normal 2 7 2 4 6" xfId="18730"/>
    <cellStyle name="Normal 2 7 2 4 6 2" xfId="41590"/>
    <cellStyle name="Normal 2 7 2 4 7" xfId="25888"/>
    <cellStyle name="Normal 2 7 2 4 7 2" xfId="48133"/>
    <cellStyle name="Normal 2 7 2 4 8" xfId="28337"/>
    <cellStyle name="Normal 2 7 2 5" xfId="2678"/>
    <cellStyle name="Normal 2 7 2 5 2" xfId="5771"/>
    <cellStyle name="Normal 2 7 2 5 2 2" xfId="7553"/>
    <cellStyle name="Normal 2 7 2 5 2 2 2" xfId="10882"/>
    <cellStyle name="Normal 2 7 2 5 2 2 2 2" xfId="17586"/>
    <cellStyle name="Normal 2 7 2 5 2 2 2 2 2" xfId="41007"/>
    <cellStyle name="Normal 2 7 2 5 2 2 2 3" xfId="34375"/>
    <cellStyle name="Normal 2 7 2 5 2 2 3" xfId="14270"/>
    <cellStyle name="Normal 2 7 2 5 2 2 3 2" xfId="37691"/>
    <cellStyle name="Normal 2 7 2 5 2 2 4" xfId="20635"/>
    <cellStyle name="Normal 2 7 2 5 2 2 4 2" xfId="43086"/>
    <cellStyle name="Normal 2 7 2 5 2 2 5" xfId="31059"/>
    <cellStyle name="Normal 2 7 2 5 2 3" xfId="9224"/>
    <cellStyle name="Normal 2 7 2 5 2 3 2" xfId="15928"/>
    <cellStyle name="Normal 2 7 2 5 2 3 2 2" xfId="39349"/>
    <cellStyle name="Normal 2 7 2 5 2 3 3" xfId="21553"/>
    <cellStyle name="Normal 2 7 2 5 2 3 3 2" xfId="44004"/>
    <cellStyle name="Normal 2 7 2 5 2 3 4" xfId="32717"/>
    <cellStyle name="Normal 2 7 2 5 2 4" xfId="12612"/>
    <cellStyle name="Normal 2 7 2 5 2 4 2" xfId="22934"/>
    <cellStyle name="Normal 2 7 2 5 2 4 2 2" xfId="45356"/>
    <cellStyle name="Normal 2 7 2 5 2 4 3" xfId="36033"/>
    <cellStyle name="Normal 2 7 2 5 2 5" xfId="20104"/>
    <cellStyle name="Normal 2 7 2 5 2 5 2" xfId="42639"/>
    <cellStyle name="Normal 2 7 2 5 2 6" xfId="29401"/>
    <cellStyle name="Normal 2 7 2 5 3" xfId="6654"/>
    <cellStyle name="Normal 2 7 2 5 3 2" xfId="9986"/>
    <cellStyle name="Normal 2 7 2 5 3 2 2" xfId="16690"/>
    <cellStyle name="Normal 2 7 2 5 3 2 2 2" xfId="40111"/>
    <cellStyle name="Normal 2 7 2 5 3 2 3" xfId="33479"/>
    <cellStyle name="Normal 2 7 2 5 3 3" xfId="13374"/>
    <cellStyle name="Normal 2 7 2 5 3 3 2" xfId="36795"/>
    <cellStyle name="Normal 2 7 2 5 3 4" xfId="20537"/>
    <cellStyle name="Normal 2 7 2 5 3 4 2" xfId="42990"/>
    <cellStyle name="Normal 2 7 2 5 3 5" xfId="30163"/>
    <cellStyle name="Normal 2 7 2 5 4" xfId="8320"/>
    <cellStyle name="Normal 2 7 2 5 4 2" xfId="15032"/>
    <cellStyle name="Normal 2 7 2 5 4 2 2" xfId="38453"/>
    <cellStyle name="Normal 2 7 2 5 4 3" xfId="21094"/>
    <cellStyle name="Normal 2 7 2 5 4 3 2" xfId="43545"/>
    <cellStyle name="Normal 2 7 2 5 4 4" xfId="31821"/>
    <cellStyle name="Normal 2 7 2 5 5" xfId="11714"/>
    <cellStyle name="Normal 2 7 2 5 5 2" xfId="22116"/>
    <cellStyle name="Normal 2 7 2 5 5 2 2" xfId="44540"/>
    <cellStyle name="Normal 2 7 2 5 5 3" xfId="35137"/>
    <cellStyle name="Normal 2 7 2 5 6" xfId="19254"/>
    <cellStyle name="Normal 2 7 2 5 6 2" xfId="41807"/>
    <cellStyle name="Normal 2 7 2 5 7" xfId="28505"/>
    <cellStyle name="Normal 2 7 2 6" xfId="3982"/>
    <cellStyle name="Normal 2 7 2 6 2" xfId="7037"/>
    <cellStyle name="Normal 2 7 2 6 2 2" xfId="10369"/>
    <cellStyle name="Normal 2 7 2 6 2 2 2" xfId="17073"/>
    <cellStyle name="Normal 2 7 2 6 2 2 2 2" xfId="40494"/>
    <cellStyle name="Normal 2 7 2 6 2 2 3" xfId="33862"/>
    <cellStyle name="Normal 2 7 2 6 2 3" xfId="13757"/>
    <cellStyle name="Normal 2 7 2 6 2 3 2" xfId="37178"/>
    <cellStyle name="Normal 2 7 2 6 2 4" xfId="20586"/>
    <cellStyle name="Normal 2 7 2 6 2 4 2" xfId="43038"/>
    <cellStyle name="Normal 2 7 2 6 2 5" xfId="30546"/>
    <cellStyle name="Normal 2 7 2 6 3" xfId="8704"/>
    <cellStyle name="Normal 2 7 2 6 3 2" xfId="15415"/>
    <cellStyle name="Normal 2 7 2 6 3 2 2" xfId="38836"/>
    <cellStyle name="Normal 2 7 2 6 3 3" xfId="21317"/>
    <cellStyle name="Normal 2 7 2 6 3 3 2" xfId="43768"/>
    <cellStyle name="Normal 2 7 2 6 3 4" xfId="32204"/>
    <cellStyle name="Normal 2 7 2 6 4" xfId="12097"/>
    <cellStyle name="Normal 2 7 2 6 4 2" xfId="22528"/>
    <cellStyle name="Normal 2 7 2 6 4 2 2" xfId="44950"/>
    <cellStyle name="Normal 2 7 2 6 4 3" xfId="35520"/>
    <cellStyle name="Normal 2 7 2 6 5" xfId="19686"/>
    <cellStyle name="Normal 2 7 2 6 5 2" xfId="42223"/>
    <cellStyle name="Normal 2 7 2 6 6" xfId="28888"/>
    <cellStyle name="Normal 2 7 2 7" xfId="6181"/>
    <cellStyle name="Normal 2 7 2 7 2" xfId="9515"/>
    <cellStyle name="Normal 2 7 2 7 2 2" xfId="16219"/>
    <cellStyle name="Normal 2 7 2 7 2 2 2" xfId="39640"/>
    <cellStyle name="Normal 2 7 2 7 2 3" xfId="33008"/>
    <cellStyle name="Normal 2 7 2 7 3" xfId="12903"/>
    <cellStyle name="Normal 2 7 2 7 3 2" xfId="36324"/>
    <cellStyle name="Normal 2 7 2 7 4" xfId="19135"/>
    <cellStyle name="Normal 2 7 2 7 4 2" xfId="41701"/>
    <cellStyle name="Normal 2 7 2 7 5" xfId="29692"/>
    <cellStyle name="Normal 2 7 2 8" xfId="7847"/>
    <cellStyle name="Normal 2 7 2 8 2" xfId="14561"/>
    <cellStyle name="Normal 2 7 2 8 2 2" xfId="37982"/>
    <cellStyle name="Normal 2 7 2 8 3" xfId="20858"/>
    <cellStyle name="Normal 2 7 2 8 3 2" xfId="43309"/>
    <cellStyle name="Normal 2 7 2 8 4" xfId="31350"/>
    <cellStyle name="Normal 2 7 2 9" xfId="11243"/>
    <cellStyle name="Normal 2 7 2 9 2" xfId="21678"/>
    <cellStyle name="Normal 2 7 2 9 2 2" xfId="44127"/>
    <cellStyle name="Normal 2 7 2 9 3" xfId="34666"/>
    <cellStyle name="Normal 2 7 3" xfId="1655"/>
    <cellStyle name="Normal 2 7 3 10" xfId="23656"/>
    <cellStyle name="Normal 2 7 3 10 2" xfId="45946"/>
    <cellStyle name="Normal 2 7 3 11" xfId="28078"/>
    <cellStyle name="Normal 2 7 3 2" xfId="1857"/>
    <cellStyle name="Normal 2 7 3 2 10" xfId="28209"/>
    <cellStyle name="Normal 2 7 3 2 2" xfId="2319"/>
    <cellStyle name="Normal 2 7 3 2 2 2" xfId="5568"/>
    <cellStyle name="Normal 2 7 3 2 2 2 2" xfId="7392"/>
    <cellStyle name="Normal 2 7 3 2 2 2 2 2" xfId="10723"/>
    <cellStyle name="Normal 2 7 3 2 2 2 2 2 2" xfId="17427"/>
    <cellStyle name="Normal 2 7 3 2 2 2 2 2 2 2" xfId="40848"/>
    <cellStyle name="Normal 2 7 3 2 2 2 2 2 3" xfId="23143"/>
    <cellStyle name="Normal 2 7 3 2 2 2 2 2 3 2" xfId="45565"/>
    <cellStyle name="Normal 2 7 3 2 2 2 2 2 4" xfId="34216"/>
    <cellStyle name="Normal 2 7 3 2 2 2 2 3" xfId="14111"/>
    <cellStyle name="Normal 2 7 3 2 2 2 2 3 2" xfId="37532"/>
    <cellStyle name="Normal 2 7 3 2 2 2 2 4" xfId="20317"/>
    <cellStyle name="Normal 2 7 3 2 2 2 2 4 2" xfId="42852"/>
    <cellStyle name="Normal 2 7 3 2 2 2 2 5" xfId="30900"/>
    <cellStyle name="Normal 2 7 3 2 2 2 3" xfId="9065"/>
    <cellStyle name="Normal 2 7 3 2 2 2 3 2" xfId="15769"/>
    <cellStyle name="Normal 2 7 3 2 2 2 3 2 2" xfId="39190"/>
    <cellStyle name="Normal 2 7 3 2 2 2 3 3" xfId="21327"/>
    <cellStyle name="Normal 2 7 3 2 2 2 3 3 2" xfId="43778"/>
    <cellStyle name="Normal 2 7 3 2 2 2 3 4" xfId="32558"/>
    <cellStyle name="Normal 2 7 3 2 2 2 4" xfId="12453"/>
    <cellStyle name="Normal 2 7 3 2 2 2 4 2" xfId="22330"/>
    <cellStyle name="Normal 2 7 3 2 2 2 4 2 2" xfId="44752"/>
    <cellStyle name="Normal 2 7 3 2 2 2 4 3" xfId="35874"/>
    <cellStyle name="Normal 2 7 3 2 2 2 5" xfId="19478"/>
    <cellStyle name="Normal 2 7 3 2 2 2 5 2" xfId="42020"/>
    <cellStyle name="Normal 2 7 3 2 2 2 6" xfId="29242"/>
    <cellStyle name="Normal 2 7 3 2 2 3" xfId="6489"/>
    <cellStyle name="Normal 2 7 3 2 2 3 2" xfId="9823"/>
    <cellStyle name="Normal 2 7 3 2 2 3 2 2" xfId="16527"/>
    <cellStyle name="Normal 2 7 3 2 2 3 2 2 2" xfId="39948"/>
    <cellStyle name="Normal 2 7 3 2 2 3 2 3" xfId="22737"/>
    <cellStyle name="Normal 2 7 3 2 2 3 2 3 2" xfId="45159"/>
    <cellStyle name="Normal 2 7 3 2 2 3 2 4" xfId="33316"/>
    <cellStyle name="Normal 2 7 3 2 2 3 3" xfId="13211"/>
    <cellStyle name="Normal 2 7 3 2 2 3 3 2" xfId="36632"/>
    <cellStyle name="Normal 2 7 3 2 2 3 4" xfId="19901"/>
    <cellStyle name="Normal 2 7 3 2 2 3 4 2" xfId="42436"/>
    <cellStyle name="Normal 2 7 3 2 2 3 5" xfId="30000"/>
    <cellStyle name="Normal 2 7 3 2 2 4" xfId="8156"/>
    <cellStyle name="Normal 2 7 3 2 2 4 2" xfId="14869"/>
    <cellStyle name="Normal 2 7 3 2 2 4 2 2" xfId="38290"/>
    <cellStyle name="Normal 2 7 3 2 2 4 3" xfId="20868"/>
    <cellStyle name="Normal 2 7 3 2 2 4 3 2" xfId="43319"/>
    <cellStyle name="Normal 2 7 3 2 2 4 4" xfId="31658"/>
    <cellStyle name="Normal 2 7 3 2 2 5" xfId="11551"/>
    <cellStyle name="Normal 2 7 3 2 2 5 2" xfId="21904"/>
    <cellStyle name="Normal 2 7 3 2 2 5 2 2" xfId="44338"/>
    <cellStyle name="Normal 2 7 3 2 2 5 3" xfId="34974"/>
    <cellStyle name="Normal 2 7 3 2 2 6" xfId="18735"/>
    <cellStyle name="Normal 2 7 3 2 2 6 2" xfId="41595"/>
    <cellStyle name="Normal 2 7 3 2 2 7" xfId="25893"/>
    <cellStyle name="Normal 2 7 3 2 2 7 2" xfId="48138"/>
    <cellStyle name="Normal 2 7 3 2 2 8" xfId="28342"/>
    <cellStyle name="Normal 2 7 3 2 3" xfId="2854"/>
    <cellStyle name="Normal 2 7 3 2 3 2" xfId="5946"/>
    <cellStyle name="Normal 2 7 3 2 3 2 2" xfId="7728"/>
    <cellStyle name="Normal 2 7 3 2 3 2 2 2" xfId="11057"/>
    <cellStyle name="Normal 2 7 3 2 3 2 2 2 2" xfId="17761"/>
    <cellStyle name="Normal 2 7 3 2 3 2 2 2 2 2" xfId="41182"/>
    <cellStyle name="Normal 2 7 3 2 3 2 2 2 3" xfId="34550"/>
    <cellStyle name="Normal 2 7 3 2 3 2 2 3" xfId="14445"/>
    <cellStyle name="Normal 2 7 3 2 3 2 2 3 2" xfId="37866"/>
    <cellStyle name="Normal 2 7 3 2 3 2 2 4" xfId="22939"/>
    <cellStyle name="Normal 2 7 3 2 3 2 2 4 2" xfId="45361"/>
    <cellStyle name="Normal 2 7 3 2 3 2 2 5" xfId="31234"/>
    <cellStyle name="Normal 2 7 3 2 3 2 3" xfId="9399"/>
    <cellStyle name="Normal 2 7 3 2 3 2 3 2" xfId="16103"/>
    <cellStyle name="Normal 2 7 3 2 3 2 3 2 2" xfId="39524"/>
    <cellStyle name="Normal 2 7 3 2 3 2 3 3" xfId="32892"/>
    <cellStyle name="Normal 2 7 3 2 3 2 4" xfId="12787"/>
    <cellStyle name="Normal 2 7 3 2 3 2 4 2" xfId="36208"/>
    <cellStyle name="Normal 2 7 3 2 3 2 5" xfId="20109"/>
    <cellStyle name="Normal 2 7 3 2 3 2 5 2" xfId="42644"/>
    <cellStyle name="Normal 2 7 3 2 3 2 6" xfId="29576"/>
    <cellStyle name="Normal 2 7 3 2 3 3" xfId="6829"/>
    <cellStyle name="Normal 2 7 3 2 3 3 2" xfId="10161"/>
    <cellStyle name="Normal 2 7 3 2 3 3 2 2" xfId="16865"/>
    <cellStyle name="Normal 2 7 3 2 3 3 2 2 2" xfId="40286"/>
    <cellStyle name="Normal 2 7 3 2 3 3 2 3" xfId="33654"/>
    <cellStyle name="Normal 2 7 3 2 3 3 3" xfId="13549"/>
    <cellStyle name="Normal 2 7 3 2 3 3 3 2" xfId="36970"/>
    <cellStyle name="Normal 2 7 3 2 3 3 4" xfId="21326"/>
    <cellStyle name="Normal 2 7 3 2 3 3 4 2" xfId="43777"/>
    <cellStyle name="Normal 2 7 3 2 3 3 5" xfId="30338"/>
    <cellStyle name="Normal 2 7 3 2 3 4" xfId="8495"/>
    <cellStyle name="Normal 2 7 3 2 3 4 2" xfId="15207"/>
    <cellStyle name="Normal 2 7 3 2 3 4 2 2" xfId="38628"/>
    <cellStyle name="Normal 2 7 3 2 3 4 3" xfId="22121"/>
    <cellStyle name="Normal 2 7 3 2 3 4 3 2" xfId="44545"/>
    <cellStyle name="Normal 2 7 3 2 3 4 4" xfId="31996"/>
    <cellStyle name="Normal 2 7 3 2 3 5" xfId="11889"/>
    <cellStyle name="Normal 2 7 3 2 3 5 2" xfId="35312"/>
    <cellStyle name="Normal 2 7 3 2 3 6" xfId="19259"/>
    <cellStyle name="Normal 2 7 3 2 3 6 2" xfId="41812"/>
    <cellStyle name="Normal 2 7 3 2 3 7" xfId="28680"/>
    <cellStyle name="Normal 2 7 3 2 4" xfId="3987"/>
    <cellStyle name="Normal 2 7 3 2 4 2" xfId="7042"/>
    <cellStyle name="Normal 2 7 3 2 4 2 2" xfId="10374"/>
    <cellStyle name="Normal 2 7 3 2 4 2 2 2" xfId="17078"/>
    <cellStyle name="Normal 2 7 3 2 4 2 2 2 2" xfId="40499"/>
    <cellStyle name="Normal 2 7 3 2 4 2 2 3" xfId="33867"/>
    <cellStyle name="Normal 2 7 3 2 4 2 3" xfId="13762"/>
    <cellStyle name="Normal 2 7 3 2 4 2 3 2" xfId="37183"/>
    <cellStyle name="Normal 2 7 3 2 4 2 4" xfId="22533"/>
    <cellStyle name="Normal 2 7 3 2 4 2 4 2" xfId="44955"/>
    <cellStyle name="Normal 2 7 3 2 4 2 5" xfId="30551"/>
    <cellStyle name="Normal 2 7 3 2 4 3" xfId="8709"/>
    <cellStyle name="Normal 2 7 3 2 4 3 2" xfId="15420"/>
    <cellStyle name="Normal 2 7 3 2 4 3 2 2" xfId="38841"/>
    <cellStyle name="Normal 2 7 3 2 4 3 3" xfId="32209"/>
    <cellStyle name="Normal 2 7 3 2 4 4" xfId="12102"/>
    <cellStyle name="Normal 2 7 3 2 4 4 2" xfId="35525"/>
    <cellStyle name="Normal 2 7 3 2 4 5" xfId="19691"/>
    <cellStyle name="Normal 2 7 3 2 4 5 2" xfId="42228"/>
    <cellStyle name="Normal 2 7 3 2 4 6" xfId="28893"/>
    <cellStyle name="Normal 2 7 3 2 5" xfId="6356"/>
    <cellStyle name="Normal 2 7 3 2 5 2" xfId="9690"/>
    <cellStyle name="Normal 2 7 3 2 5 2 2" xfId="16394"/>
    <cellStyle name="Normal 2 7 3 2 5 2 2 2" xfId="39815"/>
    <cellStyle name="Normal 2 7 3 2 5 2 3" xfId="33183"/>
    <cellStyle name="Normal 2 7 3 2 5 3" xfId="13078"/>
    <cellStyle name="Normal 2 7 3 2 5 3 2" xfId="36499"/>
    <cellStyle name="Normal 2 7 3 2 5 4" xfId="20867"/>
    <cellStyle name="Normal 2 7 3 2 5 4 2" xfId="43318"/>
    <cellStyle name="Normal 2 7 3 2 5 5" xfId="29867"/>
    <cellStyle name="Normal 2 7 3 2 6" xfId="8022"/>
    <cellStyle name="Normal 2 7 3 2 6 2" xfId="14736"/>
    <cellStyle name="Normal 2 7 3 2 6 2 2" xfId="38157"/>
    <cellStyle name="Normal 2 7 3 2 6 3" xfId="21683"/>
    <cellStyle name="Normal 2 7 3 2 6 3 2" xfId="44132"/>
    <cellStyle name="Normal 2 7 3 2 6 4" xfId="31525"/>
    <cellStyle name="Normal 2 7 3 2 7" xfId="11418"/>
    <cellStyle name="Normal 2 7 3 2 7 2" xfId="34841"/>
    <cellStyle name="Normal 2 7 3 2 8" xfId="18066"/>
    <cellStyle name="Normal 2 7 3 2 8 2" xfId="41359"/>
    <cellStyle name="Normal 2 7 3 2 9" xfId="23657"/>
    <cellStyle name="Normal 2 7 3 2 9 2" xfId="45947"/>
    <cellStyle name="Normal 2 7 3 3" xfId="2318"/>
    <cellStyle name="Normal 2 7 3 3 2" xfId="5567"/>
    <cellStyle name="Normal 2 7 3 3 2 2" xfId="7391"/>
    <cellStyle name="Normal 2 7 3 3 2 2 2" xfId="10722"/>
    <cellStyle name="Normal 2 7 3 3 2 2 2 2" xfId="17426"/>
    <cellStyle name="Normal 2 7 3 3 2 2 2 2 2" xfId="40847"/>
    <cellStyle name="Normal 2 7 3 3 2 2 2 3" xfId="23142"/>
    <cellStyle name="Normal 2 7 3 3 2 2 2 3 2" xfId="45564"/>
    <cellStyle name="Normal 2 7 3 3 2 2 2 4" xfId="34215"/>
    <cellStyle name="Normal 2 7 3 3 2 2 3" xfId="14110"/>
    <cellStyle name="Normal 2 7 3 3 2 2 3 2" xfId="37531"/>
    <cellStyle name="Normal 2 7 3 3 2 2 4" xfId="20316"/>
    <cellStyle name="Normal 2 7 3 3 2 2 4 2" xfId="42851"/>
    <cellStyle name="Normal 2 7 3 3 2 2 5" xfId="30899"/>
    <cellStyle name="Normal 2 7 3 3 2 3" xfId="9064"/>
    <cellStyle name="Normal 2 7 3 3 2 3 2" xfId="15768"/>
    <cellStyle name="Normal 2 7 3 3 2 3 2 2" xfId="39189"/>
    <cellStyle name="Normal 2 7 3 3 2 3 3" xfId="21328"/>
    <cellStyle name="Normal 2 7 3 3 2 3 3 2" xfId="43779"/>
    <cellStyle name="Normal 2 7 3 3 2 3 4" xfId="32557"/>
    <cellStyle name="Normal 2 7 3 3 2 4" xfId="12452"/>
    <cellStyle name="Normal 2 7 3 3 2 4 2" xfId="22329"/>
    <cellStyle name="Normal 2 7 3 3 2 4 2 2" xfId="44751"/>
    <cellStyle name="Normal 2 7 3 3 2 4 3" xfId="35873"/>
    <cellStyle name="Normal 2 7 3 3 2 5" xfId="19477"/>
    <cellStyle name="Normal 2 7 3 3 2 5 2" xfId="42019"/>
    <cellStyle name="Normal 2 7 3 3 2 6" xfId="29241"/>
    <cellStyle name="Normal 2 7 3 3 3" xfId="6488"/>
    <cellStyle name="Normal 2 7 3 3 3 2" xfId="9822"/>
    <cellStyle name="Normal 2 7 3 3 3 2 2" xfId="16526"/>
    <cellStyle name="Normal 2 7 3 3 3 2 2 2" xfId="39947"/>
    <cellStyle name="Normal 2 7 3 3 3 2 3" xfId="22736"/>
    <cellStyle name="Normal 2 7 3 3 3 2 3 2" xfId="45158"/>
    <cellStyle name="Normal 2 7 3 3 3 2 4" xfId="33315"/>
    <cellStyle name="Normal 2 7 3 3 3 3" xfId="13210"/>
    <cellStyle name="Normal 2 7 3 3 3 3 2" xfId="36631"/>
    <cellStyle name="Normal 2 7 3 3 3 4" xfId="19900"/>
    <cellStyle name="Normal 2 7 3 3 3 4 2" xfId="42435"/>
    <cellStyle name="Normal 2 7 3 3 3 5" xfId="29999"/>
    <cellStyle name="Normal 2 7 3 3 4" xfId="8155"/>
    <cellStyle name="Normal 2 7 3 3 4 2" xfId="14868"/>
    <cellStyle name="Normal 2 7 3 3 4 2 2" xfId="38289"/>
    <cellStyle name="Normal 2 7 3 3 4 3" xfId="20869"/>
    <cellStyle name="Normal 2 7 3 3 4 3 2" xfId="43320"/>
    <cellStyle name="Normal 2 7 3 3 4 4" xfId="31657"/>
    <cellStyle name="Normal 2 7 3 3 5" xfId="11550"/>
    <cellStyle name="Normal 2 7 3 3 5 2" xfId="21903"/>
    <cellStyle name="Normal 2 7 3 3 5 2 2" xfId="44337"/>
    <cellStyle name="Normal 2 7 3 3 5 3" xfId="34973"/>
    <cellStyle name="Normal 2 7 3 3 6" xfId="18734"/>
    <cellStyle name="Normal 2 7 3 3 6 2" xfId="41594"/>
    <cellStyle name="Normal 2 7 3 3 7" xfId="25892"/>
    <cellStyle name="Normal 2 7 3 3 7 2" xfId="48137"/>
    <cellStyle name="Normal 2 7 3 3 8" xfId="28341"/>
    <cellStyle name="Normal 2 7 3 4" xfId="2722"/>
    <cellStyle name="Normal 2 7 3 4 2" xfId="5815"/>
    <cellStyle name="Normal 2 7 3 4 2 2" xfId="7597"/>
    <cellStyle name="Normal 2 7 3 4 2 2 2" xfId="10926"/>
    <cellStyle name="Normal 2 7 3 4 2 2 2 2" xfId="17630"/>
    <cellStyle name="Normal 2 7 3 4 2 2 2 2 2" xfId="41051"/>
    <cellStyle name="Normal 2 7 3 4 2 2 2 3" xfId="34419"/>
    <cellStyle name="Normal 2 7 3 4 2 2 3" xfId="14314"/>
    <cellStyle name="Normal 2 7 3 4 2 2 3 2" xfId="37735"/>
    <cellStyle name="Normal 2 7 3 4 2 2 4" xfId="20636"/>
    <cellStyle name="Normal 2 7 3 4 2 2 4 2" xfId="43087"/>
    <cellStyle name="Normal 2 7 3 4 2 2 5" xfId="31103"/>
    <cellStyle name="Normal 2 7 3 4 2 3" xfId="9268"/>
    <cellStyle name="Normal 2 7 3 4 2 3 2" xfId="15972"/>
    <cellStyle name="Normal 2 7 3 4 2 3 2 2" xfId="39393"/>
    <cellStyle name="Normal 2 7 3 4 2 3 3" xfId="21554"/>
    <cellStyle name="Normal 2 7 3 4 2 3 3 2" xfId="44005"/>
    <cellStyle name="Normal 2 7 3 4 2 3 4" xfId="32761"/>
    <cellStyle name="Normal 2 7 3 4 2 4" xfId="12656"/>
    <cellStyle name="Normal 2 7 3 4 2 4 2" xfId="22938"/>
    <cellStyle name="Normal 2 7 3 4 2 4 2 2" xfId="45360"/>
    <cellStyle name="Normal 2 7 3 4 2 4 3" xfId="36077"/>
    <cellStyle name="Normal 2 7 3 4 2 5" xfId="20108"/>
    <cellStyle name="Normal 2 7 3 4 2 5 2" xfId="42643"/>
    <cellStyle name="Normal 2 7 3 4 2 6" xfId="29445"/>
    <cellStyle name="Normal 2 7 3 4 3" xfId="6698"/>
    <cellStyle name="Normal 2 7 3 4 3 2" xfId="10030"/>
    <cellStyle name="Normal 2 7 3 4 3 2 2" xfId="16734"/>
    <cellStyle name="Normal 2 7 3 4 3 2 2 2" xfId="40155"/>
    <cellStyle name="Normal 2 7 3 4 3 2 3" xfId="33523"/>
    <cellStyle name="Normal 2 7 3 4 3 3" xfId="13418"/>
    <cellStyle name="Normal 2 7 3 4 3 3 2" xfId="36839"/>
    <cellStyle name="Normal 2 7 3 4 3 4" xfId="20538"/>
    <cellStyle name="Normal 2 7 3 4 3 4 2" xfId="42991"/>
    <cellStyle name="Normal 2 7 3 4 3 5" xfId="30207"/>
    <cellStyle name="Normal 2 7 3 4 4" xfId="8364"/>
    <cellStyle name="Normal 2 7 3 4 4 2" xfId="15076"/>
    <cellStyle name="Normal 2 7 3 4 4 2 2" xfId="38497"/>
    <cellStyle name="Normal 2 7 3 4 4 3" xfId="21095"/>
    <cellStyle name="Normal 2 7 3 4 4 3 2" xfId="43546"/>
    <cellStyle name="Normal 2 7 3 4 4 4" xfId="31865"/>
    <cellStyle name="Normal 2 7 3 4 5" xfId="11758"/>
    <cellStyle name="Normal 2 7 3 4 5 2" xfId="22120"/>
    <cellStyle name="Normal 2 7 3 4 5 2 2" xfId="44544"/>
    <cellStyle name="Normal 2 7 3 4 5 3" xfId="35181"/>
    <cellStyle name="Normal 2 7 3 4 6" xfId="19258"/>
    <cellStyle name="Normal 2 7 3 4 6 2" xfId="41811"/>
    <cellStyle name="Normal 2 7 3 4 7" xfId="28549"/>
    <cellStyle name="Normal 2 7 3 5" xfId="3986"/>
    <cellStyle name="Normal 2 7 3 5 2" xfId="7041"/>
    <cellStyle name="Normal 2 7 3 5 2 2" xfId="10373"/>
    <cellStyle name="Normal 2 7 3 5 2 2 2" xfId="17077"/>
    <cellStyle name="Normal 2 7 3 5 2 2 2 2" xfId="40498"/>
    <cellStyle name="Normal 2 7 3 5 2 2 3" xfId="33866"/>
    <cellStyle name="Normal 2 7 3 5 2 3" xfId="13761"/>
    <cellStyle name="Normal 2 7 3 5 2 3 2" xfId="37182"/>
    <cellStyle name="Normal 2 7 3 5 2 4" xfId="20587"/>
    <cellStyle name="Normal 2 7 3 5 2 4 2" xfId="43039"/>
    <cellStyle name="Normal 2 7 3 5 2 5" xfId="30550"/>
    <cellStyle name="Normal 2 7 3 5 3" xfId="8708"/>
    <cellStyle name="Normal 2 7 3 5 3 2" xfId="15419"/>
    <cellStyle name="Normal 2 7 3 5 3 2 2" xfId="38840"/>
    <cellStyle name="Normal 2 7 3 5 3 3" xfId="21325"/>
    <cellStyle name="Normal 2 7 3 5 3 3 2" xfId="43776"/>
    <cellStyle name="Normal 2 7 3 5 3 4" xfId="32208"/>
    <cellStyle name="Normal 2 7 3 5 4" xfId="12101"/>
    <cellStyle name="Normal 2 7 3 5 4 2" xfId="22532"/>
    <cellStyle name="Normal 2 7 3 5 4 2 2" xfId="44954"/>
    <cellStyle name="Normal 2 7 3 5 4 3" xfId="35524"/>
    <cellStyle name="Normal 2 7 3 5 5" xfId="19690"/>
    <cellStyle name="Normal 2 7 3 5 5 2" xfId="42227"/>
    <cellStyle name="Normal 2 7 3 5 6" xfId="28892"/>
    <cellStyle name="Normal 2 7 3 6" xfId="6225"/>
    <cellStyle name="Normal 2 7 3 6 2" xfId="9559"/>
    <cellStyle name="Normal 2 7 3 6 2 2" xfId="16263"/>
    <cellStyle name="Normal 2 7 3 6 2 2 2" xfId="39684"/>
    <cellStyle name="Normal 2 7 3 6 2 3" xfId="33052"/>
    <cellStyle name="Normal 2 7 3 6 3" xfId="12947"/>
    <cellStyle name="Normal 2 7 3 6 3 2" xfId="36368"/>
    <cellStyle name="Normal 2 7 3 6 4" xfId="19136"/>
    <cellStyle name="Normal 2 7 3 6 4 2" xfId="41702"/>
    <cellStyle name="Normal 2 7 3 6 5" xfId="29736"/>
    <cellStyle name="Normal 2 7 3 7" xfId="7891"/>
    <cellStyle name="Normal 2 7 3 7 2" xfId="14605"/>
    <cellStyle name="Normal 2 7 3 7 2 2" xfId="38026"/>
    <cellStyle name="Normal 2 7 3 7 3" xfId="20866"/>
    <cellStyle name="Normal 2 7 3 7 3 2" xfId="43317"/>
    <cellStyle name="Normal 2 7 3 7 4" xfId="31394"/>
    <cellStyle name="Normal 2 7 3 8" xfId="11287"/>
    <cellStyle name="Normal 2 7 3 8 2" xfId="21682"/>
    <cellStyle name="Normal 2 7 3 8 2 2" xfId="44131"/>
    <cellStyle name="Normal 2 7 3 8 3" xfId="34710"/>
    <cellStyle name="Normal 2 7 3 9" xfId="18065"/>
    <cellStyle name="Normal 2 7 3 9 2" xfId="41358"/>
    <cellStyle name="Normal 2 7 4" xfId="1653"/>
    <cellStyle name="Normal 2 7 4 2" xfId="18736"/>
    <cellStyle name="Normal 2 7 5" xfId="1777"/>
    <cellStyle name="Normal 2 7 5 10" xfId="28129"/>
    <cellStyle name="Normal 2 7 5 2" xfId="2320"/>
    <cellStyle name="Normal 2 7 5 2 2" xfId="5569"/>
    <cellStyle name="Normal 2 7 5 2 2 2" xfId="7393"/>
    <cellStyle name="Normal 2 7 5 2 2 2 2" xfId="10724"/>
    <cellStyle name="Normal 2 7 5 2 2 2 2 2" xfId="17428"/>
    <cellStyle name="Normal 2 7 5 2 2 2 2 2 2" xfId="40849"/>
    <cellStyle name="Normal 2 7 5 2 2 2 2 3" xfId="23144"/>
    <cellStyle name="Normal 2 7 5 2 2 2 2 3 2" xfId="45566"/>
    <cellStyle name="Normal 2 7 5 2 2 2 2 4" xfId="34217"/>
    <cellStyle name="Normal 2 7 5 2 2 2 3" xfId="14112"/>
    <cellStyle name="Normal 2 7 5 2 2 2 3 2" xfId="37533"/>
    <cellStyle name="Normal 2 7 5 2 2 2 4" xfId="20318"/>
    <cellStyle name="Normal 2 7 5 2 2 2 4 2" xfId="42853"/>
    <cellStyle name="Normal 2 7 5 2 2 2 5" xfId="30901"/>
    <cellStyle name="Normal 2 7 5 2 2 3" xfId="9066"/>
    <cellStyle name="Normal 2 7 5 2 2 3 2" xfId="15770"/>
    <cellStyle name="Normal 2 7 5 2 2 3 2 2" xfId="39191"/>
    <cellStyle name="Normal 2 7 5 2 2 3 3" xfId="21330"/>
    <cellStyle name="Normal 2 7 5 2 2 3 3 2" xfId="43781"/>
    <cellStyle name="Normal 2 7 5 2 2 3 4" xfId="32559"/>
    <cellStyle name="Normal 2 7 5 2 2 4" xfId="12454"/>
    <cellStyle name="Normal 2 7 5 2 2 4 2" xfId="22331"/>
    <cellStyle name="Normal 2 7 5 2 2 4 2 2" xfId="44753"/>
    <cellStyle name="Normal 2 7 5 2 2 4 3" xfId="35875"/>
    <cellStyle name="Normal 2 7 5 2 2 5" xfId="19479"/>
    <cellStyle name="Normal 2 7 5 2 2 5 2" xfId="42021"/>
    <cellStyle name="Normal 2 7 5 2 2 6" xfId="29243"/>
    <cellStyle name="Normal 2 7 5 2 3" xfId="6490"/>
    <cellStyle name="Normal 2 7 5 2 3 2" xfId="9824"/>
    <cellStyle name="Normal 2 7 5 2 3 2 2" xfId="16528"/>
    <cellStyle name="Normal 2 7 5 2 3 2 2 2" xfId="39949"/>
    <cellStyle name="Normal 2 7 5 2 3 2 3" xfId="22738"/>
    <cellStyle name="Normal 2 7 5 2 3 2 3 2" xfId="45160"/>
    <cellStyle name="Normal 2 7 5 2 3 2 4" xfId="33317"/>
    <cellStyle name="Normal 2 7 5 2 3 3" xfId="13212"/>
    <cellStyle name="Normal 2 7 5 2 3 3 2" xfId="36633"/>
    <cellStyle name="Normal 2 7 5 2 3 4" xfId="19902"/>
    <cellStyle name="Normal 2 7 5 2 3 4 2" xfId="42437"/>
    <cellStyle name="Normal 2 7 5 2 3 5" xfId="30001"/>
    <cellStyle name="Normal 2 7 5 2 4" xfId="8157"/>
    <cellStyle name="Normal 2 7 5 2 4 2" xfId="14870"/>
    <cellStyle name="Normal 2 7 5 2 4 2 2" xfId="38291"/>
    <cellStyle name="Normal 2 7 5 2 4 3" xfId="20871"/>
    <cellStyle name="Normal 2 7 5 2 4 3 2" xfId="43322"/>
    <cellStyle name="Normal 2 7 5 2 4 4" xfId="31659"/>
    <cellStyle name="Normal 2 7 5 2 5" xfId="11552"/>
    <cellStyle name="Normal 2 7 5 2 5 2" xfId="21905"/>
    <cellStyle name="Normal 2 7 5 2 5 2 2" xfId="44339"/>
    <cellStyle name="Normal 2 7 5 2 5 3" xfId="34975"/>
    <cellStyle name="Normal 2 7 5 2 6" xfId="18737"/>
    <cellStyle name="Normal 2 7 5 2 6 2" xfId="41596"/>
    <cellStyle name="Normal 2 7 5 2 7" xfId="25894"/>
    <cellStyle name="Normal 2 7 5 2 7 2" xfId="48139"/>
    <cellStyle name="Normal 2 7 5 2 8" xfId="28343"/>
    <cellStyle name="Normal 2 7 5 3" xfId="2774"/>
    <cellStyle name="Normal 2 7 5 3 2" xfId="5866"/>
    <cellStyle name="Normal 2 7 5 3 2 2" xfId="7648"/>
    <cellStyle name="Normal 2 7 5 3 2 2 2" xfId="10977"/>
    <cellStyle name="Normal 2 7 5 3 2 2 2 2" xfId="17681"/>
    <cellStyle name="Normal 2 7 5 3 2 2 2 2 2" xfId="41102"/>
    <cellStyle name="Normal 2 7 5 3 2 2 2 3" xfId="34470"/>
    <cellStyle name="Normal 2 7 5 3 2 2 3" xfId="14365"/>
    <cellStyle name="Normal 2 7 5 3 2 2 3 2" xfId="37786"/>
    <cellStyle name="Normal 2 7 5 3 2 2 4" xfId="22940"/>
    <cellStyle name="Normal 2 7 5 3 2 2 4 2" xfId="45362"/>
    <cellStyle name="Normal 2 7 5 3 2 2 5" xfId="31154"/>
    <cellStyle name="Normal 2 7 5 3 2 3" xfId="9319"/>
    <cellStyle name="Normal 2 7 5 3 2 3 2" xfId="16023"/>
    <cellStyle name="Normal 2 7 5 3 2 3 2 2" xfId="39444"/>
    <cellStyle name="Normal 2 7 5 3 2 3 3" xfId="32812"/>
    <cellStyle name="Normal 2 7 5 3 2 4" xfId="12707"/>
    <cellStyle name="Normal 2 7 5 3 2 4 2" xfId="36128"/>
    <cellStyle name="Normal 2 7 5 3 2 5" xfId="20110"/>
    <cellStyle name="Normal 2 7 5 3 2 5 2" xfId="42645"/>
    <cellStyle name="Normal 2 7 5 3 2 6" xfId="29496"/>
    <cellStyle name="Normal 2 7 5 3 3" xfId="6749"/>
    <cellStyle name="Normal 2 7 5 3 3 2" xfId="10081"/>
    <cellStyle name="Normal 2 7 5 3 3 2 2" xfId="16785"/>
    <cellStyle name="Normal 2 7 5 3 3 2 2 2" xfId="40206"/>
    <cellStyle name="Normal 2 7 5 3 3 2 3" xfId="33574"/>
    <cellStyle name="Normal 2 7 5 3 3 3" xfId="13469"/>
    <cellStyle name="Normal 2 7 5 3 3 3 2" xfId="36890"/>
    <cellStyle name="Normal 2 7 5 3 3 4" xfId="21329"/>
    <cellStyle name="Normal 2 7 5 3 3 4 2" xfId="43780"/>
    <cellStyle name="Normal 2 7 5 3 3 5" xfId="30258"/>
    <cellStyle name="Normal 2 7 5 3 4" xfId="8415"/>
    <cellStyle name="Normal 2 7 5 3 4 2" xfId="15127"/>
    <cellStyle name="Normal 2 7 5 3 4 2 2" xfId="38548"/>
    <cellStyle name="Normal 2 7 5 3 4 3" xfId="22122"/>
    <cellStyle name="Normal 2 7 5 3 4 3 2" xfId="44546"/>
    <cellStyle name="Normal 2 7 5 3 4 4" xfId="31916"/>
    <cellStyle name="Normal 2 7 5 3 5" xfId="11809"/>
    <cellStyle name="Normal 2 7 5 3 5 2" xfId="35232"/>
    <cellStyle name="Normal 2 7 5 3 6" xfId="19260"/>
    <cellStyle name="Normal 2 7 5 3 6 2" xfId="41813"/>
    <cellStyle name="Normal 2 7 5 3 7" xfId="28600"/>
    <cellStyle name="Normal 2 7 5 4" xfId="3988"/>
    <cellStyle name="Normal 2 7 5 4 2" xfId="7043"/>
    <cellStyle name="Normal 2 7 5 4 2 2" xfId="10375"/>
    <cellStyle name="Normal 2 7 5 4 2 2 2" xfId="17079"/>
    <cellStyle name="Normal 2 7 5 4 2 2 2 2" xfId="40500"/>
    <cellStyle name="Normal 2 7 5 4 2 2 3" xfId="33868"/>
    <cellStyle name="Normal 2 7 5 4 2 3" xfId="13763"/>
    <cellStyle name="Normal 2 7 5 4 2 3 2" xfId="37184"/>
    <cellStyle name="Normal 2 7 5 4 2 4" xfId="22534"/>
    <cellStyle name="Normal 2 7 5 4 2 4 2" xfId="44956"/>
    <cellStyle name="Normal 2 7 5 4 2 5" xfId="30552"/>
    <cellStyle name="Normal 2 7 5 4 3" xfId="8710"/>
    <cellStyle name="Normal 2 7 5 4 3 2" xfId="15421"/>
    <cellStyle name="Normal 2 7 5 4 3 2 2" xfId="38842"/>
    <cellStyle name="Normal 2 7 5 4 3 3" xfId="32210"/>
    <cellStyle name="Normal 2 7 5 4 4" xfId="12103"/>
    <cellStyle name="Normal 2 7 5 4 4 2" xfId="35526"/>
    <cellStyle name="Normal 2 7 5 4 5" xfId="19692"/>
    <cellStyle name="Normal 2 7 5 4 5 2" xfId="42229"/>
    <cellStyle name="Normal 2 7 5 4 6" xfId="28894"/>
    <cellStyle name="Normal 2 7 5 5" xfId="6276"/>
    <cellStyle name="Normal 2 7 5 5 2" xfId="9610"/>
    <cellStyle name="Normal 2 7 5 5 2 2" xfId="16314"/>
    <cellStyle name="Normal 2 7 5 5 2 2 2" xfId="39735"/>
    <cellStyle name="Normal 2 7 5 5 2 3" xfId="33103"/>
    <cellStyle name="Normal 2 7 5 5 3" xfId="12998"/>
    <cellStyle name="Normal 2 7 5 5 3 2" xfId="36419"/>
    <cellStyle name="Normal 2 7 5 5 4" xfId="20870"/>
    <cellStyle name="Normal 2 7 5 5 4 2" xfId="43321"/>
    <cellStyle name="Normal 2 7 5 5 5" xfId="29787"/>
    <cellStyle name="Normal 2 7 5 6" xfId="7942"/>
    <cellStyle name="Normal 2 7 5 6 2" xfId="14656"/>
    <cellStyle name="Normal 2 7 5 6 2 2" xfId="38077"/>
    <cellStyle name="Normal 2 7 5 6 3" xfId="21684"/>
    <cellStyle name="Normal 2 7 5 6 3 2" xfId="44133"/>
    <cellStyle name="Normal 2 7 5 6 4" xfId="31445"/>
    <cellStyle name="Normal 2 7 5 7" xfId="11338"/>
    <cellStyle name="Normal 2 7 5 7 2" xfId="34761"/>
    <cellStyle name="Normal 2 7 5 8" xfId="18067"/>
    <cellStyle name="Normal 2 7 5 8 2" xfId="41360"/>
    <cellStyle name="Normal 2 7 5 9" xfId="23658"/>
    <cellStyle name="Normal 2 7 5 9 2" xfId="45948"/>
    <cellStyle name="Normal 2 7 6" xfId="2641"/>
    <cellStyle name="Normal 2 7 6 2" xfId="3989"/>
    <cellStyle name="Normal 2 7 6 2 2" xfId="7044"/>
    <cellStyle name="Normal 2 7 6 2 2 2" xfId="10376"/>
    <cellStyle name="Normal 2 7 6 2 2 2 2" xfId="17080"/>
    <cellStyle name="Normal 2 7 6 2 2 2 2 2" xfId="40501"/>
    <cellStyle name="Normal 2 7 6 2 2 2 3" xfId="33869"/>
    <cellStyle name="Normal 2 7 6 2 2 3" xfId="13764"/>
    <cellStyle name="Normal 2 7 6 2 2 3 2" xfId="37185"/>
    <cellStyle name="Normal 2 7 6 2 2 4" xfId="30553"/>
    <cellStyle name="Normal 2 7 6 2 3" xfId="8711"/>
    <cellStyle name="Normal 2 7 6 2 3 2" xfId="15422"/>
    <cellStyle name="Normal 2 7 6 2 3 2 2" xfId="38843"/>
    <cellStyle name="Normal 2 7 6 2 3 3" xfId="32211"/>
    <cellStyle name="Normal 2 7 6 2 4" xfId="12104"/>
    <cellStyle name="Normal 2 7 6 2 4 2" xfId="35527"/>
    <cellStyle name="Normal 2 7 6 2 5" xfId="25895"/>
    <cellStyle name="Normal 2 7 6 2 5 2" xfId="48140"/>
    <cellStyle name="Normal 2 7 6 2 6" xfId="28895"/>
    <cellStyle name="Normal 2 7 6 3" xfId="6618"/>
    <cellStyle name="Normal 2 7 6 3 2" xfId="9950"/>
    <cellStyle name="Normal 2 7 6 3 2 2" xfId="16654"/>
    <cellStyle name="Normal 2 7 6 3 2 2 2" xfId="40075"/>
    <cellStyle name="Normal 2 7 6 3 2 3" xfId="33443"/>
    <cellStyle name="Normal 2 7 6 3 3" xfId="13338"/>
    <cellStyle name="Normal 2 7 6 3 3 2" xfId="36759"/>
    <cellStyle name="Normal 2 7 6 3 4" xfId="30127"/>
    <cellStyle name="Normal 2 7 6 4" xfId="8284"/>
    <cellStyle name="Normal 2 7 6 4 2" xfId="14996"/>
    <cellStyle name="Normal 2 7 6 4 2 2" xfId="38417"/>
    <cellStyle name="Normal 2 7 6 4 3" xfId="31785"/>
    <cellStyle name="Normal 2 7 6 5" xfId="11678"/>
    <cellStyle name="Normal 2 7 6 5 2" xfId="35101"/>
    <cellStyle name="Normal 2 7 6 6" xfId="18729"/>
    <cellStyle name="Normal 2 7 6 7" xfId="23659"/>
    <cellStyle name="Normal 2 7 6 7 2" xfId="45949"/>
    <cellStyle name="Normal 2 7 6 8" xfId="28469"/>
    <cellStyle name="Normal 2 7 7" xfId="3981"/>
    <cellStyle name="Normal 2 7 8" xfId="6145"/>
    <cellStyle name="Normal 2 7 8 2" xfId="9479"/>
    <cellStyle name="Normal 2 7 8 2 2" xfId="16183"/>
    <cellStyle name="Normal 2 7 8 2 2 2" xfId="39604"/>
    <cellStyle name="Normal 2 7 8 2 3" xfId="32972"/>
    <cellStyle name="Normal 2 7 8 3" xfId="12867"/>
    <cellStyle name="Normal 2 7 8 3 2" xfId="36288"/>
    <cellStyle name="Normal 2 7 8 4" xfId="29656"/>
    <cellStyle name="Normal 2 7 9" xfId="7810"/>
    <cellStyle name="Normal 2 7 9 2" xfId="14525"/>
    <cellStyle name="Normal 2 7 9 2 2" xfId="37946"/>
    <cellStyle name="Normal 2 7 9 3" xfId="31314"/>
    <cellStyle name="Normal 2 8" xfId="1656"/>
    <cellStyle name="Normal 2 8 2" xfId="18738"/>
    <cellStyle name="Normal 2 9" xfId="1657"/>
    <cellStyle name="Normal 2 9 2" xfId="18739"/>
    <cellStyle name="Normal 2_Exhibits" xfId="1036"/>
    <cellStyle name="Normal 20" xfId="543"/>
    <cellStyle name="Normal 20 2" xfId="544"/>
    <cellStyle name="Normal 20 2 2" xfId="3990"/>
    <cellStyle name="Normal 20 2 2 2" xfId="18741"/>
    <cellStyle name="Normal 20 3" xfId="1195"/>
    <cellStyle name="Normal 20 3 2" xfId="3992"/>
    <cellStyle name="Normal 20 3 2 2" xfId="18742"/>
    <cellStyle name="Normal 20 3 3" xfId="3993"/>
    <cellStyle name="Normal 20 3 4" xfId="3991"/>
    <cellStyle name="Normal 20 4" xfId="1130"/>
    <cellStyle name="Normal 20 4 2" xfId="3995"/>
    <cellStyle name="Normal 20 4 3" xfId="3994"/>
    <cellStyle name="Normal 20 5" xfId="18740"/>
    <cellStyle name="Normal 200" xfId="7783"/>
    <cellStyle name="Normal 201" xfId="8878"/>
    <cellStyle name="Normal 202" xfId="11114"/>
    <cellStyle name="Normal 203" xfId="8861"/>
    <cellStyle name="Normal 204" xfId="11113"/>
    <cellStyle name="Normal 205" xfId="8048"/>
    <cellStyle name="Normal 206" xfId="11117"/>
    <cellStyle name="Normal 207" xfId="7784"/>
    <cellStyle name="Normal 208" xfId="8889"/>
    <cellStyle name="Normal 209" xfId="11119"/>
    <cellStyle name="Normal 21" xfId="545"/>
    <cellStyle name="Normal 21 2" xfId="546"/>
    <cellStyle name="Normal 21 2 2" xfId="3996"/>
    <cellStyle name="Normal 21 3" xfId="3997"/>
    <cellStyle name="Normal 21 4" xfId="3998"/>
    <cellStyle name="Normal 210" xfId="11118"/>
    <cellStyle name="Normal 211" xfId="8258"/>
    <cellStyle name="Normal 211 2" xfId="21579"/>
    <cellStyle name="Normal 212" xfId="11116"/>
    <cellStyle name="Normal 212 2" xfId="21783"/>
    <cellStyle name="Normal 213" xfId="8599"/>
    <cellStyle name="Normal 213 2" xfId="21580"/>
    <cellStyle name="Normal 214" xfId="8862"/>
    <cellStyle name="Normal 215" xfId="8901"/>
    <cellStyle name="Normal 216" xfId="7811"/>
    <cellStyle name="Normal 217" xfId="8910"/>
    <cellStyle name="Normal 218" xfId="8875"/>
    <cellStyle name="Normal 219" xfId="11115"/>
    <cellStyle name="Normal 22" xfId="547"/>
    <cellStyle name="Normal 22 2" xfId="548"/>
    <cellStyle name="Normal 22 2 2" xfId="903"/>
    <cellStyle name="Normal 22 2 2 2" xfId="4000"/>
    <cellStyle name="Normal 22 2 2 3" xfId="3999"/>
    <cellStyle name="Normal 22 2 3" xfId="4001"/>
    <cellStyle name="Normal 22 3" xfId="4002"/>
    <cellStyle name="Normal 22 3 2" xfId="18743"/>
    <cellStyle name="Normal 220" xfId="11120"/>
    <cellStyle name="Normal 221" xfId="11142"/>
    <cellStyle name="Normal 222" xfId="11164"/>
    <cellStyle name="Normal 223" xfId="11165"/>
    <cellStyle name="Normal 224" xfId="11166"/>
    <cellStyle name="Normal 225" xfId="11167"/>
    <cellStyle name="Normal 226" xfId="11168"/>
    <cellStyle name="Normal 227" xfId="11169"/>
    <cellStyle name="Normal 228" xfId="11170"/>
    <cellStyle name="Normal 229" xfId="11171"/>
    <cellStyle name="Normal 23" xfId="549"/>
    <cellStyle name="Normal 23 2" xfId="904"/>
    <cellStyle name="Normal 23 2 2" xfId="18745"/>
    <cellStyle name="Normal 23 3" xfId="18744"/>
    <cellStyle name="Normal 230" xfId="11163"/>
    <cellStyle name="Normal 231" xfId="11172"/>
    <cellStyle name="Normal 232" xfId="11173"/>
    <cellStyle name="Normal 233" xfId="11174"/>
    <cellStyle name="Normal 234" xfId="11175"/>
    <cellStyle name="Normal 235" xfId="11176"/>
    <cellStyle name="Normal 236" xfId="11177"/>
    <cellStyle name="Normal 237" xfId="11178"/>
    <cellStyle name="Normal 238" xfId="11179"/>
    <cellStyle name="Normal 239" xfId="11180"/>
    <cellStyle name="Normal 24" xfId="550"/>
    <cellStyle name="Normal 24 2" xfId="905"/>
    <cellStyle name="Normal 24 2 2" xfId="18747"/>
    <cellStyle name="Normal 24 3" xfId="18746"/>
    <cellStyle name="Normal 240" xfId="11181"/>
    <cellStyle name="Normal 241" xfId="12268"/>
    <cellStyle name="Normal 242" xfId="17816"/>
    <cellStyle name="Normal 243" xfId="17818"/>
    <cellStyle name="Normal 244" xfId="17819"/>
    <cellStyle name="Normal 245" xfId="17817"/>
    <cellStyle name="Normal 246" xfId="17820"/>
    <cellStyle name="Normal 247" xfId="12346"/>
    <cellStyle name="Normal 248" xfId="17821"/>
    <cellStyle name="Normal 249" xfId="18351"/>
    <cellStyle name="Normal 25" xfId="551"/>
    <cellStyle name="Normal 25 2" xfId="906"/>
    <cellStyle name="Normal 25 2 2" xfId="5195"/>
    <cellStyle name="Normal 25 2 2 2" xfId="18748"/>
    <cellStyle name="Normal 25 2 3" xfId="5189"/>
    <cellStyle name="Normal 25 2 3 2" xfId="23260"/>
    <cellStyle name="Normal 25 3" xfId="4003"/>
    <cellStyle name="Normal 25 3 2" xfId="6032"/>
    <cellStyle name="Normal 25 3 2 2" xfId="23367"/>
    <cellStyle name="Normal 250" xfId="17902"/>
    <cellStyle name="Normal 251" xfId="18703"/>
    <cellStyle name="Normal 252" xfId="20582"/>
    <cellStyle name="Normal 253" xfId="23250"/>
    <cellStyle name="Normal 254" xfId="17880"/>
    <cellStyle name="Normal 255" xfId="20469"/>
    <cellStyle name="Normal 256" xfId="23246"/>
    <cellStyle name="Normal 257" xfId="23251"/>
    <cellStyle name="Normal 258" xfId="23245"/>
    <cellStyle name="Normal 259" xfId="23244"/>
    <cellStyle name="Normal 26" xfId="552"/>
    <cellStyle name="Normal 26 2" xfId="907"/>
    <cellStyle name="Normal 26 2 2" xfId="18750"/>
    <cellStyle name="Normal 26 3" xfId="18749"/>
    <cellStyle name="Normal 260" xfId="20443"/>
    <cellStyle name="Normal 261" xfId="23254"/>
    <cellStyle name="Normal 262" xfId="18331"/>
    <cellStyle name="Normal 263" xfId="23255"/>
    <cellStyle name="Normal 264" xfId="23343"/>
    <cellStyle name="Normal 265" xfId="23840"/>
    <cellStyle name="Normal 266" xfId="23877"/>
    <cellStyle name="Normal 267" xfId="76"/>
    <cellStyle name="Normal 268" xfId="27972"/>
    <cellStyle name="Normal 269" xfId="50217"/>
    <cellStyle name="Normal 27" xfId="553"/>
    <cellStyle name="Normal 27 2" xfId="4004"/>
    <cellStyle name="Normal 27 2 2" xfId="4005"/>
    <cellStyle name="Normal 27 2 3" xfId="7045"/>
    <cellStyle name="Normal 27 2 3 2" xfId="10377"/>
    <cellStyle name="Normal 27 2 3 2 2" xfId="17081"/>
    <cellStyle name="Normal 27 2 3 2 2 2" xfId="40502"/>
    <cellStyle name="Normal 27 2 3 2 3" xfId="25896"/>
    <cellStyle name="Normal 27 2 3 2 3 2" xfId="48141"/>
    <cellStyle name="Normal 27 2 3 2 4" xfId="33870"/>
    <cellStyle name="Normal 27 2 3 3" xfId="13765"/>
    <cellStyle name="Normal 27 2 3 3 2" xfId="37186"/>
    <cellStyle name="Normal 27 2 3 4" xfId="23492"/>
    <cellStyle name="Normal 27 2 3 4 2" xfId="45831"/>
    <cellStyle name="Normal 27 2 3 5" xfId="30554"/>
    <cellStyle name="Normal 27 2 4" xfId="8712"/>
    <cellStyle name="Normal 27 2 4 2" xfId="15423"/>
    <cellStyle name="Normal 27 2 4 2 2" xfId="38844"/>
    <cellStyle name="Normal 27 2 4 3" xfId="32212"/>
    <cellStyle name="Normal 27 2 5" xfId="12105"/>
    <cellStyle name="Normal 27 2 5 2" xfId="35528"/>
    <cellStyle name="Normal 27 2 6" xfId="23660"/>
    <cellStyle name="Normal 27 2 6 2" xfId="45950"/>
    <cellStyle name="Normal 27 2 7" xfId="28896"/>
    <cellStyle name="Normal 27 3" xfId="4825"/>
    <cellStyle name="Normal 27 3 2" xfId="7205"/>
    <cellStyle name="Normal 27 3 2 2" xfId="10537"/>
    <cellStyle name="Normal 27 3 2 2 2" xfId="17241"/>
    <cellStyle name="Normal 27 3 2 2 2 2" xfId="40662"/>
    <cellStyle name="Normal 27 3 2 2 3" xfId="34030"/>
    <cellStyle name="Normal 27 3 2 3" xfId="13925"/>
    <cellStyle name="Normal 27 3 2 3 2" xfId="37346"/>
    <cellStyle name="Normal 27 3 2 4" xfId="26048"/>
    <cellStyle name="Normal 27 3 2 4 2" xfId="48293"/>
    <cellStyle name="Normal 27 3 2 5" xfId="30714"/>
    <cellStyle name="Normal 27 3 3" xfId="8874"/>
    <cellStyle name="Normal 27 3 3 2" xfId="15583"/>
    <cellStyle name="Normal 27 3 3 2 2" xfId="39004"/>
    <cellStyle name="Normal 27 3 3 3" xfId="32372"/>
    <cellStyle name="Normal 27 3 4" xfId="12265"/>
    <cellStyle name="Normal 27 3 4 2" xfId="35688"/>
    <cellStyle name="Normal 27 3 5" xfId="23505"/>
    <cellStyle name="Normal 27 3 5 2" xfId="45841"/>
    <cellStyle name="Normal 27 3 6" xfId="29056"/>
    <cellStyle name="Normal 27 4" xfId="23310"/>
    <cellStyle name="Normal 27 4 2" xfId="45702"/>
    <cellStyle name="Normal 270" xfId="50292"/>
    <cellStyle name="Normal 28" xfId="554"/>
    <cellStyle name="Normal 28 2" xfId="4006"/>
    <cellStyle name="Normal 28 2 2" xfId="4007"/>
    <cellStyle name="Normal 28 2 3" xfId="7046"/>
    <cellStyle name="Normal 28 2 3 2" xfId="10378"/>
    <cellStyle name="Normal 28 2 3 2 2" xfId="17082"/>
    <cellStyle name="Normal 28 2 3 2 2 2" xfId="40503"/>
    <cellStyle name="Normal 28 2 3 2 3" xfId="25897"/>
    <cellStyle name="Normal 28 2 3 2 3 2" xfId="48142"/>
    <cellStyle name="Normal 28 2 3 2 4" xfId="33871"/>
    <cellStyle name="Normal 28 2 3 3" xfId="13766"/>
    <cellStyle name="Normal 28 2 3 3 2" xfId="37187"/>
    <cellStyle name="Normal 28 2 3 4" xfId="23493"/>
    <cellStyle name="Normal 28 2 3 4 2" xfId="45832"/>
    <cellStyle name="Normal 28 2 3 5" xfId="30555"/>
    <cellStyle name="Normal 28 2 4" xfId="8713"/>
    <cellStyle name="Normal 28 2 4 2" xfId="15424"/>
    <cellStyle name="Normal 28 2 4 2 2" xfId="38845"/>
    <cellStyle name="Normal 28 2 4 3" xfId="32213"/>
    <cellStyle name="Normal 28 2 5" xfId="12106"/>
    <cellStyle name="Normal 28 2 5 2" xfId="35529"/>
    <cellStyle name="Normal 28 2 6" xfId="23661"/>
    <cellStyle name="Normal 28 2 6 2" xfId="45951"/>
    <cellStyle name="Normal 28 2 7" xfId="28897"/>
    <cellStyle name="Normal 28 3" xfId="4824"/>
    <cellStyle name="Normal 28 3 2" xfId="7204"/>
    <cellStyle name="Normal 28 3 2 2" xfId="10536"/>
    <cellStyle name="Normal 28 3 2 2 2" xfId="17240"/>
    <cellStyle name="Normal 28 3 2 2 2 2" xfId="40661"/>
    <cellStyle name="Normal 28 3 2 2 3" xfId="34029"/>
    <cellStyle name="Normal 28 3 2 3" xfId="13924"/>
    <cellStyle name="Normal 28 3 2 3 2" xfId="37345"/>
    <cellStyle name="Normal 28 3 2 4" xfId="26047"/>
    <cellStyle name="Normal 28 3 2 4 2" xfId="48292"/>
    <cellStyle name="Normal 28 3 2 5" xfId="30713"/>
    <cellStyle name="Normal 28 3 3" xfId="8873"/>
    <cellStyle name="Normal 28 3 3 2" xfId="15582"/>
    <cellStyle name="Normal 28 3 3 2 2" xfId="39003"/>
    <cellStyle name="Normal 28 3 3 3" xfId="32371"/>
    <cellStyle name="Normal 28 3 4" xfId="12264"/>
    <cellStyle name="Normal 28 3 4 2" xfId="35687"/>
    <cellStyle name="Normal 28 3 5" xfId="23504"/>
    <cellStyle name="Normal 28 3 5 2" xfId="45840"/>
    <cellStyle name="Normal 28 3 6" xfId="29055"/>
    <cellStyle name="Normal 28 4" xfId="23309"/>
    <cellStyle name="Normal 28 4 2" xfId="45701"/>
    <cellStyle name="Normal 29" xfId="555"/>
    <cellStyle name="Normal 29 2" xfId="4008"/>
    <cellStyle name="Normal 3" xfId="556"/>
    <cellStyle name="Normal 3 2" xfId="557"/>
    <cellStyle name="Normal 3 2 2" xfId="558"/>
    <cellStyle name="Normal 3 2 2 2" xfId="910"/>
    <cellStyle name="Normal 3 2 2 2 2" xfId="4009"/>
    <cellStyle name="Normal 3 2 2 2 2 2" xfId="18753"/>
    <cellStyle name="Normal 3 2 2 3" xfId="909"/>
    <cellStyle name="Normal 3 2 2 3 2" xfId="4011"/>
    <cellStyle name="Normal 3 2 2 3 3" xfId="4010"/>
    <cellStyle name="Normal 3 2 2 4" xfId="1132"/>
    <cellStyle name="Normal 3 2 2 4 2" xfId="18754"/>
    <cellStyle name="Normal 3 2 2 5" xfId="18752"/>
    <cellStyle name="Normal 3 2 3" xfId="911"/>
    <cellStyle name="Normal 3 2 3 2" xfId="4013"/>
    <cellStyle name="Normal 3 2 3 2 2" xfId="4014"/>
    <cellStyle name="Normal 3 2 3 3" xfId="4012"/>
    <cellStyle name="Normal 3 2 4" xfId="908"/>
    <cellStyle name="Normal 3 2 4 2" xfId="4016"/>
    <cellStyle name="Normal 3 2 4 3" xfId="4015"/>
    <cellStyle name="Normal 3 2 5" xfId="1131"/>
    <cellStyle name="Normal 3 2 5 10" xfId="6124"/>
    <cellStyle name="Normal 3 2 5 10 2" xfId="9458"/>
    <cellStyle name="Normal 3 2 5 10 2 2" xfId="16162"/>
    <cellStyle name="Normal 3 2 5 10 2 2 2" xfId="39583"/>
    <cellStyle name="Normal 3 2 5 10 2 3" xfId="32951"/>
    <cellStyle name="Normal 3 2 5 10 3" xfId="12846"/>
    <cellStyle name="Normal 3 2 5 10 3 2" xfId="36267"/>
    <cellStyle name="Normal 3 2 5 10 4" xfId="19138"/>
    <cellStyle name="Normal 3 2 5 10 4 2" xfId="41704"/>
    <cellStyle name="Normal 3 2 5 10 5" xfId="29635"/>
    <cellStyle name="Normal 3 2 5 11" xfId="7789"/>
    <cellStyle name="Normal 3 2 5 11 2" xfId="14504"/>
    <cellStyle name="Normal 3 2 5 11 2 2" xfId="37925"/>
    <cellStyle name="Normal 3 2 5 11 3" xfId="20873"/>
    <cellStyle name="Normal 3 2 5 11 3 2" xfId="43324"/>
    <cellStyle name="Normal 3 2 5 11 4" xfId="31293"/>
    <cellStyle name="Normal 3 2 5 12" xfId="11186"/>
    <cellStyle name="Normal 3 2 5 12 2" xfId="21685"/>
    <cellStyle name="Normal 3 2 5 12 2 2" xfId="44134"/>
    <cellStyle name="Normal 3 2 5 12 3" xfId="34609"/>
    <cellStyle name="Normal 3 2 5 13" xfId="18071"/>
    <cellStyle name="Normal 3 2 5 13 2" xfId="41361"/>
    <cellStyle name="Normal 3 2 5 14" xfId="23662"/>
    <cellStyle name="Normal 3 2 5 14 2" xfId="45952"/>
    <cellStyle name="Normal 3 2 5 15" xfId="27977"/>
    <cellStyle name="Normal 3 2 5 2" xfId="1465"/>
    <cellStyle name="Normal 3 2 5 2 10" xfId="11214"/>
    <cellStyle name="Normal 3 2 5 2 10 2" xfId="21686"/>
    <cellStyle name="Normal 3 2 5 2 10 2 2" xfId="44135"/>
    <cellStyle name="Normal 3 2 5 2 10 3" xfId="34637"/>
    <cellStyle name="Normal 3 2 5 2 11" xfId="18072"/>
    <cellStyle name="Normal 3 2 5 2 11 2" xfId="41362"/>
    <cellStyle name="Normal 3 2 5 2 12" xfId="23663"/>
    <cellStyle name="Normal 3 2 5 2 12 2" xfId="45953"/>
    <cellStyle name="Normal 3 2 5 2 13" xfId="28005"/>
    <cellStyle name="Normal 3 2 5 2 2" xfId="1505"/>
    <cellStyle name="Normal 3 2 5 2 2 10" xfId="18073"/>
    <cellStyle name="Normal 3 2 5 2 2 10 2" xfId="41363"/>
    <cellStyle name="Normal 3 2 5 2 2 11" xfId="23664"/>
    <cellStyle name="Normal 3 2 5 2 2 11 2" xfId="45954"/>
    <cellStyle name="Normal 3 2 5 2 2 12" xfId="28041"/>
    <cellStyle name="Normal 3 2 5 2 2 2" xfId="1661"/>
    <cellStyle name="Normal 3 2 5 2 2 2 10" xfId="23665"/>
    <cellStyle name="Normal 3 2 5 2 2 2 10 2" xfId="45955"/>
    <cellStyle name="Normal 3 2 5 2 2 2 11" xfId="28081"/>
    <cellStyle name="Normal 3 2 5 2 2 2 2" xfId="1860"/>
    <cellStyle name="Normal 3 2 5 2 2 2 2 10" xfId="28212"/>
    <cellStyle name="Normal 3 2 5 2 2 2 2 2" xfId="2326"/>
    <cellStyle name="Normal 3 2 5 2 2 2 2 2 2" xfId="5574"/>
    <cellStyle name="Normal 3 2 5 2 2 2 2 2 2 2" xfId="7398"/>
    <cellStyle name="Normal 3 2 5 2 2 2 2 2 2 2 2" xfId="10729"/>
    <cellStyle name="Normal 3 2 5 2 2 2 2 2 2 2 2 2" xfId="17433"/>
    <cellStyle name="Normal 3 2 5 2 2 2 2 2 2 2 2 2 2" xfId="40854"/>
    <cellStyle name="Normal 3 2 5 2 2 2 2 2 2 2 2 3" xfId="23149"/>
    <cellStyle name="Normal 3 2 5 2 2 2 2 2 2 2 2 3 2" xfId="45571"/>
    <cellStyle name="Normal 3 2 5 2 2 2 2 2 2 2 2 4" xfId="34222"/>
    <cellStyle name="Normal 3 2 5 2 2 2 2 2 2 2 3" xfId="14117"/>
    <cellStyle name="Normal 3 2 5 2 2 2 2 2 2 2 3 2" xfId="37538"/>
    <cellStyle name="Normal 3 2 5 2 2 2 2 2 2 2 4" xfId="20323"/>
    <cellStyle name="Normal 3 2 5 2 2 2 2 2 2 2 4 2" xfId="42858"/>
    <cellStyle name="Normal 3 2 5 2 2 2 2 2 2 2 5" xfId="30906"/>
    <cellStyle name="Normal 3 2 5 2 2 2 2 2 2 3" xfId="9071"/>
    <cellStyle name="Normal 3 2 5 2 2 2 2 2 2 3 2" xfId="15775"/>
    <cellStyle name="Normal 3 2 5 2 2 2 2 2 2 3 2 2" xfId="39196"/>
    <cellStyle name="Normal 3 2 5 2 2 2 2 2 2 3 3" xfId="21337"/>
    <cellStyle name="Normal 3 2 5 2 2 2 2 2 2 3 3 2" xfId="43788"/>
    <cellStyle name="Normal 3 2 5 2 2 2 2 2 2 3 4" xfId="32564"/>
    <cellStyle name="Normal 3 2 5 2 2 2 2 2 2 4" xfId="12459"/>
    <cellStyle name="Normal 3 2 5 2 2 2 2 2 2 4 2" xfId="22336"/>
    <cellStyle name="Normal 3 2 5 2 2 2 2 2 2 4 2 2" xfId="44758"/>
    <cellStyle name="Normal 3 2 5 2 2 2 2 2 2 4 3" xfId="35880"/>
    <cellStyle name="Normal 3 2 5 2 2 2 2 2 2 5" xfId="19484"/>
    <cellStyle name="Normal 3 2 5 2 2 2 2 2 2 5 2" xfId="42026"/>
    <cellStyle name="Normal 3 2 5 2 2 2 2 2 2 6" xfId="29248"/>
    <cellStyle name="Normal 3 2 5 2 2 2 2 2 3" xfId="6495"/>
    <cellStyle name="Normal 3 2 5 2 2 2 2 2 3 2" xfId="9829"/>
    <cellStyle name="Normal 3 2 5 2 2 2 2 2 3 2 2" xfId="16533"/>
    <cellStyle name="Normal 3 2 5 2 2 2 2 2 3 2 2 2" xfId="39954"/>
    <cellStyle name="Normal 3 2 5 2 2 2 2 2 3 2 3" xfId="22743"/>
    <cellStyle name="Normal 3 2 5 2 2 2 2 2 3 2 3 2" xfId="45165"/>
    <cellStyle name="Normal 3 2 5 2 2 2 2 2 3 2 4" xfId="33322"/>
    <cellStyle name="Normal 3 2 5 2 2 2 2 2 3 3" xfId="13217"/>
    <cellStyle name="Normal 3 2 5 2 2 2 2 2 3 3 2" xfId="36638"/>
    <cellStyle name="Normal 3 2 5 2 2 2 2 2 3 4" xfId="19907"/>
    <cellStyle name="Normal 3 2 5 2 2 2 2 2 3 4 2" xfId="42442"/>
    <cellStyle name="Normal 3 2 5 2 2 2 2 2 3 5" xfId="30006"/>
    <cellStyle name="Normal 3 2 5 2 2 2 2 2 4" xfId="8162"/>
    <cellStyle name="Normal 3 2 5 2 2 2 2 2 4 2" xfId="14875"/>
    <cellStyle name="Normal 3 2 5 2 2 2 2 2 4 2 2" xfId="38296"/>
    <cellStyle name="Normal 3 2 5 2 2 2 2 2 4 3" xfId="20878"/>
    <cellStyle name="Normal 3 2 5 2 2 2 2 2 4 3 2" xfId="43329"/>
    <cellStyle name="Normal 3 2 5 2 2 2 2 2 4 4" xfId="31664"/>
    <cellStyle name="Normal 3 2 5 2 2 2 2 2 5" xfId="11557"/>
    <cellStyle name="Normal 3 2 5 2 2 2 2 2 5 2" xfId="21911"/>
    <cellStyle name="Normal 3 2 5 2 2 2 2 2 5 2 2" xfId="44344"/>
    <cellStyle name="Normal 3 2 5 2 2 2 2 2 5 3" xfId="34980"/>
    <cellStyle name="Normal 3 2 5 2 2 2 2 2 6" xfId="18759"/>
    <cellStyle name="Normal 3 2 5 2 2 2 2 2 6 2" xfId="41601"/>
    <cellStyle name="Normal 3 2 5 2 2 2 2 2 7" xfId="25902"/>
    <cellStyle name="Normal 3 2 5 2 2 2 2 2 7 2" xfId="48147"/>
    <cellStyle name="Normal 3 2 5 2 2 2 2 2 8" xfId="28348"/>
    <cellStyle name="Normal 3 2 5 2 2 2 2 3" xfId="2857"/>
    <cellStyle name="Normal 3 2 5 2 2 2 2 3 2" xfId="5949"/>
    <cellStyle name="Normal 3 2 5 2 2 2 2 3 2 2" xfId="7731"/>
    <cellStyle name="Normal 3 2 5 2 2 2 2 3 2 2 2" xfId="11060"/>
    <cellStyle name="Normal 3 2 5 2 2 2 2 3 2 2 2 2" xfId="17764"/>
    <cellStyle name="Normal 3 2 5 2 2 2 2 3 2 2 2 2 2" xfId="41185"/>
    <cellStyle name="Normal 3 2 5 2 2 2 2 3 2 2 2 3" xfId="34553"/>
    <cellStyle name="Normal 3 2 5 2 2 2 2 3 2 2 3" xfId="14448"/>
    <cellStyle name="Normal 3 2 5 2 2 2 2 3 2 2 3 2" xfId="37869"/>
    <cellStyle name="Normal 3 2 5 2 2 2 2 3 2 2 4" xfId="22945"/>
    <cellStyle name="Normal 3 2 5 2 2 2 2 3 2 2 4 2" xfId="45367"/>
    <cellStyle name="Normal 3 2 5 2 2 2 2 3 2 2 5" xfId="31237"/>
    <cellStyle name="Normal 3 2 5 2 2 2 2 3 2 3" xfId="9402"/>
    <cellStyle name="Normal 3 2 5 2 2 2 2 3 2 3 2" xfId="16106"/>
    <cellStyle name="Normal 3 2 5 2 2 2 2 3 2 3 2 2" xfId="39527"/>
    <cellStyle name="Normal 3 2 5 2 2 2 2 3 2 3 3" xfId="32895"/>
    <cellStyle name="Normal 3 2 5 2 2 2 2 3 2 4" xfId="12790"/>
    <cellStyle name="Normal 3 2 5 2 2 2 2 3 2 4 2" xfId="36211"/>
    <cellStyle name="Normal 3 2 5 2 2 2 2 3 2 5" xfId="20115"/>
    <cellStyle name="Normal 3 2 5 2 2 2 2 3 2 5 2" xfId="42650"/>
    <cellStyle name="Normal 3 2 5 2 2 2 2 3 2 6" xfId="29579"/>
    <cellStyle name="Normal 3 2 5 2 2 2 2 3 3" xfId="6832"/>
    <cellStyle name="Normal 3 2 5 2 2 2 2 3 3 2" xfId="10164"/>
    <cellStyle name="Normal 3 2 5 2 2 2 2 3 3 2 2" xfId="16868"/>
    <cellStyle name="Normal 3 2 5 2 2 2 2 3 3 2 2 2" xfId="40289"/>
    <cellStyle name="Normal 3 2 5 2 2 2 2 3 3 2 3" xfId="33657"/>
    <cellStyle name="Normal 3 2 5 2 2 2 2 3 3 3" xfId="13552"/>
    <cellStyle name="Normal 3 2 5 2 2 2 2 3 3 3 2" xfId="36973"/>
    <cellStyle name="Normal 3 2 5 2 2 2 2 3 3 4" xfId="21336"/>
    <cellStyle name="Normal 3 2 5 2 2 2 2 3 3 4 2" xfId="43787"/>
    <cellStyle name="Normal 3 2 5 2 2 2 2 3 3 5" xfId="30341"/>
    <cellStyle name="Normal 3 2 5 2 2 2 2 3 4" xfId="8498"/>
    <cellStyle name="Normal 3 2 5 2 2 2 2 3 4 2" xfId="15210"/>
    <cellStyle name="Normal 3 2 5 2 2 2 2 3 4 2 2" xfId="38631"/>
    <cellStyle name="Normal 3 2 5 2 2 2 2 3 4 3" xfId="22126"/>
    <cellStyle name="Normal 3 2 5 2 2 2 2 3 4 3 2" xfId="44550"/>
    <cellStyle name="Normal 3 2 5 2 2 2 2 3 4 4" xfId="31999"/>
    <cellStyle name="Normal 3 2 5 2 2 2 2 3 5" xfId="11892"/>
    <cellStyle name="Normal 3 2 5 2 2 2 2 3 5 2" xfId="35315"/>
    <cellStyle name="Normal 3 2 5 2 2 2 2 3 6" xfId="19265"/>
    <cellStyle name="Normal 3 2 5 2 2 2 2 3 6 2" xfId="41818"/>
    <cellStyle name="Normal 3 2 5 2 2 2 2 3 7" xfId="28683"/>
    <cellStyle name="Normal 3 2 5 2 2 2 2 4" xfId="4021"/>
    <cellStyle name="Normal 3 2 5 2 2 2 2 4 2" xfId="7051"/>
    <cellStyle name="Normal 3 2 5 2 2 2 2 4 2 2" xfId="10383"/>
    <cellStyle name="Normal 3 2 5 2 2 2 2 4 2 2 2" xfId="17087"/>
    <cellStyle name="Normal 3 2 5 2 2 2 2 4 2 2 2 2" xfId="40508"/>
    <cellStyle name="Normal 3 2 5 2 2 2 2 4 2 2 3" xfId="33876"/>
    <cellStyle name="Normal 3 2 5 2 2 2 2 4 2 3" xfId="13771"/>
    <cellStyle name="Normal 3 2 5 2 2 2 2 4 2 3 2" xfId="37192"/>
    <cellStyle name="Normal 3 2 5 2 2 2 2 4 2 4" xfId="22539"/>
    <cellStyle name="Normal 3 2 5 2 2 2 2 4 2 4 2" xfId="44961"/>
    <cellStyle name="Normal 3 2 5 2 2 2 2 4 2 5" xfId="30560"/>
    <cellStyle name="Normal 3 2 5 2 2 2 2 4 3" xfId="8718"/>
    <cellStyle name="Normal 3 2 5 2 2 2 2 4 3 2" xfId="15429"/>
    <cellStyle name="Normal 3 2 5 2 2 2 2 4 3 2 2" xfId="38850"/>
    <cellStyle name="Normal 3 2 5 2 2 2 2 4 3 3" xfId="32218"/>
    <cellStyle name="Normal 3 2 5 2 2 2 2 4 4" xfId="12111"/>
    <cellStyle name="Normal 3 2 5 2 2 2 2 4 4 2" xfId="35534"/>
    <cellStyle name="Normal 3 2 5 2 2 2 2 4 5" xfId="19697"/>
    <cellStyle name="Normal 3 2 5 2 2 2 2 4 5 2" xfId="42234"/>
    <cellStyle name="Normal 3 2 5 2 2 2 2 4 6" xfId="28902"/>
    <cellStyle name="Normal 3 2 5 2 2 2 2 5" xfId="6359"/>
    <cellStyle name="Normal 3 2 5 2 2 2 2 5 2" xfId="9693"/>
    <cellStyle name="Normal 3 2 5 2 2 2 2 5 2 2" xfId="16397"/>
    <cellStyle name="Normal 3 2 5 2 2 2 2 5 2 2 2" xfId="39818"/>
    <cellStyle name="Normal 3 2 5 2 2 2 2 5 2 3" xfId="33186"/>
    <cellStyle name="Normal 3 2 5 2 2 2 2 5 3" xfId="13081"/>
    <cellStyle name="Normal 3 2 5 2 2 2 2 5 3 2" xfId="36502"/>
    <cellStyle name="Normal 3 2 5 2 2 2 2 5 4" xfId="20877"/>
    <cellStyle name="Normal 3 2 5 2 2 2 2 5 4 2" xfId="43328"/>
    <cellStyle name="Normal 3 2 5 2 2 2 2 5 5" xfId="29870"/>
    <cellStyle name="Normal 3 2 5 2 2 2 2 6" xfId="8025"/>
    <cellStyle name="Normal 3 2 5 2 2 2 2 6 2" xfId="14739"/>
    <cellStyle name="Normal 3 2 5 2 2 2 2 6 2 2" xfId="38160"/>
    <cellStyle name="Normal 3 2 5 2 2 2 2 6 3" xfId="21689"/>
    <cellStyle name="Normal 3 2 5 2 2 2 2 6 3 2" xfId="44138"/>
    <cellStyle name="Normal 3 2 5 2 2 2 2 6 4" xfId="31528"/>
    <cellStyle name="Normal 3 2 5 2 2 2 2 7" xfId="11421"/>
    <cellStyle name="Normal 3 2 5 2 2 2 2 7 2" xfId="34844"/>
    <cellStyle name="Normal 3 2 5 2 2 2 2 8" xfId="18075"/>
    <cellStyle name="Normal 3 2 5 2 2 2 2 8 2" xfId="41365"/>
    <cellStyle name="Normal 3 2 5 2 2 2 2 9" xfId="23666"/>
    <cellStyle name="Normal 3 2 5 2 2 2 2 9 2" xfId="45956"/>
    <cellStyle name="Normal 3 2 5 2 2 2 3" xfId="2325"/>
    <cellStyle name="Normal 3 2 5 2 2 2 3 2" xfId="5573"/>
    <cellStyle name="Normal 3 2 5 2 2 2 3 2 2" xfId="7397"/>
    <cellStyle name="Normal 3 2 5 2 2 2 3 2 2 2" xfId="10728"/>
    <cellStyle name="Normal 3 2 5 2 2 2 3 2 2 2 2" xfId="17432"/>
    <cellStyle name="Normal 3 2 5 2 2 2 3 2 2 2 2 2" xfId="40853"/>
    <cellStyle name="Normal 3 2 5 2 2 2 3 2 2 2 3" xfId="23148"/>
    <cellStyle name="Normal 3 2 5 2 2 2 3 2 2 2 3 2" xfId="45570"/>
    <cellStyle name="Normal 3 2 5 2 2 2 3 2 2 2 4" xfId="34221"/>
    <cellStyle name="Normal 3 2 5 2 2 2 3 2 2 3" xfId="14116"/>
    <cellStyle name="Normal 3 2 5 2 2 2 3 2 2 3 2" xfId="37537"/>
    <cellStyle name="Normal 3 2 5 2 2 2 3 2 2 4" xfId="20322"/>
    <cellStyle name="Normal 3 2 5 2 2 2 3 2 2 4 2" xfId="42857"/>
    <cellStyle name="Normal 3 2 5 2 2 2 3 2 2 5" xfId="30905"/>
    <cellStyle name="Normal 3 2 5 2 2 2 3 2 3" xfId="9070"/>
    <cellStyle name="Normal 3 2 5 2 2 2 3 2 3 2" xfId="15774"/>
    <cellStyle name="Normal 3 2 5 2 2 2 3 2 3 2 2" xfId="39195"/>
    <cellStyle name="Normal 3 2 5 2 2 2 3 2 3 3" xfId="21338"/>
    <cellStyle name="Normal 3 2 5 2 2 2 3 2 3 3 2" xfId="43789"/>
    <cellStyle name="Normal 3 2 5 2 2 2 3 2 3 4" xfId="32563"/>
    <cellStyle name="Normal 3 2 5 2 2 2 3 2 4" xfId="12458"/>
    <cellStyle name="Normal 3 2 5 2 2 2 3 2 4 2" xfId="22335"/>
    <cellStyle name="Normal 3 2 5 2 2 2 3 2 4 2 2" xfId="44757"/>
    <cellStyle name="Normal 3 2 5 2 2 2 3 2 4 3" xfId="35879"/>
    <cellStyle name="Normal 3 2 5 2 2 2 3 2 5" xfId="19483"/>
    <cellStyle name="Normal 3 2 5 2 2 2 3 2 5 2" xfId="42025"/>
    <cellStyle name="Normal 3 2 5 2 2 2 3 2 6" xfId="29247"/>
    <cellStyle name="Normal 3 2 5 2 2 2 3 3" xfId="6494"/>
    <cellStyle name="Normal 3 2 5 2 2 2 3 3 2" xfId="9828"/>
    <cellStyle name="Normal 3 2 5 2 2 2 3 3 2 2" xfId="16532"/>
    <cellStyle name="Normal 3 2 5 2 2 2 3 3 2 2 2" xfId="39953"/>
    <cellStyle name="Normal 3 2 5 2 2 2 3 3 2 3" xfId="22742"/>
    <cellStyle name="Normal 3 2 5 2 2 2 3 3 2 3 2" xfId="45164"/>
    <cellStyle name="Normal 3 2 5 2 2 2 3 3 2 4" xfId="33321"/>
    <cellStyle name="Normal 3 2 5 2 2 2 3 3 3" xfId="13216"/>
    <cellStyle name="Normal 3 2 5 2 2 2 3 3 3 2" xfId="36637"/>
    <cellStyle name="Normal 3 2 5 2 2 2 3 3 4" xfId="19906"/>
    <cellStyle name="Normal 3 2 5 2 2 2 3 3 4 2" xfId="42441"/>
    <cellStyle name="Normal 3 2 5 2 2 2 3 3 5" xfId="30005"/>
    <cellStyle name="Normal 3 2 5 2 2 2 3 4" xfId="8161"/>
    <cellStyle name="Normal 3 2 5 2 2 2 3 4 2" xfId="14874"/>
    <cellStyle name="Normal 3 2 5 2 2 2 3 4 2 2" xfId="38295"/>
    <cellStyle name="Normal 3 2 5 2 2 2 3 4 3" xfId="20879"/>
    <cellStyle name="Normal 3 2 5 2 2 2 3 4 3 2" xfId="43330"/>
    <cellStyle name="Normal 3 2 5 2 2 2 3 4 4" xfId="31663"/>
    <cellStyle name="Normal 3 2 5 2 2 2 3 5" xfId="11556"/>
    <cellStyle name="Normal 3 2 5 2 2 2 3 5 2" xfId="21910"/>
    <cellStyle name="Normal 3 2 5 2 2 2 3 5 2 2" xfId="44343"/>
    <cellStyle name="Normal 3 2 5 2 2 2 3 5 3" xfId="34979"/>
    <cellStyle name="Normal 3 2 5 2 2 2 3 6" xfId="18758"/>
    <cellStyle name="Normal 3 2 5 2 2 2 3 6 2" xfId="41600"/>
    <cellStyle name="Normal 3 2 5 2 2 2 3 7" xfId="25901"/>
    <cellStyle name="Normal 3 2 5 2 2 2 3 7 2" xfId="48146"/>
    <cellStyle name="Normal 3 2 5 2 2 2 3 8" xfId="28347"/>
    <cellStyle name="Normal 3 2 5 2 2 2 4" xfId="2725"/>
    <cellStyle name="Normal 3 2 5 2 2 2 4 2" xfId="5818"/>
    <cellStyle name="Normal 3 2 5 2 2 2 4 2 2" xfId="7600"/>
    <cellStyle name="Normal 3 2 5 2 2 2 4 2 2 2" xfId="10929"/>
    <cellStyle name="Normal 3 2 5 2 2 2 4 2 2 2 2" xfId="17633"/>
    <cellStyle name="Normal 3 2 5 2 2 2 4 2 2 2 2 2" xfId="41054"/>
    <cellStyle name="Normal 3 2 5 2 2 2 4 2 2 2 3" xfId="34422"/>
    <cellStyle name="Normal 3 2 5 2 2 2 4 2 2 3" xfId="14317"/>
    <cellStyle name="Normal 3 2 5 2 2 2 4 2 2 3 2" xfId="37738"/>
    <cellStyle name="Normal 3 2 5 2 2 2 4 2 2 4" xfId="22944"/>
    <cellStyle name="Normal 3 2 5 2 2 2 4 2 2 4 2" xfId="45366"/>
    <cellStyle name="Normal 3 2 5 2 2 2 4 2 2 5" xfId="31106"/>
    <cellStyle name="Normal 3 2 5 2 2 2 4 2 3" xfId="9271"/>
    <cellStyle name="Normal 3 2 5 2 2 2 4 2 3 2" xfId="15975"/>
    <cellStyle name="Normal 3 2 5 2 2 2 4 2 3 2 2" xfId="39396"/>
    <cellStyle name="Normal 3 2 5 2 2 2 4 2 3 3" xfId="32764"/>
    <cellStyle name="Normal 3 2 5 2 2 2 4 2 4" xfId="12659"/>
    <cellStyle name="Normal 3 2 5 2 2 2 4 2 4 2" xfId="36080"/>
    <cellStyle name="Normal 3 2 5 2 2 2 4 2 5" xfId="20114"/>
    <cellStyle name="Normal 3 2 5 2 2 2 4 2 5 2" xfId="42649"/>
    <cellStyle name="Normal 3 2 5 2 2 2 4 2 6" xfId="29448"/>
    <cellStyle name="Normal 3 2 5 2 2 2 4 3" xfId="6701"/>
    <cellStyle name="Normal 3 2 5 2 2 2 4 3 2" xfId="10033"/>
    <cellStyle name="Normal 3 2 5 2 2 2 4 3 2 2" xfId="16737"/>
    <cellStyle name="Normal 3 2 5 2 2 2 4 3 2 2 2" xfId="40158"/>
    <cellStyle name="Normal 3 2 5 2 2 2 4 3 2 3" xfId="33526"/>
    <cellStyle name="Normal 3 2 5 2 2 2 4 3 3" xfId="13421"/>
    <cellStyle name="Normal 3 2 5 2 2 2 4 3 3 2" xfId="36842"/>
    <cellStyle name="Normal 3 2 5 2 2 2 4 3 4" xfId="21335"/>
    <cellStyle name="Normal 3 2 5 2 2 2 4 3 4 2" xfId="43786"/>
    <cellStyle name="Normal 3 2 5 2 2 2 4 3 5" xfId="30210"/>
    <cellStyle name="Normal 3 2 5 2 2 2 4 4" xfId="8367"/>
    <cellStyle name="Normal 3 2 5 2 2 2 4 4 2" xfId="15079"/>
    <cellStyle name="Normal 3 2 5 2 2 2 4 4 2 2" xfId="38500"/>
    <cellStyle name="Normal 3 2 5 2 2 2 4 4 3" xfId="22125"/>
    <cellStyle name="Normal 3 2 5 2 2 2 4 4 3 2" xfId="44549"/>
    <cellStyle name="Normal 3 2 5 2 2 2 4 4 4" xfId="31868"/>
    <cellStyle name="Normal 3 2 5 2 2 2 4 5" xfId="11761"/>
    <cellStyle name="Normal 3 2 5 2 2 2 4 5 2" xfId="35184"/>
    <cellStyle name="Normal 3 2 5 2 2 2 4 6" xfId="19264"/>
    <cellStyle name="Normal 3 2 5 2 2 2 4 6 2" xfId="41817"/>
    <cellStyle name="Normal 3 2 5 2 2 2 4 7" xfId="28552"/>
    <cellStyle name="Normal 3 2 5 2 2 2 5" xfId="4020"/>
    <cellStyle name="Normal 3 2 5 2 2 2 5 2" xfId="7050"/>
    <cellStyle name="Normal 3 2 5 2 2 2 5 2 2" xfId="10382"/>
    <cellStyle name="Normal 3 2 5 2 2 2 5 2 2 2" xfId="17086"/>
    <cellStyle name="Normal 3 2 5 2 2 2 5 2 2 2 2" xfId="40507"/>
    <cellStyle name="Normal 3 2 5 2 2 2 5 2 2 3" xfId="33875"/>
    <cellStyle name="Normal 3 2 5 2 2 2 5 2 3" xfId="13770"/>
    <cellStyle name="Normal 3 2 5 2 2 2 5 2 3 2" xfId="37191"/>
    <cellStyle name="Normal 3 2 5 2 2 2 5 2 4" xfId="22538"/>
    <cellStyle name="Normal 3 2 5 2 2 2 5 2 4 2" xfId="44960"/>
    <cellStyle name="Normal 3 2 5 2 2 2 5 2 5" xfId="30559"/>
    <cellStyle name="Normal 3 2 5 2 2 2 5 3" xfId="8717"/>
    <cellStyle name="Normal 3 2 5 2 2 2 5 3 2" xfId="15428"/>
    <cellStyle name="Normal 3 2 5 2 2 2 5 3 2 2" xfId="38849"/>
    <cellStyle name="Normal 3 2 5 2 2 2 5 3 3" xfId="32217"/>
    <cellStyle name="Normal 3 2 5 2 2 2 5 4" xfId="12110"/>
    <cellStyle name="Normal 3 2 5 2 2 2 5 4 2" xfId="35533"/>
    <cellStyle name="Normal 3 2 5 2 2 2 5 5" xfId="19696"/>
    <cellStyle name="Normal 3 2 5 2 2 2 5 5 2" xfId="42233"/>
    <cellStyle name="Normal 3 2 5 2 2 2 5 6" xfId="28901"/>
    <cellStyle name="Normal 3 2 5 2 2 2 6" xfId="6228"/>
    <cellStyle name="Normal 3 2 5 2 2 2 6 2" xfId="9562"/>
    <cellStyle name="Normal 3 2 5 2 2 2 6 2 2" xfId="16266"/>
    <cellStyle name="Normal 3 2 5 2 2 2 6 2 2 2" xfId="39687"/>
    <cellStyle name="Normal 3 2 5 2 2 2 6 2 3" xfId="33055"/>
    <cellStyle name="Normal 3 2 5 2 2 2 6 3" xfId="12950"/>
    <cellStyle name="Normal 3 2 5 2 2 2 6 3 2" xfId="36371"/>
    <cellStyle name="Normal 3 2 5 2 2 2 6 4" xfId="20876"/>
    <cellStyle name="Normal 3 2 5 2 2 2 6 4 2" xfId="43327"/>
    <cellStyle name="Normal 3 2 5 2 2 2 6 5" xfId="29739"/>
    <cellStyle name="Normal 3 2 5 2 2 2 7" xfId="7894"/>
    <cellStyle name="Normal 3 2 5 2 2 2 7 2" xfId="14608"/>
    <cellStyle name="Normal 3 2 5 2 2 2 7 2 2" xfId="38029"/>
    <cellStyle name="Normal 3 2 5 2 2 2 7 3" xfId="21688"/>
    <cellStyle name="Normal 3 2 5 2 2 2 7 3 2" xfId="44137"/>
    <cellStyle name="Normal 3 2 5 2 2 2 7 4" xfId="31397"/>
    <cellStyle name="Normal 3 2 5 2 2 2 8" xfId="11290"/>
    <cellStyle name="Normal 3 2 5 2 2 2 8 2" xfId="34713"/>
    <cellStyle name="Normal 3 2 5 2 2 2 9" xfId="18074"/>
    <cellStyle name="Normal 3 2 5 2 2 2 9 2" xfId="41364"/>
    <cellStyle name="Normal 3 2 5 2 2 3" xfId="1820"/>
    <cellStyle name="Normal 3 2 5 2 2 3 10" xfId="28172"/>
    <cellStyle name="Normal 3 2 5 2 2 3 2" xfId="2327"/>
    <cellStyle name="Normal 3 2 5 2 2 3 2 2" xfId="5575"/>
    <cellStyle name="Normal 3 2 5 2 2 3 2 2 2" xfId="7399"/>
    <cellStyle name="Normal 3 2 5 2 2 3 2 2 2 2" xfId="10730"/>
    <cellStyle name="Normal 3 2 5 2 2 3 2 2 2 2 2" xfId="17434"/>
    <cellStyle name="Normal 3 2 5 2 2 3 2 2 2 2 2 2" xfId="40855"/>
    <cellStyle name="Normal 3 2 5 2 2 3 2 2 2 2 3" xfId="23150"/>
    <cellStyle name="Normal 3 2 5 2 2 3 2 2 2 2 3 2" xfId="45572"/>
    <cellStyle name="Normal 3 2 5 2 2 3 2 2 2 2 4" xfId="34223"/>
    <cellStyle name="Normal 3 2 5 2 2 3 2 2 2 3" xfId="14118"/>
    <cellStyle name="Normal 3 2 5 2 2 3 2 2 2 3 2" xfId="37539"/>
    <cellStyle name="Normal 3 2 5 2 2 3 2 2 2 4" xfId="20324"/>
    <cellStyle name="Normal 3 2 5 2 2 3 2 2 2 4 2" xfId="42859"/>
    <cellStyle name="Normal 3 2 5 2 2 3 2 2 2 5" xfId="30907"/>
    <cellStyle name="Normal 3 2 5 2 2 3 2 2 3" xfId="9072"/>
    <cellStyle name="Normal 3 2 5 2 2 3 2 2 3 2" xfId="15776"/>
    <cellStyle name="Normal 3 2 5 2 2 3 2 2 3 2 2" xfId="39197"/>
    <cellStyle name="Normal 3 2 5 2 2 3 2 2 3 3" xfId="21340"/>
    <cellStyle name="Normal 3 2 5 2 2 3 2 2 3 3 2" xfId="43791"/>
    <cellStyle name="Normal 3 2 5 2 2 3 2 2 3 4" xfId="32565"/>
    <cellStyle name="Normal 3 2 5 2 2 3 2 2 4" xfId="12460"/>
    <cellStyle name="Normal 3 2 5 2 2 3 2 2 4 2" xfId="22337"/>
    <cellStyle name="Normal 3 2 5 2 2 3 2 2 4 2 2" xfId="44759"/>
    <cellStyle name="Normal 3 2 5 2 2 3 2 2 4 3" xfId="35881"/>
    <cellStyle name="Normal 3 2 5 2 2 3 2 2 5" xfId="19485"/>
    <cellStyle name="Normal 3 2 5 2 2 3 2 2 5 2" xfId="42027"/>
    <cellStyle name="Normal 3 2 5 2 2 3 2 2 6" xfId="29249"/>
    <cellStyle name="Normal 3 2 5 2 2 3 2 3" xfId="6496"/>
    <cellStyle name="Normal 3 2 5 2 2 3 2 3 2" xfId="9830"/>
    <cellStyle name="Normal 3 2 5 2 2 3 2 3 2 2" xfId="16534"/>
    <cellStyle name="Normal 3 2 5 2 2 3 2 3 2 2 2" xfId="39955"/>
    <cellStyle name="Normal 3 2 5 2 2 3 2 3 2 3" xfId="22744"/>
    <cellStyle name="Normal 3 2 5 2 2 3 2 3 2 3 2" xfId="45166"/>
    <cellStyle name="Normal 3 2 5 2 2 3 2 3 2 4" xfId="33323"/>
    <cellStyle name="Normal 3 2 5 2 2 3 2 3 3" xfId="13218"/>
    <cellStyle name="Normal 3 2 5 2 2 3 2 3 3 2" xfId="36639"/>
    <cellStyle name="Normal 3 2 5 2 2 3 2 3 4" xfId="19908"/>
    <cellStyle name="Normal 3 2 5 2 2 3 2 3 4 2" xfId="42443"/>
    <cellStyle name="Normal 3 2 5 2 2 3 2 3 5" xfId="30007"/>
    <cellStyle name="Normal 3 2 5 2 2 3 2 4" xfId="8163"/>
    <cellStyle name="Normal 3 2 5 2 2 3 2 4 2" xfId="14876"/>
    <cellStyle name="Normal 3 2 5 2 2 3 2 4 2 2" xfId="38297"/>
    <cellStyle name="Normal 3 2 5 2 2 3 2 4 3" xfId="20881"/>
    <cellStyle name="Normal 3 2 5 2 2 3 2 4 3 2" xfId="43332"/>
    <cellStyle name="Normal 3 2 5 2 2 3 2 4 4" xfId="31665"/>
    <cellStyle name="Normal 3 2 5 2 2 3 2 5" xfId="11558"/>
    <cellStyle name="Normal 3 2 5 2 2 3 2 5 2" xfId="21912"/>
    <cellStyle name="Normal 3 2 5 2 2 3 2 5 2 2" xfId="44345"/>
    <cellStyle name="Normal 3 2 5 2 2 3 2 5 3" xfId="34981"/>
    <cellStyle name="Normal 3 2 5 2 2 3 2 6" xfId="18760"/>
    <cellStyle name="Normal 3 2 5 2 2 3 2 6 2" xfId="41602"/>
    <cellStyle name="Normal 3 2 5 2 2 3 2 7" xfId="25903"/>
    <cellStyle name="Normal 3 2 5 2 2 3 2 7 2" xfId="48148"/>
    <cellStyle name="Normal 3 2 5 2 2 3 2 8" xfId="28349"/>
    <cellStyle name="Normal 3 2 5 2 2 3 3" xfId="2817"/>
    <cellStyle name="Normal 3 2 5 2 2 3 3 2" xfId="5909"/>
    <cellStyle name="Normal 3 2 5 2 2 3 3 2 2" xfId="7691"/>
    <cellStyle name="Normal 3 2 5 2 2 3 3 2 2 2" xfId="11020"/>
    <cellStyle name="Normal 3 2 5 2 2 3 3 2 2 2 2" xfId="17724"/>
    <cellStyle name="Normal 3 2 5 2 2 3 3 2 2 2 2 2" xfId="41145"/>
    <cellStyle name="Normal 3 2 5 2 2 3 3 2 2 2 3" xfId="34513"/>
    <cellStyle name="Normal 3 2 5 2 2 3 3 2 2 3" xfId="14408"/>
    <cellStyle name="Normal 3 2 5 2 2 3 3 2 2 3 2" xfId="37829"/>
    <cellStyle name="Normal 3 2 5 2 2 3 3 2 2 4" xfId="22946"/>
    <cellStyle name="Normal 3 2 5 2 2 3 3 2 2 4 2" xfId="45368"/>
    <cellStyle name="Normal 3 2 5 2 2 3 3 2 2 5" xfId="31197"/>
    <cellStyle name="Normal 3 2 5 2 2 3 3 2 3" xfId="9362"/>
    <cellStyle name="Normal 3 2 5 2 2 3 3 2 3 2" xfId="16066"/>
    <cellStyle name="Normal 3 2 5 2 2 3 3 2 3 2 2" xfId="39487"/>
    <cellStyle name="Normal 3 2 5 2 2 3 3 2 3 3" xfId="32855"/>
    <cellStyle name="Normal 3 2 5 2 2 3 3 2 4" xfId="12750"/>
    <cellStyle name="Normal 3 2 5 2 2 3 3 2 4 2" xfId="36171"/>
    <cellStyle name="Normal 3 2 5 2 2 3 3 2 5" xfId="20116"/>
    <cellStyle name="Normal 3 2 5 2 2 3 3 2 5 2" xfId="42651"/>
    <cellStyle name="Normal 3 2 5 2 2 3 3 2 6" xfId="29539"/>
    <cellStyle name="Normal 3 2 5 2 2 3 3 3" xfId="6792"/>
    <cellStyle name="Normal 3 2 5 2 2 3 3 3 2" xfId="10124"/>
    <cellStyle name="Normal 3 2 5 2 2 3 3 3 2 2" xfId="16828"/>
    <cellStyle name="Normal 3 2 5 2 2 3 3 3 2 2 2" xfId="40249"/>
    <cellStyle name="Normal 3 2 5 2 2 3 3 3 2 3" xfId="33617"/>
    <cellStyle name="Normal 3 2 5 2 2 3 3 3 3" xfId="13512"/>
    <cellStyle name="Normal 3 2 5 2 2 3 3 3 3 2" xfId="36933"/>
    <cellStyle name="Normal 3 2 5 2 2 3 3 3 4" xfId="21339"/>
    <cellStyle name="Normal 3 2 5 2 2 3 3 3 4 2" xfId="43790"/>
    <cellStyle name="Normal 3 2 5 2 2 3 3 3 5" xfId="30301"/>
    <cellStyle name="Normal 3 2 5 2 2 3 3 4" xfId="8458"/>
    <cellStyle name="Normal 3 2 5 2 2 3 3 4 2" xfId="15170"/>
    <cellStyle name="Normal 3 2 5 2 2 3 3 4 2 2" xfId="38591"/>
    <cellStyle name="Normal 3 2 5 2 2 3 3 4 3" xfId="22127"/>
    <cellStyle name="Normal 3 2 5 2 2 3 3 4 3 2" xfId="44551"/>
    <cellStyle name="Normal 3 2 5 2 2 3 3 4 4" xfId="31959"/>
    <cellStyle name="Normal 3 2 5 2 2 3 3 5" xfId="11852"/>
    <cellStyle name="Normal 3 2 5 2 2 3 3 5 2" xfId="35275"/>
    <cellStyle name="Normal 3 2 5 2 2 3 3 6" xfId="19266"/>
    <cellStyle name="Normal 3 2 5 2 2 3 3 6 2" xfId="41819"/>
    <cellStyle name="Normal 3 2 5 2 2 3 3 7" xfId="28643"/>
    <cellStyle name="Normal 3 2 5 2 2 3 4" xfId="4022"/>
    <cellStyle name="Normal 3 2 5 2 2 3 4 2" xfId="7052"/>
    <cellStyle name="Normal 3 2 5 2 2 3 4 2 2" xfId="10384"/>
    <cellStyle name="Normal 3 2 5 2 2 3 4 2 2 2" xfId="17088"/>
    <cellStyle name="Normal 3 2 5 2 2 3 4 2 2 2 2" xfId="40509"/>
    <cellStyle name="Normal 3 2 5 2 2 3 4 2 2 3" xfId="33877"/>
    <cellStyle name="Normal 3 2 5 2 2 3 4 2 3" xfId="13772"/>
    <cellStyle name="Normal 3 2 5 2 2 3 4 2 3 2" xfId="37193"/>
    <cellStyle name="Normal 3 2 5 2 2 3 4 2 4" xfId="22540"/>
    <cellStyle name="Normal 3 2 5 2 2 3 4 2 4 2" xfId="44962"/>
    <cellStyle name="Normal 3 2 5 2 2 3 4 2 5" xfId="30561"/>
    <cellStyle name="Normal 3 2 5 2 2 3 4 3" xfId="8719"/>
    <cellStyle name="Normal 3 2 5 2 2 3 4 3 2" xfId="15430"/>
    <cellStyle name="Normal 3 2 5 2 2 3 4 3 2 2" xfId="38851"/>
    <cellStyle name="Normal 3 2 5 2 2 3 4 3 3" xfId="32219"/>
    <cellStyle name="Normal 3 2 5 2 2 3 4 4" xfId="12112"/>
    <cellStyle name="Normal 3 2 5 2 2 3 4 4 2" xfId="35535"/>
    <cellStyle name="Normal 3 2 5 2 2 3 4 5" xfId="19698"/>
    <cellStyle name="Normal 3 2 5 2 2 3 4 5 2" xfId="42235"/>
    <cellStyle name="Normal 3 2 5 2 2 3 4 6" xfId="28903"/>
    <cellStyle name="Normal 3 2 5 2 2 3 5" xfId="6319"/>
    <cellStyle name="Normal 3 2 5 2 2 3 5 2" xfId="9653"/>
    <cellStyle name="Normal 3 2 5 2 2 3 5 2 2" xfId="16357"/>
    <cellStyle name="Normal 3 2 5 2 2 3 5 2 2 2" xfId="39778"/>
    <cellStyle name="Normal 3 2 5 2 2 3 5 2 3" xfId="33146"/>
    <cellStyle name="Normal 3 2 5 2 2 3 5 3" xfId="13041"/>
    <cellStyle name="Normal 3 2 5 2 2 3 5 3 2" xfId="36462"/>
    <cellStyle name="Normal 3 2 5 2 2 3 5 4" xfId="20880"/>
    <cellStyle name="Normal 3 2 5 2 2 3 5 4 2" xfId="43331"/>
    <cellStyle name="Normal 3 2 5 2 2 3 5 5" xfId="29830"/>
    <cellStyle name="Normal 3 2 5 2 2 3 6" xfId="7985"/>
    <cellStyle name="Normal 3 2 5 2 2 3 6 2" xfId="14699"/>
    <cellStyle name="Normal 3 2 5 2 2 3 6 2 2" xfId="38120"/>
    <cellStyle name="Normal 3 2 5 2 2 3 6 3" xfId="21690"/>
    <cellStyle name="Normal 3 2 5 2 2 3 6 3 2" xfId="44139"/>
    <cellStyle name="Normal 3 2 5 2 2 3 6 4" xfId="31488"/>
    <cellStyle name="Normal 3 2 5 2 2 3 7" xfId="11381"/>
    <cellStyle name="Normal 3 2 5 2 2 3 7 2" xfId="34804"/>
    <cellStyle name="Normal 3 2 5 2 2 3 8" xfId="18076"/>
    <cellStyle name="Normal 3 2 5 2 2 3 8 2" xfId="41366"/>
    <cellStyle name="Normal 3 2 5 2 2 3 9" xfId="23667"/>
    <cellStyle name="Normal 3 2 5 2 2 3 9 2" xfId="45957"/>
    <cellStyle name="Normal 3 2 5 2 2 4" xfId="2324"/>
    <cellStyle name="Normal 3 2 5 2 2 4 2" xfId="5572"/>
    <cellStyle name="Normal 3 2 5 2 2 4 2 2" xfId="7396"/>
    <cellStyle name="Normal 3 2 5 2 2 4 2 2 2" xfId="10727"/>
    <cellStyle name="Normal 3 2 5 2 2 4 2 2 2 2" xfId="17431"/>
    <cellStyle name="Normal 3 2 5 2 2 4 2 2 2 2 2" xfId="40852"/>
    <cellStyle name="Normal 3 2 5 2 2 4 2 2 2 3" xfId="23147"/>
    <cellStyle name="Normal 3 2 5 2 2 4 2 2 2 3 2" xfId="45569"/>
    <cellStyle name="Normal 3 2 5 2 2 4 2 2 2 4" xfId="34220"/>
    <cellStyle name="Normal 3 2 5 2 2 4 2 2 3" xfId="14115"/>
    <cellStyle name="Normal 3 2 5 2 2 4 2 2 3 2" xfId="37536"/>
    <cellStyle name="Normal 3 2 5 2 2 4 2 2 4" xfId="20321"/>
    <cellStyle name="Normal 3 2 5 2 2 4 2 2 4 2" xfId="42856"/>
    <cellStyle name="Normal 3 2 5 2 2 4 2 2 5" xfId="30904"/>
    <cellStyle name="Normal 3 2 5 2 2 4 2 3" xfId="9069"/>
    <cellStyle name="Normal 3 2 5 2 2 4 2 3 2" xfId="15773"/>
    <cellStyle name="Normal 3 2 5 2 2 4 2 3 2 2" xfId="39194"/>
    <cellStyle name="Normal 3 2 5 2 2 4 2 3 3" xfId="21341"/>
    <cellStyle name="Normal 3 2 5 2 2 4 2 3 3 2" xfId="43792"/>
    <cellStyle name="Normal 3 2 5 2 2 4 2 3 4" xfId="32562"/>
    <cellStyle name="Normal 3 2 5 2 2 4 2 4" xfId="12457"/>
    <cellStyle name="Normal 3 2 5 2 2 4 2 4 2" xfId="22334"/>
    <cellStyle name="Normal 3 2 5 2 2 4 2 4 2 2" xfId="44756"/>
    <cellStyle name="Normal 3 2 5 2 2 4 2 4 3" xfId="35878"/>
    <cellStyle name="Normal 3 2 5 2 2 4 2 5" xfId="19482"/>
    <cellStyle name="Normal 3 2 5 2 2 4 2 5 2" xfId="42024"/>
    <cellStyle name="Normal 3 2 5 2 2 4 2 6" xfId="29246"/>
    <cellStyle name="Normal 3 2 5 2 2 4 3" xfId="6493"/>
    <cellStyle name="Normal 3 2 5 2 2 4 3 2" xfId="9827"/>
    <cellStyle name="Normal 3 2 5 2 2 4 3 2 2" xfId="16531"/>
    <cellStyle name="Normal 3 2 5 2 2 4 3 2 2 2" xfId="39952"/>
    <cellStyle name="Normal 3 2 5 2 2 4 3 2 3" xfId="22741"/>
    <cellStyle name="Normal 3 2 5 2 2 4 3 2 3 2" xfId="45163"/>
    <cellStyle name="Normal 3 2 5 2 2 4 3 2 4" xfId="33320"/>
    <cellStyle name="Normal 3 2 5 2 2 4 3 3" xfId="13215"/>
    <cellStyle name="Normal 3 2 5 2 2 4 3 3 2" xfId="36636"/>
    <cellStyle name="Normal 3 2 5 2 2 4 3 4" xfId="19905"/>
    <cellStyle name="Normal 3 2 5 2 2 4 3 4 2" xfId="42440"/>
    <cellStyle name="Normal 3 2 5 2 2 4 3 5" xfId="30004"/>
    <cellStyle name="Normal 3 2 5 2 2 4 4" xfId="8160"/>
    <cellStyle name="Normal 3 2 5 2 2 4 4 2" xfId="14873"/>
    <cellStyle name="Normal 3 2 5 2 2 4 4 2 2" xfId="38294"/>
    <cellStyle name="Normal 3 2 5 2 2 4 4 3" xfId="20882"/>
    <cellStyle name="Normal 3 2 5 2 2 4 4 3 2" xfId="43333"/>
    <cellStyle name="Normal 3 2 5 2 2 4 4 4" xfId="31662"/>
    <cellStyle name="Normal 3 2 5 2 2 4 5" xfId="11555"/>
    <cellStyle name="Normal 3 2 5 2 2 4 5 2" xfId="21909"/>
    <cellStyle name="Normal 3 2 5 2 2 4 5 2 2" xfId="44342"/>
    <cellStyle name="Normal 3 2 5 2 2 4 5 3" xfId="34978"/>
    <cellStyle name="Normal 3 2 5 2 2 4 6" xfId="18757"/>
    <cellStyle name="Normal 3 2 5 2 2 4 6 2" xfId="41599"/>
    <cellStyle name="Normal 3 2 5 2 2 4 7" xfId="25900"/>
    <cellStyle name="Normal 3 2 5 2 2 4 7 2" xfId="48145"/>
    <cellStyle name="Normal 3 2 5 2 2 4 8" xfId="28346"/>
    <cellStyle name="Normal 3 2 5 2 2 5" xfId="2685"/>
    <cellStyle name="Normal 3 2 5 2 2 5 2" xfId="5778"/>
    <cellStyle name="Normal 3 2 5 2 2 5 2 2" xfId="7560"/>
    <cellStyle name="Normal 3 2 5 2 2 5 2 2 2" xfId="10889"/>
    <cellStyle name="Normal 3 2 5 2 2 5 2 2 2 2" xfId="17593"/>
    <cellStyle name="Normal 3 2 5 2 2 5 2 2 2 2 2" xfId="41014"/>
    <cellStyle name="Normal 3 2 5 2 2 5 2 2 2 3" xfId="34382"/>
    <cellStyle name="Normal 3 2 5 2 2 5 2 2 3" xfId="14277"/>
    <cellStyle name="Normal 3 2 5 2 2 5 2 2 3 2" xfId="37698"/>
    <cellStyle name="Normal 3 2 5 2 2 5 2 2 4" xfId="20640"/>
    <cellStyle name="Normal 3 2 5 2 2 5 2 2 4 2" xfId="43091"/>
    <cellStyle name="Normal 3 2 5 2 2 5 2 2 5" xfId="31066"/>
    <cellStyle name="Normal 3 2 5 2 2 5 2 3" xfId="9231"/>
    <cellStyle name="Normal 3 2 5 2 2 5 2 3 2" xfId="15935"/>
    <cellStyle name="Normal 3 2 5 2 2 5 2 3 2 2" xfId="39356"/>
    <cellStyle name="Normal 3 2 5 2 2 5 2 3 3" xfId="21558"/>
    <cellStyle name="Normal 3 2 5 2 2 5 2 3 3 2" xfId="44009"/>
    <cellStyle name="Normal 3 2 5 2 2 5 2 3 4" xfId="32724"/>
    <cellStyle name="Normal 3 2 5 2 2 5 2 4" xfId="12619"/>
    <cellStyle name="Normal 3 2 5 2 2 5 2 4 2" xfId="22943"/>
    <cellStyle name="Normal 3 2 5 2 2 5 2 4 2 2" xfId="45365"/>
    <cellStyle name="Normal 3 2 5 2 2 5 2 4 3" xfId="36040"/>
    <cellStyle name="Normal 3 2 5 2 2 5 2 5" xfId="20113"/>
    <cellStyle name="Normal 3 2 5 2 2 5 2 5 2" xfId="42648"/>
    <cellStyle name="Normal 3 2 5 2 2 5 2 6" xfId="29408"/>
    <cellStyle name="Normal 3 2 5 2 2 5 3" xfId="6661"/>
    <cellStyle name="Normal 3 2 5 2 2 5 3 2" xfId="9993"/>
    <cellStyle name="Normal 3 2 5 2 2 5 3 2 2" xfId="16697"/>
    <cellStyle name="Normal 3 2 5 2 2 5 3 2 2 2" xfId="40118"/>
    <cellStyle name="Normal 3 2 5 2 2 5 3 2 3" xfId="33486"/>
    <cellStyle name="Normal 3 2 5 2 2 5 3 3" xfId="13381"/>
    <cellStyle name="Normal 3 2 5 2 2 5 3 3 2" xfId="36802"/>
    <cellStyle name="Normal 3 2 5 2 2 5 3 4" xfId="20542"/>
    <cellStyle name="Normal 3 2 5 2 2 5 3 4 2" xfId="42995"/>
    <cellStyle name="Normal 3 2 5 2 2 5 3 5" xfId="30170"/>
    <cellStyle name="Normal 3 2 5 2 2 5 4" xfId="8327"/>
    <cellStyle name="Normal 3 2 5 2 2 5 4 2" xfId="15039"/>
    <cellStyle name="Normal 3 2 5 2 2 5 4 2 2" xfId="38460"/>
    <cellStyle name="Normal 3 2 5 2 2 5 4 3" xfId="21099"/>
    <cellStyle name="Normal 3 2 5 2 2 5 4 3 2" xfId="43550"/>
    <cellStyle name="Normal 3 2 5 2 2 5 4 4" xfId="31828"/>
    <cellStyle name="Normal 3 2 5 2 2 5 5" xfId="11721"/>
    <cellStyle name="Normal 3 2 5 2 2 5 5 2" xfId="22124"/>
    <cellStyle name="Normal 3 2 5 2 2 5 5 2 2" xfId="44548"/>
    <cellStyle name="Normal 3 2 5 2 2 5 5 3" xfId="35144"/>
    <cellStyle name="Normal 3 2 5 2 2 5 6" xfId="19263"/>
    <cellStyle name="Normal 3 2 5 2 2 5 6 2" xfId="41816"/>
    <cellStyle name="Normal 3 2 5 2 2 5 7" xfId="28512"/>
    <cellStyle name="Normal 3 2 5 2 2 6" xfId="4019"/>
    <cellStyle name="Normal 3 2 5 2 2 6 2" xfId="7049"/>
    <cellStyle name="Normal 3 2 5 2 2 6 2 2" xfId="10381"/>
    <cellStyle name="Normal 3 2 5 2 2 6 2 2 2" xfId="17085"/>
    <cellStyle name="Normal 3 2 5 2 2 6 2 2 2 2" xfId="40506"/>
    <cellStyle name="Normal 3 2 5 2 2 6 2 2 3" xfId="33874"/>
    <cellStyle name="Normal 3 2 5 2 2 6 2 3" xfId="13769"/>
    <cellStyle name="Normal 3 2 5 2 2 6 2 3 2" xfId="37190"/>
    <cellStyle name="Normal 3 2 5 2 2 6 2 4" xfId="20591"/>
    <cellStyle name="Normal 3 2 5 2 2 6 2 4 2" xfId="43043"/>
    <cellStyle name="Normal 3 2 5 2 2 6 2 5" xfId="30558"/>
    <cellStyle name="Normal 3 2 5 2 2 6 3" xfId="8716"/>
    <cellStyle name="Normal 3 2 5 2 2 6 3 2" xfId="15427"/>
    <cellStyle name="Normal 3 2 5 2 2 6 3 2 2" xfId="38848"/>
    <cellStyle name="Normal 3 2 5 2 2 6 3 3" xfId="21334"/>
    <cellStyle name="Normal 3 2 5 2 2 6 3 3 2" xfId="43785"/>
    <cellStyle name="Normal 3 2 5 2 2 6 3 4" xfId="32216"/>
    <cellStyle name="Normal 3 2 5 2 2 6 4" xfId="12109"/>
    <cellStyle name="Normal 3 2 5 2 2 6 4 2" xfId="22537"/>
    <cellStyle name="Normal 3 2 5 2 2 6 4 2 2" xfId="44959"/>
    <cellStyle name="Normal 3 2 5 2 2 6 4 3" xfId="35532"/>
    <cellStyle name="Normal 3 2 5 2 2 6 5" xfId="19695"/>
    <cellStyle name="Normal 3 2 5 2 2 6 5 2" xfId="42232"/>
    <cellStyle name="Normal 3 2 5 2 2 6 6" xfId="28900"/>
    <cellStyle name="Normal 3 2 5 2 2 7" xfId="6188"/>
    <cellStyle name="Normal 3 2 5 2 2 7 2" xfId="9522"/>
    <cellStyle name="Normal 3 2 5 2 2 7 2 2" xfId="16226"/>
    <cellStyle name="Normal 3 2 5 2 2 7 2 2 2" xfId="39647"/>
    <cellStyle name="Normal 3 2 5 2 2 7 2 3" xfId="33015"/>
    <cellStyle name="Normal 3 2 5 2 2 7 3" xfId="12910"/>
    <cellStyle name="Normal 3 2 5 2 2 7 3 2" xfId="36331"/>
    <cellStyle name="Normal 3 2 5 2 2 7 4" xfId="19134"/>
    <cellStyle name="Normal 3 2 5 2 2 7 4 2" xfId="41700"/>
    <cellStyle name="Normal 3 2 5 2 2 7 5" xfId="29699"/>
    <cellStyle name="Normal 3 2 5 2 2 8" xfId="7854"/>
    <cellStyle name="Normal 3 2 5 2 2 8 2" xfId="14568"/>
    <cellStyle name="Normal 3 2 5 2 2 8 2 2" xfId="37989"/>
    <cellStyle name="Normal 3 2 5 2 2 8 3" xfId="20875"/>
    <cellStyle name="Normal 3 2 5 2 2 8 3 2" xfId="43326"/>
    <cellStyle name="Normal 3 2 5 2 2 8 4" xfId="31357"/>
    <cellStyle name="Normal 3 2 5 2 2 9" xfId="11250"/>
    <cellStyle name="Normal 3 2 5 2 2 9 2" xfId="21687"/>
    <cellStyle name="Normal 3 2 5 2 2 9 2 2" xfId="44136"/>
    <cellStyle name="Normal 3 2 5 2 2 9 3" xfId="34673"/>
    <cellStyle name="Normal 3 2 5 2 3" xfId="1660"/>
    <cellStyle name="Normal 3 2 5 2 3 10" xfId="23668"/>
    <cellStyle name="Normal 3 2 5 2 3 10 2" xfId="45958"/>
    <cellStyle name="Normal 3 2 5 2 3 11" xfId="28080"/>
    <cellStyle name="Normal 3 2 5 2 3 2" xfId="1859"/>
    <cellStyle name="Normal 3 2 5 2 3 2 10" xfId="28211"/>
    <cellStyle name="Normal 3 2 5 2 3 2 2" xfId="2329"/>
    <cellStyle name="Normal 3 2 5 2 3 2 2 2" xfId="5577"/>
    <cellStyle name="Normal 3 2 5 2 3 2 2 2 2" xfId="7401"/>
    <cellStyle name="Normal 3 2 5 2 3 2 2 2 2 2" xfId="10732"/>
    <cellStyle name="Normal 3 2 5 2 3 2 2 2 2 2 2" xfId="17436"/>
    <cellStyle name="Normal 3 2 5 2 3 2 2 2 2 2 2 2" xfId="40857"/>
    <cellStyle name="Normal 3 2 5 2 3 2 2 2 2 2 3" xfId="23152"/>
    <cellStyle name="Normal 3 2 5 2 3 2 2 2 2 2 3 2" xfId="45574"/>
    <cellStyle name="Normal 3 2 5 2 3 2 2 2 2 2 4" xfId="34225"/>
    <cellStyle name="Normal 3 2 5 2 3 2 2 2 2 3" xfId="14120"/>
    <cellStyle name="Normal 3 2 5 2 3 2 2 2 2 3 2" xfId="37541"/>
    <cellStyle name="Normal 3 2 5 2 3 2 2 2 2 4" xfId="20326"/>
    <cellStyle name="Normal 3 2 5 2 3 2 2 2 2 4 2" xfId="42861"/>
    <cellStyle name="Normal 3 2 5 2 3 2 2 2 2 5" xfId="30909"/>
    <cellStyle name="Normal 3 2 5 2 3 2 2 2 3" xfId="9074"/>
    <cellStyle name="Normal 3 2 5 2 3 2 2 2 3 2" xfId="15778"/>
    <cellStyle name="Normal 3 2 5 2 3 2 2 2 3 2 2" xfId="39199"/>
    <cellStyle name="Normal 3 2 5 2 3 2 2 2 3 3" xfId="21344"/>
    <cellStyle name="Normal 3 2 5 2 3 2 2 2 3 3 2" xfId="43795"/>
    <cellStyle name="Normal 3 2 5 2 3 2 2 2 3 4" xfId="32567"/>
    <cellStyle name="Normal 3 2 5 2 3 2 2 2 4" xfId="12462"/>
    <cellStyle name="Normal 3 2 5 2 3 2 2 2 4 2" xfId="22339"/>
    <cellStyle name="Normal 3 2 5 2 3 2 2 2 4 2 2" xfId="44761"/>
    <cellStyle name="Normal 3 2 5 2 3 2 2 2 4 3" xfId="35883"/>
    <cellStyle name="Normal 3 2 5 2 3 2 2 2 5" xfId="19487"/>
    <cellStyle name="Normal 3 2 5 2 3 2 2 2 5 2" xfId="42029"/>
    <cellStyle name="Normal 3 2 5 2 3 2 2 2 6" xfId="29251"/>
    <cellStyle name="Normal 3 2 5 2 3 2 2 3" xfId="6498"/>
    <cellStyle name="Normal 3 2 5 2 3 2 2 3 2" xfId="9832"/>
    <cellStyle name="Normal 3 2 5 2 3 2 2 3 2 2" xfId="16536"/>
    <cellStyle name="Normal 3 2 5 2 3 2 2 3 2 2 2" xfId="39957"/>
    <cellStyle name="Normal 3 2 5 2 3 2 2 3 2 3" xfId="22746"/>
    <cellStyle name="Normal 3 2 5 2 3 2 2 3 2 3 2" xfId="45168"/>
    <cellStyle name="Normal 3 2 5 2 3 2 2 3 2 4" xfId="33325"/>
    <cellStyle name="Normal 3 2 5 2 3 2 2 3 3" xfId="13220"/>
    <cellStyle name="Normal 3 2 5 2 3 2 2 3 3 2" xfId="36641"/>
    <cellStyle name="Normal 3 2 5 2 3 2 2 3 4" xfId="19910"/>
    <cellStyle name="Normal 3 2 5 2 3 2 2 3 4 2" xfId="42445"/>
    <cellStyle name="Normal 3 2 5 2 3 2 2 3 5" xfId="30009"/>
    <cellStyle name="Normal 3 2 5 2 3 2 2 4" xfId="8165"/>
    <cellStyle name="Normal 3 2 5 2 3 2 2 4 2" xfId="14878"/>
    <cellStyle name="Normal 3 2 5 2 3 2 2 4 2 2" xfId="38299"/>
    <cellStyle name="Normal 3 2 5 2 3 2 2 4 3" xfId="20885"/>
    <cellStyle name="Normal 3 2 5 2 3 2 2 4 3 2" xfId="43336"/>
    <cellStyle name="Normal 3 2 5 2 3 2 2 4 4" xfId="31667"/>
    <cellStyle name="Normal 3 2 5 2 3 2 2 5" xfId="11560"/>
    <cellStyle name="Normal 3 2 5 2 3 2 2 5 2" xfId="21914"/>
    <cellStyle name="Normal 3 2 5 2 3 2 2 5 2 2" xfId="44347"/>
    <cellStyle name="Normal 3 2 5 2 3 2 2 5 3" xfId="34983"/>
    <cellStyle name="Normal 3 2 5 2 3 2 2 6" xfId="18762"/>
    <cellStyle name="Normal 3 2 5 2 3 2 2 6 2" xfId="41604"/>
    <cellStyle name="Normal 3 2 5 2 3 2 2 7" xfId="25905"/>
    <cellStyle name="Normal 3 2 5 2 3 2 2 7 2" xfId="48150"/>
    <cellStyle name="Normal 3 2 5 2 3 2 2 8" xfId="28351"/>
    <cellStyle name="Normal 3 2 5 2 3 2 3" xfId="2856"/>
    <cellStyle name="Normal 3 2 5 2 3 2 3 2" xfId="5948"/>
    <cellStyle name="Normal 3 2 5 2 3 2 3 2 2" xfId="7730"/>
    <cellStyle name="Normal 3 2 5 2 3 2 3 2 2 2" xfId="11059"/>
    <cellStyle name="Normal 3 2 5 2 3 2 3 2 2 2 2" xfId="17763"/>
    <cellStyle name="Normal 3 2 5 2 3 2 3 2 2 2 2 2" xfId="41184"/>
    <cellStyle name="Normal 3 2 5 2 3 2 3 2 2 2 3" xfId="34552"/>
    <cellStyle name="Normal 3 2 5 2 3 2 3 2 2 3" xfId="14447"/>
    <cellStyle name="Normal 3 2 5 2 3 2 3 2 2 3 2" xfId="37868"/>
    <cellStyle name="Normal 3 2 5 2 3 2 3 2 2 4" xfId="22948"/>
    <cellStyle name="Normal 3 2 5 2 3 2 3 2 2 4 2" xfId="45370"/>
    <cellStyle name="Normal 3 2 5 2 3 2 3 2 2 5" xfId="31236"/>
    <cellStyle name="Normal 3 2 5 2 3 2 3 2 3" xfId="9401"/>
    <cellStyle name="Normal 3 2 5 2 3 2 3 2 3 2" xfId="16105"/>
    <cellStyle name="Normal 3 2 5 2 3 2 3 2 3 2 2" xfId="39526"/>
    <cellStyle name="Normal 3 2 5 2 3 2 3 2 3 3" xfId="32894"/>
    <cellStyle name="Normal 3 2 5 2 3 2 3 2 4" xfId="12789"/>
    <cellStyle name="Normal 3 2 5 2 3 2 3 2 4 2" xfId="36210"/>
    <cellStyle name="Normal 3 2 5 2 3 2 3 2 5" xfId="20118"/>
    <cellStyle name="Normal 3 2 5 2 3 2 3 2 5 2" xfId="42653"/>
    <cellStyle name="Normal 3 2 5 2 3 2 3 2 6" xfId="29578"/>
    <cellStyle name="Normal 3 2 5 2 3 2 3 3" xfId="6831"/>
    <cellStyle name="Normal 3 2 5 2 3 2 3 3 2" xfId="10163"/>
    <cellStyle name="Normal 3 2 5 2 3 2 3 3 2 2" xfId="16867"/>
    <cellStyle name="Normal 3 2 5 2 3 2 3 3 2 2 2" xfId="40288"/>
    <cellStyle name="Normal 3 2 5 2 3 2 3 3 2 3" xfId="33656"/>
    <cellStyle name="Normal 3 2 5 2 3 2 3 3 3" xfId="13551"/>
    <cellStyle name="Normal 3 2 5 2 3 2 3 3 3 2" xfId="36972"/>
    <cellStyle name="Normal 3 2 5 2 3 2 3 3 4" xfId="21343"/>
    <cellStyle name="Normal 3 2 5 2 3 2 3 3 4 2" xfId="43794"/>
    <cellStyle name="Normal 3 2 5 2 3 2 3 3 5" xfId="30340"/>
    <cellStyle name="Normal 3 2 5 2 3 2 3 4" xfId="8497"/>
    <cellStyle name="Normal 3 2 5 2 3 2 3 4 2" xfId="15209"/>
    <cellStyle name="Normal 3 2 5 2 3 2 3 4 2 2" xfId="38630"/>
    <cellStyle name="Normal 3 2 5 2 3 2 3 4 3" xfId="22129"/>
    <cellStyle name="Normal 3 2 5 2 3 2 3 4 3 2" xfId="44553"/>
    <cellStyle name="Normal 3 2 5 2 3 2 3 4 4" xfId="31998"/>
    <cellStyle name="Normal 3 2 5 2 3 2 3 5" xfId="11891"/>
    <cellStyle name="Normal 3 2 5 2 3 2 3 5 2" xfId="35314"/>
    <cellStyle name="Normal 3 2 5 2 3 2 3 6" xfId="19268"/>
    <cellStyle name="Normal 3 2 5 2 3 2 3 6 2" xfId="41821"/>
    <cellStyle name="Normal 3 2 5 2 3 2 3 7" xfId="28682"/>
    <cellStyle name="Normal 3 2 5 2 3 2 4" xfId="4024"/>
    <cellStyle name="Normal 3 2 5 2 3 2 4 2" xfId="7054"/>
    <cellStyle name="Normal 3 2 5 2 3 2 4 2 2" xfId="10386"/>
    <cellStyle name="Normal 3 2 5 2 3 2 4 2 2 2" xfId="17090"/>
    <cellStyle name="Normal 3 2 5 2 3 2 4 2 2 2 2" xfId="40511"/>
    <cellStyle name="Normal 3 2 5 2 3 2 4 2 2 3" xfId="33879"/>
    <cellStyle name="Normal 3 2 5 2 3 2 4 2 3" xfId="13774"/>
    <cellStyle name="Normal 3 2 5 2 3 2 4 2 3 2" xfId="37195"/>
    <cellStyle name="Normal 3 2 5 2 3 2 4 2 4" xfId="22542"/>
    <cellStyle name="Normal 3 2 5 2 3 2 4 2 4 2" xfId="44964"/>
    <cellStyle name="Normal 3 2 5 2 3 2 4 2 5" xfId="30563"/>
    <cellStyle name="Normal 3 2 5 2 3 2 4 3" xfId="8721"/>
    <cellStyle name="Normal 3 2 5 2 3 2 4 3 2" xfId="15432"/>
    <cellStyle name="Normal 3 2 5 2 3 2 4 3 2 2" xfId="38853"/>
    <cellStyle name="Normal 3 2 5 2 3 2 4 3 3" xfId="32221"/>
    <cellStyle name="Normal 3 2 5 2 3 2 4 4" xfId="12114"/>
    <cellStyle name="Normal 3 2 5 2 3 2 4 4 2" xfId="35537"/>
    <cellStyle name="Normal 3 2 5 2 3 2 4 5" xfId="19700"/>
    <cellStyle name="Normal 3 2 5 2 3 2 4 5 2" xfId="42237"/>
    <cellStyle name="Normal 3 2 5 2 3 2 4 6" xfId="28905"/>
    <cellStyle name="Normal 3 2 5 2 3 2 5" xfId="6358"/>
    <cellStyle name="Normal 3 2 5 2 3 2 5 2" xfId="9692"/>
    <cellStyle name="Normal 3 2 5 2 3 2 5 2 2" xfId="16396"/>
    <cellStyle name="Normal 3 2 5 2 3 2 5 2 2 2" xfId="39817"/>
    <cellStyle name="Normal 3 2 5 2 3 2 5 2 3" xfId="33185"/>
    <cellStyle name="Normal 3 2 5 2 3 2 5 3" xfId="13080"/>
    <cellStyle name="Normal 3 2 5 2 3 2 5 3 2" xfId="36501"/>
    <cellStyle name="Normal 3 2 5 2 3 2 5 4" xfId="20884"/>
    <cellStyle name="Normal 3 2 5 2 3 2 5 4 2" xfId="43335"/>
    <cellStyle name="Normal 3 2 5 2 3 2 5 5" xfId="29869"/>
    <cellStyle name="Normal 3 2 5 2 3 2 6" xfId="8024"/>
    <cellStyle name="Normal 3 2 5 2 3 2 6 2" xfId="14738"/>
    <cellStyle name="Normal 3 2 5 2 3 2 6 2 2" xfId="38159"/>
    <cellStyle name="Normal 3 2 5 2 3 2 6 3" xfId="21692"/>
    <cellStyle name="Normal 3 2 5 2 3 2 6 3 2" xfId="44141"/>
    <cellStyle name="Normal 3 2 5 2 3 2 6 4" xfId="31527"/>
    <cellStyle name="Normal 3 2 5 2 3 2 7" xfId="11420"/>
    <cellStyle name="Normal 3 2 5 2 3 2 7 2" xfId="34843"/>
    <cellStyle name="Normal 3 2 5 2 3 2 8" xfId="18078"/>
    <cellStyle name="Normal 3 2 5 2 3 2 8 2" xfId="41368"/>
    <cellStyle name="Normal 3 2 5 2 3 2 9" xfId="23669"/>
    <cellStyle name="Normal 3 2 5 2 3 2 9 2" xfId="45959"/>
    <cellStyle name="Normal 3 2 5 2 3 3" xfId="2328"/>
    <cellStyle name="Normal 3 2 5 2 3 3 2" xfId="5576"/>
    <cellStyle name="Normal 3 2 5 2 3 3 2 2" xfId="7400"/>
    <cellStyle name="Normal 3 2 5 2 3 3 2 2 2" xfId="10731"/>
    <cellStyle name="Normal 3 2 5 2 3 3 2 2 2 2" xfId="17435"/>
    <cellStyle name="Normal 3 2 5 2 3 3 2 2 2 2 2" xfId="40856"/>
    <cellStyle name="Normal 3 2 5 2 3 3 2 2 2 3" xfId="23151"/>
    <cellStyle name="Normal 3 2 5 2 3 3 2 2 2 3 2" xfId="45573"/>
    <cellStyle name="Normal 3 2 5 2 3 3 2 2 2 4" xfId="34224"/>
    <cellStyle name="Normal 3 2 5 2 3 3 2 2 3" xfId="14119"/>
    <cellStyle name="Normal 3 2 5 2 3 3 2 2 3 2" xfId="37540"/>
    <cellStyle name="Normal 3 2 5 2 3 3 2 2 4" xfId="20325"/>
    <cellStyle name="Normal 3 2 5 2 3 3 2 2 4 2" xfId="42860"/>
    <cellStyle name="Normal 3 2 5 2 3 3 2 2 5" xfId="30908"/>
    <cellStyle name="Normal 3 2 5 2 3 3 2 3" xfId="9073"/>
    <cellStyle name="Normal 3 2 5 2 3 3 2 3 2" xfId="15777"/>
    <cellStyle name="Normal 3 2 5 2 3 3 2 3 2 2" xfId="39198"/>
    <cellStyle name="Normal 3 2 5 2 3 3 2 3 3" xfId="21345"/>
    <cellStyle name="Normal 3 2 5 2 3 3 2 3 3 2" xfId="43796"/>
    <cellStyle name="Normal 3 2 5 2 3 3 2 3 4" xfId="32566"/>
    <cellStyle name="Normal 3 2 5 2 3 3 2 4" xfId="12461"/>
    <cellStyle name="Normal 3 2 5 2 3 3 2 4 2" xfId="22338"/>
    <cellStyle name="Normal 3 2 5 2 3 3 2 4 2 2" xfId="44760"/>
    <cellStyle name="Normal 3 2 5 2 3 3 2 4 3" xfId="35882"/>
    <cellStyle name="Normal 3 2 5 2 3 3 2 5" xfId="19486"/>
    <cellStyle name="Normal 3 2 5 2 3 3 2 5 2" xfId="42028"/>
    <cellStyle name="Normal 3 2 5 2 3 3 2 6" xfId="29250"/>
    <cellStyle name="Normal 3 2 5 2 3 3 3" xfId="6497"/>
    <cellStyle name="Normal 3 2 5 2 3 3 3 2" xfId="9831"/>
    <cellStyle name="Normal 3 2 5 2 3 3 3 2 2" xfId="16535"/>
    <cellStyle name="Normal 3 2 5 2 3 3 3 2 2 2" xfId="39956"/>
    <cellStyle name="Normal 3 2 5 2 3 3 3 2 3" xfId="22745"/>
    <cellStyle name="Normal 3 2 5 2 3 3 3 2 3 2" xfId="45167"/>
    <cellStyle name="Normal 3 2 5 2 3 3 3 2 4" xfId="33324"/>
    <cellStyle name="Normal 3 2 5 2 3 3 3 3" xfId="13219"/>
    <cellStyle name="Normal 3 2 5 2 3 3 3 3 2" xfId="36640"/>
    <cellStyle name="Normal 3 2 5 2 3 3 3 4" xfId="19909"/>
    <cellStyle name="Normal 3 2 5 2 3 3 3 4 2" xfId="42444"/>
    <cellStyle name="Normal 3 2 5 2 3 3 3 5" xfId="30008"/>
    <cellStyle name="Normal 3 2 5 2 3 3 4" xfId="8164"/>
    <cellStyle name="Normal 3 2 5 2 3 3 4 2" xfId="14877"/>
    <cellStyle name="Normal 3 2 5 2 3 3 4 2 2" xfId="38298"/>
    <cellStyle name="Normal 3 2 5 2 3 3 4 3" xfId="20886"/>
    <cellStyle name="Normal 3 2 5 2 3 3 4 3 2" xfId="43337"/>
    <cellStyle name="Normal 3 2 5 2 3 3 4 4" xfId="31666"/>
    <cellStyle name="Normal 3 2 5 2 3 3 5" xfId="11559"/>
    <cellStyle name="Normal 3 2 5 2 3 3 5 2" xfId="21913"/>
    <cellStyle name="Normal 3 2 5 2 3 3 5 2 2" xfId="44346"/>
    <cellStyle name="Normal 3 2 5 2 3 3 5 3" xfId="34982"/>
    <cellStyle name="Normal 3 2 5 2 3 3 6" xfId="18761"/>
    <cellStyle name="Normal 3 2 5 2 3 3 6 2" xfId="41603"/>
    <cellStyle name="Normal 3 2 5 2 3 3 7" xfId="25904"/>
    <cellStyle name="Normal 3 2 5 2 3 3 7 2" xfId="48149"/>
    <cellStyle name="Normal 3 2 5 2 3 3 8" xfId="28350"/>
    <cellStyle name="Normal 3 2 5 2 3 4" xfId="2724"/>
    <cellStyle name="Normal 3 2 5 2 3 4 2" xfId="5817"/>
    <cellStyle name="Normal 3 2 5 2 3 4 2 2" xfId="7599"/>
    <cellStyle name="Normal 3 2 5 2 3 4 2 2 2" xfId="10928"/>
    <cellStyle name="Normal 3 2 5 2 3 4 2 2 2 2" xfId="17632"/>
    <cellStyle name="Normal 3 2 5 2 3 4 2 2 2 2 2" xfId="41053"/>
    <cellStyle name="Normal 3 2 5 2 3 4 2 2 2 3" xfId="34421"/>
    <cellStyle name="Normal 3 2 5 2 3 4 2 2 3" xfId="14316"/>
    <cellStyle name="Normal 3 2 5 2 3 4 2 2 3 2" xfId="37737"/>
    <cellStyle name="Normal 3 2 5 2 3 4 2 2 4" xfId="22947"/>
    <cellStyle name="Normal 3 2 5 2 3 4 2 2 4 2" xfId="45369"/>
    <cellStyle name="Normal 3 2 5 2 3 4 2 2 5" xfId="31105"/>
    <cellStyle name="Normal 3 2 5 2 3 4 2 3" xfId="9270"/>
    <cellStyle name="Normal 3 2 5 2 3 4 2 3 2" xfId="15974"/>
    <cellStyle name="Normal 3 2 5 2 3 4 2 3 2 2" xfId="39395"/>
    <cellStyle name="Normal 3 2 5 2 3 4 2 3 3" xfId="32763"/>
    <cellStyle name="Normal 3 2 5 2 3 4 2 4" xfId="12658"/>
    <cellStyle name="Normal 3 2 5 2 3 4 2 4 2" xfId="36079"/>
    <cellStyle name="Normal 3 2 5 2 3 4 2 5" xfId="20117"/>
    <cellStyle name="Normal 3 2 5 2 3 4 2 5 2" xfId="42652"/>
    <cellStyle name="Normal 3 2 5 2 3 4 2 6" xfId="29447"/>
    <cellStyle name="Normal 3 2 5 2 3 4 3" xfId="6700"/>
    <cellStyle name="Normal 3 2 5 2 3 4 3 2" xfId="10032"/>
    <cellStyle name="Normal 3 2 5 2 3 4 3 2 2" xfId="16736"/>
    <cellStyle name="Normal 3 2 5 2 3 4 3 2 2 2" xfId="40157"/>
    <cellStyle name="Normal 3 2 5 2 3 4 3 2 3" xfId="33525"/>
    <cellStyle name="Normal 3 2 5 2 3 4 3 3" xfId="13420"/>
    <cellStyle name="Normal 3 2 5 2 3 4 3 3 2" xfId="36841"/>
    <cellStyle name="Normal 3 2 5 2 3 4 3 4" xfId="21342"/>
    <cellStyle name="Normal 3 2 5 2 3 4 3 4 2" xfId="43793"/>
    <cellStyle name="Normal 3 2 5 2 3 4 3 5" xfId="30209"/>
    <cellStyle name="Normal 3 2 5 2 3 4 4" xfId="8366"/>
    <cellStyle name="Normal 3 2 5 2 3 4 4 2" xfId="15078"/>
    <cellStyle name="Normal 3 2 5 2 3 4 4 2 2" xfId="38499"/>
    <cellStyle name="Normal 3 2 5 2 3 4 4 3" xfId="22128"/>
    <cellStyle name="Normal 3 2 5 2 3 4 4 3 2" xfId="44552"/>
    <cellStyle name="Normal 3 2 5 2 3 4 4 4" xfId="31867"/>
    <cellStyle name="Normal 3 2 5 2 3 4 5" xfId="11760"/>
    <cellStyle name="Normal 3 2 5 2 3 4 5 2" xfId="35183"/>
    <cellStyle name="Normal 3 2 5 2 3 4 6" xfId="19267"/>
    <cellStyle name="Normal 3 2 5 2 3 4 6 2" xfId="41820"/>
    <cellStyle name="Normal 3 2 5 2 3 4 7" xfId="28551"/>
    <cellStyle name="Normal 3 2 5 2 3 5" xfId="4023"/>
    <cellStyle name="Normal 3 2 5 2 3 5 2" xfId="7053"/>
    <cellStyle name="Normal 3 2 5 2 3 5 2 2" xfId="10385"/>
    <cellStyle name="Normal 3 2 5 2 3 5 2 2 2" xfId="17089"/>
    <cellStyle name="Normal 3 2 5 2 3 5 2 2 2 2" xfId="40510"/>
    <cellStyle name="Normal 3 2 5 2 3 5 2 2 3" xfId="33878"/>
    <cellStyle name="Normal 3 2 5 2 3 5 2 3" xfId="13773"/>
    <cellStyle name="Normal 3 2 5 2 3 5 2 3 2" xfId="37194"/>
    <cellStyle name="Normal 3 2 5 2 3 5 2 4" xfId="22541"/>
    <cellStyle name="Normal 3 2 5 2 3 5 2 4 2" xfId="44963"/>
    <cellStyle name="Normal 3 2 5 2 3 5 2 5" xfId="30562"/>
    <cellStyle name="Normal 3 2 5 2 3 5 3" xfId="8720"/>
    <cellStyle name="Normal 3 2 5 2 3 5 3 2" xfId="15431"/>
    <cellStyle name="Normal 3 2 5 2 3 5 3 2 2" xfId="38852"/>
    <cellStyle name="Normal 3 2 5 2 3 5 3 3" xfId="32220"/>
    <cellStyle name="Normal 3 2 5 2 3 5 4" xfId="12113"/>
    <cellStyle name="Normal 3 2 5 2 3 5 4 2" xfId="35536"/>
    <cellStyle name="Normal 3 2 5 2 3 5 5" xfId="19699"/>
    <cellStyle name="Normal 3 2 5 2 3 5 5 2" xfId="42236"/>
    <cellStyle name="Normal 3 2 5 2 3 5 6" xfId="28904"/>
    <cellStyle name="Normal 3 2 5 2 3 6" xfId="6227"/>
    <cellStyle name="Normal 3 2 5 2 3 6 2" xfId="9561"/>
    <cellStyle name="Normal 3 2 5 2 3 6 2 2" xfId="16265"/>
    <cellStyle name="Normal 3 2 5 2 3 6 2 2 2" xfId="39686"/>
    <cellStyle name="Normal 3 2 5 2 3 6 2 3" xfId="33054"/>
    <cellStyle name="Normal 3 2 5 2 3 6 3" xfId="12949"/>
    <cellStyle name="Normal 3 2 5 2 3 6 3 2" xfId="36370"/>
    <cellStyle name="Normal 3 2 5 2 3 6 4" xfId="20883"/>
    <cellStyle name="Normal 3 2 5 2 3 6 4 2" xfId="43334"/>
    <cellStyle name="Normal 3 2 5 2 3 6 5" xfId="29738"/>
    <cellStyle name="Normal 3 2 5 2 3 7" xfId="7893"/>
    <cellStyle name="Normal 3 2 5 2 3 7 2" xfId="14607"/>
    <cellStyle name="Normal 3 2 5 2 3 7 2 2" xfId="38028"/>
    <cellStyle name="Normal 3 2 5 2 3 7 3" xfId="21691"/>
    <cellStyle name="Normal 3 2 5 2 3 7 3 2" xfId="44140"/>
    <cellStyle name="Normal 3 2 5 2 3 7 4" xfId="31396"/>
    <cellStyle name="Normal 3 2 5 2 3 8" xfId="11289"/>
    <cellStyle name="Normal 3 2 5 2 3 8 2" xfId="34712"/>
    <cellStyle name="Normal 3 2 5 2 3 9" xfId="18077"/>
    <cellStyle name="Normal 3 2 5 2 3 9 2" xfId="41367"/>
    <cellStyle name="Normal 3 2 5 2 4" xfId="1784"/>
    <cellStyle name="Normal 3 2 5 2 4 10" xfId="28136"/>
    <cellStyle name="Normal 3 2 5 2 4 2" xfId="2330"/>
    <cellStyle name="Normal 3 2 5 2 4 2 2" xfId="5578"/>
    <cellStyle name="Normal 3 2 5 2 4 2 2 2" xfId="7402"/>
    <cellStyle name="Normal 3 2 5 2 4 2 2 2 2" xfId="10733"/>
    <cellStyle name="Normal 3 2 5 2 4 2 2 2 2 2" xfId="17437"/>
    <cellStyle name="Normal 3 2 5 2 4 2 2 2 2 2 2" xfId="40858"/>
    <cellStyle name="Normal 3 2 5 2 4 2 2 2 2 3" xfId="23153"/>
    <cellStyle name="Normal 3 2 5 2 4 2 2 2 2 3 2" xfId="45575"/>
    <cellStyle name="Normal 3 2 5 2 4 2 2 2 2 4" xfId="34226"/>
    <cellStyle name="Normal 3 2 5 2 4 2 2 2 3" xfId="14121"/>
    <cellStyle name="Normal 3 2 5 2 4 2 2 2 3 2" xfId="37542"/>
    <cellStyle name="Normal 3 2 5 2 4 2 2 2 4" xfId="20327"/>
    <cellStyle name="Normal 3 2 5 2 4 2 2 2 4 2" xfId="42862"/>
    <cellStyle name="Normal 3 2 5 2 4 2 2 2 5" xfId="30910"/>
    <cellStyle name="Normal 3 2 5 2 4 2 2 3" xfId="9075"/>
    <cellStyle name="Normal 3 2 5 2 4 2 2 3 2" xfId="15779"/>
    <cellStyle name="Normal 3 2 5 2 4 2 2 3 2 2" xfId="39200"/>
    <cellStyle name="Normal 3 2 5 2 4 2 2 3 3" xfId="21347"/>
    <cellStyle name="Normal 3 2 5 2 4 2 2 3 3 2" xfId="43798"/>
    <cellStyle name="Normal 3 2 5 2 4 2 2 3 4" xfId="32568"/>
    <cellStyle name="Normal 3 2 5 2 4 2 2 4" xfId="12463"/>
    <cellStyle name="Normal 3 2 5 2 4 2 2 4 2" xfId="22340"/>
    <cellStyle name="Normal 3 2 5 2 4 2 2 4 2 2" xfId="44762"/>
    <cellStyle name="Normal 3 2 5 2 4 2 2 4 3" xfId="35884"/>
    <cellStyle name="Normal 3 2 5 2 4 2 2 5" xfId="19488"/>
    <cellStyle name="Normal 3 2 5 2 4 2 2 5 2" xfId="42030"/>
    <cellStyle name="Normal 3 2 5 2 4 2 2 6" xfId="29252"/>
    <cellStyle name="Normal 3 2 5 2 4 2 3" xfId="6499"/>
    <cellStyle name="Normal 3 2 5 2 4 2 3 2" xfId="9833"/>
    <cellStyle name="Normal 3 2 5 2 4 2 3 2 2" xfId="16537"/>
    <cellStyle name="Normal 3 2 5 2 4 2 3 2 2 2" xfId="39958"/>
    <cellStyle name="Normal 3 2 5 2 4 2 3 2 3" xfId="22747"/>
    <cellStyle name="Normal 3 2 5 2 4 2 3 2 3 2" xfId="45169"/>
    <cellStyle name="Normal 3 2 5 2 4 2 3 2 4" xfId="33326"/>
    <cellStyle name="Normal 3 2 5 2 4 2 3 3" xfId="13221"/>
    <cellStyle name="Normal 3 2 5 2 4 2 3 3 2" xfId="36642"/>
    <cellStyle name="Normal 3 2 5 2 4 2 3 4" xfId="19911"/>
    <cellStyle name="Normal 3 2 5 2 4 2 3 4 2" xfId="42446"/>
    <cellStyle name="Normal 3 2 5 2 4 2 3 5" xfId="30010"/>
    <cellStyle name="Normal 3 2 5 2 4 2 4" xfId="8166"/>
    <cellStyle name="Normal 3 2 5 2 4 2 4 2" xfId="14879"/>
    <cellStyle name="Normal 3 2 5 2 4 2 4 2 2" xfId="38300"/>
    <cellStyle name="Normal 3 2 5 2 4 2 4 3" xfId="20888"/>
    <cellStyle name="Normal 3 2 5 2 4 2 4 3 2" xfId="43339"/>
    <cellStyle name="Normal 3 2 5 2 4 2 4 4" xfId="31668"/>
    <cellStyle name="Normal 3 2 5 2 4 2 5" xfId="11561"/>
    <cellStyle name="Normal 3 2 5 2 4 2 5 2" xfId="21915"/>
    <cellStyle name="Normal 3 2 5 2 4 2 5 2 2" xfId="44348"/>
    <cellStyle name="Normal 3 2 5 2 4 2 5 3" xfId="34984"/>
    <cellStyle name="Normal 3 2 5 2 4 2 6" xfId="18763"/>
    <cellStyle name="Normal 3 2 5 2 4 2 6 2" xfId="41605"/>
    <cellStyle name="Normal 3 2 5 2 4 2 7" xfId="25906"/>
    <cellStyle name="Normal 3 2 5 2 4 2 7 2" xfId="48151"/>
    <cellStyle name="Normal 3 2 5 2 4 2 8" xfId="28352"/>
    <cellStyle name="Normal 3 2 5 2 4 3" xfId="2781"/>
    <cellStyle name="Normal 3 2 5 2 4 3 2" xfId="5873"/>
    <cellStyle name="Normal 3 2 5 2 4 3 2 2" xfId="7655"/>
    <cellStyle name="Normal 3 2 5 2 4 3 2 2 2" xfId="10984"/>
    <cellStyle name="Normal 3 2 5 2 4 3 2 2 2 2" xfId="17688"/>
    <cellStyle name="Normal 3 2 5 2 4 3 2 2 2 2 2" xfId="41109"/>
    <cellStyle name="Normal 3 2 5 2 4 3 2 2 2 3" xfId="34477"/>
    <cellStyle name="Normal 3 2 5 2 4 3 2 2 3" xfId="14372"/>
    <cellStyle name="Normal 3 2 5 2 4 3 2 2 3 2" xfId="37793"/>
    <cellStyle name="Normal 3 2 5 2 4 3 2 2 4" xfId="22949"/>
    <cellStyle name="Normal 3 2 5 2 4 3 2 2 4 2" xfId="45371"/>
    <cellStyle name="Normal 3 2 5 2 4 3 2 2 5" xfId="31161"/>
    <cellStyle name="Normal 3 2 5 2 4 3 2 3" xfId="9326"/>
    <cellStyle name="Normal 3 2 5 2 4 3 2 3 2" xfId="16030"/>
    <cellStyle name="Normal 3 2 5 2 4 3 2 3 2 2" xfId="39451"/>
    <cellStyle name="Normal 3 2 5 2 4 3 2 3 3" xfId="32819"/>
    <cellStyle name="Normal 3 2 5 2 4 3 2 4" xfId="12714"/>
    <cellStyle name="Normal 3 2 5 2 4 3 2 4 2" xfId="36135"/>
    <cellStyle name="Normal 3 2 5 2 4 3 2 5" xfId="20119"/>
    <cellStyle name="Normal 3 2 5 2 4 3 2 5 2" xfId="42654"/>
    <cellStyle name="Normal 3 2 5 2 4 3 2 6" xfId="29503"/>
    <cellStyle name="Normal 3 2 5 2 4 3 3" xfId="6756"/>
    <cellStyle name="Normal 3 2 5 2 4 3 3 2" xfId="10088"/>
    <cellStyle name="Normal 3 2 5 2 4 3 3 2 2" xfId="16792"/>
    <cellStyle name="Normal 3 2 5 2 4 3 3 2 2 2" xfId="40213"/>
    <cellStyle name="Normal 3 2 5 2 4 3 3 2 3" xfId="33581"/>
    <cellStyle name="Normal 3 2 5 2 4 3 3 3" xfId="13476"/>
    <cellStyle name="Normal 3 2 5 2 4 3 3 3 2" xfId="36897"/>
    <cellStyle name="Normal 3 2 5 2 4 3 3 4" xfId="21346"/>
    <cellStyle name="Normal 3 2 5 2 4 3 3 4 2" xfId="43797"/>
    <cellStyle name="Normal 3 2 5 2 4 3 3 5" xfId="30265"/>
    <cellStyle name="Normal 3 2 5 2 4 3 4" xfId="8422"/>
    <cellStyle name="Normal 3 2 5 2 4 3 4 2" xfId="15134"/>
    <cellStyle name="Normal 3 2 5 2 4 3 4 2 2" xfId="38555"/>
    <cellStyle name="Normal 3 2 5 2 4 3 4 3" xfId="22130"/>
    <cellStyle name="Normal 3 2 5 2 4 3 4 3 2" xfId="44554"/>
    <cellStyle name="Normal 3 2 5 2 4 3 4 4" xfId="31923"/>
    <cellStyle name="Normal 3 2 5 2 4 3 5" xfId="11816"/>
    <cellStyle name="Normal 3 2 5 2 4 3 5 2" xfId="35239"/>
    <cellStyle name="Normal 3 2 5 2 4 3 6" xfId="19269"/>
    <cellStyle name="Normal 3 2 5 2 4 3 6 2" xfId="41822"/>
    <cellStyle name="Normal 3 2 5 2 4 3 7" xfId="28607"/>
    <cellStyle name="Normal 3 2 5 2 4 4" xfId="4025"/>
    <cellStyle name="Normal 3 2 5 2 4 4 2" xfId="7055"/>
    <cellStyle name="Normal 3 2 5 2 4 4 2 2" xfId="10387"/>
    <cellStyle name="Normal 3 2 5 2 4 4 2 2 2" xfId="17091"/>
    <cellStyle name="Normal 3 2 5 2 4 4 2 2 2 2" xfId="40512"/>
    <cellStyle name="Normal 3 2 5 2 4 4 2 2 3" xfId="33880"/>
    <cellStyle name="Normal 3 2 5 2 4 4 2 3" xfId="13775"/>
    <cellStyle name="Normal 3 2 5 2 4 4 2 3 2" xfId="37196"/>
    <cellStyle name="Normal 3 2 5 2 4 4 2 4" xfId="22543"/>
    <cellStyle name="Normal 3 2 5 2 4 4 2 4 2" xfId="44965"/>
    <cellStyle name="Normal 3 2 5 2 4 4 2 5" xfId="30564"/>
    <cellStyle name="Normal 3 2 5 2 4 4 3" xfId="8722"/>
    <cellStyle name="Normal 3 2 5 2 4 4 3 2" xfId="15433"/>
    <cellStyle name="Normal 3 2 5 2 4 4 3 2 2" xfId="38854"/>
    <cellStyle name="Normal 3 2 5 2 4 4 3 3" xfId="32222"/>
    <cellStyle name="Normal 3 2 5 2 4 4 4" xfId="12115"/>
    <cellStyle name="Normal 3 2 5 2 4 4 4 2" xfId="35538"/>
    <cellStyle name="Normal 3 2 5 2 4 4 5" xfId="19701"/>
    <cellStyle name="Normal 3 2 5 2 4 4 5 2" xfId="42238"/>
    <cellStyle name="Normal 3 2 5 2 4 4 6" xfId="28906"/>
    <cellStyle name="Normal 3 2 5 2 4 5" xfId="6283"/>
    <cellStyle name="Normal 3 2 5 2 4 5 2" xfId="9617"/>
    <cellStyle name="Normal 3 2 5 2 4 5 2 2" xfId="16321"/>
    <cellStyle name="Normal 3 2 5 2 4 5 2 2 2" xfId="39742"/>
    <cellStyle name="Normal 3 2 5 2 4 5 2 3" xfId="33110"/>
    <cellStyle name="Normal 3 2 5 2 4 5 3" xfId="13005"/>
    <cellStyle name="Normal 3 2 5 2 4 5 3 2" xfId="36426"/>
    <cellStyle name="Normal 3 2 5 2 4 5 4" xfId="20887"/>
    <cellStyle name="Normal 3 2 5 2 4 5 4 2" xfId="43338"/>
    <cellStyle name="Normal 3 2 5 2 4 5 5" xfId="29794"/>
    <cellStyle name="Normal 3 2 5 2 4 6" xfId="7949"/>
    <cellStyle name="Normal 3 2 5 2 4 6 2" xfId="14663"/>
    <cellStyle name="Normal 3 2 5 2 4 6 2 2" xfId="38084"/>
    <cellStyle name="Normal 3 2 5 2 4 6 3" xfId="21693"/>
    <cellStyle name="Normal 3 2 5 2 4 6 3 2" xfId="44142"/>
    <cellStyle name="Normal 3 2 5 2 4 6 4" xfId="31452"/>
    <cellStyle name="Normal 3 2 5 2 4 7" xfId="11345"/>
    <cellStyle name="Normal 3 2 5 2 4 7 2" xfId="34768"/>
    <cellStyle name="Normal 3 2 5 2 4 8" xfId="18079"/>
    <cellStyle name="Normal 3 2 5 2 4 8 2" xfId="41369"/>
    <cellStyle name="Normal 3 2 5 2 4 9" xfId="23670"/>
    <cellStyle name="Normal 3 2 5 2 4 9 2" xfId="45960"/>
    <cellStyle name="Normal 3 2 5 2 5" xfId="2323"/>
    <cellStyle name="Normal 3 2 5 2 5 2" xfId="5571"/>
    <cellStyle name="Normal 3 2 5 2 5 2 2" xfId="7395"/>
    <cellStyle name="Normal 3 2 5 2 5 2 2 2" xfId="10726"/>
    <cellStyle name="Normal 3 2 5 2 5 2 2 2 2" xfId="17430"/>
    <cellStyle name="Normal 3 2 5 2 5 2 2 2 2 2" xfId="40851"/>
    <cellStyle name="Normal 3 2 5 2 5 2 2 2 3" xfId="23146"/>
    <cellStyle name="Normal 3 2 5 2 5 2 2 2 3 2" xfId="45568"/>
    <cellStyle name="Normal 3 2 5 2 5 2 2 2 4" xfId="34219"/>
    <cellStyle name="Normal 3 2 5 2 5 2 2 3" xfId="14114"/>
    <cellStyle name="Normal 3 2 5 2 5 2 2 3 2" xfId="37535"/>
    <cellStyle name="Normal 3 2 5 2 5 2 2 4" xfId="20320"/>
    <cellStyle name="Normal 3 2 5 2 5 2 2 4 2" xfId="42855"/>
    <cellStyle name="Normal 3 2 5 2 5 2 2 5" xfId="30903"/>
    <cellStyle name="Normal 3 2 5 2 5 2 3" xfId="9068"/>
    <cellStyle name="Normal 3 2 5 2 5 2 3 2" xfId="15772"/>
    <cellStyle name="Normal 3 2 5 2 5 2 3 2 2" xfId="39193"/>
    <cellStyle name="Normal 3 2 5 2 5 2 3 3" xfId="21348"/>
    <cellStyle name="Normal 3 2 5 2 5 2 3 3 2" xfId="43799"/>
    <cellStyle name="Normal 3 2 5 2 5 2 3 4" xfId="32561"/>
    <cellStyle name="Normal 3 2 5 2 5 2 4" xfId="12456"/>
    <cellStyle name="Normal 3 2 5 2 5 2 4 2" xfId="22333"/>
    <cellStyle name="Normal 3 2 5 2 5 2 4 2 2" xfId="44755"/>
    <cellStyle name="Normal 3 2 5 2 5 2 4 3" xfId="35877"/>
    <cellStyle name="Normal 3 2 5 2 5 2 5" xfId="19481"/>
    <cellStyle name="Normal 3 2 5 2 5 2 5 2" xfId="42023"/>
    <cellStyle name="Normal 3 2 5 2 5 2 6" xfId="29245"/>
    <cellStyle name="Normal 3 2 5 2 5 3" xfId="6492"/>
    <cellStyle name="Normal 3 2 5 2 5 3 2" xfId="9826"/>
    <cellStyle name="Normal 3 2 5 2 5 3 2 2" xfId="16530"/>
    <cellStyle name="Normal 3 2 5 2 5 3 2 2 2" xfId="39951"/>
    <cellStyle name="Normal 3 2 5 2 5 3 2 3" xfId="22740"/>
    <cellStyle name="Normal 3 2 5 2 5 3 2 3 2" xfId="45162"/>
    <cellStyle name="Normal 3 2 5 2 5 3 2 4" xfId="33319"/>
    <cellStyle name="Normal 3 2 5 2 5 3 3" xfId="13214"/>
    <cellStyle name="Normal 3 2 5 2 5 3 3 2" xfId="36635"/>
    <cellStyle name="Normal 3 2 5 2 5 3 4" xfId="19904"/>
    <cellStyle name="Normal 3 2 5 2 5 3 4 2" xfId="42439"/>
    <cellStyle name="Normal 3 2 5 2 5 3 5" xfId="30003"/>
    <cellStyle name="Normal 3 2 5 2 5 4" xfId="8159"/>
    <cellStyle name="Normal 3 2 5 2 5 4 2" xfId="14872"/>
    <cellStyle name="Normal 3 2 5 2 5 4 2 2" xfId="38293"/>
    <cellStyle name="Normal 3 2 5 2 5 4 3" xfId="20889"/>
    <cellStyle name="Normal 3 2 5 2 5 4 3 2" xfId="43340"/>
    <cellStyle name="Normal 3 2 5 2 5 4 4" xfId="31661"/>
    <cellStyle name="Normal 3 2 5 2 5 5" xfId="11554"/>
    <cellStyle name="Normal 3 2 5 2 5 5 2" xfId="21908"/>
    <cellStyle name="Normal 3 2 5 2 5 5 2 2" xfId="44341"/>
    <cellStyle name="Normal 3 2 5 2 5 5 3" xfId="34977"/>
    <cellStyle name="Normal 3 2 5 2 5 6" xfId="18756"/>
    <cellStyle name="Normal 3 2 5 2 5 6 2" xfId="41598"/>
    <cellStyle name="Normal 3 2 5 2 5 7" xfId="25899"/>
    <cellStyle name="Normal 3 2 5 2 5 7 2" xfId="48144"/>
    <cellStyle name="Normal 3 2 5 2 5 8" xfId="28345"/>
    <cellStyle name="Normal 3 2 5 2 6" xfId="2649"/>
    <cellStyle name="Normal 3 2 5 2 6 2" xfId="5742"/>
    <cellStyle name="Normal 3 2 5 2 6 2 2" xfId="7524"/>
    <cellStyle name="Normal 3 2 5 2 6 2 2 2" xfId="10853"/>
    <cellStyle name="Normal 3 2 5 2 6 2 2 2 2" xfId="17557"/>
    <cellStyle name="Normal 3 2 5 2 6 2 2 2 2 2" xfId="40978"/>
    <cellStyle name="Normal 3 2 5 2 6 2 2 2 3" xfId="34346"/>
    <cellStyle name="Normal 3 2 5 2 6 2 2 3" xfId="14241"/>
    <cellStyle name="Normal 3 2 5 2 6 2 2 3 2" xfId="37662"/>
    <cellStyle name="Normal 3 2 5 2 6 2 2 4" xfId="20639"/>
    <cellStyle name="Normal 3 2 5 2 6 2 2 4 2" xfId="43090"/>
    <cellStyle name="Normal 3 2 5 2 6 2 2 5" xfId="31030"/>
    <cellStyle name="Normal 3 2 5 2 6 2 3" xfId="9195"/>
    <cellStyle name="Normal 3 2 5 2 6 2 3 2" xfId="15899"/>
    <cellStyle name="Normal 3 2 5 2 6 2 3 2 2" xfId="39320"/>
    <cellStyle name="Normal 3 2 5 2 6 2 3 3" xfId="21557"/>
    <cellStyle name="Normal 3 2 5 2 6 2 3 3 2" xfId="44008"/>
    <cellStyle name="Normal 3 2 5 2 6 2 3 4" xfId="32688"/>
    <cellStyle name="Normal 3 2 5 2 6 2 4" xfId="12583"/>
    <cellStyle name="Normal 3 2 5 2 6 2 4 2" xfId="22942"/>
    <cellStyle name="Normal 3 2 5 2 6 2 4 2 2" xfId="45364"/>
    <cellStyle name="Normal 3 2 5 2 6 2 4 3" xfId="36004"/>
    <cellStyle name="Normal 3 2 5 2 6 2 5" xfId="20112"/>
    <cellStyle name="Normal 3 2 5 2 6 2 5 2" xfId="42647"/>
    <cellStyle name="Normal 3 2 5 2 6 2 6" xfId="29372"/>
    <cellStyle name="Normal 3 2 5 2 6 3" xfId="6625"/>
    <cellStyle name="Normal 3 2 5 2 6 3 2" xfId="9957"/>
    <cellStyle name="Normal 3 2 5 2 6 3 2 2" xfId="16661"/>
    <cellStyle name="Normal 3 2 5 2 6 3 2 2 2" xfId="40082"/>
    <cellStyle name="Normal 3 2 5 2 6 3 2 3" xfId="33450"/>
    <cellStyle name="Normal 3 2 5 2 6 3 3" xfId="13345"/>
    <cellStyle name="Normal 3 2 5 2 6 3 3 2" xfId="36766"/>
    <cellStyle name="Normal 3 2 5 2 6 3 4" xfId="20541"/>
    <cellStyle name="Normal 3 2 5 2 6 3 4 2" xfId="42994"/>
    <cellStyle name="Normal 3 2 5 2 6 3 5" xfId="30134"/>
    <cellStyle name="Normal 3 2 5 2 6 4" xfId="8291"/>
    <cellStyle name="Normal 3 2 5 2 6 4 2" xfId="15003"/>
    <cellStyle name="Normal 3 2 5 2 6 4 2 2" xfId="38424"/>
    <cellStyle name="Normal 3 2 5 2 6 4 3" xfId="21098"/>
    <cellStyle name="Normal 3 2 5 2 6 4 3 2" xfId="43549"/>
    <cellStyle name="Normal 3 2 5 2 6 4 4" xfId="31792"/>
    <cellStyle name="Normal 3 2 5 2 6 5" xfId="11685"/>
    <cellStyle name="Normal 3 2 5 2 6 5 2" xfId="22123"/>
    <cellStyle name="Normal 3 2 5 2 6 5 2 2" xfId="44547"/>
    <cellStyle name="Normal 3 2 5 2 6 5 3" xfId="35108"/>
    <cellStyle name="Normal 3 2 5 2 6 6" xfId="19262"/>
    <cellStyle name="Normal 3 2 5 2 6 6 2" xfId="41815"/>
    <cellStyle name="Normal 3 2 5 2 6 7" xfId="28476"/>
    <cellStyle name="Normal 3 2 5 2 7" xfId="4018"/>
    <cellStyle name="Normal 3 2 5 2 7 2" xfId="7048"/>
    <cellStyle name="Normal 3 2 5 2 7 2 2" xfId="10380"/>
    <cellStyle name="Normal 3 2 5 2 7 2 2 2" xfId="17084"/>
    <cellStyle name="Normal 3 2 5 2 7 2 2 2 2" xfId="40505"/>
    <cellStyle name="Normal 3 2 5 2 7 2 2 3" xfId="33873"/>
    <cellStyle name="Normal 3 2 5 2 7 2 3" xfId="13768"/>
    <cellStyle name="Normal 3 2 5 2 7 2 3 2" xfId="37189"/>
    <cellStyle name="Normal 3 2 5 2 7 2 4" xfId="20590"/>
    <cellStyle name="Normal 3 2 5 2 7 2 4 2" xfId="43042"/>
    <cellStyle name="Normal 3 2 5 2 7 2 5" xfId="30557"/>
    <cellStyle name="Normal 3 2 5 2 7 3" xfId="8715"/>
    <cellStyle name="Normal 3 2 5 2 7 3 2" xfId="15426"/>
    <cellStyle name="Normal 3 2 5 2 7 3 2 2" xfId="38847"/>
    <cellStyle name="Normal 3 2 5 2 7 3 3" xfId="21333"/>
    <cellStyle name="Normal 3 2 5 2 7 3 3 2" xfId="43784"/>
    <cellStyle name="Normal 3 2 5 2 7 3 4" xfId="32215"/>
    <cellStyle name="Normal 3 2 5 2 7 4" xfId="12108"/>
    <cellStyle name="Normal 3 2 5 2 7 4 2" xfId="22536"/>
    <cellStyle name="Normal 3 2 5 2 7 4 2 2" xfId="44958"/>
    <cellStyle name="Normal 3 2 5 2 7 4 3" xfId="35531"/>
    <cellStyle name="Normal 3 2 5 2 7 5" xfId="19694"/>
    <cellStyle name="Normal 3 2 5 2 7 5 2" xfId="42231"/>
    <cellStyle name="Normal 3 2 5 2 7 6" xfId="28899"/>
    <cellStyle name="Normal 3 2 5 2 8" xfId="6152"/>
    <cellStyle name="Normal 3 2 5 2 8 2" xfId="9486"/>
    <cellStyle name="Normal 3 2 5 2 8 2 2" xfId="16190"/>
    <cellStyle name="Normal 3 2 5 2 8 2 2 2" xfId="39611"/>
    <cellStyle name="Normal 3 2 5 2 8 2 3" xfId="32979"/>
    <cellStyle name="Normal 3 2 5 2 8 3" xfId="12874"/>
    <cellStyle name="Normal 3 2 5 2 8 3 2" xfId="36295"/>
    <cellStyle name="Normal 3 2 5 2 8 4" xfId="19137"/>
    <cellStyle name="Normal 3 2 5 2 8 4 2" xfId="41703"/>
    <cellStyle name="Normal 3 2 5 2 8 5" xfId="29663"/>
    <cellStyle name="Normal 3 2 5 2 9" xfId="7818"/>
    <cellStyle name="Normal 3 2 5 2 9 2" xfId="14532"/>
    <cellStyle name="Normal 3 2 5 2 9 2 2" xfId="37953"/>
    <cellStyle name="Normal 3 2 5 2 9 3" xfId="20874"/>
    <cellStyle name="Normal 3 2 5 2 9 3 2" xfId="43325"/>
    <cellStyle name="Normal 3 2 5 2 9 4" xfId="31321"/>
    <cellStyle name="Normal 3 2 5 3" xfId="1477"/>
    <cellStyle name="Normal 3 2 5 3 10" xfId="18080"/>
    <cellStyle name="Normal 3 2 5 3 10 2" xfId="41370"/>
    <cellStyle name="Normal 3 2 5 3 11" xfId="23671"/>
    <cellStyle name="Normal 3 2 5 3 11 2" xfId="45961"/>
    <cellStyle name="Normal 3 2 5 3 12" xfId="28013"/>
    <cellStyle name="Normal 3 2 5 3 2" xfId="1662"/>
    <cellStyle name="Normal 3 2 5 3 2 10" xfId="23672"/>
    <cellStyle name="Normal 3 2 5 3 2 10 2" xfId="45962"/>
    <cellStyle name="Normal 3 2 5 3 2 11" xfId="28082"/>
    <cellStyle name="Normal 3 2 5 3 2 2" xfId="1861"/>
    <cellStyle name="Normal 3 2 5 3 2 2 10" xfId="28213"/>
    <cellStyle name="Normal 3 2 5 3 2 2 2" xfId="2333"/>
    <cellStyle name="Normal 3 2 5 3 2 2 2 2" xfId="5581"/>
    <cellStyle name="Normal 3 2 5 3 2 2 2 2 2" xfId="7405"/>
    <cellStyle name="Normal 3 2 5 3 2 2 2 2 2 2" xfId="10736"/>
    <cellStyle name="Normal 3 2 5 3 2 2 2 2 2 2 2" xfId="17440"/>
    <cellStyle name="Normal 3 2 5 3 2 2 2 2 2 2 2 2" xfId="40861"/>
    <cellStyle name="Normal 3 2 5 3 2 2 2 2 2 2 3" xfId="23156"/>
    <cellStyle name="Normal 3 2 5 3 2 2 2 2 2 2 3 2" xfId="45578"/>
    <cellStyle name="Normal 3 2 5 3 2 2 2 2 2 2 4" xfId="34229"/>
    <cellStyle name="Normal 3 2 5 3 2 2 2 2 2 3" xfId="14124"/>
    <cellStyle name="Normal 3 2 5 3 2 2 2 2 2 3 2" xfId="37545"/>
    <cellStyle name="Normal 3 2 5 3 2 2 2 2 2 4" xfId="20330"/>
    <cellStyle name="Normal 3 2 5 3 2 2 2 2 2 4 2" xfId="42865"/>
    <cellStyle name="Normal 3 2 5 3 2 2 2 2 2 5" xfId="30913"/>
    <cellStyle name="Normal 3 2 5 3 2 2 2 2 3" xfId="9078"/>
    <cellStyle name="Normal 3 2 5 3 2 2 2 2 3 2" xfId="15782"/>
    <cellStyle name="Normal 3 2 5 3 2 2 2 2 3 2 2" xfId="39203"/>
    <cellStyle name="Normal 3 2 5 3 2 2 2 2 3 3" xfId="21352"/>
    <cellStyle name="Normal 3 2 5 3 2 2 2 2 3 3 2" xfId="43803"/>
    <cellStyle name="Normal 3 2 5 3 2 2 2 2 3 4" xfId="32571"/>
    <cellStyle name="Normal 3 2 5 3 2 2 2 2 4" xfId="12466"/>
    <cellStyle name="Normal 3 2 5 3 2 2 2 2 4 2" xfId="22343"/>
    <cellStyle name="Normal 3 2 5 3 2 2 2 2 4 2 2" xfId="44765"/>
    <cellStyle name="Normal 3 2 5 3 2 2 2 2 4 3" xfId="35887"/>
    <cellStyle name="Normal 3 2 5 3 2 2 2 2 5" xfId="19491"/>
    <cellStyle name="Normal 3 2 5 3 2 2 2 2 5 2" xfId="42033"/>
    <cellStyle name="Normal 3 2 5 3 2 2 2 2 6" xfId="29255"/>
    <cellStyle name="Normal 3 2 5 3 2 2 2 3" xfId="6502"/>
    <cellStyle name="Normal 3 2 5 3 2 2 2 3 2" xfId="9836"/>
    <cellStyle name="Normal 3 2 5 3 2 2 2 3 2 2" xfId="16540"/>
    <cellStyle name="Normal 3 2 5 3 2 2 2 3 2 2 2" xfId="39961"/>
    <cellStyle name="Normal 3 2 5 3 2 2 2 3 2 3" xfId="22750"/>
    <cellStyle name="Normal 3 2 5 3 2 2 2 3 2 3 2" xfId="45172"/>
    <cellStyle name="Normal 3 2 5 3 2 2 2 3 2 4" xfId="33329"/>
    <cellStyle name="Normal 3 2 5 3 2 2 2 3 3" xfId="13224"/>
    <cellStyle name="Normal 3 2 5 3 2 2 2 3 3 2" xfId="36645"/>
    <cellStyle name="Normal 3 2 5 3 2 2 2 3 4" xfId="19914"/>
    <cellStyle name="Normal 3 2 5 3 2 2 2 3 4 2" xfId="42449"/>
    <cellStyle name="Normal 3 2 5 3 2 2 2 3 5" xfId="30013"/>
    <cellStyle name="Normal 3 2 5 3 2 2 2 4" xfId="8169"/>
    <cellStyle name="Normal 3 2 5 3 2 2 2 4 2" xfId="14882"/>
    <cellStyle name="Normal 3 2 5 3 2 2 2 4 2 2" xfId="38303"/>
    <cellStyle name="Normal 3 2 5 3 2 2 2 4 3" xfId="20893"/>
    <cellStyle name="Normal 3 2 5 3 2 2 2 4 3 2" xfId="43344"/>
    <cellStyle name="Normal 3 2 5 3 2 2 2 4 4" xfId="31671"/>
    <cellStyle name="Normal 3 2 5 3 2 2 2 5" xfId="11564"/>
    <cellStyle name="Normal 3 2 5 3 2 2 2 5 2" xfId="21918"/>
    <cellStyle name="Normal 3 2 5 3 2 2 2 5 2 2" xfId="44351"/>
    <cellStyle name="Normal 3 2 5 3 2 2 2 5 3" xfId="34987"/>
    <cellStyle name="Normal 3 2 5 3 2 2 2 6" xfId="18766"/>
    <cellStyle name="Normal 3 2 5 3 2 2 2 6 2" xfId="41608"/>
    <cellStyle name="Normal 3 2 5 3 2 2 2 7" xfId="25909"/>
    <cellStyle name="Normal 3 2 5 3 2 2 2 7 2" xfId="48154"/>
    <cellStyle name="Normal 3 2 5 3 2 2 2 8" xfId="28355"/>
    <cellStyle name="Normal 3 2 5 3 2 2 3" xfId="2858"/>
    <cellStyle name="Normal 3 2 5 3 2 2 3 2" xfId="5950"/>
    <cellStyle name="Normal 3 2 5 3 2 2 3 2 2" xfId="7732"/>
    <cellStyle name="Normal 3 2 5 3 2 2 3 2 2 2" xfId="11061"/>
    <cellStyle name="Normal 3 2 5 3 2 2 3 2 2 2 2" xfId="17765"/>
    <cellStyle name="Normal 3 2 5 3 2 2 3 2 2 2 2 2" xfId="41186"/>
    <cellStyle name="Normal 3 2 5 3 2 2 3 2 2 2 3" xfId="34554"/>
    <cellStyle name="Normal 3 2 5 3 2 2 3 2 2 3" xfId="14449"/>
    <cellStyle name="Normal 3 2 5 3 2 2 3 2 2 3 2" xfId="37870"/>
    <cellStyle name="Normal 3 2 5 3 2 2 3 2 2 4" xfId="22952"/>
    <cellStyle name="Normal 3 2 5 3 2 2 3 2 2 4 2" xfId="45374"/>
    <cellStyle name="Normal 3 2 5 3 2 2 3 2 2 5" xfId="31238"/>
    <cellStyle name="Normal 3 2 5 3 2 2 3 2 3" xfId="9403"/>
    <cellStyle name="Normal 3 2 5 3 2 2 3 2 3 2" xfId="16107"/>
    <cellStyle name="Normal 3 2 5 3 2 2 3 2 3 2 2" xfId="39528"/>
    <cellStyle name="Normal 3 2 5 3 2 2 3 2 3 3" xfId="32896"/>
    <cellStyle name="Normal 3 2 5 3 2 2 3 2 4" xfId="12791"/>
    <cellStyle name="Normal 3 2 5 3 2 2 3 2 4 2" xfId="36212"/>
    <cellStyle name="Normal 3 2 5 3 2 2 3 2 5" xfId="20122"/>
    <cellStyle name="Normal 3 2 5 3 2 2 3 2 5 2" xfId="42657"/>
    <cellStyle name="Normal 3 2 5 3 2 2 3 2 6" xfId="29580"/>
    <cellStyle name="Normal 3 2 5 3 2 2 3 3" xfId="6833"/>
    <cellStyle name="Normal 3 2 5 3 2 2 3 3 2" xfId="10165"/>
    <cellStyle name="Normal 3 2 5 3 2 2 3 3 2 2" xfId="16869"/>
    <cellStyle name="Normal 3 2 5 3 2 2 3 3 2 2 2" xfId="40290"/>
    <cellStyle name="Normal 3 2 5 3 2 2 3 3 2 3" xfId="33658"/>
    <cellStyle name="Normal 3 2 5 3 2 2 3 3 3" xfId="13553"/>
    <cellStyle name="Normal 3 2 5 3 2 2 3 3 3 2" xfId="36974"/>
    <cellStyle name="Normal 3 2 5 3 2 2 3 3 4" xfId="21351"/>
    <cellStyle name="Normal 3 2 5 3 2 2 3 3 4 2" xfId="43802"/>
    <cellStyle name="Normal 3 2 5 3 2 2 3 3 5" xfId="30342"/>
    <cellStyle name="Normal 3 2 5 3 2 2 3 4" xfId="8499"/>
    <cellStyle name="Normal 3 2 5 3 2 2 3 4 2" xfId="15211"/>
    <cellStyle name="Normal 3 2 5 3 2 2 3 4 2 2" xfId="38632"/>
    <cellStyle name="Normal 3 2 5 3 2 2 3 4 3" xfId="22133"/>
    <cellStyle name="Normal 3 2 5 3 2 2 3 4 3 2" xfId="44557"/>
    <cellStyle name="Normal 3 2 5 3 2 2 3 4 4" xfId="32000"/>
    <cellStyle name="Normal 3 2 5 3 2 2 3 5" xfId="11893"/>
    <cellStyle name="Normal 3 2 5 3 2 2 3 5 2" xfId="35316"/>
    <cellStyle name="Normal 3 2 5 3 2 2 3 6" xfId="19272"/>
    <cellStyle name="Normal 3 2 5 3 2 2 3 6 2" xfId="41825"/>
    <cellStyle name="Normal 3 2 5 3 2 2 3 7" xfId="28684"/>
    <cellStyle name="Normal 3 2 5 3 2 2 4" xfId="4028"/>
    <cellStyle name="Normal 3 2 5 3 2 2 4 2" xfId="7058"/>
    <cellStyle name="Normal 3 2 5 3 2 2 4 2 2" xfId="10390"/>
    <cellStyle name="Normal 3 2 5 3 2 2 4 2 2 2" xfId="17094"/>
    <cellStyle name="Normal 3 2 5 3 2 2 4 2 2 2 2" xfId="40515"/>
    <cellStyle name="Normal 3 2 5 3 2 2 4 2 2 3" xfId="33883"/>
    <cellStyle name="Normal 3 2 5 3 2 2 4 2 3" xfId="13778"/>
    <cellStyle name="Normal 3 2 5 3 2 2 4 2 3 2" xfId="37199"/>
    <cellStyle name="Normal 3 2 5 3 2 2 4 2 4" xfId="22546"/>
    <cellStyle name="Normal 3 2 5 3 2 2 4 2 4 2" xfId="44968"/>
    <cellStyle name="Normal 3 2 5 3 2 2 4 2 5" xfId="30567"/>
    <cellStyle name="Normal 3 2 5 3 2 2 4 3" xfId="8725"/>
    <cellStyle name="Normal 3 2 5 3 2 2 4 3 2" xfId="15436"/>
    <cellStyle name="Normal 3 2 5 3 2 2 4 3 2 2" xfId="38857"/>
    <cellStyle name="Normal 3 2 5 3 2 2 4 3 3" xfId="32225"/>
    <cellStyle name="Normal 3 2 5 3 2 2 4 4" xfId="12118"/>
    <cellStyle name="Normal 3 2 5 3 2 2 4 4 2" xfId="35541"/>
    <cellStyle name="Normal 3 2 5 3 2 2 4 5" xfId="19704"/>
    <cellStyle name="Normal 3 2 5 3 2 2 4 5 2" xfId="42241"/>
    <cellStyle name="Normal 3 2 5 3 2 2 4 6" xfId="28909"/>
    <cellStyle name="Normal 3 2 5 3 2 2 5" xfId="6360"/>
    <cellStyle name="Normal 3 2 5 3 2 2 5 2" xfId="9694"/>
    <cellStyle name="Normal 3 2 5 3 2 2 5 2 2" xfId="16398"/>
    <cellStyle name="Normal 3 2 5 3 2 2 5 2 2 2" xfId="39819"/>
    <cellStyle name="Normal 3 2 5 3 2 2 5 2 3" xfId="33187"/>
    <cellStyle name="Normal 3 2 5 3 2 2 5 3" xfId="13082"/>
    <cellStyle name="Normal 3 2 5 3 2 2 5 3 2" xfId="36503"/>
    <cellStyle name="Normal 3 2 5 3 2 2 5 4" xfId="20892"/>
    <cellStyle name="Normal 3 2 5 3 2 2 5 4 2" xfId="43343"/>
    <cellStyle name="Normal 3 2 5 3 2 2 5 5" xfId="29871"/>
    <cellStyle name="Normal 3 2 5 3 2 2 6" xfId="8026"/>
    <cellStyle name="Normal 3 2 5 3 2 2 6 2" xfId="14740"/>
    <cellStyle name="Normal 3 2 5 3 2 2 6 2 2" xfId="38161"/>
    <cellStyle name="Normal 3 2 5 3 2 2 6 3" xfId="21696"/>
    <cellStyle name="Normal 3 2 5 3 2 2 6 3 2" xfId="44145"/>
    <cellStyle name="Normal 3 2 5 3 2 2 6 4" xfId="31529"/>
    <cellStyle name="Normal 3 2 5 3 2 2 7" xfId="11422"/>
    <cellStyle name="Normal 3 2 5 3 2 2 7 2" xfId="34845"/>
    <cellStyle name="Normal 3 2 5 3 2 2 8" xfId="18082"/>
    <cellStyle name="Normal 3 2 5 3 2 2 8 2" xfId="41372"/>
    <cellStyle name="Normal 3 2 5 3 2 2 9" xfId="23673"/>
    <cellStyle name="Normal 3 2 5 3 2 2 9 2" xfId="45963"/>
    <cellStyle name="Normal 3 2 5 3 2 3" xfId="2332"/>
    <cellStyle name="Normal 3 2 5 3 2 3 2" xfId="5580"/>
    <cellStyle name="Normal 3 2 5 3 2 3 2 2" xfId="7404"/>
    <cellStyle name="Normal 3 2 5 3 2 3 2 2 2" xfId="10735"/>
    <cellStyle name="Normal 3 2 5 3 2 3 2 2 2 2" xfId="17439"/>
    <cellStyle name="Normal 3 2 5 3 2 3 2 2 2 2 2" xfId="40860"/>
    <cellStyle name="Normal 3 2 5 3 2 3 2 2 2 3" xfId="23155"/>
    <cellStyle name="Normal 3 2 5 3 2 3 2 2 2 3 2" xfId="45577"/>
    <cellStyle name="Normal 3 2 5 3 2 3 2 2 2 4" xfId="34228"/>
    <cellStyle name="Normal 3 2 5 3 2 3 2 2 3" xfId="14123"/>
    <cellStyle name="Normal 3 2 5 3 2 3 2 2 3 2" xfId="37544"/>
    <cellStyle name="Normal 3 2 5 3 2 3 2 2 4" xfId="20329"/>
    <cellStyle name="Normal 3 2 5 3 2 3 2 2 4 2" xfId="42864"/>
    <cellStyle name="Normal 3 2 5 3 2 3 2 2 5" xfId="30912"/>
    <cellStyle name="Normal 3 2 5 3 2 3 2 3" xfId="9077"/>
    <cellStyle name="Normal 3 2 5 3 2 3 2 3 2" xfId="15781"/>
    <cellStyle name="Normal 3 2 5 3 2 3 2 3 2 2" xfId="39202"/>
    <cellStyle name="Normal 3 2 5 3 2 3 2 3 3" xfId="21353"/>
    <cellStyle name="Normal 3 2 5 3 2 3 2 3 3 2" xfId="43804"/>
    <cellStyle name="Normal 3 2 5 3 2 3 2 3 4" xfId="32570"/>
    <cellStyle name="Normal 3 2 5 3 2 3 2 4" xfId="12465"/>
    <cellStyle name="Normal 3 2 5 3 2 3 2 4 2" xfId="22342"/>
    <cellStyle name="Normal 3 2 5 3 2 3 2 4 2 2" xfId="44764"/>
    <cellStyle name="Normal 3 2 5 3 2 3 2 4 3" xfId="35886"/>
    <cellStyle name="Normal 3 2 5 3 2 3 2 5" xfId="19490"/>
    <cellStyle name="Normal 3 2 5 3 2 3 2 5 2" xfId="42032"/>
    <cellStyle name="Normal 3 2 5 3 2 3 2 6" xfId="29254"/>
    <cellStyle name="Normal 3 2 5 3 2 3 3" xfId="6501"/>
    <cellStyle name="Normal 3 2 5 3 2 3 3 2" xfId="9835"/>
    <cellStyle name="Normal 3 2 5 3 2 3 3 2 2" xfId="16539"/>
    <cellStyle name="Normal 3 2 5 3 2 3 3 2 2 2" xfId="39960"/>
    <cellStyle name="Normal 3 2 5 3 2 3 3 2 3" xfId="22749"/>
    <cellStyle name="Normal 3 2 5 3 2 3 3 2 3 2" xfId="45171"/>
    <cellStyle name="Normal 3 2 5 3 2 3 3 2 4" xfId="33328"/>
    <cellStyle name="Normal 3 2 5 3 2 3 3 3" xfId="13223"/>
    <cellStyle name="Normal 3 2 5 3 2 3 3 3 2" xfId="36644"/>
    <cellStyle name="Normal 3 2 5 3 2 3 3 4" xfId="19913"/>
    <cellStyle name="Normal 3 2 5 3 2 3 3 4 2" xfId="42448"/>
    <cellStyle name="Normal 3 2 5 3 2 3 3 5" xfId="30012"/>
    <cellStyle name="Normal 3 2 5 3 2 3 4" xfId="8168"/>
    <cellStyle name="Normal 3 2 5 3 2 3 4 2" xfId="14881"/>
    <cellStyle name="Normal 3 2 5 3 2 3 4 2 2" xfId="38302"/>
    <cellStyle name="Normal 3 2 5 3 2 3 4 3" xfId="20894"/>
    <cellStyle name="Normal 3 2 5 3 2 3 4 3 2" xfId="43345"/>
    <cellStyle name="Normal 3 2 5 3 2 3 4 4" xfId="31670"/>
    <cellStyle name="Normal 3 2 5 3 2 3 5" xfId="11563"/>
    <cellStyle name="Normal 3 2 5 3 2 3 5 2" xfId="21917"/>
    <cellStyle name="Normal 3 2 5 3 2 3 5 2 2" xfId="44350"/>
    <cellStyle name="Normal 3 2 5 3 2 3 5 3" xfId="34986"/>
    <cellStyle name="Normal 3 2 5 3 2 3 6" xfId="18765"/>
    <cellStyle name="Normal 3 2 5 3 2 3 6 2" xfId="41607"/>
    <cellStyle name="Normal 3 2 5 3 2 3 7" xfId="25908"/>
    <cellStyle name="Normal 3 2 5 3 2 3 7 2" xfId="48153"/>
    <cellStyle name="Normal 3 2 5 3 2 3 8" xfId="28354"/>
    <cellStyle name="Normal 3 2 5 3 2 4" xfId="2726"/>
    <cellStyle name="Normal 3 2 5 3 2 4 2" xfId="5819"/>
    <cellStyle name="Normal 3 2 5 3 2 4 2 2" xfId="7601"/>
    <cellStyle name="Normal 3 2 5 3 2 4 2 2 2" xfId="10930"/>
    <cellStyle name="Normal 3 2 5 3 2 4 2 2 2 2" xfId="17634"/>
    <cellStyle name="Normal 3 2 5 3 2 4 2 2 2 2 2" xfId="41055"/>
    <cellStyle name="Normal 3 2 5 3 2 4 2 2 2 3" xfId="34423"/>
    <cellStyle name="Normal 3 2 5 3 2 4 2 2 3" xfId="14318"/>
    <cellStyle name="Normal 3 2 5 3 2 4 2 2 3 2" xfId="37739"/>
    <cellStyle name="Normal 3 2 5 3 2 4 2 2 4" xfId="22951"/>
    <cellStyle name="Normal 3 2 5 3 2 4 2 2 4 2" xfId="45373"/>
    <cellStyle name="Normal 3 2 5 3 2 4 2 2 5" xfId="31107"/>
    <cellStyle name="Normal 3 2 5 3 2 4 2 3" xfId="9272"/>
    <cellStyle name="Normal 3 2 5 3 2 4 2 3 2" xfId="15976"/>
    <cellStyle name="Normal 3 2 5 3 2 4 2 3 2 2" xfId="39397"/>
    <cellStyle name="Normal 3 2 5 3 2 4 2 3 3" xfId="32765"/>
    <cellStyle name="Normal 3 2 5 3 2 4 2 4" xfId="12660"/>
    <cellStyle name="Normal 3 2 5 3 2 4 2 4 2" xfId="36081"/>
    <cellStyle name="Normal 3 2 5 3 2 4 2 5" xfId="20121"/>
    <cellStyle name="Normal 3 2 5 3 2 4 2 5 2" xfId="42656"/>
    <cellStyle name="Normal 3 2 5 3 2 4 2 6" xfId="29449"/>
    <cellStyle name="Normal 3 2 5 3 2 4 3" xfId="6702"/>
    <cellStyle name="Normal 3 2 5 3 2 4 3 2" xfId="10034"/>
    <cellStyle name="Normal 3 2 5 3 2 4 3 2 2" xfId="16738"/>
    <cellStyle name="Normal 3 2 5 3 2 4 3 2 2 2" xfId="40159"/>
    <cellStyle name="Normal 3 2 5 3 2 4 3 2 3" xfId="33527"/>
    <cellStyle name="Normal 3 2 5 3 2 4 3 3" xfId="13422"/>
    <cellStyle name="Normal 3 2 5 3 2 4 3 3 2" xfId="36843"/>
    <cellStyle name="Normal 3 2 5 3 2 4 3 4" xfId="21350"/>
    <cellStyle name="Normal 3 2 5 3 2 4 3 4 2" xfId="43801"/>
    <cellStyle name="Normal 3 2 5 3 2 4 3 5" xfId="30211"/>
    <cellStyle name="Normal 3 2 5 3 2 4 4" xfId="8368"/>
    <cellStyle name="Normal 3 2 5 3 2 4 4 2" xfId="15080"/>
    <cellStyle name="Normal 3 2 5 3 2 4 4 2 2" xfId="38501"/>
    <cellStyle name="Normal 3 2 5 3 2 4 4 3" xfId="22132"/>
    <cellStyle name="Normal 3 2 5 3 2 4 4 3 2" xfId="44556"/>
    <cellStyle name="Normal 3 2 5 3 2 4 4 4" xfId="31869"/>
    <cellStyle name="Normal 3 2 5 3 2 4 5" xfId="11762"/>
    <cellStyle name="Normal 3 2 5 3 2 4 5 2" xfId="35185"/>
    <cellStyle name="Normal 3 2 5 3 2 4 6" xfId="19271"/>
    <cellStyle name="Normal 3 2 5 3 2 4 6 2" xfId="41824"/>
    <cellStyle name="Normal 3 2 5 3 2 4 7" xfId="28553"/>
    <cellStyle name="Normal 3 2 5 3 2 5" xfId="4027"/>
    <cellStyle name="Normal 3 2 5 3 2 5 2" xfId="7057"/>
    <cellStyle name="Normal 3 2 5 3 2 5 2 2" xfId="10389"/>
    <cellStyle name="Normal 3 2 5 3 2 5 2 2 2" xfId="17093"/>
    <cellStyle name="Normal 3 2 5 3 2 5 2 2 2 2" xfId="40514"/>
    <cellStyle name="Normal 3 2 5 3 2 5 2 2 3" xfId="33882"/>
    <cellStyle name="Normal 3 2 5 3 2 5 2 3" xfId="13777"/>
    <cellStyle name="Normal 3 2 5 3 2 5 2 3 2" xfId="37198"/>
    <cellStyle name="Normal 3 2 5 3 2 5 2 4" xfId="22545"/>
    <cellStyle name="Normal 3 2 5 3 2 5 2 4 2" xfId="44967"/>
    <cellStyle name="Normal 3 2 5 3 2 5 2 5" xfId="30566"/>
    <cellStyle name="Normal 3 2 5 3 2 5 3" xfId="8724"/>
    <cellStyle name="Normal 3 2 5 3 2 5 3 2" xfId="15435"/>
    <cellStyle name="Normal 3 2 5 3 2 5 3 2 2" xfId="38856"/>
    <cellStyle name="Normal 3 2 5 3 2 5 3 3" xfId="32224"/>
    <cellStyle name="Normal 3 2 5 3 2 5 4" xfId="12117"/>
    <cellStyle name="Normal 3 2 5 3 2 5 4 2" xfId="35540"/>
    <cellStyle name="Normal 3 2 5 3 2 5 5" xfId="19703"/>
    <cellStyle name="Normal 3 2 5 3 2 5 5 2" xfId="42240"/>
    <cellStyle name="Normal 3 2 5 3 2 5 6" xfId="28908"/>
    <cellStyle name="Normal 3 2 5 3 2 6" xfId="6229"/>
    <cellStyle name="Normal 3 2 5 3 2 6 2" xfId="9563"/>
    <cellStyle name="Normal 3 2 5 3 2 6 2 2" xfId="16267"/>
    <cellStyle name="Normal 3 2 5 3 2 6 2 2 2" xfId="39688"/>
    <cellStyle name="Normal 3 2 5 3 2 6 2 3" xfId="33056"/>
    <cellStyle name="Normal 3 2 5 3 2 6 3" xfId="12951"/>
    <cellStyle name="Normal 3 2 5 3 2 6 3 2" xfId="36372"/>
    <cellStyle name="Normal 3 2 5 3 2 6 4" xfId="20891"/>
    <cellStyle name="Normal 3 2 5 3 2 6 4 2" xfId="43342"/>
    <cellStyle name="Normal 3 2 5 3 2 6 5" xfId="29740"/>
    <cellStyle name="Normal 3 2 5 3 2 7" xfId="7895"/>
    <cellStyle name="Normal 3 2 5 3 2 7 2" xfId="14609"/>
    <cellStyle name="Normal 3 2 5 3 2 7 2 2" xfId="38030"/>
    <cellStyle name="Normal 3 2 5 3 2 7 3" xfId="21695"/>
    <cellStyle name="Normal 3 2 5 3 2 7 3 2" xfId="44144"/>
    <cellStyle name="Normal 3 2 5 3 2 7 4" xfId="31398"/>
    <cellStyle name="Normal 3 2 5 3 2 8" xfId="11291"/>
    <cellStyle name="Normal 3 2 5 3 2 8 2" xfId="34714"/>
    <cellStyle name="Normal 3 2 5 3 2 9" xfId="18081"/>
    <cellStyle name="Normal 3 2 5 3 2 9 2" xfId="41371"/>
    <cellStyle name="Normal 3 2 5 3 3" xfId="1792"/>
    <cellStyle name="Normal 3 2 5 3 3 10" xfId="28144"/>
    <cellStyle name="Normal 3 2 5 3 3 2" xfId="2334"/>
    <cellStyle name="Normal 3 2 5 3 3 2 2" xfId="5582"/>
    <cellStyle name="Normal 3 2 5 3 3 2 2 2" xfId="7406"/>
    <cellStyle name="Normal 3 2 5 3 3 2 2 2 2" xfId="10737"/>
    <cellStyle name="Normal 3 2 5 3 3 2 2 2 2 2" xfId="17441"/>
    <cellStyle name="Normal 3 2 5 3 3 2 2 2 2 2 2" xfId="40862"/>
    <cellStyle name="Normal 3 2 5 3 3 2 2 2 2 3" xfId="23157"/>
    <cellStyle name="Normal 3 2 5 3 3 2 2 2 2 3 2" xfId="45579"/>
    <cellStyle name="Normal 3 2 5 3 3 2 2 2 2 4" xfId="34230"/>
    <cellStyle name="Normal 3 2 5 3 3 2 2 2 3" xfId="14125"/>
    <cellStyle name="Normal 3 2 5 3 3 2 2 2 3 2" xfId="37546"/>
    <cellStyle name="Normal 3 2 5 3 3 2 2 2 4" xfId="20331"/>
    <cellStyle name="Normal 3 2 5 3 3 2 2 2 4 2" xfId="42866"/>
    <cellStyle name="Normal 3 2 5 3 3 2 2 2 5" xfId="30914"/>
    <cellStyle name="Normal 3 2 5 3 3 2 2 3" xfId="9079"/>
    <cellStyle name="Normal 3 2 5 3 3 2 2 3 2" xfId="15783"/>
    <cellStyle name="Normal 3 2 5 3 3 2 2 3 2 2" xfId="39204"/>
    <cellStyle name="Normal 3 2 5 3 3 2 2 3 3" xfId="21355"/>
    <cellStyle name="Normal 3 2 5 3 3 2 2 3 3 2" xfId="43806"/>
    <cellStyle name="Normal 3 2 5 3 3 2 2 3 4" xfId="32572"/>
    <cellStyle name="Normal 3 2 5 3 3 2 2 4" xfId="12467"/>
    <cellStyle name="Normal 3 2 5 3 3 2 2 4 2" xfId="22344"/>
    <cellStyle name="Normal 3 2 5 3 3 2 2 4 2 2" xfId="44766"/>
    <cellStyle name="Normal 3 2 5 3 3 2 2 4 3" xfId="35888"/>
    <cellStyle name="Normal 3 2 5 3 3 2 2 5" xfId="19492"/>
    <cellStyle name="Normal 3 2 5 3 3 2 2 5 2" xfId="42034"/>
    <cellStyle name="Normal 3 2 5 3 3 2 2 6" xfId="29256"/>
    <cellStyle name="Normal 3 2 5 3 3 2 3" xfId="6503"/>
    <cellStyle name="Normal 3 2 5 3 3 2 3 2" xfId="9837"/>
    <cellStyle name="Normal 3 2 5 3 3 2 3 2 2" xfId="16541"/>
    <cellStyle name="Normal 3 2 5 3 3 2 3 2 2 2" xfId="39962"/>
    <cellStyle name="Normal 3 2 5 3 3 2 3 2 3" xfId="22751"/>
    <cellStyle name="Normal 3 2 5 3 3 2 3 2 3 2" xfId="45173"/>
    <cellStyle name="Normal 3 2 5 3 3 2 3 2 4" xfId="33330"/>
    <cellStyle name="Normal 3 2 5 3 3 2 3 3" xfId="13225"/>
    <cellStyle name="Normal 3 2 5 3 3 2 3 3 2" xfId="36646"/>
    <cellStyle name="Normal 3 2 5 3 3 2 3 4" xfId="19915"/>
    <cellStyle name="Normal 3 2 5 3 3 2 3 4 2" xfId="42450"/>
    <cellStyle name="Normal 3 2 5 3 3 2 3 5" xfId="30014"/>
    <cellStyle name="Normal 3 2 5 3 3 2 4" xfId="8170"/>
    <cellStyle name="Normal 3 2 5 3 3 2 4 2" xfId="14883"/>
    <cellStyle name="Normal 3 2 5 3 3 2 4 2 2" xfId="38304"/>
    <cellStyle name="Normal 3 2 5 3 3 2 4 3" xfId="20896"/>
    <cellStyle name="Normal 3 2 5 3 3 2 4 3 2" xfId="43347"/>
    <cellStyle name="Normal 3 2 5 3 3 2 4 4" xfId="31672"/>
    <cellStyle name="Normal 3 2 5 3 3 2 5" xfId="11565"/>
    <cellStyle name="Normal 3 2 5 3 3 2 5 2" xfId="21919"/>
    <cellStyle name="Normal 3 2 5 3 3 2 5 2 2" xfId="44352"/>
    <cellStyle name="Normal 3 2 5 3 3 2 5 3" xfId="34988"/>
    <cellStyle name="Normal 3 2 5 3 3 2 6" xfId="18767"/>
    <cellStyle name="Normal 3 2 5 3 3 2 6 2" xfId="41609"/>
    <cellStyle name="Normal 3 2 5 3 3 2 7" xfId="25910"/>
    <cellStyle name="Normal 3 2 5 3 3 2 7 2" xfId="48155"/>
    <cellStyle name="Normal 3 2 5 3 3 2 8" xfId="28356"/>
    <cellStyle name="Normal 3 2 5 3 3 3" xfId="2789"/>
    <cellStyle name="Normal 3 2 5 3 3 3 2" xfId="5881"/>
    <cellStyle name="Normal 3 2 5 3 3 3 2 2" xfId="7663"/>
    <cellStyle name="Normal 3 2 5 3 3 3 2 2 2" xfId="10992"/>
    <cellStyle name="Normal 3 2 5 3 3 3 2 2 2 2" xfId="17696"/>
    <cellStyle name="Normal 3 2 5 3 3 3 2 2 2 2 2" xfId="41117"/>
    <cellStyle name="Normal 3 2 5 3 3 3 2 2 2 3" xfId="34485"/>
    <cellStyle name="Normal 3 2 5 3 3 3 2 2 3" xfId="14380"/>
    <cellStyle name="Normal 3 2 5 3 3 3 2 2 3 2" xfId="37801"/>
    <cellStyle name="Normal 3 2 5 3 3 3 2 2 4" xfId="22953"/>
    <cellStyle name="Normal 3 2 5 3 3 3 2 2 4 2" xfId="45375"/>
    <cellStyle name="Normal 3 2 5 3 3 3 2 2 5" xfId="31169"/>
    <cellStyle name="Normal 3 2 5 3 3 3 2 3" xfId="9334"/>
    <cellStyle name="Normal 3 2 5 3 3 3 2 3 2" xfId="16038"/>
    <cellStyle name="Normal 3 2 5 3 3 3 2 3 2 2" xfId="39459"/>
    <cellStyle name="Normal 3 2 5 3 3 3 2 3 3" xfId="32827"/>
    <cellStyle name="Normal 3 2 5 3 3 3 2 4" xfId="12722"/>
    <cellStyle name="Normal 3 2 5 3 3 3 2 4 2" xfId="36143"/>
    <cellStyle name="Normal 3 2 5 3 3 3 2 5" xfId="20123"/>
    <cellStyle name="Normal 3 2 5 3 3 3 2 5 2" xfId="42658"/>
    <cellStyle name="Normal 3 2 5 3 3 3 2 6" xfId="29511"/>
    <cellStyle name="Normal 3 2 5 3 3 3 3" xfId="6764"/>
    <cellStyle name="Normal 3 2 5 3 3 3 3 2" xfId="10096"/>
    <cellStyle name="Normal 3 2 5 3 3 3 3 2 2" xfId="16800"/>
    <cellStyle name="Normal 3 2 5 3 3 3 3 2 2 2" xfId="40221"/>
    <cellStyle name="Normal 3 2 5 3 3 3 3 2 3" xfId="33589"/>
    <cellStyle name="Normal 3 2 5 3 3 3 3 3" xfId="13484"/>
    <cellStyle name="Normal 3 2 5 3 3 3 3 3 2" xfId="36905"/>
    <cellStyle name="Normal 3 2 5 3 3 3 3 4" xfId="21354"/>
    <cellStyle name="Normal 3 2 5 3 3 3 3 4 2" xfId="43805"/>
    <cellStyle name="Normal 3 2 5 3 3 3 3 5" xfId="30273"/>
    <cellStyle name="Normal 3 2 5 3 3 3 4" xfId="8430"/>
    <cellStyle name="Normal 3 2 5 3 3 3 4 2" xfId="15142"/>
    <cellStyle name="Normal 3 2 5 3 3 3 4 2 2" xfId="38563"/>
    <cellStyle name="Normal 3 2 5 3 3 3 4 3" xfId="22134"/>
    <cellStyle name="Normal 3 2 5 3 3 3 4 3 2" xfId="44558"/>
    <cellStyle name="Normal 3 2 5 3 3 3 4 4" xfId="31931"/>
    <cellStyle name="Normal 3 2 5 3 3 3 5" xfId="11824"/>
    <cellStyle name="Normal 3 2 5 3 3 3 5 2" xfId="35247"/>
    <cellStyle name="Normal 3 2 5 3 3 3 6" xfId="19273"/>
    <cellStyle name="Normal 3 2 5 3 3 3 6 2" xfId="41826"/>
    <cellStyle name="Normal 3 2 5 3 3 3 7" xfId="28615"/>
    <cellStyle name="Normal 3 2 5 3 3 4" xfId="4029"/>
    <cellStyle name="Normal 3 2 5 3 3 4 2" xfId="7059"/>
    <cellStyle name="Normal 3 2 5 3 3 4 2 2" xfId="10391"/>
    <cellStyle name="Normal 3 2 5 3 3 4 2 2 2" xfId="17095"/>
    <cellStyle name="Normal 3 2 5 3 3 4 2 2 2 2" xfId="40516"/>
    <cellStyle name="Normal 3 2 5 3 3 4 2 2 3" xfId="33884"/>
    <cellStyle name="Normal 3 2 5 3 3 4 2 3" xfId="13779"/>
    <cellStyle name="Normal 3 2 5 3 3 4 2 3 2" xfId="37200"/>
    <cellStyle name="Normal 3 2 5 3 3 4 2 4" xfId="22547"/>
    <cellStyle name="Normal 3 2 5 3 3 4 2 4 2" xfId="44969"/>
    <cellStyle name="Normal 3 2 5 3 3 4 2 5" xfId="30568"/>
    <cellStyle name="Normal 3 2 5 3 3 4 3" xfId="8726"/>
    <cellStyle name="Normal 3 2 5 3 3 4 3 2" xfId="15437"/>
    <cellStyle name="Normal 3 2 5 3 3 4 3 2 2" xfId="38858"/>
    <cellStyle name="Normal 3 2 5 3 3 4 3 3" xfId="32226"/>
    <cellStyle name="Normal 3 2 5 3 3 4 4" xfId="12119"/>
    <cellStyle name="Normal 3 2 5 3 3 4 4 2" xfId="35542"/>
    <cellStyle name="Normal 3 2 5 3 3 4 5" xfId="19705"/>
    <cellStyle name="Normal 3 2 5 3 3 4 5 2" xfId="42242"/>
    <cellStyle name="Normal 3 2 5 3 3 4 6" xfId="28910"/>
    <cellStyle name="Normal 3 2 5 3 3 5" xfId="6291"/>
    <cellStyle name="Normal 3 2 5 3 3 5 2" xfId="9625"/>
    <cellStyle name="Normal 3 2 5 3 3 5 2 2" xfId="16329"/>
    <cellStyle name="Normal 3 2 5 3 3 5 2 2 2" xfId="39750"/>
    <cellStyle name="Normal 3 2 5 3 3 5 2 3" xfId="33118"/>
    <cellStyle name="Normal 3 2 5 3 3 5 3" xfId="13013"/>
    <cellStyle name="Normal 3 2 5 3 3 5 3 2" xfId="36434"/>
    <cellStyle name="Normal 3 2 5 3 3 5 4" xfId="20895"/>
    <cellStyle name="Normal 3 2 5 3 3 5 4 2" xfId="43346"/>
    <cellStyle name="Normal 3 2 5 3 3 5 5" xfId="29802"/>
    <cellStyle name="Normal 3 2 5 3 3 6" xfId="7957"/>
    <cellStyle name="Normal 3 2 5 3 3 6 2" xfId="14671"/>
    <cellStyle name="Normal 3 2 5 3 3 6 2 2" xfId="38092"/>
    <cellStyle name="Normal 3 2 5 3 3 6 3" xfId="21697"/>
    <cellStyle name="Normal 3 2 5 3 3 6 3 2" xfId="44146"/>
    <cellStyle name="Normal 3 2 5 3 3 6 4" xfId="31460"/>
    <cellStyle name="Normal 3 2 5 3 3 7" xfId="11353"/>
    <cellStyle name="Normal 3 2 5 3 3 7 2" xfId="34776"/>
    <cellStyle name="Normal 3 2 5 3 3 8" xfId="18083"/>
    <cellStyle name="Normal 3 2 5 3 3 8 2" xfId="41373"/>
    <cellStyle name="Normal 3 2 5 3 3 9" xfId="23674"/>
    <cellStyle name="Normal 3 2 5 3 3 9 2" xfId="45964"/>
    <cellStyle name="Normal 3 2 5 3 4" xfId="2331"/>
    <cellStyle name="Normal 3 2 5 3 4 2" xfId="5579"/>
    <cellStyle name="Normal 3 2 5 3 4 2 2" xfId="7403"/>
    <cellStyle name="Normal 3 2 5 3 4 2 2 2" xfId="10734"/>
    <cellStyle name="Normal 3 2 5 3 4 2 2 2 2" xfId="17438"/>
    <cellStyle name="Normal 3 2 5 3 4 2 2 2 2 2" xfId="40859"/>
    <cellStyle name="Normal 3 2 5 3 4 2 2 2 3" xfId="23154"/>
    <cellStyle name="Normal 3 2 5 3 4 2 2 2 3 2" xfId="45576"/>
    <cellStyle name="Normal 3 2 5 3 4 2 2 2 4" xfId="34227"/>
    <cellStyle name="Normal 3 2 5 3 4 2 2 3" xfId="14122"/>
    <cellStyle name="Normal 3 2 5 3 4 2 2 3 2" xfId="37543"/>
    <cellStyle name="Normal 3 2 5 3 4 2 2 4" xfId="20328"/>
    <cellStyle name="Normal 3 2 5 3 4 2 2 4 2" xfId="42863"/>
    <cellStyle name="Normal 3 2 5 3 4 2 2 5" xfId="30911"/>
    <cellStyle name="Normal 3 2 5 3 4 2 3" xfId="9076"/>
    <cellStyle name="Normal 3 2 5 3 4 2 3 2" xfId="15780"/>
    <cellStyle name="Normal 3 2 5 3 4 2 3 2 2" xfId="39201"/>
    <cellStyle name="Normal 3 2 5 3 4 2 3 3" xfId="21356"/>
    <cellStyle name="Normal 3 2 5 3 4 2 3 3 2" xfId="43807"/>
    <cellStyle name="Normal 3 2 5 3 4 2 3 4" xfId="32569"/>
    <cellStyle name="Normal 3 2 5 3 4 2 4" xfId="12464"/>
    <cellStyle name="Normal 3 2 5 3 4 2 4 2" xfId="22341"/>
    <cellStyle name="Normal 3 2 5 3 4 2 4 2 2" xfId="44763"/>
    <cellStyle name="Normal 3 2 5 3 4 2 4 3" xfId="35885"/>
    <cellStyle name="Normal 3 2 5 3 4 2 5" xfId="19489"/>
    <cellStyle name="Normal 3 2 5 3 4 2 5 2" xfId="42031"/>
    <cellStyle name="Normal 3 2 5 3 4 2 6" xfId="29253"/>
    <cellStyle name="Normal 3 2 5 3 4 3" xfId="6500"/>
    <cellStyle name="Normal 3 2 5 3 4 3 2" xfId="9834"/>
    <cellStyle name="Normal 3 2 5 3 4 3 2 2" xfId="16538"/>
    <cellStyle name="Normal 3 2 5 3 4 3 2 2 2" xfId="39959"/>
    <cellStyle name="Normal 3 2 5 3 4 3 2 3" xfId="22748"/>
    <cellStyle name="Normal 3 2 5 3 4 3 2 3 2" xfId="45170"/>
    <cellStyle name="Normal 3 2 5 3 4 3 2 4" xfId="33327"/>
    <cellStyle name="Normal 3 2 5 3 4 3 3" xfId="13222"/>
    <cellStyle name="Normal 3 2 5 3 4 3 3 2" xfId="36643"/>
    <cellStyle name="Normal 3 2 5 3 4 3 4" xfId="19912"/>
    <cellStyle name="Normal 3 2 5 3 4 3 4 2" xfId="42447"/>
    <cellStyle name="Normal 3 2 5 3 4 3 5" xfId="30011"/>
    <cellStyle name="Normal 3 2 5 3 4 4" xfId="8167"/>
    <cellStyle name="Normal 3 2 5 3 4 4 2" xfId="14880"/>
    <cellStyle name="Normal 3 2 5 3 4 4 2 2" xfId="38301"/>
    <cellStyle name="Normal 3 2 5 3 4 4 3" xfId="20897"/>
    <cellStyle name="Normal 3 2 5 3 4 4 3 2" xfId="43348"/>
    <cellStyle name="Normal 3 2 5 3 4 4 4" xfId="31669"/>
    <cellStyle name="Normal 3 2 5 3 4 5" xfId="11562"/>
    <cellStyle name="Normal 3 2 5 3 4 5 2" xfId="21916"/>
    <cellStyle name="Normal 3 2 5 3 4 5 2 2" xfId="44349"/>
    <cellStyle name="Normal 3 2 5 3 4 5 3" xfId="34985"/>
    <cellStyle name="Normal 3 2 5 3 4 6" xfId="18764"/>
    <cellStyle name="Normal 3 2 5 3 4 6 2" xfId="41606"/>
    <cellStyle name="Normal 3 2 5 3 4 7" xfId="25907"/>
    <cellStyle name="Normal 3 2 5 3 4 7 2" xfId="48152"/>
    <cellStyle name="Normal 3 2 5 3 4 8" xfId="28353"/>
    <cellStyle name="Normal 3 2 5 3 5" xfId="2657"/>
    <cellStyle name="Normal 3 2 5 3 5 2" xfId="5750"/>
    <cellStyle name="Normal 3 2 5 3 5 2 2" xfId="7532"/>
    <cellStyle name="Normal 3 2 5 3 5 2 2 2" xfId="10861"/>
    <cellStyle name="Normal 3 2 5 3 5 2 2 2 2" xfId="17565"/>
    <cellStyle name="Normal 3 2 5 3 5 2 2 2 2 2" xfId="40986"/>
    <cellStyle name="Normal 3 2 5 3 5 2 2 2 3" xfId="34354"/>
    <cellStyle name="Normal 3 2 5 3 5 2 2 3" xfId="14249"/>
    <cellStyle name="Normal 3 2 5 3 5 2 2 3 2" xfId="37670"/>
    <cellStyle name="Normal 3 2 5 3 5 2 2 4" xfId="20641"/>
    <cellStyle name="Normal 3 2 5 3 5 2 2 4 2" xfId="43092"/>
    <cellStyle name="Normal 3 2 5 3 5 2 2 5" xfId="31038"/>
    <cellStyle name="Normal 3 2 5 3 5 2 3" xfId="9203"/>
    <cellStyle name="Normal 3 2 5 3 5 2 3 2" xfId="15907"/>
    <cellStyle name="Normal 3 2 5 3 5 2 3 2 2" xfId="39328"/>
    <cellStyle name="Normal 3 2 5 3 5 2 3 3" xfId="21559"/>
    <cellStyle name="Normal 3 2 5 3 5 2 3 3 2" xfId="44010"/>
    <cellStyle name="Normal 3 2 5 3 5 2 3 4" xfId="32696"/>
    <cellStyle name="Normal 3 2 5 3 5 2 4" xfId="12591"/>
    <cellStyle name="Normal 3 2 5 3 5 2 4 2" xfId="22950"/>
    <cellStyle name="Normal 3 2 5 3 5 2 4 2 2" xfId="45372"/>
    <cellStyle name="Normal 3 2 5 3 5 2 4 3" xfId="36012"/>
    <cellStyle name="Normal 3 2 5 3 5 2 5" xfId="20120"/>
    <cellStyle name="Normal 3 2 5 3 5 2 5 2" xfId="42655"/>
    <cellStyle name="Normal 3 2 5 3 5 2 6" xfId="29380"/>
    <cellStyle name="Normal 3 2 5 3 5 3" xfId="6633"/>
    <cellStyle name="Normal 3 2 5 3 5 3 2" xfId="9965"/>
    <cellStyle name="Normal 3 2 5 3 5 3 2 2" xfId="16669"/>
    <cellStyle name="Normal 3 2 5 3 5 3 2 2 2" xfId="40090"/>
    <cellStyle name="Normal 3 2 5 3 5 3 2 3" xfId="33458"/>
    <cellStyle name="Normal 3 2 5 3 5 3 3" xfId="13353"/>
    <cellStyle name="Normal 3 2 5 3 5 3 3 2" xfId="36774"/>
    <cellStyle name="Normal 3 2 5 3 5 3 4" xfId="20543"/>
    <cellStyle name="Normal 3 2 5 3 5 3 4 2" xfId="42996"/>
    <cellStyle name="Normal 3 2 5 3 5 3 5" xfId="30142"/>
    <cellStyle name="Normal 3 2 5 3 5 4" xfId="8299"/>
    <cellStyle name="Normal 3 2 5 3 5 4 2" xfId="15011"/>
    <cellStyle name="Normal 3 2 5 3 5 4 2 2" xfId="38432"/>
    <cellStyle name="Normal 3 2 5 3 5 4 3" xfId="21100"/>
    <cellStyle name="Normal 3 2 5 3 5 4 3 2" xfId="43551"/>
    <cellStyle name="Normal 3 2 5 3 5 4 4" xfId="31800"/>
    <cellStyle name="Normal 3 2 5 3 5 5" xfId="11693"/>
    <cellStyle name="Normal 3 2 5 3 5 5 2" xfId="22131"/>
    <cellStyle name="Normal 3 2 5 3 5 5 2 2" xfId="44555"/>
    <cellStyle name="Normal 3 2 5 3 5 5 3" xfId="35116"/>
    <cellStyle name="Normal 3 2 5 3 5 6" xfId="19270"/>
    <cellStyle name="Normal 3 2 5 3 5 6 2" xfId="41823"/>
    <cellStyle name="Normal 3 2 5 3 5 7" xfId="28484"/>
    <cellStyle name="Normal 3 2 5 3 6" xfId="4026"/>
    <cellStyle name="Normal 3 2 5 3 6 2" xfId="7056"/>
    <cellStyle name="Normal 3 2 5 3 6 2 2" xfId="10388"/>
    <cellStyle name="Normal 3 2 5 3 6 2 2 2" xfId="17092"/>
    <cellStyle name="Normal 3 2 5 3 6 2 2 2 2" xfId="40513"/>
    <cellStyle name="Normal 3 2 5 3 6 2 2 3" xfId="33881"/>
    <cellStyle name="Normal 3 2 5 3 6 2 3" xfId="13776"/>
    <cellStyle name="Normal 3 2 5 3 6 2 3 2" xfId="37197"/>
    <cellStyle name="Normal 3 2 5 3 6 2 4" xfId="20592"/>
    <cellStyle name="Normal 3 2 5 3 6 2 4 2" xfId="43044"/>
    <cellStyle name="Normal 3 2 5 3 6 2 5" xfId="30565"/>
    <cellStyle name="Normal 3 2 5 3 6 3" xfId="8723"/>
    <cellStyle name="Normal 3 2 5 3 6 3 2" xfId="15434"/>
    <cellStyle name="Normal 3 2 5 3 6 3 2 2" xfId="38855"/>
    <cellStyle name="Normal 3 2 5 3 6 3 3" xfId="21349"/>
    <cellStyle name="Normal 3 2 5 3 6 3 3 2" xfId="43800"/>
    <cellStyle name="Normal 3 2 5 3 6 3 4" xfId="32223"/>
    <cellStyle name="Normal 3 2 5 3 6 4" xfId="12116"/>
    <cellStyle name="Normal 3 2 5 3 6 4 2" xfId="22544"/>
    <cellStyle name="Normal 3 2 5 3 6 4 2 2" xfId="44966"/>
    <cellStyle name="Normal 3 2 5 3 6 4 3" xfId="35539"/>
    <cellStyle name="Normal 3 2 5 3 6 5" xfId="19702"/>
    <cellStyle name="Normal 3 2 5 3 6 5 2" xfId="42239"/>
    <cellStyle name="Normal 3 2 5 3 6 6" xfId="28907"/>
    <cellStyle name="Normal 3 2 5 3 7" xfId="6160"/>
    <cellStyle name="Normal 3 2 5 3 7 2" xfId="9494"/>
    <cellStyle name="Normal 3 2 5 3 7 2 2" xfId="16198"/>
    <cellStyle name="Normal 3 2 5 3 7 2 2 2" xfId="39619"/>
    <cellStyle name="Normal 3 2 5 3 7 2 3" xfId="32987"/>
    <cellStyle name="Normal 3 2 5 3 7 3" xfId="12882"/>
    <cellStyle name="Normal 3 2 5 3 7 3 2" xfId="36303"/>
    <cellStyle name="Normal 3 2 5 3 7 4" xfId="18435"/>
    <cellStyle name="Normal 3 2 5 3 7 4 2" xfId="41486"/>
    <cellStyle name="Normal 3 2 5 3 7 5" xfId="29671"/>
    <cellStyle name="Normal 3 2 5 3 8" xfId="7826"/>
    <cellStyle name="Normal 3 2 5 3 8 2" xfId="14540"/>
    <cellStyle name="Normal 3 2 5 3 8 2 2" xfId="37961"/>
    <cellStyle name="Normal 3 2 5 3 8 3" xfId="20890"/>
    <cellStyle name="Normal 3 2 5 3 8 3 2" xfId="43341"/>
    <cellStyle name="Normal 3 2 5 3 8 4" xfId="31329"/>
    <cellStyle name="Normal 3 2 5 3 9" xfId="11222"/>
    <cellStyle name="Normal 3 2 5 3 9 2" xfId="21694"/>
    <cellStyle name="Normal 3 2 5 3 9 2 2" xfId="44143"/>
    <cellStyle name="Normal 3 2 5 3 9 3" xfId="34645"/>
    <cellStyle name="Normal 3 2 5 4" xfId="1659"/>
    <cellStyle name="Normal 3 2 5 4 10" xfId="23675"/>
    <cellStyle name="Normal 3 2 5 4 10 2" xfId="45965"/>
    <cellStyle name="Normal 3 2 5 4 11" xfId="28079"/>
    <cellStyle name="Normal 3 2 5 4 2" xfId="1858"/>
    <cellStyle name="Normal 3 2 5 4 2 10" xfId="28210"/>
    <cellStyle name="Normal 3 2 5 4 2 2" xfId="2336"/>
    <cellStyle name="Normal 3 2 5 4 2 2 2" xfId="5584"/>
    <cellStyle name="Normal 3 2 5 4 2 2 2 2" xfId="7408"/>
    <cellStyle name="Normal 3 2 5 4 2 2 2 2 2" xfId="10739"/>
    <cellStyle name="Normal 3 2 5 4 2 2 2 2 2 2" xfId="17443"/>
    <cellStyle name="Normal 3 2 5 4 2 2 2 2 2 2 2" xfId="40864"/>
    <cellStyle name="Normal 3 2 5 4 2 2 2 2 2 3" xfId="23159"/>
    <cellStyle name="Normal 3 2 5 4 2 2 2 2 2 3 2" xfId="45581"/>
    <cellStyle name="Normal 3 2 5 4 2 2 2 2 2 4" xfId="34232"/>
    <cellStyle name="Normal 3 2 5 4 2 2 2 2 3" xfId="14127"/>
    <cellStyle name="Normal 3 2 5 4 2 2 2 2 3 2" xfId="37548"/>
    <cellStyle name="Normal 3 2 5 4 2 2 2 2 4" xfId="20333"/>
    <cellStyle name="Normal 3 2 5 4 2 2 2 2 4 2" xfId="42868"/>
    <cellStyle name="Normal 3 2 5 4 2 2 2 2 5" xfId="30916"/>
    <cellStyle name="Normal 3 2 5 4 2 2 2 3" xfId="9081"/>
    <cellStyle name="Normal 3 2 5 4 2 2 2 3 2" xfId="15785"/>
    <cellStyle name="Normal 3 2 5 4 2 2 2 3 2 2" xfId="39206"/>
    <cellStyle name="Normal 3 2 5 4 2 2 2 3 3" xfId="21359"/>
    <cellStyle name="Normal 3 2 5 4 2 2 2 3 3 2" xfId="43810"/>
    <cellStyle name="Normal 3 2 5 4 2 2 2 3 4" xfId="32574"/>
    <cellStyle name="Normal 3 2 5 4 2 2 2 4" xfId="12469"/>
    <cellStyle name="Normal 3 2 5 4 2 2 2 4 2" xfId="22346"/>
    <cellStyle name="Normal 3 2 5 4 2 2 2 4 2 2" xfId="44768"/>
    <cellStyle name="Normal 3 2 5 4 2 2 2 4 3" xfId="35890"/>
    <cellStyle name="Normal 3 2 5 4 2 2 2 5" xfId="19494"/>
    <cellStyle name="Normal 3 2 5 4 2 2 2 5 2" xfId="42036"/>
    <cellStyle name="Normal 3 2 5 4 2 2 2 6" xfId="29258"/>
    <cellStyle name="Normal 3 2 5 4 2 2 3" xfId="6505"/>
    <cellStyle name="Normal 3 2 5 4 2 2 3 2" xfId="9839"/>
    <cellStyle name="Normal 3 2 5 4 2 2 3 2 2" xfId="16543"/>
    <cellStyle name="Normal 3 2 5 4 2 2 3 2 2 2" xfId="39964"/>
    <cellStyle name="Normal 3 2 5 4 2 2 3 2 3" xfId="22753"/>
    <cellStyle name="Normal 3 2 5 4 2 2 3 2 3 2" xfId="45175"/>
    <cellStyle name="Normal 3 2 5 4 2 2 3 2 4" xfId="33332"/>
    <cellStyle name="Normal 3 2 5 4 2 2 3 3" xfId="13227"/>
    <cellStyle name="Normal 3 2 5 4 2 2 3 3 2" xfId="36648"/>
    <cellStyle name="Normal 3 2 5 4 2 2 3 4" xfId="19917"/>
    <cellStyle name="Normal 3 2 5 4 2 2 3 4 2" xfId="42452"/>
    <cellStyle name="Normal 3 2 5 4 2 2 3 5" xfId="30016"/>
    <cellStyle name="Normal 3 2 5 4 2 2 4" xfId="8172"/>
    <cellStyle name="Normal 3 2 5 4 2 2 4 2" xfId="14885"/>
    <cellStyle name="Normal 3 2 5 4 2 2 4 2 2" xfId="38306"/>
    <cellStyle name="Normal 3 2 5 4 2 2 4 3" xfId="20900"/>
    <cellStyle name="Normal 3 2 5 4 2 2 4 3 2" xfId="43351"/>
    <cellStyle name="Normal 3 2 5 4 2 2 4 4" xfId="31674"/>
    <cellStyle name="Normal 3 2 5 4 2 2 5" xfId="11567"/>
    <cellStyle name="Normal 3 2 5 4 2 2 5 2" xfId="21921"/>
    <cellStyle name="Normal 3 2 5 4 2 2 5 2 2" xfId="44354"/>
    <cellStyle name="Normal 3 2 5 4 2 2 5 3" xfId="34990"/>
    <cellStyle name="Normal 3 2 5 4 2 2 6" xfId="18769"/>
    <cellStyle name="Normal 3 2 5 4 2 2 6 2" xfId="41611"/>
    <cellStyle name="Normal 3 2 5 4 2 2 7" xfId="25912"/>
    <cellStyle name="Normal 3 2 5 4 2 2 7 2" xfId="48157"/>
    <cellStyle name="Normal 3 2 5 4 2 2 8" xfId="28358"/>
    <cellStyle name="Normal 3 2 5 4 2 3" xfId="2855"/>
    <cellStyle name="Normal 3 2 5 4 2 3 2" xfId="5947"/>
    <cellStyle name="Normal 3 2 5 4 2 3 2 2" xfId="7729"/>
    <cellStyle name="Normal 3 2 5 4 2 3 2 2 2" xfId="11058"/>
    <cellStyle name="Normal 3 2 5 4 2 3 2 2 2 2" xfId="17762"/>
    <cellStyle name="Normal 3 2 5 4 2 3 2 2 2 2 2" xfId="41183"/>
    <cellStyle name="Normal 3 2 5 4 2 3 2 2 2 3" xfId="34551"/>
    <cellStyle name="Normal 3 2 5 4 2 3 2 2 3" xfId="14446"/>
    <cellStyle name="Normal 3 2 5 4 2 3 2 2 3 2" xfId="37867"/>
    <cellStyle name="Normal 3 2 5 4 2 3 2 2 4" xfId="22955"/>
    <cellStyle name="Normal 3 2 5 4 2 3 2 2 4 2" xfId="45377"/>
    <cellStyle name="Normal 3 2 5 4 2 3 2 2 5" xfId="31235"/>
    <cellStyle name="Normal 3 2 5 4 2 3 2 3" xfId="9400"/>
    <cellStyle name="Normal 3 2 5 4 2 3 2 3 2" xfId="16104"/>
    <cellStyle name="Normal 3 2 5 4 2 3 2 3 2 2" xfId="39525"/>
    <cellStyle name="Normal 3 2 5 4 2 3 2 3 3" xfId="32893"/>
    <cellStyle name="Normal 3 2 5 4 2 3 2 4" xfId="12788"/>
    <cellStyle name="Normal 3 2 5 4 2 3 2 4 2" xfId="36209"/>
    <cellStyle name="Normal 3 2 5 4 2 3 2 5" xfId="20125"/>
    <cellStyle name="Normal 3 2 5 4 2 3 2 5 2" xfId="42660"/>
    <cellStyle name="Normal 3 2 5 4 2 3 2 6" xfId="29577"/>
    <cellStyle name="Normal 3 2 5 4 2 3 3" xfId="6830"/>
    <cellStyle name="Normal 3 2 5 4 2 3 3 2" xfId="10162"/>
    <cellStyle name="Normal 3 2 5 4 2 3 3 2 2" xfId="16866"/>
    <cellStyle name="Normal 3 2 5 4 2 3 3 2 2 2" xfId="40287"/>
    <cellStyle name="Normal 3 2 5 4 2 3 3 2 3" xfId="33655"/>
    <cellStyle name="Normal 3 2 5 4 2 3 3 3" xfId="13550"/>
    <cellStyle name="Normal 3 2 5 4 2 3 3 3 2" xfId="36971"/>
    <cellStyle name="Normal 3 2 5 4 2 3 3 4" xfId="21358"/>
    <cellStyle name="Normal 3 2 5 4 2 3 3 4 2" xfId="43809"/>
    <cellStyle name="Normal 3 2 5 4 2 3 3 5" xfId="30339"/>
    <cellStyle name="Normal 3 2 5 4 2 3 4" xfId="8496"/>
    <cellStyle name="Normal 3 2 5 4 2 3 4 2" xfId="15208"/>
    <cellStyle name="Normal 3 2 5 4 2 3 4 2 2" xfId="38629"/>
    <cellStyle name="Normal 3 2 5 4 2 3 4 3" xfId="22136"/>
    <cellStyle name="Normal 3 2 5 4 2 3 4 3 2" xfId="44560"/>
    <cellStyle name="Normal 3 2 5 4 2 3 4 4" xfId="31997"/>
    <cellStyle name="Normal 3 2 5 4 2 3 5" xfId="11890"/>
    <cellStyle name="Normal 3 2 5 4 2 3 5 2" xfId="35313"/>
    <cellStyle name="Normal 3 2 5 4 2 3 6" xfId="19275"/>
    <cellStyle name="Normal 3 2 5 4 2 3 6 2" xfId="41828"/>
    <cellStyle name="Normal 3 2 5 4 2 3 7" xfId="28681"/>
    <cellStyle name="Normal 3 2 5 4 2 4" xfId="4031"/>
    <cellStyle name="Normal 3 2 5 4 2 4 2" xfId="7061"/>
    <cellStyle name="Normal 3 2 5 4 2 4 2 2" xfId="10393"/>
    <cellStyle name="Normal 3 2 5 4 2 4 2 2 2" xfId="17097"/>
    <cellStyle name="Normal 3 2 5 4 2 4 2 2 2 2" xfId="40518"/>
    <cellStyle name="Normal 3 2 5 4 2 4 2 2 3" xfId="33886"/>
    <cellStyle name="Normal 3 2 5 4 2 4 2 3" xfId="13781"/>
    <cellStyle name="Normal 3 2 5 4 2 4 2 3 2" xfId="37202"/>
    <cellStyle name="Normal 3 2 5 4 2 4 2 4" xfId="22549"/>
    <cellStyle name="Normal 3 2 5 4 2 4 2 4 2" xfId="44971"/>
    <cellStyle name="Normal 3 2 5 4 2 4 2 5" xfId="30570"/>
    <cellStyle name="Normal 3 2 5 4 2 4 3" xfId="8728"/>
    <cellStyle name="Normal 3 2 5 4 2 4 3 2" xfId="15439"/>
    <cellStyle name="Normal 3 2 5 4 2 4 3 2 2" xfId="38860"/>
    <cellStyle name="Normal 3 2 5 4 2 4 3 3" xfId="32228"/>
    <cellStyle name="Normal 3 2 5 4 2 4 4" xfId="12121"/>
    <cellStyle name="Normal 3 2 5 4 2 4 4 2" xfId="35544"/>
    <cellStyle name="Normal 3 2 5 4 2 4 5" xfId="19707"/>
    <cellStyle name="Normal 3 2 5 4 2 4 5 2" xfId="42244"/>
    <cellStyle name="Normal 3 2 5 4 2 4 6" xfId="28912"/>
    <cellStyle name="Normal 3 2 5 4 2 5" xfId="6357"/>
    <cellStyle name="Normal 3 2 5 4 2 5 2" xfId="9691"/>
    <cellStyle name="Normal 3 2 5 4 2 5 2 2" xfId="16395"/>
    <cellStyle name="Normal 3 2 5 4 2 5 2 2 2" xfId="39816"/>
    <cellStyle name="Normal 3 2 5 4 2 5 2 3" xfId="33184"/>
    <cellStyle name="Normal 3 2 5 4 2 5 3" xfId="13079"/>
    <cellStyle name="Normal 3 2 5 4 2 5 3 2" xfId="36500"/>
    <cellStyle name="Normal 3 2 5 4 2 5 4" xfId="20899"/>
    <cellStyle name="Normal 3 2 5 4 2 5 4 2" xfId="43350"/>
    <cellStyle name="Normal 3 2 5 4 2 5 5" xfId="29868"/>
    <cellStyle name="Normal 3 2 5 4 2 6" xfId="8023"/>
    <cellStyle name="Normal 3 2 5 4 2 6 2" xfId="14737"/>
    <cellStyle name="Normal 3 2 5 4 2 6 2 2" xfId="38158"/>
    <cellStyle name="Normal 3 2 5 4 2 6 3" xfId="21699"/>
    <cellStyle name="Normal 3 2 5 4 2 6 3 2" xfId="44148"/>
    <cellStyle name="Normal 3 2 5 4 2 6 4" xfId="31526"/>
    <cellStyle name="Normal 3 2 5 4 2 7" xfId="11419"/>
    <cellStyle name="Normal 3 2 5 4 2 7 2" xfId="34842"/>
    <cellStyle name="Normal 3 2 5 4 2 8" xfId="18085"/>
    <cellStyle name="Normal 3 2 5 4 2 8 2" xfId="41375"/>
    <cellStyle name="Normal 3 2 5 4 2 9" xfId="23676"/>
    <cellStyle name="Normal 3 2 5 4 2 9 2" xfId="45966"/>
    <cellStyle name="Normal 3 2 5 4 3" xfId="2335"/>
    <cellStyle name="Normal 3 2 5 4 3 2" xfId="5583"/>
    <cellStyle name="Normal 3 2 5 4 3 2 2" xfId="7407"/>
    <cellStyle name="Normal 3 2 5 4 3 2 2 2" xfId="10738"/>
    <cellStyle name="Normal 3 2 5 4 3 2 2 2 2" xfId="17442"/>
    <cellStyle name="Normal 3 2 5 4 3 2 2 2 2 2" xfId="40863"/>
    <cellStyle name="Normal 3 2 5 4 3 2 2 2 3" xfId="23158"/>
    <cellStyle name="Normal 3 2 5 4 3 2 2 2 3 2" xfId="45580"/>
    <cellStyle name="Normal 3 2 5 4 3 2 2 2 4" xfId="34231"/>
    <cellStyle name="Normal 3 2 5 4 3 2 2 3" xfId="14126"/>
    <cellStyle name="Normal 3 2 5 4 3 2 2 3 2" xfId="37547"/>
    <cellStyle name="Normal 3 2 5 4 3 2 2 4" xfId="20332"/>
    <cellStyle name="Normal 3 2 5 4 3 2 2 4 2" xfId="42867"/>
    <cellStyle name="Normal 3 2 5 4 3 2 2 5" xfId="30915"/>
    <cellStyle name="Normal 3 2 5 4 3 2 3" xfId="9080"/>
    <cellStyle name="Normal 3 2 5 4 3 2 3 2" xfId="15784"/>
    <cellStyle name="Normal 3 2 5 4 3 2 3 2 2" xfId="39205"/>
    <cellStyle name="Normal 3 2 5 4 3 2 3 3" xfId="21360"/>
    <cellStyle name="Normal 3 2 5 4 3 2 3 3 2" xfId="43811"/>
    <cellStyle name="Normal 3 2 5 4 3 2 3 4" xfId="32573"/>
    <cellStyle name="Normal 3 2 5 4 3 2 4" xfId="12468"/>
    <cellStyle name="Normal 3 2 5 4 3 2 4 2" xfId="22345"/>
    <cellStyle name="Normal 3 2 5 4 3 2 4 2 2" xfId="44767"/>
    <cellStyle name="Normal 3 2 5 4 3 2 4 3" xfId="35889"/>
    <cellStyle name="Normal 3 2 5 4 3 2 5" xfId="19493"/>
    <cellStyle name="Normal 3 2 5 4 3 2 5 2" xfId="42035"/>
    <cellStyle name="Normal 3 2 5 4 3 2 6" xfId="29257"/>
    <cellStyle name="Normal 3 2 5 4 3 3" xfId="6504"/>
    <cellStyle name="Normal 3 2 5 4 3 3 2" xfId="9838"/>
    <cellStyle name="Normal 3 2 5 4 3 3 2 2" xfId="16542"/>
    <cellStyle name="Normal 3 2 5 4 3 3 2 2 2" xfId="39963"/>
    <cellStyle name="Normal 3 2 5 4 3 3 2 3" xfId="22752"/>
    <cellStyle name="Normal 3 2 5 4 3 3 2 3 2" xfId="45174"/>
    <cellStyle name="Normal 3 2 5 4 3 3 2 4" xfId="33331"/>
    <cellStyle name="Normal 3 2 5 4 3 3 3" xfId="13226"/>
    <cellStyle name="Normal 3 2 5 4 3 3 3 2" xfId="36647"/>
    <cellStyle name="Normal 3 2 5 4 3 3 4" xfId="19916"/>
    <cellStyle name="Normal 3 2 5 4 3 3 4 2" xfId="42451"/>
    <cellStyle name="Normal 3 2 5 4 3 3 5" xfId="30015"/>
    <cellStyle name="Normal 3 2 5 4 3 4" xfId="8171"/>
    <cellStyle name="Normal 3 2 5 4 3 4 2" xfId="14884"/>
    <cellStyle name="Normal 3 2 5 4 3 4 2 2" xfId="38305"/>
    <cellStyle name="Normal 3 2 5 4 3 4 3" xfId="20901"/>
    <cellStyle name="Normal 3 2 5 4 3 4 3 2" xfId="43352"/>
    <cellStyle name="Normal 3 2 5 4 3 4 4" xfId="31673"/>
    <cellStyle name="Normal 3 2 5 4 3 5" xfId="11566"/>
    <cellStyle name="Normal 3 2 5 4 3 5 2" xfId="21920"/>
    <cellStyle name="Normal 3 2 5 4 3 5 2 2" xfId="44353"/>
    <cellStyle name="Normal 3 2 5 4 3 5 3" xfId="34989"/>
    <cellStyle name="Normal 3 2 5 4 3 6" xfId="18768"/>
    <cellStyle name="Normal 3 2 5 4 3 6 2" xfId="41610"/>
    <cellStyle name="Normal 3 2 5 4 3 7" xfId="25911"/>
    <cellStyle name="Normal 3 2 5 4 3 7 2" xfId="48156"/>
    <cellStyle name="Normal 3 2 5 4 3 8" xfId="28357"/>
    <cellStyle name="Normal 3 2 5 4 4" xfId="2723"/>
    <cellStyle name="Normal 3 2 5 4 4 2" xfId="5816"/>
    <cellStyle name="Normal 3 2 5 4 4 2 2" xfId="7598"/>
    <cellStyle name="Normal 3 2 5 4 4 2 2 2" xfId="10927"/>
    <cellStyle name="Normal 3 2 5 4 4 2 2 2 2" xfId="17631"/>
    <cellStyle name="Normal 3 2 5 4 4 2 2 2 2 2" xfId="41052"/>
    <cellStyle name="Normal 3 2 5 4 4 2 2 2 3" xfId="34420"/>
    <cellStyle name="Normal 3 2 5 4 4 2 2 3" xfId="14315"/>
    <cellStyle name="Normal 3 2 5 4 4 2 2 3 2" xfId="37736"/>
    <cellStyle name="Normal 3 2 5 4 4 2 2 4" xfId="22954"/>
    <cellStyle name="Normal 3 2 5 4 4 2 2 4 2" xfId="45376"/>
    <cellStyle name="Normal 3 2 5 4 4 2 2 5" xfId="31104"/>
    <cellStyle name="Normal 3 2 5 4 4 2 3" xfId="9269"/>
    <cellStyle name="Normal 3 2 5 4 4 2 3 2" xfId="15973"/>
    <cellStyle name="Normal 3 2 5 4 4 2 3 2 2" xfId="39394"/>
    <cellStyle name="Normal 3 2 5 4 4 2 3 3" xfId="32762"/>
    <cellStyle name="Normal 3 2 5 4 4 2 4" xfId="12657"/>
    <cellStyle name="Normal 3 2 5 4 4 2 4 2" xfId="36078"/>
    <cellStyle name="Normal 3 2 5 4 4 2 5" xfId="20124"/>
    <cellStyle name="Normal 3 2 5 4 4 2 5 2" xfId="42659"/>
    <cellStyle name="Normal 3 2 5 4 4 2 6" xfId="29446"/>
    <cellStyle name="Normal 3 2 5 4 4 3" xfId="6699"/>
    <cellStyle name="Normal 3 2 5 4 4 3 2" xfId="10031"/>
    <cellStyle name="Normal 3 2 5 4 4 3 2 2" xfId="16735"/>
    <cellStyle name="Normal 3 2 5 4 4 3 2 2 2" xfId="40156"/>
    <cellStyle name="Normal 3 2 5 4 4 3 2 3" xfId="33524"/>
    <cellStyle name="Normal 3 2 5 4 4 3 3" xfId="13419"/>
    <cellStyle name="Normal 3 2 5 4 4 3 3 2" xfId="36840"/>
    <cellStyle name="Normal 3 2 5 4 4 3 4" xfId="21357"/>
    <cellStyle name="Normal 3 2 5 4 4 3 4 2" xfId="43808"/>
    <cellStyle name="Normal 3 2 5 4 4 3 5" xfId="30208"/>
    <cellStyle name="Normal 3 2 5 4 4 4" xfId="8365"/>
    <cellStyle name="Normal 3 2 5 4 4 4 2" xfId="15077"/>
    <cellStyle name="Normal 3 2 5 4 4 4 2 2" xfId="38498"/>
    <cellStyle name="Normal 3 2 5 4 4 4 3" xfId="22135"/>
    <cellStyle name="Normal 3 2 5 4 4 4 3 2" xfId="44559"/>
    <cellStyle name="Normal 3 2 5 4 4 4 4" xfId="31866"/>
    <cellStyle name="Normal 3 2 5 4 4 5" xfId="11759"/>
    <cellStyle name="Normal 3 2 5 4 4 5 2" xfId="35182"/>
    <cellStyle name="Normal 3 2 5 4 4 6" xfId="19274"/>
    <cellStyle name="Normal 3 2 5 4 4 6 2" xfId="41827"/>
    <cellStyle name="Normal 3 2 5 4 4 7" xfId="28550"/>
    <cellStyle name="Normal 3 2 5 4 5" xfId="4030"/>
    <cellStyle name="Normal 3 2 5 4 5 2" xfId="7060"/>
    <cellStyle name="Normal 3 2 5 4 5 2 2" xfId="10392"/>
    <cellStyle name="Normal 3 2 5 4 5 2 2 2" xfId="17096"/>
    <cellStyle name="Normal 3 2 5 4 5 2 2 2 2" xfId="40517"/>
    <cellStyle name="Normal 3 2 5 4 5 2 2 3" xfId="33885"/>
    <cellStyle name="Normal 3 2 5 4 5 2 3" xfId="13780"/>
    <cellStyle name="Normal 3 2 5 4 5 2 3 2" xfId="37201"/>
    <cellStyle name="Normal 3 2 5 4 5 2 4" xfId="22548"/>
    <cellStyle name="Normal 3 2 5 4 5 2 4 2" xfId="44970"/>
    <cellStyle name="Normal 3 2 5 4 5 2 5" xfId="30569"/>
    <cellStyle name="Normal 3 2 5 4 5 3" xfId="8727"/>
    <cellStyle name="Normal 3 2 5 4 5 3 2" xfId="15438"/>
    <cellStyle name="Normal 3 2 5 4 5 3 2 2" xfId="38859"/>
    <cellStyle name="Normal 3 2 5 4 5 3 3" xfId="32227"/>
    <cellStyle name="Normal 3 2 5 4 5 4" xfId="12120"/>
    <cellStyle name="Normal 3 2 5 4 5 4 2" xfId="35543"/>
    <cellStyle name="Normal 3 2 5 4 5 5" xfId="19706"/>
    <cellStyle name="Normal 3 2 5 4 5 5 2" xfId="42243"/>
    <cellStyle name="Normal 3 2 5 4 5 6" xfId="28911"/>
    <cellStyle name="Normal 3 2 5 4 6" xfId="6226"/>
    <cellStyle name="Normal 3 2 5 4 6 2" xfId="9560"/>
    <cellStyle name="Normal 3 2 5 4 6 2 2" xfId="16264"/>
    <cellStyle name="Normal 3 2 5 4 6 2 2 2" xfId="39685"/>
    <cellStyle name="Normal 3 2 5 4 6 2 3" xfId="33053"/>
    <cellStyle name="Normal 3 2 5 4 6 3" xfId="12948"/>
    <cellStyle name="Normal 3 2 5 4 6 3 2" xfId="36369"/>
    <cellStyle name="Normal 3 2 5 4 6 4" xfId="20898"/>
    <cellStyle name="Normal 3 2 5 4 6 4 2" xfId="43349"/>
    <cellStyle name="Normal 3 2 5 4 6 5" xfId="29737"/>
    <cellStyle name="Normal 3 2 5 4 7" xfId="7892"/>
    <cellStyle name="Normal 3 2 5 4 7 2" xfId="14606"/>
    <cellStyle name="Normal 3 2 5 4 7 2 2" xfId="38027"/>
    <cellStyle name="Normal 3 2 5 4 7 3" xfId="21698"/>
    <cellStyle name="Normal 3 2 5 4 7 3 2" xfId="44147"/>
    <cellStyle name="Normal 3 2 5 4 7 4" xfId="31395"/>
    <cellStyle name="Normal 3 2 5 4 8" xfId="11288"/>
    <cellStyle name="Normal 3 2 5 4 8 2" xfId="34711"/>
    <cellStyle name="Normal 3 2 5 4 9" xfId="18084"/>
    <cellStyle name="Normal 3 2 5 4 9 2" xfId="41374"/>
    <cellStyle name="Normal 3 2 5 5" xfId="1755"/>
    <cellStyle name="Normal 3 2 5 5 10" xfId="28108"/>
    <cellStyle name="Normal 3 2 5 5 2" xfId="2337"/>
    <cellStyle name="Normal 3 2 5 5 2 2" xfId="5585"/>
    <cellStyle name="Normal 3 2 5 5 2 2 2" xfId="7409"/>
    <cellStyle name="Normal 3 2 5 5 2 2 2 2" xfId="10740"/>
    <cellStyle name="Normal 3 2 5 5 2 2 2 2 2" xfId="17444"/>
    <cellStyle name="Normal 3 2 5 5 2 2 2 2 2 2" xfId="40865"/>
    <cellStyle name="Normal 3 2 5 5 2 2 2 2 3" xfId="23160"/>
    <cellStyle name="Normal 3 2 5 5 2 2 2 2 3 2" xfId="45582"/>
    <cellStyle name="Normal 3 2 5 5 2 2 2 2 4" xfId="34233"/>
    <cellStyle name="Normal 3 2 5 5 2 2 2 3" xfId="14128"/>
    <cellStyle name="Normal 3 2 5 5 2 2 2 3 2" xfId="37549"/>
    <cellStyle name="Normal 3 2 5 5 2 2 2 4" xfId="20334"/>
    <cellStyle name="Normal 3 2 5 5 2 2 2 4 2" xfId="42869"/>
    <cellStyle name="Normal 3 2 5 5 2 2 2 5" xfId="30917"/>
    <cellStyle name="Normal 3 2 5 5 2 2 3" xfId="9082"/>
    <cellStyle name="Normal 3 2 5 5 2 2 3 2" xfId="15786"/>
    <cellStyle name="Normal 3 2 5 5 2 2 3 2 2" xfId="39207"/>
    <cellStyle name="Normal 3 2 5 5 2 2 3 3" xfId="21362"/>
    <cellStyle name="Normal 3 2 5 5 2 2 3 3 2" xfId="43813"/>
    <cellStyle name="Normal 3 2 5 5 2 2 3 4" xfId="32575"/>
    <cellStyle name="Normal 3 2 5 5 2 2 4" xfId="12470"/>
    <cellStyle name="Normal 3 2 5 5 2 2 4 2" xfId="22347"/>
    <cellStyle name="Normal 3 2 5 5 2 2 4 2 2" xfId="44769"/>
    <cellStyle name="Normal 3 2 5 5 2 2 4 3" xfId="35891"/>
    <cellStyle name="Normal 3 2 5 5 2 2 5" xfId="19495"/>
    <cellStyle name="Normal 3 2 5 5 2 2 5 2" xfId="42037"/>
    <cellStyle name="Normal 3 2 5 5 2 2 6" xfId="29259"/>
    <cellStyle name="Normal 3 2 5 5 2 3" xfId="6506"/>
    <cellStyle name="Normal 3 2 5 5 2 3 2" xfId="9840"/>
    <cellStyle name="Normal 3 2 5 5 2 3 2 2" xfId="16544"/>
    <cellStyle name="Normal 3 2 5 5 2 3 2 2 2" xfId="39965"/>
    <cellStyle name="Normal 3 2 5 5 2 3 2 3" xfId="22754"/>
    <cellStyle name="Normal 3 2 5 5 2 3 2 3 2" xfId="45176"/>
    <cellStyle name="Normal 3 2 5 5 2 3 2 4" xfId="33333"/>
    <cellStyle name="Normal 3 2 5 5 2 3 3" xfId="13228"/>
    <cellStyle name="Normal 3 2 5 5 2 3 3 2" xfId="36649"/>
    <cellStyle name="Normal 3 2 5 5 2 3 4" xfId="19918"/>
    <cellStyle name="Normal 3 2 5 5 2 3 4 2" xfId="42453"/>
    <cellStyle name="Normal 3 2 5 5 2 3 5" xfId="30017"/>
    <cellStyle name="Normal 3 2 5 5 2 4" xfId="8173"/>
    <cellStyle name="Normal 3 2 5 5 2 4 2" xfId="14886"/>
    <cellStyle name="Normal 3 2 5 5 2 4 2 2" xfId="38307"/>
    <cellStyle name="Normal 3 2 5 5 2 4 3" xfId="20903"/>
    <cellStyle name="Normal 3 2 5 5 2 4 3 2" xfId="43354"/>
    <cellStyle name="Normal 3 2 5 5 2 4 4" xfId="31675"/>
    <cellStyle name="Normal 3 2 5 5 2 5" xfId="11568"/>
    <cellStyle name="Normal 3 2 5 5 2 5 2" xfId="21922"/>
    <cellStyle name="Normal 3 2 5 5 2 5 2 2" xfId="44355"/>
    <cellStyle name="Normal 3 2 5 5 2 5 3" xfId="34991"/>
    <cellStyle name="Normal 3 2 5 5 2 6" xfId="18770"/>
    <cellStyle name="Normal 3 2 5 5 2 6 2" xfId="41612"/>
    <cellStyle name="Normal 3 2 5 5 2 7" xfId="25913"/>
    <cellStyle name="Normal 3 2 5 5 2 7 2" xfId="48158"/>
    <cellStyle name="Normal 3 2 5 5 2 8" xfId="28359"/>
    <cellStyle name="Normal 3 2 5 5 3" xfId="2753"/>
    <cellStyle name="Normal 3 2 5 5 3 2" xfId="5845"/>
    <cellStyle name="Normal 3 2 5 5 3 2 2" xfId="7627"/>
    <cellStyle name="Normal 3 2 5 5 3 2 2 2" xfId="10956"/>
    <cellStyle name="Normal 3 2 5 5 3 2 2 2 2" xfId="17660"/>
    <cellStyle name="Normal 3 2 5 5 3 2 2 2 2 2" xfId="41081"/>
    <cellStyle name="Normal 3 2 5 5 3 2 2 2 3" xfId="34449"/>
    <cellStyle name="Normal 3 2 5 5 3 2 2 3" xfId="14344"/>
    <cellStyle name="Normal 3 2 5 5 3 2 2 3 2" xfId="37765"/>
    <cellStyle name="Normal 3 2 5 5 3 2 2 4" xfId="22956"/>
    <cellStyle name="Normal 3 2 5 5 3 2 2 4 2" xfId="45378"/>
    <cellStyle name="Normal 3 2 5 5 3 2 2 5" xfId="31133"/>
    <cellStyle name="Normal 3 2 5 5 3 2 3" xfId="9298"/>
    <cellStyle name="Normal 3 2 5 5 3 2 3 2" xfId="16002"/>
    <cellStyle name="Normal 3 2 5 5 3 2 3 2 2" xfId="39423"/>
    <cellStyle name="Normal 3 2 5 5 3 2 3 3" xfId="32791"/>
    <cellStyle name="Normal 3 2 5 5 3 2 4" xfId="12686"/>
    <cellStyle name="Normal 3 2 5 5 3 2 4 2" xfId="36107"/>
    <cellStyle name="Normal 3 2 5 5 3 2 5" xfId="20126"/>
    <cellStyle name="Normal 3 2 5 5 3 2 5 2" xfId="42661"/>
    <cellStyle name="Normal 3 2 5 5 3 2 6" xfId="29475"/>
    <cellStyle name="Normal 3 2 5 5 3 3" xfId="6728"/>
    <cellStyle name="Normal 3 2 5 5 3 3 2" xfId="10060"/>
    <cellStyle name="Normal 3 2 5 5 3 3 2 2" xfId="16764"/>
    <cellStyle name="Normal 3 2 5 5 3 3 2 2 2" xfId="40185"/>
    <cellStyle name="Normal 3 2 5 5 3 3 2 3" xfId="33553"/>
    <cellStyle name="Normal 3 2 5 5 3 3 3" xfId="13448"/>
    <cellStyle name="Normal 3 2 5 5 3 3 3 2" xfId="36869"/>
    <cellStyle name="Normal 3 2 5 5 3 3 4" xfId="21361"/>
    <cellStyle name="Normal 3 2 5 5 3 3 4 2" xfId="43812"/>
    <cellStyle name="Normal 3 2 5 5 3 3 5" xfId="30237"/>
    <cellStyle name="Normal 3 2 5 5 3 4" xfId="8394"/>
    <cellStyle name="Normal 3 2 5 5 3 4 2" xfId="15106"/>
    <cellStyle name="Normal 3 2 5 5 3 4 2 2" xfId="38527"/>
    <cellStyle name="Normal 3 2 5 5 3 4 3" xfId="22137"/>
    <cellStyle name="Normal 3 2 5 5 3 4 3 2" xfId="44561"/>
    <cellStyle name="Normal 3 2 5 5 3 4 4" xfId="31895"/>
    <cellStyle name="Normal 3 2 5 5 3 5" xfId="11788"/>
    <cellStyle name="Normal 3 2 5 5 3 5 2" xfId="35211"/>
    <cellStyle name="Normal 3 2 5 5 3 6" xfId="19276"/>
    <cellStyle name="Normal 3 2 5 5 3 6 2" xfId="41829"/>
    <cellStyle name="Normal 3 2 5 5 3 7" xfId="28579"/>
    <cellStyle name="Normal 3 2 5 5 4" xfId="4032"/>
    <cellStyle name="Normal 3 2 5 5 4 2" xfId="7062"/>
    <cellStyle name="Normal 3 2 5 5 4 2 2" xfId="10394"/>
    <cellStyle name="Normal 3 2 5 5 4 2 2 2" xfId="17098"/>
    <cellStyle name="Normal 3 2 5 5 4 2 2 2 2" xfId="40519"/>
    <cellStyle name="Normal 3 2 5 5 4 2 2 3" xfId="33887"/>
    <cellStyle name="Normal 3 2 5 5 4 2 3" xfId="13782"/>
    <cellStyle name="Normal 3 2 5 5 4 2 3 2" xfId="37203"/>
    <cellStyle name="Normal 3 2 5 5 4 2 4" xfId="22550"/>
    <cellStyle name="Normal 3 2 5 5 4 2 4 2" xfId="44972"/>
    <cellStyle name="Normal 3 2 5 5 4 2 5" xfId="30571"/>
    <cellStyle name="Normal 3 2 5 5 4 3" xfId="8729"/>
    <cellStyle name="Normal 3 2 5 5 4 3 2" xfId="15440"/>
    <cellStyle name="Normal 3 2 5 5 4 3 2 2" xfId="38861"/>
    <cellStyle name="Normal 3 2 5 5 4 3 3" xfId="32229"/>
    <cellStyle name="Normal 3 2 5 5 4 4" xfId="12122"/>
    <cellStyle name="Normal 3 2 5 5 4 4 2" xfId="35545"/>
    <cellStyle name="Normal 3 2 5 5 4 5" xfId="19708"/>
    <cellStyle name="Normal 3 2 5 5 4 5 2" xfId="42245"/>
    <cellStyle name="Normal 3 2 5 5 4 6" xfId="28913"/>
    <cellStyle name="Normal 3 2 5 5 5" xfId="6255"/>
    <cellStyle name="Normal 3 2 5 5 5 2" xfId="9589"/>
    <cellStyle name="Normal 3 2 5 5 5 2 2" xfId="16293"/>
    <cellStyle name="Normal 3 2 5 5 5 2 2 2" xfId="39714"/>
    <cellStyle name="Normal 3 2 5 5 5 2 3" xfId="33082"/>
    <cellStyle name="Normal 3 2 5 5 5 3" xfId="12977"/>
    <cellStyle name="Normal 3 2 5 5 5 3 2" xfId="36398"/>
    <cellStyle name="Normal 3 2 5 5 5 4" xfId="20902"/>
    <cellStyle name="Normal 3 2 5 5 5 4 2" xfId="43353"/>
    <cellStyle name="Normal 3 2 5 5 5 5" xfId="29766"/>
    <cellStyle name="Normal 3 2 5 5 6" xfId="7921"/>
    <cellStyle name="Normal 3 2 5 5 6 2" xfId="14635"/>
    <cellStyle name="Normal 3 2 5 5 6 2 2" xfId="38056"/>
    <cellStyle name="Normal 3 2 5 5 6 3" xfId="21700"/>
    <cellStyle name="Normal 3 2 5 5 6 3 2" xfId="44149"/>
    <cellStyle name="Normal 3 2 5 5 6 4" xfId="31424"/>
    <cellStyle name="Normal 3 2 5 5 7" xfId="11317"/>
    <cellStyle name="Normal 3 2 5 5 7 2" xfId="34740"/>
    <cellStyle name="Normal 3 2 5 5 8" xfId="18086"/>
    <cellStyle name="Normal 3 2 5 5 8 2" xfId="41376"/>
    <cellStyle name="Normal 3 2 5 5 9" xfId="23677"/>
    <cellStyle name="Normal 3 2 5 5 9 2" xfId="45967"/>
    <cellStyle name="Normal 3 2 5 6" xfId="2322"/>
    <cellStyle name="Normal 3 2 5 6 2" xfId="5570"/>
    <cellStyle name="Normal 3 2 5 6 2 2" xfId="7394"/>
    <cellStyle name="Normal 3 2 5 6 2 2 2" xfId="10725"/>
    <cellStyle name="Normal 3 2 5 6 2 2 2 2" xfId="17429"/>
    <cellStyle name="Normal 3 2 5 6 2 2 2 2 2" xfId="40850"/>
    <cellStyle name="Normal 3 2 5 6 2 2 2 3" xfId="23145"/>
    <cellStyle name="Normal 3 2 5 6 2 2 2 3 2" xfId="45567"/>
    <cellStyle name="Normal 3 2 5 6 2 2 2 4" xfId="34218"/>
    <cellStyle name="Normal 3 2 5 6 2 2 3" xfId="14113"/>
    <cellStyle name="Normal 3 2 5 6 2 2 3 2" xfId="37534"/>
    <cellStyle name="Normal 3 2 5 6 2 2 4" xfId="20319"/>
    <cellStyle name="Normal 3 2 5 6 2 2 4 2" xfId="42854"/>
    <cellStyle name="Normal 3 2 5 6 2 2 5" xfId="30902"/>
    <cellStyle name="Normal 3 2 5 6 2 3" xfId="9067"/>
    <cellStyle name="Normal 3 2 5 6 2 3 2" xfId="15771"/>
    <cellStyle name="Normal 3 2 5 6 2 3 2 2" xfId="39192"/>
    <cellStyle name="Normal 3 2 5 6 2 3 3" xfId="21363"/>
    <cellStyle name="Normal 3 2 5 6 2 3 3 2" xfId="43814"/>
    <cellStyle name="Normal 3 2 5 6 2 3 4" xfId="32560"/>
    <cellStyle name="Normal 3 2 5 6 2 4" xfId="12455"/>
    <cellStyle name="Normal 3 2 5 6 2 4 2" xfId="22332"/>
    <cellStyle name="Normal 3 2 5 6 2 4 2 2" xfId="44754"/>
    <cellStyle name="Normal 3 2 5 6 2 4 3" xfId="35876"/>
    <cellStyle name="Normal 3 2 5 6 2 5" xfId="19480"/>
    <cellStyle name="Normal 3 2 5 6 2 5 2" xfId="42022"/>
    <cellStyle name="Normal 3 2 5 6 2 6" xfId="29244"/>
    <cellStyle name="Normal 3 2 5 6 3" xfId="6491"/>
    <cellStyle name="Normal 3 2 5 6 3 2" xfId="9825"/>
    <cellStyle name="Normal 3 2 5 6 3 2 2" xfId="16529"/>
    <cellStyle name="Normal 3 2 5 6 3 2 2 2" xfId="39950"/>
    <cellStyle name="Normal 3 2 5 6 3 2 3" xfId="22739"/>
    <cellStyle name="Normal 3 2 5 6 3 2 3 2" xfId="45161"/>
    <cellStyle name="Normal 3 2 5 6 3 2 4" xfId="33318"/>
    <cellStyle name="Normal 3 2 5 6 3 3" xfId="13213"/>
    <cellStyle name="Normal 3 2 5 6 3 3 2" xfId="36634"/>
    <cellStyle name="Normal 3 2 5 6 3 4" xfId="19903"/>
    <cellStyle name="Normal 3 2 5 6 3 4 2" xfId="42438"/>
    <cellStyle name="Normal 3 2 5 6 3 5" xfId="30002"/>
    <cellStyle name="Normal 3 2 5 6 4" xfId="8158"/>
    <cellStyle name="Normal 3 2 5 6 4 2" xfId="14871"/>
    <cellStyle name="Normal 3 2 5 6 4 2 2" xfId="38292"/>
    <cellStyle name="Normal 3 2 5 6 4 3" xfId="20904"/>
    <cellStyle name="Normal 3 2 5 6 4 3 2" xfId="43355"/>
    <cellStyle name="Normal 3 2 5 6 4 4" xfId="31660"/>
    <cellStyle name="Normal 3 2 5 6 5" xfId="11553"/>
    <cellStyle name="Normal 3 2 5 6 5 2" xfId="21907"/>
    <cellStyle name="Normal 3 2 5 6 5 2 2" xfId="44340"/>
    <cellStyle name="Normal 3 2 5 6 5 3" xfId="34976"/>
    <cellStyle name="Normal 3 2 5 6 6" xfId="18755"/>
    <cellStyle name="Normal 3 2 5 6 6 2" xfId="41597"/>
    <cellStyle name="Normal 3 2 5 6 7" xfId="25898"/>
    <cellStyle name="Normal 3 2 5 6 7 2" xfId="48143"/>
    <cellStyle name="Normal 3 2 5 6 8" xfId="28344"/>
    <cellStyle name="Normal 3 2 5 7" xfId="2188"/>
    <cellStyle name="Normal 3 2 5 7 2" xfId="20111"/>
    <cellStyle name="Normal 3 2 5 7 2 2" xfId="22941"/>
    <cellStyle name="Normal 3 2 5 7 2 2 2" xfId="45363"/>
    <cellStyle name="Normal 3 2 5 7 2 3" xfId="19027"/>
    <cellStyle name="Normal 3 2 5 7 2 4" xfId="42646"/>
    <cellStyle name="Normal 3 2 5 7 3" xfId="19261"/>
    <cellStyle name="Normal 3 2 5 7 3 2" xfId="41814"/>
    <cellStyle name="Normal 3 2 5 8" xfId="2620"/>
    <cellStyle name="Normal 3 2 5 8 2" xfId="5714"/>
    <cellStyle name="Normal 3 2 5 8 2 2" xfId="7497"/>
    <cellStyle name="Normal 3 2 5 8 2 2 2" xfId="10826"/>
    <cellStyle name="Normal 3 2 5 8 2 2 2 2" xfId="17530"/>
    <cellStyle name="Normal 3 2 5 8 2 2 2 2 2" xfId="40951"/>
    <cellStyle name="Normal 3 2 5 8 2 2 2 3" xfId="34319"/>
    <cellStyle name="Normal 3 2 5 8 2 2 3" xfId="14214"/>
    <cellStyle name="Normal 3 2 5 8 2 2 3 2" xfId="37635"/>
    <cellStyle name="Normal 3 2 5 8 2 2 4" xfId="20638"/>
    <cellStyle name="Normal 3 2 5 8 2 2 4 2" xfId="43089"/>
    <cellStyle name="Normal 3 2 5 8 2 2 5" xfId="31003"/>
    <cellStyle name="Normal 3 2 5 8 2 3" xfId="9168"/>
    <cellStyle name="Normal 3 2 5 8 2 3 2" xfId="15872"/>
    <cellStyle name="Normal 3 2 5 8 2 3 2 2" xfId="39293"/>
    <cellStyle name="Normal 3 2 5 8 2 3 3" xfId="21556"/>
    <cellStyle name="Normal 3 2 5 8 2 3 3 2" xfId="44007"/>
    <cellStyle name="Normal 3 2 5 8 2 3 4" xfId="32661"/>
    <cellStyle name="Normal 3 2 5 8 2 4" xfId="12556"/>
    <cellStyle name="Normal 3 2 5 8 2 4 2" xfId="35977"/>
    <cellStyle name="Normal 3 2 5 8 2 5" xfId="18420"/>
    <cellStyle name="Normal 3 2 5 8 2 5 2" xfId="41484"/>
    <cellStyle name="Normal 3 2 5 8 2 6" xfId="29345"/>
    <cellStyle name="Normal 3 2 5 8 3" xfId="6597"/>
    <cellStyle name="Normal 3 2 5 8 3 2" xfId="9929"/>
    <cellStyle name="Normal 3 2 5 8 3 2 2" xfId="16633"/>
    <cellStyle name="Normal 3 2 5 8 3 2 2 2" xfId="40054"/>
    <cellStyle name="Normal 3 2 5 8 3 2 3" xfId="33422"/>
    <cellStyle name="Normal 3 2 5 8 3 3" xfId="13317"/>
    <cellStyle name="Normal 3 2 5 8 3 3 2" xfId="36738"/>
    <cellStyle name="Normal 3 2 5 8 3 4" xfId="20540"/>
    <cellStyle name="Normal 3 2 5 8 3 4 2" xfId="42993"/>
    <cellStyle name="Normal 3 2 5 8 3 5" xfId="30106"/>
    <cellStyle name="Normal 3 2 5 8 4" xfId="8263"/>
    <cellStyle name="Normal 3 2 5 8 4 2" xfId="14975"/>
    <cellStyle name="Normal 3 2 5 8 4 2 2" xfId="38396"/>
    <cellStyle name="Normal 3 2 5 8 4 3" xfId="21097"/>
    <cellStyle name="Normal 3 2 5 8 4 3 2" xfId="43548"/>
    <cellStyle name="Normal 3 2 5 8 4 4" xfId="31764"/>
    <cellStyle name="Normal 3 2 5 8 5" xfId="11657"/>
    <cellStyle name="Normal 3 2 5 8 5 2" xfId="22535"/>
    <cellStyle name="Normal 3 2 5 8 5 2 2" xfId="44957"/>
    <cellStyle name="Normal 3 2 5 8 5 3" xfId="35080"/>
    <cellStyle name="Normal 3 2 5 8 6" xfId="19693"/>
    <cellStyle name="Normal 3 2 5 8 6 2" xfId="42230"/>
    <cellStyle name="Normal 3 2 5 8 7" xfId="28448"/>
    <cellStyle name="Normal 3 2 5 9" xfId="4017"/>
    <cellStyle name="Normal 3 2 5 9 2" xfId="7047"/>
    <cellStyle name="Normal 3 2 5 9 2 2" xfId="10379"/>
    <cellStyle name="Normal 3 2 5 9 2 2 2" xfId="17083"/>
    <cellStyle name="Normal 3 2 5 9 2 2 2 2" xfId="40504"/>
    <cellStyle name="Normal 3 2 5 9 2 2 3" xfId="33872"/>
    <cellStyle name="Normal 3 2 5 9 2 3" xfId="13767"/>
    <cellStyle name="Normal 3 2 5 9 2 3 2" xfId="37188"/>
    <cellStyle name="Normal 3 2 5 9 2 4" xfId="20589"/>
    <cellStyle name="Normal 3 2 5 9 2 4 2" xfId="43041"/>
    <cellStyle name="Normal 3 2 5 9 2 5" xfId="30556"/>
    <cellStyle name="Normal 3 2 5 9 3" xfId="8714"/>
    <cellStyle name="Normal 3 2 5 9 3 2" xfId="15425"/>
    <cellStyle name="Normal 3 2 5 9 3 2 2" xfId="38846"/>
    <cellStyle name="Normal 3 2 5 9 3 3" xfId="21332"/>
    <cellStyle name="Normal 3 2 5 9 3 3 2" xfId="43783"/>
    <cellStyle name="Normal 3 2 5 9 3 4" xfId="32214"/>
    <cellStyle name="Normal 3 2 5 9 4" xfId="12107"/>
    <cellStyle name="Normal 3 2 5 9 4 2" xfId="35530"/>
    <cellStyle name="Normal 3 2 5 9 5" xfId="19026"/>
    <cellStyle name="Normal 3 2 5 9 5 2" xfId="41698"/>
    <cellStyle name="Normal 3 2 5 9 6" xfId="28898"/>
    <cellStyle name="Normal 3 2 6" xfId="1293"/>
    <cellStyle name="Normal 3 2 6 10" xfId="11193"/>
    <cellStyle name="Normal 3 2 6 10 2" xfId="21701"/>
    <cellStyle name="Normal 3 2 6 10 2 2" xfId="44150"/>
    <cellStyle name="Normal 3 2 6 10 3" xfId="34616"/>
    <cellStyle name="Normal 3 2 6 11" xfId="18087"/>
    <cellStyle name="Normal 3 2 6 11 2" xfId="41377"/>
    <cellStyle name="Normal 3 2 6 12" xfId="23678"/>
    <cellStyle name="Normal 3 2 6 12 2" xfId="45968"/>
    <cellStyle name="Normal 3 2 6 13" xfId="27984"/>
    <cellStyle name="Normal 3 2 6 2" xfId="1484"/>
    <cellStyle name="Normal 3 2 6 2 10" xfId="18088"/>
    <cellStyle name="Normal 3 2 6 2 10 2" xfId="41378"/>
    <cellStyle name="Normal 3 2 6 2 11" xfId="23679"/>
    <cellStyle name="Normal 3 2 6 2 11 2" xfId="45969"/>
    <cellStyle name="Normal 3 2 6 2 12" xfId="28020"/>
    <cellStyle name="Normal 3 2 6 2 2" xfId="1664"/>
    <cellStyle name="Normal 3 2 6 2 2 10" xfId="23680"/>
    <cellStyle name="Normal 3 2 6 2 2 10 2" xfId="45970"/>
    <cellStyle name="Normal 3 2 6 2 2 11" xfId="28084"/>
    <cellStyle name="Normal 3 2 6 2 2 2" xfId="1863"/>
    <cellStyle name="Normal 3 2 6 2 2 2 10" xfId="28215"/>
    <cellStyle name="Normal 3 2 6 2 2 2 2" xfId="2341"/>
    <cellStyle name="Normal 3 2 6 2 2 2 2 2" xfId="5589"/>
    <cellStyle name="Normal 3 2 6 2 2 2 2 2 2" xfId="7413"/>
    <cellStyle name="Normal 3 2 6 2 2 2 2 2 2 2" xfId="10744"/>
    <cellStyle name="Normal 3 2 6 2 2 2 2 2 2 2 2" xfId="17448"/>
    <cellStyle name="Normal 3 2 6 2 2 2 2 2 2 2 2 2" xfId="40869"/>
    <cellStyle name="Normal 3 2 6 2 2 2 2 2 2 2 3" xfId="23164"/>
    <cellStyle name="Normal 3 2 6 2 2 2 2 2 2 2 3 2" xfId="45586"/>
    <cellStyle name="Normal 3 2 6 2 2 2 2 2 2 2 4" xfId="34237"/>
    <cellStyle name="Normal 3 2 6 2 2 2 2 2 2 3" xfId="14132"/>
    <cellStyle name="Normal 3 2 6 2 2 2 2 2 2 3 2" xfId="37553"/>
    <cellStyle name="Normal 3 2 6 2 2 2 2 2 2 4" xfId="20338"/>
    <cellStyle name="Normal 3 2 6 2 2 2 2 2 2 4 2" xfId="42873"/>
    <cellStyle name="Normal 3 2 6 2 2 2 2 2 2 5" xfId="30921"/>
    <cellStyle name="Normal 3 2 6 2 2 2 2 2 3" xfId="9086"/>
    <cellStyle name="Normal 3 2 6 2 2 2 2 2 3 2" xfId="15790"/>
    <cellStyle name="Normal 3 2 6 2 2 2 2 2 3 2 2" xfId="39211"/>
    <cellStyle name="Normal 3 2 6 2 2 2 2 2 3 3" xfId="21368"/>
    <cellStyle name="Normal 3 2 6 2 2 2 2 2 3 3 2" xfId="43819"/>
    <cellStyle name="Normal 3 2 6 2 2 2 2 2 3 4" xfId="32579"/>
    <cellStyle name="Normal 3 2 6 2 2 2 2 2 4" xfId="12474"/>
    <cellStyle name="Normal 3 2 6 2 2 2 2 2 4 2" xfId="22351"/>
    <cellStyle name="Normal 3 2 6 2 2 2 2 2 4 2 2" xfId="44773"/>
    <cellStyle name="Normal 3 2 6 2 2 2 2 2 4 3" xfId="35895"/>
    <cellStyle name="Normal 3 2 6 2 2 2 2 2 5" xfId="19499"/>
    <cellStyle name="Normal 3 2 6 2 2 2 2 2 5 2" xfId="42041"/>
    <cellStyle name="Normal 3 2 6 2 2 2 2 2 6" xfId="29263"/>
    <cellStyle name="Normal 3 2 6 2 2 2 2 3" xfId="6510"/>
    <cellStyle name="Normal 3 2 6 2 2 2 2 3 2" xfId="9844"/>
    <cellStyle name="Normal 3 2 6 2 2 2 2 3 2 2" xfId="16548"/>
    <cellStyle name="Normal 3 2 6 2 2 2 2 3 2 2 2" xfId="39969"/>
    <cellStyle name="Normal 3 2 6 2 2 2 2 3 2 3" xfId="22758"/>
    <cellStyle name="Normal 3 2 6 2 2 2 2 3 2 3 2" xfId="45180"/>
    <cellStyle name="Normal 3 2 6 2 2 2 2 3 2 4" xfId="33337"/>
    <cellStyle name="Normal 3 2 6 2 2 2 2 3 3" xfId="13232"/>
    <cellStyle name="Normal 3 2 6 2 2 2 2 3 3 2" xfId="36653"/>
    <cellStyle name="Normal 3 2 6 2 2 2 2 3 4" xfId="19922"/>
    <cellStyle name="Normal 3 2 6 2 2 2 2 3 4 2" xfId="42457"/>
    <cellStyle name="Normal 3 2 6 2 2 2 2 3 5" xfId="30021"/>
    <cellStyle name="Normal 3 2 6 2 2 2 2 4" xfId="8177"/>
    <cellStyle name="Normal 3 2 6 2 2 2 2 4 2" xfId="14890"/>
    <cellStyle name="Normal 3 2 6 2 2 2 2 4 2 2" xfId="38311"/>
    <cellStyle name="Normal 3 2 6 2 2 2 2 4 3" xfId="20909"/>
    <cellStyle name="Normal 3 2 6 2 2 2 2 4 3 2" xfId="43360"/>
    <cellStyle name="Normal 3 2 6 2 2 2 2 4 4" xfId="31679"/>
    <cellStyle name="Normal 3 2 6 2 2 2 2 5" xfId="11572"/>
    <cellStyle name="Normal 3 2 6 2 2 2 2 5 2" xfId="21926"/>
    <cellStyle name="Normal 3 2 6 2 2 2 2 5 2 2" xfId="44359"/>
    <cellStyle name="Normal 3 2 6 2 2 2 2 5 3" xfId="34995"/>
    <cellStyle name="Normal 3 2 6 2 2 2 2 6" xfId="18774"/>
    <cellStyle name="Normal 3 2 6 2 2 2 2 6 2" xfId="41616"/>
    <cellStyle name="Normal 3 2 6 2 2 2 2 7" xfId="25917"/>
    <cellStyle name="Normal 3 2 6 2 2 2 2 7 2" xfId="48162"/>
    <cellStyle name="Normal 3 2 6 2 2 2 2 8" xfId="28363"/>
    <cellStyle name="Normal 3 2 6 2 2 2 3" xfId="2860"/>
    <cellStyle name="Normal 3 2 6 2 2 2 3 2" xfId="5952"/>
    <cellStyle name="Normal 3 2 6 2 2 2 3 2 2" xfId="7734"/>
    <cellStyle name="Normal 3 2 6 2 2 2 3 2 2 2" xfId="11063"/>
    <cellStyle name="Normal 3 2 6 2 2 2 3 2 2 2 2" xfId="17767"/>
    <cellStyle name="Normal 3 2 6 2 2 2 3 2 2 2 2 2" xfId="41188"/>
    <cellStyle name="Normal 3 2 6 2 2 2 3 2 2 2 3" xfId="34556"/>
    <cellStyle name="Normal 3 2 6 2 2 2 3 2 2 3" xfId="14451"/>
    <cellStyle name="Normal 3 2 6 2 2 2 3 2 2 3 2" xfId="37872"/>
    <cellStyle name="Normal 3 2 6 2 2 2 3 2 2 4" xfId="22960"/>
    <cellStyle name="Normal 3 2 6 2 2 2 3 2 2 4 2" xfId="45382"/>
    <cellStyle name="Normal 3 2 6 2 2 2 3 2 2 5" xfId="31240"/>
    <cellStyle name="Normal 3 2 6 2 2 2 3 2 3" xfId="9405"/>
    <cellStyle name="Normal 3 2 6 2 2 2 3 2 3 2" xfId="16109"/>
    <cellStyle name="Normal 3 2 6 2 2 2 3 2 3 2 2" xfId="39530"/>
    <cellStyle name="Normal 3 2 6 2 2 2 3 2 3 3" xfId="32898"/>
    <cellStyle name="Normal 3 2 6 2 2 2 3 2 4" xfId="12793"/>
    <cellStyle name="Normal 3 2 6 2 2 2 3 2 4 2" xfId="36214"/>
    <cellStyle name="Normal 3 2 6 2 2 2 3 2 5" xfId="20130"/>
    <cellStyle name="Normal 3 2 6 2 2 2 3 2 5 2" xfId="42665"/>
    <cellStyle name="Normal 3 2 6 2 2 2 3 2 6" xfId="29582"/>
    <cellStyle name="Normal 3 2 6 2 2 2 3 3" xfId="6835"/>
    <cellStyle name="Normal 3 2 6 2 2 2 3 3 2" xfId="10167"/>
    <cellStyle name="Normal 3 2 6 2 2 2 3 3 2 2" xfId="16871"/>
    <cellStyle name="Normal 3 2 6 2 2 2 3 3 2 2 2" xfId="40292"/>
    <cellStyle name="Normal 3 2 6 2 2 2 3 3 2 3" xfId="33660"/>
    <cellStyle name="Normal 3 2 6 2 2 2 3 3 3" xfId="13555"/>
    <cellStyle name="Normal 3 2 6 2 2 2 3 3 3 2" xfId="36976"/>
    <cellStyle name="Normal 3 2 6 2 2 2 3 3 4" xfId="21367"/>
    <cellStyle name="Normal 3 2 6 2 2 2 3 3 4 2" xfId="43818"/>
    <cellStyle name="Normal 3 2 6 2 2 2 3 3 5" xfId="30344"/>
    <cellStyle name="Normal 3 2 6 2 2 2 3 4" xfId="8501"/>
    <cellStyle name="Normal 3 2 6 2 2 2 3 4 2" xfId="15213"/>
    <cellStyle name="Normal 3 2 6 2 2 2 3 4 2 2" xfId="38634"/>
    <cellStyle name="Normal 3 2 6 2 2 2 3 4 3" xfId="22141"/>
    <cellStyle name="Normal 3 2 6 2 2 2 3 4 3 2" xfId="44565"/>
    <cellStyle name="Normal 3 2 6 2 2 2 3 4 4" xfId="32002"/>
    <cellStyle name="Normal 3 2 6 2 2 2 3 5" xfId="11895"/>
    <cellStyle name="Normal 3 2 6 2 2 2 3 5 2" xfId="35318"/>
    <cellStyle name="Normal 3 2 6 2 2 2 3 6" xfId="19280"/>
    <cellStyle name="Normal 3 2 6 2 2 2 3 6 2" xfId="41833"/>
    <cellStyle name="Normal 3 2 6 2 2 2 3 7" xfId="28686"/>
    <cellStyle name="Normal 3 2 6 2 2 2 4" xfId="4036"/>
    <cellStyle name="Normal 3 2 6 2 2 2 4 2" xfId="7066"/>
    <cellStyle name="Normal 3 2 6 2 2 2 4 2 2" xfId="10398"/>
    <cellStyle name="Normal 3 2 6 2 2 2 4 2 2 2" xfId="17102"/>
    <cellStyle name="Normal 3 2 6 2 2 2 4 2 2 2 2" xfId="40523"/>
    <cellStyle name="Normal 3 2 6 2 2 2 4 2 2 3" xfId="33891"/>
    <cellStyle name="Normal 3 2 6 2 2 2 4 2 3" xfId="13786"/>
    <cellStyle name="Normal 3 2 6 2 2 2 4 2 3 2" xfId="37207"/>
    <cellStyle name="Normal 3 2 6 2 2 2 4 2 4" xfId="22554"/>
    <cellStyle name="Normal 3 2 6 2 2 2 4 2 4 2" xfId="44976"/>
    <cellStyle name="Normal 3 2 6 2 2 2 4 2 5" xfId="30575"/>
    <cellStyle name="Normal 3 2 6 2 2 2 4 3" xfId="8733"/>
    <cellStyle name="Normal 3 2 6 2 2 2 4 3 2" xfId="15444"/>
    <cellStyle name="Normal 3 2 6 2 2 2 4 3 2 2" xfId="38865"/>
    <cellStyle name="Normal 3 2 6 2 2 2 4 3 3" xfId="32233"/>
    <cellStyle name="Normal 3 2 6 2 2 2 4 4" xfId="12126"/>
    <cellStyle name="Normal 3 2 6 2 2 2 4 4 2" xfId="35549"/>
    <cellStyle name="Normal 3 2 6 2 2 2 4 5" xfId="19712"/>
    <cellStyle name="Normal 3 2 6 2 2 2 4 5 2" xfId="42249"/>
    <cellStyle name="Normal 3 2 6 2 2 2 4 6" xfId="28917"/>
    <cellStyle name="Normal 3 2 6 2 2 2 5" xfId="6362"/>
    <cellStyle name="Normal 3 2 6 2 2 2 5 2" xfId="9696"/>
    <cellStyle name="Normal 3 2 6 2 2 2 5 2 2" xfId="16400"/>
    <cellStyle name="Normal 3 2 6 2 2 2 5 2 2 2" xfId="39821"/>
    <cellStyle name="Normal 3 2 6 2 2 2 5 2 3" xfId="33189"/>
    <cellStyle name="Normal 3 2 6 2 2 2 5 3" xfId="13084"/>
    <cellStyle name="Normal 3 2 6 2 2 2 5 3 2" xfId="36505"/>
    <cellStyle name="Normal 3 2 6 2 2 2 5 4" xfId="20908"/>
    <cellStyle name="Normal 3 2 6 2 2 2 5 4 2" xfId="43359"/>
    <cellStyle name="Normal 3 2 6 2 2 2 5 5" xfId="29873"/>
    <cellStyle name="Normal 3 2 6 2 2 2 6" xfId="8028"/>
    <cellStyle name="Normal 3 2 6 2 2 2 6 2" xfId="14742"/>
    <cellStyle name="Normal 3 2 6 2 2 2 6 2 2" xfId="38163"/>
    <cellStyle name="Normal 3 2 6 2 2 2 6 3" xfId="21704"/>
    <cellStyle name="Normal 3 2 6 2 2 2 6 3 2" xfId="44153"/>
    <cellStyle name="Normal 3 2 6 2 2 2 6 4" xfId="31531"/>
    <cellStyle name="Normal 3 2 6 2 2 2 7" xfId="11424"/>
    <cellStyle name="Normal 3 2 6 2 2 2 7 2" xfId="34847"/>
    <cellStyle name="Normal 3 2 6 2 2 2 8" xfId="18090"/>
    <cellStyle name="Normal 3 2 6 2 2 2 8 2" xfId="41380"/>
    <cellStyle name="Normal 3 2 6 2 2 2 9" xfId="23681"/>
    <cellStyle name="Normal 3 2 6 2 2 2 9 2" xfId="45971"/>
    <cellStyle name="Normal 3 2 6 2 2 3" xfId="2340"/>
    <cellStyle name="Normal 3 2 6 2 2 3 2" xfId="5588"/>
    <cellStyle name="Normal 3 2 6 2 2 3 2 2" xfId="7412"/>
    <cellStyle name="Normal 3 2 6 2 2 3 2 2 2" xfId="10743"/>
    <cellStyle name="Normal 3 2 6 2 2 3 2 2 2 2" xfId="17447"/>
    <cellStyle name="Normal 3 2 6 2 2 3 2 2 2 2 2" xfId="40868"/>
    <cellStyle name="Normal 3 2 6 2 2 3 2 2 2 3" xfId="23163"/>
    <cellStyle name="Normal 3 2 6 2 2 3 2 2 2 3 2" xfId="45585"/>
    <cellStyle name="Normal 3 2 6 2 2 3 2 2 2 4" xfId="34236"/>
    <cellStyle name="Normal 3 2 6 2 2 3 2 2 3" xfId="14131"/>
    <cellStyle name="Normal 3 2 6 2 2 3 2 2 3 2" xfId="37552"/>
    <cellStyle name="Normal 3 2 6 2 2 3 2 2 4" xfId="20337"/>
    <cellStyle name="Normal 3 2 6 2 2 3 2 2 4 2" xfId="42872"/>
    <cellStyle name="Normal 3 2 6 2 2 3 2 2 5" xfId="30920"/>
    <cellStyle name="Normal 3 2 6 2 2 3 2 3" xfId="9085"/>
    <cellStyle name="Normal 3 2 6 2 2 3 2 3 2" xfId="15789"/>
    <cellStyle name="Normal 3 2 6 2 2 3 2 3 2 2" xfId="39210"/>
    <cellStyle name="Normal 3 2 6 2 2 3 2 3 3" xfId="21369"/>
    <cellStyle name="Normal 3 2 6 2 2 3 2 3 3 2" xfId="43820"/>
    <cellStyle name="Normal 3 2 6 2 2 3 2 3 4" xfId="32578"/>
    <cellStyle name="Normal 3 2 6 2 2 3 2 4" xfId="12473"/>
    <cellStyle name="Normal 3 2 6 2 2 3 2 4 2" xfId="22350"/>
    <cellStyle name="Normal 3 2 6 2 2 3 2 4 2 2" xfId="44772"/>
    <cellStyle name="Normal 3 2 6 2 2 3 2 4 3" xfId="35894"/>
    <cellStyle name="Normal 3 2 6 2 2 3 2 5" xfId="19498"/>
    <cellStyle name="Normal 3 2 6 2 2 3 2 5 2" xfId="42040"/>
    <cellStyle name="Normal 3 2 6 2 2 3 2 6" xfId="29262"/>
    <cellStyle name="Normal 3 2 6 2 2 3 3" xfId="6509"/>
    <cellStyle name="Normal 3 2 6 2 2 3 3 2" xfId="9843"/>
    <cellStyle name="Normal 3 2 6 2 2 3 3 2 2" xfId="16547"/>
    <cellStyle name="Normal 3 2 6 2 2 3 3 2 2 2" xfId="39968"/>
    <cellStyle name="Normal 3 2 6 2 2 3 3 2 3" xfId="22757"/>
    <cellStyle name="Normal 3 2 6 2 2 3 3 2 3 2" xfId="45179"/>
    <cellStyle name="Normal 3 2 6 2 2 3 3 2 4" xfId="33336"/>
    <cellStyle name="Normal 3 2 6 2 2 3 3 3" xfId="13231"/>
    <cellStyle name="Normal 3 2 6 2 2 3 3 3 2" xfId="36652"/>
    <cellStyle name="Normal 3 2 6 2 2 3 3 4" xfId="19921"/>
    <cellStyle name="Normal 3 2 6 2 2 3 3 4 2" xfId="42456"/>
    <cellStyle name="Normal 3 2 6 2 2 3 3 5" xfId="30020"/>
    <cellStyle name="Normal 3 2 6 2 2 3 4" xfId="8176"/>
    <cellStyle name="Normal 3 2 6 2 2 3 4 2" xfId="14889"/>
    <cellStyle name="Normal 3 2 6 2 2 3 4 2 2" xfId="38310"/>
    <cellStyle name="Normal 3 2 6 2 2 3 4 3" xfId="20910"/>
    <cellStyle name="Normal 3 2 6 2 2 3 4 3 2" xfId="43361"/>
    <cellStyle name="Normal 3 2 6 2 2 3 4 4" xfId="31678"/>
    <cellStyle name="Normal 3 2 6 2 2 3 5" xfId="11571"/>
    <cellStyle name="Normal 3 2 6 2 2 3 5 2" xfId="21925"/>
    <cellStyle name="Normal 3 2 6 2 2 3 5 2 2" xfId="44358"/>
    <cellStyle name="Normal 3 2 6 2 2 3 5 3" xfId="34994"/>
    <cellStyle name="Normal 3 2 6 2 2 3 6" xfId="18773"/>
    <cellStyle name="Normal 3 2 6 2 2 3 6 2" xfId="41615"/>
    <cellStyle name="Normal 3 2 6 2 2 3 7" xfId="25916"/>
    <cellStyle name="Normal 3 2 6 2 2 3 7 2" xfId="48161"/>
    <cellStyle name="Normal 3 2 6 2 2 3 8" xfId="28362"/>
    <cellStyle name="Normal 3 2 6 2 2 4" xfId="2728"/>
    <cellStyle name="Normal 3 2 6 2 2 4 2" xfId="5821"/>
    <cellStyle name="Normal 3 2 6 2 2 4 2 2" xfId="7603"/>
    <cellStyle name="Normal 3 2 6 2 2 4 2 2 2" xfId="10932"/>
    <cellStyle name="Normal 3 2 6 2 2 4 2 2 2 2" xfId="17636"/>
    <cellStyle name="Normal 3 2 6 2 2 4 2 2 2 2 2" xfId="41057"/>
    <cellStyle name="Normal 3 2 6 2 2 4 2 2 2 3" xfId="34425"/>
    <cellStyle name="Normal 3 2 6 2 2 4 2 2 3" xfId="14320"/>
    <cellStyle name="Normal 3 2 6 2 2 4 2 2 3 2" xfId="37741"/>
    <cellStyle name="Normal 3 2 6 2 2 4 2 2 4" xfId="22959"/>
    <cellStyle name="Normal 3 2 6 2 2 4 2 2 4 2" xfId="45381"/>
    <cellStyle name="Normal 3 2 6 2 2 4 2 2 5" xfId="31109"/>
    <cellStyle name="Normal 3 2 6 2 2 4 2 3" xfId="9274"/>
    <cellStyle name="Normal 3 2 6 2 2 4 2 3 2" xfId="15978"/>
    <cellStyle name="Normal 3 2 6 2 2 4 2 3 2 2" xfId="39399"/>
    <cellStyle name="Normal 3 2 6 2 2 4 2 3 3" xfId="32767"/>
    <cellStyle name="Normal 3 2 6 2 2 4 2 4" xfId="12662"/>
    <cellStyle name="Normal 3 2 6 2 2 4 2 4 2" xfId="36083"/>
    <cellStyle name="Normal 3 2 6 2 2 4 2 5" xfId="20129"/>
    <cellStyle name="Normal 3 2 6 2 2 4 2 5 2" xfId="42664"/>
    <cellStyle name="Normal 3 2 6 2 2 4 2 6" xfId="29451"/>
    <cellStyle name="Normal 3 2 6 2 2 4 3" xfId="6704"/>
    <cellStyle name="Normal 3 2 6 2 2 4 3 2" xfId="10036"/>
    <cellStyle name="Normal 3 2 6 2 2 4 3 2 2" xfId="16740"/>
    <cellStyle name="Normal 3 2 6 2 2 4 3 2 2 2" xfId="40161"/>
    <cellStyle name="Normal 3 2 6 2 2 4 3 2 3" xfId="33529"/>
    <cellStyle name="Normal 3 2 6 2 2 4 3 3" xfId="13424"/>
    <cellStyle name="Normal 3 2 6 2 2 4 3 3 2" xfId="36845"/>
    <cellStyle name="Normal 3 2 6 2 2 4 3 4" xfId="21366"/>
    <cellStyle name="Normal 3 2 6 2 2 4 3 4 2" xfId="43817"/>
    <cellStyle name="Normal 3 2 6 2 2 4 3 5" xfId="30213"/>
    <cellStyle name="Normal 3 2 6 2 2 4 4" xfId="8370"/>
    <cellStyle name="Normal 3 2 6 2 2 4 4 2" xfId="15082"/>
    <cellStyle name="Normal 3 2 6 2 2 4 4 2 2" xfId="38503"/>
    <cellStyle name="Normal 3 2 6 2 2 4 4 3" xfId="22140"/>
    <cellStyle name="Normal 3 2 6 2 2 4 4 3 2" xfId="44564"/>
    <cellStyle name="Normal 3 2 6 2 2 4 4 4" xfId="31871"/>
    <cellStyle name="Normal 3 2 6 2 2 4 5" xfId="11764"/>
    <cellStyle name="Normal 3 2 6 2 2 4 5 2" xfId="35187"/>
    <cellStyle name="Normal 3 2 6 2 2 4 6" xfId="19279"/>
    <cellStyle name="Normal 3 2 6 2 2 4 6 2" xfId="41832"/>
    <cellStyle name="Normal 3 2 6 2 2 4 7" xfId="28555"/>
    <cellStyle name="Normal 3 2 6 2 2 5" xfId="4035"/>
    <cellStyle name="Normal 3 2 6 2 2 5 2" xfId="7065"/>
    <cellStyle name="Normal 3 2 6 2 2 5 2 2" xfId="10397"/>
    <cellStyle name="Normal 3 2 6 2 2 5 2 2 2" xfId="17101"/>
    <cellStyle name="Normal 3 2 6 2 2 5 2 2 2 2" xfId="40522"/>
    <cellStyle name="Normal 3 2 6 2 2 5 2 2 3" xfId="33890"/>
    <cellStyle name="Normal 3 2 6 2 2 5 2 3" xfId="13785"/>
    <cellStyle name="Normal 3 2 6 2 2 5 2 3 2" xfId="37206"/>
    <cellStyle name="Normal 3 2 6 2 2 5 2 4" xfId="22553"/>
    <cellStyle name="Normal 3 2 6 2 2 5 2 4 2" xfId="44975"/>
    <cellStyle name="Normal 3 2 6 2 2 5 2 5" xfId="30574"/>
    <cellStyle name="Normal 3 2 6 2 2 5 3" xfId="8732"/>
    <cellStyle name="Normal 3 2 6 2 2 5 3 2" xfId="15443"/>
    <cellStyle name="Normal 3 2 6 2 2 5 3 2 2" xfId="38864"/>
    <cellStyle name="Normal 3 2 6 2 2 5 3 3" xfId="32232"/>
    <cellStyle name="Normal 3 2 6 2 2 5 4" xfId="12125"/>
    <cellStyle name="Normal 3 2 6 2 2 5 4 2" xfId="35548"/>
    <cellStyle name="Normal 3 2 6 2 2 5 5" xfId="19711"/>
    <cellStyle name="Normal 3 2 6 2 2 5 5 2" xfId="42248"/>
    <cellStyle name="Normal 3 2 6 2 2 5 6" xfId="28916"/>
    <cellStyle name="Normal 3 2 6 2 2 6" xfId="6231"/>
    <cellStyle name="Normal 3 2 6 2 2 6 2" xfId="9565"/>
    <cellStyle name="Normal 3 2 6 2 2 6 2 2" xfId="16269"/>
    <cellStyle name="Normal 3 2 6 2 2 6 2 2 2" xfId="39690"/>
    <cellStyle name="Normal 3 2 6 2 2 6 2 3" xfId="33058"/>
    <cellStyle name="Normal 3 2 6 2 2 6 3" xfId="12953"/>
    <cellStyle name="Normal 3 2 6 2 2 6 3 2" xfId="36374"/>
    <cellStyle name="Normal 3 2 6 2 2 6 4" xfId="20907"/>
    <cellStyle name="Normal 3 2 6 2 2 6 4 2" xfId="43358"/>
    <cellStyle name="Normal 3 2 6 2 2 6 5" xfId="29742"/>
    <cellStyle name="Normal 3 2 6 2 2 7" xfId="7897"/>
    <cellStyle name="Normal 3 2 6 2 2 7 2" xfId="14611"/>
    <cellStyle name="Normal 3 2 6 2 2 7 2 2" xfId="38032"/>
    <cellStyle name="Normal 3 2 6 2 2 7 3" xfId="21703"/>
    <cellStyle name="Normal 3 2 6 2 2 7 3 2" xfId="44152"/>
    <cellStyle name="Normal 3 2 6 2 2 7 4" xfId="31400"/>
    <cellStyle name="Normal 3 2 6 2 2 8" xfId="11293"/>
    <cellStyle name="Normal 3 2 6 2 2 8 2" xfId="34716"/>
    <cellStyle name="Normal 3 2 6 2 2 9" xfId="18089"/>
    <cellStyle name="Normal 3 2 6 2 2 9 2" xfId="41379"/>
    <cellStyle name="Normal 3 2 6 2 3" xfId="1799"/>
    <cellStyle name="Normal 3 2 6 2 3 10" xfId="28151"/>
    <cellStyle name="Normal 3 2 6 2 3 2" xfId="2342"/>
    <cellStyle name="Normal 3 2 6 2 3 2 2" xfId="5590"/>
    <cellStyle name="Normal 3 2 6 2 3 2 2 2" xfId="7414"/>
    <cellStyle name="Normal 3 2 6 2 3 2 2 2 2" xfId="10745"/>
    <cellStyle name="Normal 3 2 6 2 3 2 2 2 2 2" xfId="17449"/>
    <cellStyle name="Normal 3 2 6 2 3 2 2 2 2 2 2" xfId="40870"/>
    <cellStyle name="Normal 3 2 6 2 3 2 2 2 2 3" xfId="23165"/>
    <cellStyle name="Normal 3 2 6 2 3 2 2 2 2 3 2" xfId="45587"/>
    <cellStyle name="Normal 3 2 6 2 3 2 2 2 2 4" xfId="34238"/>
    <cellStyle name="Normal 3 2 6 2 3 2 2 2 3" xfId="14133"/>
    <cellStyle name="Normal 3 2 6 2 3 2 2 2 3 2" xfId="37554"/>
    <cellStyle name="Normal 3 2 6 2 3 2 2 2 4" xfId="20339"/>
    <cellStyle name="Normal 3 2 6 2 3 2 2 2 4 2" xfId="42874"/>
    <cellStyle name="Normal 3 2 6 2 3 2 2 2 5" xfId="30922"/>
    <cellStyle name="Normal 3 2 6 2 3 2 2 3" xfId="9087"/>
    <cellStyle name="Normal 3 2 6 2 3 2 2 3 2" xfId="15791"/>
    <cellStyle name="Normal 3 2 6 2 3 2 2 3 2 2" xfId="39212"/>
    <cellStyle name="Normal 3 2 6 2 3 2 2 3 3" xfId="21371"/>
    <cellStyle name="Normal 3 2 6 2 3 2 2 3 3 2" xfId="43822"/>
    <cellStyle name="Normal 3 2 6 2 3 2 2 3 4" xfId="32580"/>
    <cellStyle name="Normal 3 2 6 2 3 2 2 4" xfId="12475"/>
    <cellStyle name="Normal 3 2 6 2 3 2 2 4 2" xfId="22352"/>
    <cellStyle name="Normal 3 2 6 2 3 2 2 4 2 2" xfId="44774"/>
    <cellStyle name="Normal 3 2 6 2 3 2 2 4 3" xfId="35896"/>
    <cellStyle name="Normal 3 2 6 2 3 2 2 5" xfId="19500"/>
    <cellStyle name="Normal 3 2 6 2 3 2 2 5 2" xfId="42042"/>
    <cellStyle name="Normal 3 2 6 2 3 2 2 6" xfId="29264"/>
    <cellStyle name="Normal 3 2 6 2 3 2 3" xfId="6511"/>
    <cellStyle name="Normal 3 2 6 2 3 2 3 2" xfId="9845"/>
    <cellStyle name="Normal 3 2 6 2 3 2 3 2 2" xfId="16549"/>
    <cellStyle name="Normal 3 2 6 2 3 2 3 2 2 2" xfId="39970"/>
    <cellStyle name="Normal 3 2 6 2 3 2 3 2 3" xfId="22759"/>
    <cellStyle name="Normal 3 2 6 2 3 2 3 2 3 2" xfId="45181"/>
    <cellStyle name="Normal 3 2 6 2 3 2 3 2 4" xfId="33338"/>
    <cellStyle name="Normal 3 2 6 2 3 2 3 3" xfId="13233"/>
    <cellStyle name="Normal 3 2 6 2 3 2 3 3 2" xfId="36654"/>
    <cellStyle name="Normal 3 2 6 2 3 2 3 4" xfId="19923"/>
    <cellStyle name="Normal 3 2 6 2 3 2 3 4 2" xfId="42458"/>
    <cellStyle name="Normal 3 2 6 2 3 2 3 5" xfId="30022"/>
    <cellStyle name="Normal 3 2 6 2 3 2 4" xfId="8178"/>
    <cellStyle name="Normal 3 2 6 2 3 2 4 2" xfId="14891"/>
    <cellStyle name="Normal 3 2 6 2 3 2 4 2 2" xfId="38312"/>
    <cellStyle name="Normal 3 2 6 2 3 2 4 3" xfId="20912"/>
    <cellStyle name="Normal 3 2 6 2 3 2 4 3 2" xfId="43363"/>
    <cellStyle name="Normal 3 2 6 2 3 2 4 4" xfId="31680"/>
    <cellStyle name="Normal 3 2 6 2 3 2 5" xfId="11573"/>
    <cellStyle name="Normal 3 2 6 2 3 2 5 2" xfId="21927"/>
    <cellStyle name="Normal 3 2 6 2 3 2 5 2 2" xfId="44360"/>
    <cellStyle name="Normal 3 2 6 2 3 2 5 3" xfId="34996"/>
    <cellStyle name="Normal 3 2 6 2 3 2 6" xfId="18775"/>
    <cellStyle name="Normal 3 2 6 2 3 2 6 2" xfId="41617"/>
    <cellStyle name="Normal 3 2 6 2 3 2 7" xfId="25918"/>
    <cellStyle name="Normal 3 2 6 2 3 2 7 2" xfId="48163"/>
    <cellStyle name="Normal 3 2 6 2 3 2 8" xfId="28364"/>
    <cellStyle name="Normal 3 2 6 2 3 3" xfId="2796"/>
    <cellStyle name="Normal 3 2 6 2 3 3 2" xfId="5888"/>
    <cellStyle name="Normal 3 2 6 2 3 3 2 2" xfId="7670"/>
    <cellStyle name="Normal 3 2 6 2 3 3 2 2 2" xfId="10999"/>
    <cellStyle name="Normal 3 2 6 2 3 3 2 2 2 2" xfId="17703"/>
    <cellStyle name="Normal 3 2 6 2 3 3 2 2 2 2 2" xfId="41124"/>
    <cellStyle name="Normal 3 2 6 2 3 3 2 2 2 3" xfId="34492"/>
    <cellStyle name="Normal 3 2 6 2 3 3 2 2 3" xfId="14387"/>
    <cellStyle name="Normal 3 2 6 2 3 3 2 2 3 2" xfId="37808"/>
    <cellStyle name="Normal 3 2 6 2 3 3 2 2 4" xfId="22961"/>
    <cellStyle name="Normal 3 2 6 2 3 3 2 2 4 2" xfId="45383"/>
    <cellStyle name="Normal 3 2 6 2 3 3 2 2 5" xfId="31176"/>
    <cellStyle name="Normal 3 2 6 2 3 3 2 3" xfId="9341"/>
    <cellStyle name="Normal 3 2 6 2 3 3 2 3 2" xfId="16045"/>
    <cellStyle name="Normal 3 2 6 2 3 3 2 3 2 2" xfId="39466"/>
    <cellStyle name="Normal 3 2 6 2 3 3 2 3 3" xfId="32834"/>
    <cellStyle name="Normal 3 2 6 2 3 3 2 4" xfId="12729"/>
    <cellStyle name="Normal 3 2 6 2 3 3 2 4 2" xfId="36150"/>
    <cellStyle name="Normal 3 2 6 2 3 3 2 5" xfId="20131"/>
    <cellStyle name="Normal 3 2 6 2 3 3 2 5 2" xfId="42666"/>
    <cellStyle name="Normal 3 2 6 2 3 3 2 6" xfId="29518"/>
    <cellStyle name="Normal 3 2 6 2 3 3 3" xfId="6771"/>
    <cellStyle name="Normal 3 2 6 2 3 3 3 2" xfId="10103"/>
    <cellStyle name="Normal 3 2 6 2 3 3 3 2 2" xfId="16807"/>
    <cellStyle name="Normal 3 2 6 2 3 3 3 2 2 2" xfId="40228"/>
    <cellStyle name="Normal 3 2 6 2 3 3 3 2 3" xfId="33596"/>
    <cellStyle name="Normal 3 2 6 2 3 3 3 3" xfId="13491"/>
    <cellStyle name="Normal 3 2 6 2 3 3 3 3 2" xfId="36912"/>
    <cellStyle name="Normal 3 2 6 2 3 3 3 4" xfId="21370"/>
    <cellStyle name="Normal 3 2 6 2 3 3 3 4 2" xfId="43821"/>
    <cellStyle name="Normal 3 2 6 2 3 3 3 5" xfId="30280"/>
    <cellStyle name="Normal 3 2 6 2 3 3 4" xfId="8437"/>
    <cellStyle name="Normal 3 2 6 2 3 3 4 2" xfId="15149"/>
    <cellStyle name="Normal 3 2 6 2 3 3 4 2 2" xfId="38570"/>
    <cellStyle name="Normal 3 2 6 2 3 3 4 3" xfId="22142"/>
    <cellStyle name="Normal 3 2 6 2 3 3 4 3 2" xfId="44566"/>
    <cellStyle name="Normal 3 2 6 2 3 3 4 4" xfId="31938"/>
    <cellStyle name="Normal 3 2 6 2 3 3 5" xfId="11831"/>
    <cellStyle name="Normal 3 2 6 2 3 3 5 2" xfId="35254"/>
    <cellStyle name="Normal 3 2 6 2 3 3 6" xfId="19281"/>
    <cellStyle name="Normal 3 2 6 2 3 3 6 2" xfId="41834"/>
    <cellStyle name="Normal 3 2 6 2 3 3 7" xfId="28622"/>
    <cellStyle name="Normal 3 2 6 2 3 4" xfId="4037"/>
    <cellStyle name="Normal 3 2 6 2 3 4 2" xfId="7067"/>
    <cellStyle name="Normal 3 2 6 2 3 4 2 2" xfId="10399"/>
    <cellStyle name="Normal 3 2 6 2 3 4 2 2 2" xfId="17103"/>
    <cellStyle name="Normal 3 2 6 2 3 4 2 2 2 2" xfId="40524"/>
    <cellStyle name="Normal 3 2 6 2 3 4 2 2 3" xfId="33892"/>
    <cellStyle name="Normal 3 2 6 2 3 4 2 3" xfId="13787"/>
    <cellStyle name="Normal 3 2 6 2 3 4 2 3 2" xfId="37208"/>
    <cellStyle name="Normal 3 2 6 2 3 4 2 4" xfId="22555"/>
    <cellStyle name="Normal 3 2 6 2 3 4 2 4 2" xfId="44977"/>
    <cellStyle name="Normal 3 2 6 2 3 4 2 5" xfId="30576"/>
    <cellStyle name="Normal 3 2 6 2 3 4 3" xfId="8734"/>
    <cellStyle name="Normal 3 2 6 2 3 4 3 2" xfId="15445"/>
    <cellStyle name="Normal 3 2 6 2 3 4 3 2 2" xfId="38866"/>
    <cellStyle name="Normal 3 2 6 2 3 4 3 3" xfId="32234"/>
    <cellStyle name="Normal 3 2 6 2 3 4 4" xfId="12127"/>
    <cellStyle name="Normal 3 2 6 2 3 4 4 2" xfId="35550"/>
    <cellStyle name="Normal 3 2 6 2 3 4 5" xfId="19713"/>
    <cellStyle name="Normal 3 2 6 2 3 4 5 2" xfId="42250"/>
    <cellStyle name="Normal 3 2 6 2 3 4 6" xfId="28918"/>
    <cellStyle name="Normal 3 2 6 2 3 5" xfId="6298"/>
    <cellStyle name="Normal 3 2 6 2 3 5 2" xfId="9632"/>
    <cellStyle name="Normal 3 2 6 2 3 5 2 2" xfId="16336"/>
    <cellStyle name="Normal 3 2 6 2 3 5 2 2 2" xfId="39757"/>
    <cellStyle name="Normal 3 2 6 2 3 5 2 3" xfId="33125"/>
    <cellStyle name="Normal 3 2 6 2 3 5 3" xfId="13020"/>
    <cellStyle name="Normal 3 2 6 2 3 5 3 2" xfId="36441"/>
    <cellStyle name="Normal 3 2 6 2 3 5 4" xfId="20911"/>
    <cellStyle name="Normal 3 2 6 2 3 5 4 2" xfId="43362"/>
    <cellStyle name="Normal 3 2 6 2 3 5 5" xfId="29809"/>
    <cellStyle name="Normal 3 2 6 2 3 6" xfId="7964"/>
    <cellStyle name="Normal 3 2 6 2 3 6 2" xfId="14678"/>
    <cellStyle name="Normal 3 2 6 2 3 6 2 2" xfId="38099"/>
    <cellStyle name="Normal 3 2 6 2 3 6 3" xfId="21705"/>
    <cellStyle name="Normal 3 2 6 2 3 6 3 2" xfId="44154"/>
    <cellStyle name="Normal 3 2 6 2 3 6 4" xfId="31467"/>
    <cellStyle name="Normal 3 2 6 2 3 7" xfId="11360"/>
    <cellStyle name="Normal 3 2 6 2 3 7 2" xfId="34783"/>
    <cellStyle name="Normal 3 2 6 2 3 8" xfId="18091"/>
    <cellStyle name="Normal 3 2 6 2 3 8 2" xfId="41381"/>
    <cellStyle name="Normal 3 2 6 2 3 9" xfId="23682"/>
    <cellStyle name="Normal 3 2 6 2 3 9 2" xfId="45972"/>
    <cellStyle name="Normal 3 2 6 2 4" xfId="2339"/>
    <cellStyle name="Normal 3 2 6 2 4 2" xfId="5587"/>
    <cellStyle name="Normal 3 2 6 2 4 2 2" xfId="7411"/>
    <cellStyle name="Normal 3 2 6 2 4 2 2 2" xfId="10742"/>
    <cellStyle name="Normal 3 2 6 2 4 2 2 2 2" xfId="17446"/>
    <cellStyle name="Normal 3 2 6 2 4 2 2 2 2 2" xfId="40867"/>
    <cellStyle name="Normal 3 2 6 2 4 2 2 2 3" xfId="23162"/>
    <cellStyle name="Normal 3 2 6 2 4 2 2 2 3 2" xfId="45584"/>
    <cellStyle name="Normal 3 2 6 2 4 2 2 2 4" xfId="34235"/>
    <cellStyle name="Normal 3 2 6 2 4 2 2 3" xfId="14130"/>
    <cellStyle name="Normal 3 2 6 2 4 2 2 3 2" xfId="37551"/>
    <cellStyle name="Normal 3 2 6 2 4 2 2 4" xfId="20336"/>
    <cellStyle name="Normal 3 2 6 2 4 2 2 4 2" xfId="42871"/>
    <cellStyle name="Normal 3 2 6 2 4 2 2 5" xfId="30919"/>
    <cellStyle name="Normal 3 2 6 2 4 2 3" xfId="9084"/>
    <cellStyle name="Normal 3 2 6 2 4 2 3 2" xfId="15788"/>
    <cellStyle name="Normal 3 2 6 2 4 2 3 2 2" xfId="39209"/>
    <cellStyle name="Normal 3 2 6 2 4 2 3 3" xfId="21372"/>
    <cellStyle name="Normal 3 2 6 2 4 2 3 3 2" xfId="43823"/>
    <cellStyle name="Normal 3 2 6 2 4 2 3 4" xfId="32577"/>
    <cellStyle name="Normal 3 2 6 2 4 2 4" xfId="12472"/>
    <cellStyle name="Normal 3 2 6 2 4 2 4 2" xfId="22349"/>
    <cellStyle name="Normal 3 2 6 2 4 2 4 2 2" xfId="44771"/>
    <cellStyle name="Normal 3 2 6 2 4 2 4 3" xfId="35893"/>
    <cellStyle name="Normal 3 2 6 2 4 2 5" xfId="19497"/>
    <cellStyle name="Normal 3 2 6 2 4 2 5 2" xfId="42039"/>
    <cellStyle name="Normal 3 2 6 2 4 2 6" xfId="29261"/>
    <cellStyle name="Normal 3 2 6 2 4 3" xfId="6508"/>
    <cellStyle name="Normal 3 2 6 2 4 3 2" xfId="9842"/>
    <cellStyle name="Normal 3 2 6 2 4 3 2 2" xfId="16546"/>
    <cellStyle name="Normal 3 2 6 2 4 3 2 2 2" xfId="39967"/>
    <cellStyle name="Normal 3 2 6 2 4 3 2 3" xfId="22756"/>
    <cellStyle name="Normal 3 2 6 2 4 3 2 3 2" xfId="45178"/>
    <cellStyle name="Normal 3 2 6 2 4 3 2 4" xfId="33335"/>
    <cellStyle name="Normal 3 2 6 2 4 3 3" xfId="13230"/>
    <cellStyle name="Normal 3 2 6 2 4 3 3 2" xfId="36651"/>
    <cellStyle name="Normal 3 2 6 2 4 3 4" xfId="19920"/>
    <cellStyle name="Normal 3 2 6 2 4 3 4 2" xfId="42455"/>
    <cellStyle name="Normal 3 2 6 2 4 3 5" xfId="30019"/>
    <cellStyle name="Normal 3 2 6 2 4 4" xfId="8175"/>
    <cellStyle name="Normal 3 2 6 2 4 4 2" xfId="14888"/>
    <cellStyle name="Normal 3 2 6 2 4 4 2 2" xfId="38309"/>
    <cellStyle name="Normal 3 2 6 2 4 4 3" xfId="20913"/>
    <cellStyle name="Normal 3 2 6 2 4 4 3 2" xfId="43364"/>
    <cellStyle name="Normal 3 2 6 2 4 4 4" xfId="31677"/>
    <cellStyle name="Normal 3 2 6 2 4 5" xfId="11570"/>
    <cellStyle name="Normal 3 2 6 2 4 5 2" xfId="21924"/>
    <cellStyle name="Normal 3 2 6 2 4 5 2 2" xfId="44357"/>
    <cellStyle name="Normal 3 2 6 2 4 5 3" xfId="34993"/>
    <cellStyle name="Normal 3 2 6 2 4 6" xfId="18772"/>
    <cellStyle name="Normal 3 2 6 2 4 6 2" xfId="41614"/>
    <cellStyle name="Normal 3 2 6 2 4 7" xfId="25915"/>
    <cellStyle name="Normal 3 2 6 2 4 7 2" xfId="48160"/>
    <cellStyle name="Normal 3 2 6 2 4 8" xfId="28361"/>
    <cellStyle name="Normal 3 2 6 2 5" xfId="2664"/>
    <cellStyle name="Normal 3 2 6 2 5 2" xfId="5757"/>
    <cellStyle name="Normal 3 2 6 2 5 2 2" xfId="7539"/>
    <cellStyle name="Normal 3 2 6 2 5 2 2 2" xfId="10868"/>
    <cellStyle name="Normal 3 2 6 2 5 2 2 2 2" xfId="17572"/>
    <cellStyle name="Normal 3 2 6 2 5 2 2 2 2 2" xfId="40993"/>
    <cellStyle name="Normal 3 2 6 2 5 2 2 2 3" xfId="34361"/>
    <cellStyle name="Normal 3 2 6 2 5 2 2 3" xfId="14256"/>
    <cellStyle name="Normal 3 2 6 2 5 2 2 3 2" xfId="37677"/>
    <cellStyle name="Normal 3 2 6 2 5 2 2 4" xfId="20643"/>
    <cellStyle name="Normal 3 2 6 2 5 2 2 4 2" xfId="43094"/>
    <cellStyle name="Normal 3 2 6 2 5 2 2 5" xfId="31045"/>
    <cellStyle name="Normal 3 2 6 2 5 2 3" xfId="9210"/>
    <cellStyle name="Normal 3 2 6 2 5 2 3 2" xfId="15914"/>
    <cellStyle name="Normal 3 2 6 2 5 2 3 2 2" xfId="39335"/>
    <cellStyle name="Normal 3 2 6 2 5 2 3 3" xfId="21561"/>
    <cellStyle name="Normal 3 2 6 2 5 2 3 3 2" xfId="44012"/>
    <cellStyle name="Normal 3 2 6 2 5 2 3 4" xfId="32703"/>
    <cellStyle name="Normal 3 2 6 2 5 2 4" xfId="12598"/>
    <cellStyle name="Normal 3 2 6 2 5 2 4 2" xfId="22958"/>
    <cellStyle name="Normal 3 2 6 2 5 2 4 2 2" xfId="45380"/>
    <cellStyle name="Normal 3 2 6 2 5 2 4 3" xfId="36019"/>
    <cellStyle name="Normal 3 2 6 2 5 2 5" xfId="20128"/>
    <cellStyle name="Normal 3 2 6 2 5 2 5 2" xfId="42663"/>
    <cellStyle name="Normal 3 2 6 2 5 2 6" xfId="29387"/>
    <cellStyle name="Normal 3 2 6 2 5 3" xfId="6640"/>
    <cellStyle name="Normal 3 2 6 2 5 3 2" xfId="9972"/>
    <cellStyle name="Normal 3 2 6 2 5 3 2 2" xfId="16676"/>
    <cellStyle name="Normal 3 2 6 2 5 3 2 2 2" xfId="40097"/>
    <cellStyle name="Normal 3 2 6 2 5 3 2 3" xfId="33465"/>
    <cellStyle name="Normal 3 2 6 2 5 3 3" xfId="13360"/>
    <cellStyle name="Normal 3 2 6 2 5 3 3 2" xfId="36781"/>
    <cellStyle name="Normal 3 2 6 2 5 3 4" xfId="20545"/>
    <cellStyle name="Normal 3 2 6 2 5 3 4 2" xfId="42998"/>
    <cellStyle name="Normal 3 2 6 2 5 3 5" xfId="30149"/>
    <cellStyle name="Normal 3 2 6 2 5 4" xfId="8306"/>
    <cellStyle name="Normal 3 2 6 2 5 4 2" xfId="15018"/>
    <cellStyle name="Normal 3 2 6 2 5 4 2 2" xfId="38439"/>
    <cellStyle name="Normal 3 2 6 2 5 4 3" xfId="21102"/>
    <cellStyle name="Normal 3 2 6 2 5 4 3 2" xfId="43553"/>
    <cellStyle name="Normal 3 2 6 2 5 4 4" xfId="31807"/>
    <cellStyle name="Normal 3 2 6 2 5 5" xfId="11700"/>
    <cellStyle name="Normal 3 2 6 2 5 5 2" xfId="22139"/>
    <cellStyle name="Normal 3 2 6 2 5 5 2 2" xfId="44563"/>
    <cellStyle name="Normal 3 2 6 2 5 5 3" xfId="35123"/>
    <cellStyle name="Normal 3 2 6 2 5 6" xfId="19278"/>
    <cellStyle name="Normal 3 2 6 2 5 6 2" xfId="41831"/>
    <cellStyle name="Normal 3 2 6 2 5 7" xfId="28491"/>
    <cellStyle name="Normal 3 2 6 2 6" xfId="4034"/>
    <cellStyle name="Normal 3 2 6 2 6 2" xfId="7064"/>
    <cellStyle name="Normal 3 2 6 2 6 2 2" xfId="10396"/>
    <cellStyle name="Normal 3 2 6 2 6 2 2 2" xfId="17100"/>
    <cellStyle name="Normal 3 2 6 2 6 2 2 2 2" xfId="40521"/>
    <cellStyle name="Normal 3 2 6 2 6 2 2 3" xfId="33889"/>
    <cellStyle name="Normal 3 2 6 2 6 2 3" xfId="13784"/>
    <cellStyle name="Normal 3 2 6 2 6 2 3 2" xfId="37205"/>
    <cellStyle name="Normal 3 2 6 2 6 2 4" xfId="20594"/>
    <cellStyle name="Normal 3 2 6 2 6 2 4 2" xfId="43046"/>
    <cellStyle name="Normal 3 2 6 2 6 2 5" xfId="30573"/>
    <cellStyle name="Normal 3 2 6 2 6 3" xfId="8731"/>
    <cellStyle name="Normal 3 2 6 2 6 3 2" xfId="15442"/>
    <cellStyle name="Normal 3 2 6 2 6 3 2 2" xfId="38863"/>
    <cellStyle name="Normal 3 2 6 2 6 3 3" xfId="21365"/>
    <cellStyle name="Normal 3 2 6 2 6 3 3 2" xfId="43816"/>
    <cellStyle name="Normal 3 2 6 2 6 3 4" xfId="32231"/>
    <cellStyle name="Normal 3 2 6 2 6 4" xfId="12124"/>
    <cellStyle name="Normal 3 2 6 2 6 4 2" xfId="22552"/>
    <cellStyle name="Normal 3 2 6 2 6 4 2 2" xfId="44974"/>
    <cellStyle name="Normal 3 2 6 2 6 4 3" xfId="35547"/>
    <cellStyle name="Normal 3 2 6 2 6 5" xfId="19710"/>
    <cellStyle name="Normal 3 2 6 2 6 5 2" xfId="42247"/>
    <cellStyle name="Normal 3 2 6 2 6 6" xfId="28915"/>
    <cellStyle name="Normal 3 2 6 2 7" xfId="6167"/>
    <cellStyle name="Normal 3 2 6 2 7 2" xfId="9501"/>
    <cellStyle name="Normal 3 2 6 2 7 2 2" xfId="16205"/>
    <cellStyle name="Normal 3 2 6 2 7 2 2 2" xfId="39626"/>
    <cellStyle name="Normal 3 2 6 2 7 2 3" xfId="32994"/>
    <cellStyle name="Normal 3 2 6 2 7 3" xfId="12889"/>
    <cellStyle name="Normal 3 2 6 2 7 3 2" xfId="36310"/>
    <cellStyle name="Normal 3 2 6 2 7 4" xfId="18346"/>
    <cellStyle name="Normal 3 2 6 2 7 4 2" xfId="41479"/>
    <cellStyle name="Normal 3 2 6 2 7 5" xfId="29678"/>
    <cellStyle name="Normal 3 2 6 2 8" xfId="7833"/>
    <cellStyle name="Normal 3 2 6 2 8 2" xfId="14547"/>
    <cellStyle name="Normal 3 2 6 2 8 2 2" xfId="37968"/>
    <cellStyle name="Normal 3 2 6 2 8 3" xfId="20906"/>
    <cellStyle name="Normal 3 2 6 2 8 3 2" xfId="43357"/>
    <cellStyle name="Normal 3 2 6 2 8 4" xfId="31336"/>
    <cellStyle name="Normal 3 2 6 2 9" xfId="11229"/>
    <cellStyle name="Normal 3 2 6 2 9 2" xfId="21702"/>
    <cellStyle name="Normal 3 2 6 2 9 2 2" xfId="44151"/>
    <cellStyle name="Normal 3 2 6 2 9 3" xfId="34652"/>
    <cellStyle name="Normal 3 2 6 3" xfId="1663"/>
    <cellStyle name="Normal 3 2 6 3 10" xfId="23683"/>
    <cellStyle name="Normal 3 2 6 3 10 2" xfId="45973"/>
    <cellStyle name="Normal 3 2 6 3 11" xfId="28083"/>
    <cellStyle name="Normal 3 2 6 3 2" xfId="1862"/>
    <cellStyle name="Normal 3 2 6 3 2 10" xfId="28214"/>
    <cellStyle name="Normal 3 2 6 3 2 2" xfId="2344"/>
    <cellStyle name="Normal 3 2 6 3 2 2 2" xfId="5592"/>
    <cellStyle name="Normal 3 2 6 3 2 2 2 2" xfId="7416"/>
    <cellStyle name="Normal 3 2 6 3 2 2 2 2 2" xfId="10747"/>
    <cellStyle name="Normal 3 2 6 3 2 2 2 2 2 2" xfId="17451"/>
    <cellStyle name="Normal 3 2 6 3 2 2 2 2 2 2 2" xfId="40872"/>
    <cellStyle name="Normal 3 2 6 3 2 2 2 2 2 3" xfId="23167"/>
    <cellStyle name="Normal 3 2 6 3 2 2 2 2 2 3 2" xfId="45589"/>
    <cellStyle name="Normal 3 2 6 3 2 2 2 2 2 4" xfId="34240"/>
    <cellStyle name="Normal 3 2 6 3 2 2 2 2 3" xfId="14135"/>
    <cellStyle name="Normal 3 2 6 3 2 2 2 2 3 2" xfId="37556"/>
    <cellStyle name="Normal 3 2 6 3 2 2 2 2 4" xfId="20341"/>
    <cellStyle name="Normal 3 2 6 3 2 2 2 2 4 2" xfId="42876"/>
    <cellStyle name="Normal 3 2 6 3 2 2 2 2 5" xfId="30924"/>
    <cellStyle name="Normal 3 2 6 3 2 2 2 3" xfId="9089"/>
    <cellStyle name="Normal 3 2 6 3 2 2 2 3 2" xfId="15793"/>
    <cellStyle name="Normal 3 2 6 3 2 2 2 3 2 2" xfId="39214"/>
    <cellStyle name="Normal 3 2 6 3 2 2 2 3 3" xfId="21375"/>
    <cellStyle name="Normal 3 2 6 3 2 2 2 3 3 2" xfId="43826"/>
    <cellStyle name="Normal 3 2 6 3 2 2 2 3 4" xfId="32582"/>
    <cellStyle name="Normal 3 2 6 3 2 2 2 4" xfId="12477"/>
    <cellStyle name="Normal 3 2 6 3 2 2 2 4 2" xfId="22354"/>
    <cellStyle name="Normal 3 2 6 3 2 2 2 4 2 2" xfId="44776"/>
    <cellStyle name="Normal 3 2 6 3 2 2 2 4 3" xfId="35898"/>
    <cellStyle name="Normal 3 2 6 3 2 2 2 5" xfId="19502"/>
    <cellStyle name="Normal 3 2 6 3 2 2 2 5 2" xfId="42044"/>
    <cellStyle name="Normal 3 2 6 3 2 2 2 6" xfId="29266"/>
    <cellStyle name="Normal 3 2 6 3 2 2 3" xfId="6513"/>
    <cellStyle name="Normal 3 2 6 3 2 2 3 2" xfId="9847"/>
    <cellStyle name="Normal 3 2 6 3 2 2 3 2 2" xfId="16551"/>
    <cellStyle name="Normal 3 2 6 3 2 2 3 2 2 2" xfId="39972"/>
    <cellStyle name="Normal 3 2 6 3 2 2 3 2 3" xfId="22761"/>
    <cellStyle name="Normal 3 2 6 3 2 2 3 2 3 2" xfId="45183"/>
    <cellStyle name="Normal 3 2 6 3 2 2 3 2 4" xfId="33340"/>
    <cellStyle name="Normal 3 2 6 3 2 2 3 3" xfId="13235"/>
    <cellStyle name="Normal 3 2 6 3 2 2 3 3 2" xfId="36656"/>
    <cellStyle name="Normal 3 2 6 3 2 2 3 4" xfId="19925"/>
    <cellStyle name="Normal 3 2 6 3 2 2 3 4 2" xfId="42460"/>
    <cellStyle name="Normal 3 2 6 3 2 2 3 5" xfId="30024"/>
    <cellStyle name="Normal 3 2 6 3 2 2 4" xfId="8180"/>
    <cellStyle name="Normal 3 2 6 3 2 2 4 2" xfId="14893"/>
    <cellStyle name="Normal 3 2 6 3 2 2 4 2 2" xfId="38314"/>
    <cellStyle name="Normal 3 2 6 3 2 2 4 3" xfId="20916"/>
    <cellStyle name="Normal 3 2 6 3 2 2 4 3 2" xfId="43367"/>
    <cellStyle name="Normal 3 2 6 3 2 2 4 4" xfId="31682"/>
    <cellStyle name="Normal 3 2 6 3 2 2 5" xfId="11575"/>
    <cellStyle name="Normal 3 2 6 3 2 2 5 2" xfId="21929"/>
    <cellStyle name="Normal 3 2 6 3 2 2 5 2 2" xfId="44362"/>
    <cellStyle name="Normal 3 2 6 3 2 2 5 3" xfId="34998"/>
    <cellStyle name="Normal 3 2 6 3 2 2 6" xfId="18777"/>
    <cellStyle name="Normal 3 2 6 3 2 2 6 2" xfId="41619"/>
    <cellStyle name="Normal 3 2 6 3 2 2 7" xfId="25920"/>
    <cellStyle name="Normal 3 2 6 3 2 2 7 2" xfId="48165"/>
    <cellStyle name="Normal 3 2 6 3 2 2 8" xfId="28366"/>
    <cellStyle name="Normal 3 2 6 3 2 3" xfId="2859"/>
    <cellStyle name="Normal 3 2 6 3 2 3 2" xfId="5951"/>
    <cellStyle name="Normal 3 2 6 3 2 3 2 2" xfId="7733"/>
    <cellStyle name="Normal 3 2 6 3 2 3 2 2 2" xfId="11062"/>
    <cellStyle name="Normal 3 2 6 3 2 3 2 2 2 2" xfId="17766"/>
    <cellStyle name="Normal 3 2 6 3 2 3 2 2 2 2 2" xfId="41187"/>
    <cellStyle name="Normal 3 2 6 3 2 3 2 2 2 3" xfId="34555"/>
    <cellStyle name="Normal 3 2 6 3 2 3 2 2 3" xfId="14450"/>
    <cellStyle name="Normal 3 2 6 3 2 3 2 2 3 2" xfId="37871"/>
    <cellStyle name="Normal 3 2 6 3 2 3 2 2 4" xfId="22963"/>
    <cellStyle name="Normal 3 2 6 3 2 3 2 2 4 2" xfId="45385"/>
    <cellStyle name="Normal 3 2 6 3 2 3 2 2 5" xfId="31239"/>
    <cellStyle name="Normal 3 2 6 3 2 3 2 3" xfId="9404"/>
    <cellStyle name="Normal 3 2 6 3 2 3 2 3 2" xfId="16108"/>
    <cellStyle name="Normal 3 2 6 3 2 3 2 3 2 2" xfId="39529"/>
    <cellStyle name="Normal 3 2 6 3 2 3 2 3 3" xfId="32897"/>
    <cellStyle name="Normal 3 2 6 3 2 3 2 4" xfId="12792"/>
    <cellStyle name="Normal 3 2 6 3 2 3 2 4 2" xfId="36213"/>
    <cellStyle name="Normal 3 2 6 3 2 3 2 5" xfId="20133"/>
    <cellStyle name="Normal 3 2 6 3 2 3 2 5 2" xfId="42668"/>
    <cellStyle name="Normal 3 2 6 3 2 3 2 6" xfId="29581"/>
    <cellStyle name="Normal 3 2 6 3 2 3 3" xfId="6834"/>
    <cellStyle name="Normal 3 2 6 3 2 3 3 2" xfId="10166"/>
    <cellStyle name="Normal 3 2 6 3 2 3 3 2 2" xfId="16870"/>
    <cellStyle name="Normal 3 2 6 3 2 3 3 2 2 2" xfId="40291"/>
    <cellStyle name="Normal 3 2 6 3 2 3 3 2 3" xfId="33659"/>
    <cellStyle name="Normal 3 2 6 3 2 3 3 3" xfId="13554"/>
    <cellStyle name="Normal 3 2 6 3 2 3 3 3 2" xfId="36975"/>
    <cellStyle name="Normal 3 2 6 3 2 3 3 4" xfId="21374"/>
    <cellStyle name="Normal 3 2 6 3 2 3 3 4 2" xfId="43825"/>
    <cellStyle name="Normal 3 2 6 3 2 3 3 5" xfId="30343"/>
    <cellStyle name="Normal 3 2 6 3 2 3 4" xfId="8500"/>
    <cellStyle name="Normal 3 2 6 3 2 3 4 2" xfId="15212"/>
    <cellStyle name="Normal 3 2 6 3 2 3 4 2 2" xfId="38633"/>
    <cellStyle name="Normal 3 2 6 3 2 3 4 3" xfId="22144"/>
    <cellStyle name="Normal 3 2 6 3 2 3 4 3 2" xfId="44568"/>
    <cellStyle name="Normal 3 2 6 3 2 3 4 4" xfId="32001"/>
    <cellStyle name="Normal 3 2 6 3 2 3 5" xfId="11894"/>
    <cellStyle name="Normal 3 2 6 3 2 3 5 2" xfId="35317"/>
    <cellStyle name="Normal 3 2 6 3 2 3 6" xfId="19283"/>
    <cellStyle name="Normal 3 2 6 3 2 3 6 2" xfId="41836"/>
    <cellStyle name="Normal 3 2 6 3 2 3 7" xfId="28685"/>
    <cellStyle name="Normal 3 2 6 3 2 4" xfId="4039"/>
    <cellStyle name="Normal 3 2 6 3 2 4 2" xfId="7069"/>
    <cellStyle name="Normal 3 2 6 3 2 4 2 2" xfId="10401"/>
    <cellStyle name="Normal 3 2 6 3 2 4 2 2 2" xfId="17105"/>
    <cellStyle name="Normal 3 2 6 3 2 4 2 2 2 2" xfId="40526"/>
    <cellStyle name="Normal 3 2 6 3 2 4 2 2 3" xfId="33894"/>
    <cellStyle name="Normal 3 2 6 3 2 4 2 3" xfId="13789"/>
    <cellStyle name="Normal 3 2 6 3 2 4 2 3 2" xfId="37210"/>
    <cellStyle name="Normal 3 2 6 3 2 4 2 4" xfId="22557"/>
    <cellStyle name="Normal 3 2 6 3 2 4 2 4 2" xfId="44979"/>
    <cellStyle name="Normal 3 2 6 3 2 4 2 5" xfId="30578"/>
    <cellStyle name="Normal 3 2 6 3 2 4 3" xfId="8736"/>
    <cellStyle name="Normal 3 2 6 3 2 4 3 2" xfId="15447"/>
    <cellStyle name="Normal 3 2 6 3 2 4 3 2 2" xfId="38868"/>
    <cellStyle name="Normal 3 2 6 3 2 4 3 3" xfId="32236"/>
    <cellStyle name="Normal 3 2 6 3 2 4 4" xfId="12129"/>
    <cellStyle name="Normal 3 2 6 3 2 4 4 2" xfId="35552"/>
    <cellStyle name="Normal 3 2 6 3 2 4 5" xfId="19715"/>
    <cellStyle name="Normal 3 2 6 3 2 4 5 2" xfId="42252"/>
    <cellStyle name="Normal 3 2 6 3 2 4 6" xfId="28920"/>
    <cellStyle name="Normal 3 2 6 3 2 5" xfId="6361"/>
    <cellStyle name="Normal 3 2 6 3 2 5 2" xfId="9695"/>
    <cellStyle name="Normal 3 2 6 3 2 5 2 2" xfId="16399"/>
    <cellStyle name="Normal 3 2 6 3 2 5 2 2 2" xfId="39820"/>
    <cellStyle name="Normal 3 2 6 3 2 5 2 3" xfId="33188"/>
    <cellStyle name="Normal 3 2 6 3 2 5 3" xfId="13083"/>
    <cellStyle name="Normal 3 2 6 3 2 5 3 2" xfId="36504"/>
    <cellStyle name="Normal 3 2 6 3 2 5 4" xfId="20915"/>
    <cellStyle name="Normal 3 2 6 3 2 5 4 2" xfId="43366"/>
    <cellStyle name="Normal 3 2 6 3 2 5 5" xfId="29872"/>
    <cellStyle name="Normal 3 2 6 3 2 6" xfId="8027"/>
    <cellStyle name="Normal 3 2 6 3 2 6 2" xfId="14741"/>
    <cellStyle name="Normal 3 2 6 3 2 6 2 2" xfId="38162"/>
    <cellStyle name="Normal 3 2 6 3 2 6 3" xfId="21707"/>
    <cellStyle name="Normal 3 2 6 3 2 6 3 2" xfId="44156"/>
    <cellStyle name="Normal 3 2 6 3 2 6 4" xfId="31530"/>
    <cellStyle name="Normal 3 2 6 3 2 7" xfId="11423"/>
    <cellStyle name="Normal 3 2 6 3 2 7 2" xfId="34846"/>
    <cellStyle name="Normal 3 2 6 3 2 8" xfId="18093"/>
    <cellStyle name="Normal 3 2 6 3 2 8 2" xfId="41383"/>
    <cellStyle name="Normal 3 2 6 3 2 9" xfId="23684"/>
    <cellStyle name="Normal 3 2 6 3 2 9 2" xfId="45974"/>
    <cellStyle name="Normal 3 2 6 3 3" xfId="2343"/>
    <cellStyle name="Normal 3 2 6 3 3 2" xfId="5591"/>
    <cellStyle name="Normal 3 2 6 3 3 2 2" xfId="7415"/>
    <cellStyle name="Normal 3 2 6 3 3 2 2 2" xfId="10746"/>
    <cellStyle name="Normal 3 2 6 3 3 2 2 2 2" xfId="17450"/>
    <cellStyle name="Normal 3 2 6 3 3 2 2 2 2 2" xfId="40871"/>
    <cellStyle name="Normal 3 2 6 3 3 2 2 2 3" xfId="23166"/>
    <cellStyle name="Normal 3 2 6 3 3 2 2 2 3 2" xfId="45588"/>
    <cellStyle name="Normal 3 2 6 3 3 2 2 2 4" xfId="34239"/>
    <cellStyle name="Normal 3 2 6 3 3 2 2 3" xfId="14134"/>
    <cellStyle name="Normal 3 2 6 3 3 2 2 3 2" xfId="37555"/>
    <cellStyle name="Normal 3 2 6 3 3 2 2 4" xfId="20340"/>
    <cellStyle name="Normal 3 2 6 3 3 2 2 4 2" xfId="42875"/>
    <cellStyle name="Normal 3 2 6 3 3 2 2 5" xfId="30923"/>
    <cellStyle name="Normal 3 2 6 3 3 2 3" xfId="9088"/>
    <cellStyle name="Normal 3 2 6 3 3 2 3 2" xfId="15792"/>
    <cellStyle name="Normal 3 2 6 3 3 2 3 2 2" xfId="39213"/>
    <cellStyle name="Normal 3 2 6 3 3 2 3 3" xfId="21376"/>
    <cellStyle name="Normal 3 2 6 3 3 2 3 3 2" xfId="43827"/>
    <cellStyle name="Normal 3 2 6 3 3 2 3 4" xfId="32581"/>
    <cellStyle name="Normal 3 2 6 3 3 2 4" xfId="12476"/>
    <cellStyle name="Normal 3 2 6 3 3 2 4 2" xfId="22353"/>
    <cellStyle name="Normal 3 2 6 3 3 2 4 2 2" xfId="44775"/>
    <cellStyle name="Normal 3 2 6 3 3 2 4 3" xfId="35897"/>
    <cellStyle name="Normal 3 2 6 3 3 2 5" xfId="19501"/>
    <cellStyle name="Normal 3 2 6 3 3 2 5 2" xfId="42043"/>
    <cellStyle name="Normal 3 2 6 3 3 2 6" xfId="29265"/>
    <cellStyle name="Normal 3 2 6 3 3 3" xfId="6512"/>
    <cellStyle name="Normal 3 2 6 3 3 3 2" xfId="9846"/>
    <cellStyle name="Normal 3 2 6 3 3 3 2 2" xfId="16550"/>
    <cellStyle name="Normal 3 2 6 3 3 3 2 2 2" xfId="39971"/>
    <cellStyle name="Normal 3 2 6 3 3 3 2 3" xfId="22760"/>
    <cellStyle name="Normal 3 2 6 3 3 3 2 3 2" xfId="45182"/>
    <cellStyle name="Normal 3 2 6 3 3 3 2 4" xfId="33339"/>
    <cellStyle name="Normal 3 2 6 3 3 3 3" xfId="13234"/>
    <cellStyle name="Normal 3 2 6 3 3 3 3 2" xfId="36655"/>
    <cellStyle name="Normal 3 2 6 3 3 3 4" xfId="19924"/>
    <cellStyle name="Normal 3 2 6 3 3 3 4 2" xfId="42459"/>
    <cellStyle name="Normal 3 2 6 3 3 3 5" xfId="30023"/>
    <cellStyle name="Normal 3 2 6 3 3 4" xfId="8179"/>
    <cellStyle name="Normal 3 2 6 3 3 4 2" xfId="14892"/>
    <cellStyle name="Normal 3 2 6 3 3 4 2 2" xfId="38313"/>
    <cellStyle name="Normal 3 2 6 3 3 4 3" xfId="20917"/>
    <cellStyle name="Normal 3 2 6 3 3 4 3 2" xfId="43368"/>
    <cellStyle name="Normal 3 2 6 3 3 4 4" xfId="31681"/>
    <cellStyle name="Normal 3 2 6 3 3 5" xfId="11574"/>
    <cellStyle name="Normal 3 2 6 3 3 5 2" xfId="21928"/>
    <cellStyle name="Normal 3 2 6 3 3 5 2 2" xfId="44361"/>
    <cellStyle name="Normal 3 2 6 3 3 5 3" xfId="34997"/>
    <cellStyle name="Normal 3 2 6 3 3 6" xfId="18776"/>
    <cellStyle name="Normal 3 2 6 3 3 6 2" xfId="41618"/>
    <cellStyle name="Normal 3 2 6 3 3 7" xfId="25919"/>
    <cellStyle name="Normal 3 2 6 3 3 7 2" xfId="48164"/>
    <cellStyle name="Normal 3 2 6 3 3 8" xfId="28365"/>
    <cellStyle name="Normal 3 2 6 3 4" xfId="2727"/>
    <cellStyle name="Normal 3 2 6 3 4 2" xfId="5820"/>
    <cellStyle name="Normal 3 2 6 3 4 2 2" xfId="7602"/>
    <cellStyle name="Normal 3 2 6 3 4 2 2 2" xfId="10931"/>
    <cellStyle name="Normal 3 2 6 3 4 2 2 2 2" xfId="17635"/>
    <cellStyle name="Normal 3 2 6 3 4 2 2 2 2 2" xfId="41056"/>
    <cellStyle name="Normal 3 2 6 3 4 2 2 2 3" xfId="34424"/>
    <cellStyle name="Normal 3 2 6 3 4 2 2 3" xfId="14319"/>
    <cellStyle name="Normal 3 2 6 3 4 2 2 3 2" xfId="37740"/>
    <cellStyle name="Normal 3 2 6 3 4 2 2 4" xfId="22962"/>
    <cellStyle name="Normal 3 2 6 3 4 2 2 4 2" xfId="45384"/>
    <cellStyle name="Normal 3 2 6 3 4 2 2 5" xfId="31108"/>
    <cellStyle name="Normal 3 2 6 3 4 2 3" xfId="9273"/>
    <cellStyle name="Normal 3 2 6 3 4 2 3 2" xfId="15977"/>
    <cellStyle name="Normal 3 2 6 3 4 2 3 2 2" xfId="39398"/>
    <cellStyle name="Normal 3 2 6 3 4 2 3 3" xfId="32766"/>
    <cellStyle name="Normal 3 2 6 3 4 2 4" xfId="12661"/>
    <cellStyle name="Normal 3 2 6 3 4 2 4 2" xfId="36082"/>
    <cellStyle name="Normal 3 2 6 3 4 2 5" xfId="20132"/>
    <cellStyle name="Normal 3 2 6 3 4 2 5 2" xfId="42667"/>
    <cellStyle name="Normal 3 2 6 3 4 2 6" xfId="29450"/>
    <cellStyle name="Normal 3 2 6 3 4 3" xfId="6703"/>
    <cellStyle name="Normal 3 2 6 3 4 3 2" xfId="10035"/>
    <cellStyle name="Normal 3 2 6 3 4 3 2 2" xfId="16739"/>
    <cellStyle name="Normal 3 2 6 3 4 3 2 2 2" xfId="40160"/>
    <cellStyle name="Normal 3 2 6 3 4 3 2 3" xfId="33528"/>
    <cellStyle name="Normal 3 2 6 3 4 3 3" xfId="13423"/>
    <cellStyle name="Normal 3 2 6 3 4 3 3 2" xfId="36844"/>
    <cellStyle name="Normal 3 2 6 3 4 3 4" xfId="21373"/>
    <cellStyle name="Normal 3 2 6 3 4 3 4 2" xfId="43824"/>
    <cellStyle name="Normal 3 2 6 3 4 3 5" xfId="30212"/>
    <cellStyle name="Normal 3 2 6 3 4 4" xfId="8369"/>
    <cellStyle name="Normal 3 2 6 3 4 4 2" xfId="15081"/>
    <cellStyle name="Normal 3 2 6 3 4 4 2 2" xfId="38502"/>
    <cellStyle name="Normal 3 2 6 3 4 4 3" xfId="22143"/>
    <cellStyle name="Normal 3 2 6 3 4 4 3 2" xfId="44567"/>
    <cellStyle name="Normal 3 2 6 3 4 4 4" xfId="31870"/>
    <cellStyle name="Normal 3 2 6 3 4 5" xfId="11763"/>
    <cellStyle name="Normal 3 2 6 3 4 5 2" xfId="35186"/>
    <cellStyle name="Normal 3 2 6 3 4 6" xfId="19282"/>
    <cellStyle name="Normal 3 2 6 3 4 6 2" xfId="41835"/>
    <cellStyle name="Normal 3 2 6 3 4 7" xfId="28554"/>
    <cellStyle name="Normal 3 2 6 3 5" xfId="4038"/>
    <cellStyle name="Normal 3 2 6 3 5 2" xfId="7068"/>
    <cellStyle name="Normal 3 2 6 3 5 2 2" xfId="10400"/>
    <cellStyle name="Normal 3 2 6 3 5 2 2 2" xfId="17104"/>
    <cellStyle name="Normal 3 2 6 3 5 2 2 2 2" xfId="40525"/>
    <cellStyle name="Normal 3 2 6 3 5 2 2 3" xfId="33893"/>
    <cellStyle name="Normal 3 2 6 3 5 2 3" xfId="13788"/>
    <cellStyle name="Normal 3 2 6 3 5 2 3 2" xfId="37209"/>
    <cellStyle name="Normal 3 2 6 3 5 2 4" xfId="22556"/>
    <cellStyle name="Normal 3 2 6 3 5 2 4 2" xfId="44978"/>
    <cellStyle name="Normal 3 2 6 3 5 2 5" xfId="30577"/>
    <cellStyle name="Normal 3 2 6 3 5 3" xfId="8735"/>
    <cellStyle name="Normal 3 2 6 3 5 3 2" xfId="15446"/>
    <cellStyle name="Normal 3 2 6 3 5 3 2 2" xfId="38867"/>
    <cellStyle name="Normal 3 2 6 3 5 3 3" xfId="32235"/>
    <cellStyle name="Normal 3 2 6 3 5 4" xfId="12128"/>
    <cellStyle name="Normal 3 2 6 3 5 4 2" xfId="35551"/>
    <cellStyle name="Normal 3 2 6 3 5 5" xfId="19714"/>
    <cellStyle name="Normal 3 2 6 3 5 5 2" xfId="42251"/>
    <cellStyle name="Normal 3 2 6 3 5 6" xfId="28919"/>
    <cellStyle name="Normal 3 2 6 3 6" xfId="6230"/>
    <cellStyle name="Normal 3 2 6 3 6 2" xfId="9564"/>
    <cellStyle name="Normal 3 2 6 3 6 2 2" xfId="16268"/>
    <cellStyle name="Normal 3 2 6 3 6 2 2 2" xfId="39689"/>
    <cellStyle name="Normal 3 2 6 3 6 2 3" xfId="33057"/>
    <cellStyle name="Normal 3 2 6 3 6 3" xfId="12952"/>
    <cellStyle name="Normal 3 2 6 3 6 3 2" xfId="36373"/>
    <cellStyle name="Normal 3 2 6 3 6 4" xfId="20914"/>
    <cellStyle name="Normal 3 2 6 3 6 4 2" xfId="43365"/>
    <cellStyle name="Normal 3 2 6 3 6 5" xfId="29741"/>
    <cellStyle name="Normal 3 2 6 3 7" xfId="7896"/>
    <cellStyle name="Normal 3 2 6 3 7 2" xfId="14610"/>
    <cellStyle name="Normal 3 2 6 3 7 2 2" xfId="38031"/>
    <cellStyle name="Normal 3 2 6 3 7 3" xfId="21706"/>
    <cellStyle name="Normal 3 2 6 3 7 3 2" xfId="44155"/>
    <cellStyle name="Normal 3 2 6 3 7 4" xfId="31399"/>
    <cellStyle name="Normal 3 2 6 3 8" xfId="11292"/>
    <cellStyle name="Normal 3 2 6 3 8 2" xfId="34715"/>
    <cellStyle name="Normal 3 2 6 3 9" xfId="18092"/>
    <cellStyle name="Normal 3 2 6 3 9 2" xfId="41382"/>
    <cellStyle name="Normal 3 2 6 4" xfId="1762"/>
    <cellStyle name="Normal 3 2 6 4 10" xfId="28115"/>
    <cellStyle name="Normal 3 2 6 4 2" xfId="2345"/>
    <cellStyle name="Normal 3 2 6 4 2 2" xfId="5593"/>
    <cellStyle name="Normal 3 2 6 4 2 2 2" xfId="7417"/>
    <cellStyle name="Normal 3 2 6 4 2 2 2 2" xfId="10748"/>
    <cellStyle name="Normal 3 2 6 4 2 2 2 2 2" xfId="17452"/>
    <cellStyle name="Normal 3 2 6 4 2 2 2 2 2 2" xfId="40873"/>
    <cellStyle name="Normal 3 2 6 4 2 2 2 2 3" xfId="23168"/>
    <cellStyle name="Normal 3 2 6 4 2 2 2 2 3 2" xfId="45590"/>
    <cellStyle name="Normal 3 2 6 4 2 2 2 2 4" xfId="34241"/>
    <cellStyle name="Normal 3 2 6 4 2 2 2 3" xfId="14136"/>
    <cellStyle name="Normal 3 2 6 4 2 2 2 3 2" xfId="37557"/>
    <cellStyle name="Normal 3 2 6 4 2 2 2 4" xfId="20342"/>
    <cellStyle name="Normal 3 2 6 4 2 2 2 4 2" xfId="42877"/>
    <cellStyle name="Normal 3 2 6 4 2 2 2 5" xfId="30925"/>
    <cellStyle name="Normal 3 2 6 4 2 2 3" xfId="9090"/>
    <cellStyle name="Normal 3 2 6 4 2 2 3 2" xfId="15794"/>
    <cellStyle name="Normal 3 2 6 4 2 2 3 2 2" xfId="39215"/>
    <cellStyle name="Normal 3 2 6 4 2 2 3 3" xfId="21378"/>
    <cellStyle name="Normal 3 2 6 4 2 2 3 3 2" xfId="43829"/>
    <cellStyle name="Normal 3 2 6 4 2 2 3 4" xfId="32583"/>
    <cellStyle name="Normal 3 2 6 4 2 2 4" xfId="12478"/>
    <cellStyle name="Normal 3 2 6 4 2 2 4 2" xfId="22355"/>
    <cellStyle name="Normal 3 2 6 4 2 2 4 2 2" xfId="44777"/>
    <cellStyle name="Normal 3 2 6 4 2 2 4 3" xfId="35899"/>
    <cellStyle name="Normal 3 2 6 4 2 2 5" xfId="19503"/>
    <cellStyle name="Normal 3 2 6 4 2 2 5 2" xfId="42045"/>
    <cellStyle name="Normal 3 2 6 4 2 2 6" xfId="29267"/>
    <cellStyle name="Normal 3 2 6 4 2 3" xfId="6514"/>
    <cellStyle name="Normal 3 2 6 4 2 3 2" xfId="9848"/>
    <cellStyle name="Normal 3 2 6 4 2 3 2 2" xfId="16552"/>
    <cellStyle name="Normal 3 2 6 4 2 3 2 2 2" xfId="39973"/>
    <cellStyle name="Normal 3 2 6 4 2 3 2 3" xfId="22762"/>
    <cellStyle name="Normal 3 2 6 4 2 3 2 3 2" xfId="45184"/>
    <cellStyle name="Normal 3 2 6 4 2 3 2 4" xfId="33341"/>
    <cellStyle name="Normal 3 2 6 4 2 3 3" xfId="13236"/>
    <cellStyle name="Normal 3 2 6 4 2 3 3 2" xfId="36657"/>
    <cellStyle name="Normal 3 2 6 4 2 3 4" xfId="19926"/>
    <cellStyle name="Normal 3 2 6 4 2 3 4 2" xfId="42461"/>
    <cellStyle name="Normal 3 2 6 4 2 3 5" xfId="30025"/>
    <cellStyle name="Normal 3 2 6 4 2 4" xfId="8181"/>
    <cellStyle name="Normal 3 2 6 4 2 4 2" xfId="14894"/>
    <cellStyle name="Normal 3 2 6 4 2 4 2 2" xfId="38315"/>
    <cellStyle name="Normal 3 2 6 4 2 4 3" xfId="20919"/>
    <cellStyle name="Normal 3 2 6 4 2 4 3 2" xfId="43370"/>
    <cellStyle name="Normal 3 2 6 4 2 4 4" xfId="31683"/>
    <cellStyle name="Normal 3 2 6 4 2 5" xfId="11576"/>
    <cellStyle name="Normal 3 2 6 4 2 5 2" xfId="21930"/>
    <cellStyle name="Normal 3 2 6 4 2 5 2 2" xfId="44363"/>
    <cellStyle name="Normal 3 2 6 4 2 5 3" xfId="34999"/>
    <cellStyle name="Normal 3 2 6 4 2 6" xfId="18778"/>
    <cellStyle name="Normal 3 2 6 4 2 6 2" xfId="41620"/>
    <cellStyle name="Normal 3 2 6 4 2 7" xfId="25921"/>
    <cellStyle name="Normal 3 2 6 4 2 7 2" xfId="48166"/>
    <cellStyle name="Normal 3 2 6 4 2 8" xfId="28367"/>
    <cellStyle name="Normal 3 2 6 4 3" xfId="2760"/>
    <cellStyle name="Normal 3 2 6 4 3 2" xfId="5852"/>
    <cellStyle name="Normal 3 2 6 4 3 2 2" xfId="7634"/>
    <cellStyle name="Normal 3 2 6 4 3 2 2 2" xfId="10963"/>
    <cellStyle name="Normal 3 2 6 4 3 2 2 2 2" xfId="17667"/>
    <cellStyle name="Normal 3 2 6 4 3 2 2 2 2 2" xfId="41088"/>
    <cellStyle name="Normal 3 2 6 4 3 2 2 2 3" xfId="34456"/>
    <cellStyle name="Normal 3 2 6 4 3 2 2 3" xfId="14351"/>
    <cellStyle name="Normal 3 2 6 4 3 2 2 3 2" xfId="37772"/>
    <cellStyle name="Normal 3 2 6 4 3 2 2 4" xfId="22964"/>
    <cellStyle name="Normal 3 2 6 4 3 2 2 4 2" xfId="45386"/>
    <cellStyle name="Normal 3 2 6 4 3 2 2 5" xfId="31140"/>
    <cellStyle name="Normal 3 2 6 4 3 2 3" xfId="9305"/>
    <cellStyle name="Normal 3 2 6 4 3 2 3 2" xfId="16009"/>
    <cellStyle name="Normal 3 2 6 4 3 2 3 2 2" xfId="39430"/>
    <cellStyle name="Normal 3 2 6 4 3 2 3 3" xfId="32798"/>
    <cellStyle name="Normal 3 2 6 4 3 2 4" xfId="12693"/>
    <cellStyle name="Normal 3 2 6 4 3 2 4 2" xfId="36114"/>
    <cellStyle name="Normal 3 2 6 4 3 2 5" xfId="20134"/>
    <cellStyle name="Normal 3 2 6 4 3 2 5 2" xfId="42669"/>
    <cellStyle name="Normal 3 2 6 4 3 2 6" xfId="29482"/>
    <cellStyle name="Normal 3 2 6 4 3 3" xfId="6735"/>
    <cellStyle name="Normal 3 2 6 4 3 3 2" xfId="10067"/>
    <cellStyle name="Normal 3 2 6 4 3 3 2 2" xfId="16771"/>
    <cellStyle name="Normal 3 2 6 4 3 3 2 2 2" xfId="40192"/>
    <cellStyle name="Normal 3 2 6 4 3 3 2 3" xfId="33560"/>
    <cellStyle name="Normal 3 2 6 4 3 3 3" xfId="13455"/>
    <cellStyle name="Normal 3 2 6 4 3 3 3 2" xfId="36876"/>
    <cellStyle name="Normal 3 2 6 4 3 3 4" xfId="21377"/>
    <cellStyle name="Normal 3 2 6 4 3 3 4 2" xfId="43828"/>
    <cellStyle name="Normal 3 2 6 4 3 3 5" xfId="30244"/>
    <cellStyle name="Normal 3 2 6 4 3 4" xfId="8401"/>
    <cellStyle name="Normal 3 2 6 4 3 4 2" xfId="15113"/>
    <cellStyle name="Normal 3 2 6 4 3 4 2 2" xfId="38534"/>
    <cellStyle name="Normal 3 2 6 4 3 4 3" xfId="22145"/>
    <cellStyle name="Normal 3 2 6 4 3 4 3 2" xfId="44569"/>
    <cellStyle name="Normal 3 2 6 4 3 4 4" xfId="31902"/>
    <cellStyle name="Normal 3 2 6 4 3 5" xfId="11795"/>
    <cellStyle name="Normal 3 2 6 4 3 5 2" xfId="35218"/>
    <cellStyle name="Normal 3 2 6 4 3 6" xfId="19284"/>
    <cellStyle name="Normal 3 2 6 4 3 6 2" xfId="41837"/>
    <cellStyle name="Normal 3 2 6 4 3 7" xfId="28586"/>
    <cellStyle name="Normal 3 2 6 4 4" xfId="4040"/>
    <cellStyle name="Normal 3 2 6 4 4 2" xfId="7070"/>
    <cellStyle name="Normal 3 2 6 4 4 2 2" xfId="10402"/>
    <cellStyle name="Normal 3 2 6 4 4 2 2 2" xfId="17106"/>
    <cellStyle name="Normal 3 2 6 4 4 2 2 2 2" xfId="40527"/>
    <cellStyle name="Normal 3 2 6 4 4 2 2 3" xfId="33895"/>
    <cellStyle name="Normal 3 2 6 4 4 2 3" xfId="13790"/>
    <cellStyle name="Normal 3 2 6 4 4 2 3 2" xfId="37211"/>
    <cellStyle name="Normal 3 2 6 4 4 2 4" xfId="22558"/>
    <cellStyle name="Normal 3 2 6 4 4 2 4 2" xfId="44980"/>
    <cellStyle name="Normal 3 2 6 4 4 2 5" xfId="30579"/>
    <cellStyle name="Normal 3 2 6 4 4 3" xfId="8737"/>
    <cellStyle name="Normal 3 2 6 4 4 3 2" xfId="15448"/>
    <cellStyle name="Normal 3 2 6 4 4 3 2 2" xfId="38869"/>
    <cellStyle name="Normal 3 2 6 4 4 3 3" xfId="32237"/>
    <cellStyle name="Normal 3 2 6 4 4 4" xfId="12130"/>
    <cellStyle name="Normal 3 2 6 4 4 4 2" xfId="35553"/>
    <cellStyle name="Normal 3 2 6 4 4 5" xfId="19716"/>
    <cellStyle name="Normal 3 2 6 4 4 5 2" xfId="42253"/>
    <cellStyle name="Normal 3 2 6 4 4 6" xfId="28921"/>
    <cellStyle name="Normal 3 2 6 4 5" xfId="6262"/>
    <cellStyle name="Normal 3 2 6 4 5 2" xfId="9596"/>
    <cellStyle name="Normal 3 2 6 4 5 2 2" xfId="16300"/>
    <cellStyle name="Normal 3 2 6 4 5 2 2 2" xfId="39721"/>
    <cellStyle name="Normal 3 2 6 4 5 2 3" xfId="33089"/>
    <cellStyle name="Normal 3 2 6 4 5 3" xfId="12984"/>
    <cellStyle name="Normal 3 2 6 4 5 3 2" xfId="36405"/>
    <cellStyle name="Normal 3 2 6 4 5 4" xfId="20918"/>
    <cellStyle name="Normal 3 2 6 4 5 4 2" xfId="43369"/>
    <cellStyle name="Normal 3 2 6 4 5 5" xfId="29773"/>
    <cellStyle name="Normal 3 2 6 4 6" xfId="7928"/>
    <cellStyle name="Normal 3 2 6 4 6 2" xfId="14642"/>
    <cellStyle name="Normal 3 2 6 4 6 2 2" xfId="38063"/>
    <cellStyle name="Normal 3 2 6 4 6 3" xfId="21708"/>
    <cellStyle name="Normal 3 2 6 4 6 3 2" xfId="44157"/>
    <cellStyle name="Normal 3 2 6 4 6 4" xfId="31431"/>
    <cellStyle name="Normal 3 2 6 4 7" xfId="11324"/>
    <cellStyle name="Normal 3 2 6 4 7 2" xfId="34747"/>
    <cellStyle name="Normal 3 2 6 4 8" xfId="18094"/>
    <cellStyle name="Normal 3 2 6 4 8 2" xfId="41384"/>
    <cellStyle name="Normal 3 2 6 4 9" xfId="23685"/>
    <cellStyle name="Normal 3 2 6 4 9 2" xfId="45975"/>
    <cellStyle name="Normal 3 2 6 5" xfId="2338"/>
    <cellStyle name="Normal 3 2 6 5 2" xfId="5586"/>
    <cellStyle name="Normal 3 2 6 5 2 2" xfId="7410"/>
    <cellStyle name="Normal 3 2 6 5 2 2 2" xfId="10741"/>
    <cellStyle name="Normal 3 2 6 5 2 2 2 2" xfId="17445"/>
    <cellStyle name="Normal 3 2 6 5 2 2 2 2 2" xfId="40866"/>
    <cellStyle name="Normal 3 2 6 5 2 2 2 3" xfId="23161"/>
    <cellStyle name="Normal 3 2 6 5 2 2 2 3 2" xfId="45583"/>
    <cellStyle name="Normal 3 2 6 5 2 2 2 4" xfId="34234"/>
    <cellStyle name="Normal 3 2 6 5 2 2 3" xfId="14129"/>
    <cellStyle name="Normal 3 2 6 5 2 2 3 2" xfId="37550"/>
    <cellStyle name="Normal 3 2 6 5 2 2 4" xfId="20335"/>
    <cellStyle name="Normal 3 2 6 5 2 2 4 2" xfId="42870"/>
    <cellStyle name="Normal 3 2 6 5 2 2 5" xfId="30918"/>
    <cellStyle name="Normal 3 2 6 5 2 3" xfId="9083"/>
    <cellStyle name="Normal 3 2 6 5 2 3 2" xfId="15787"/>
    <cellStyle name="Normal 3 2 6 5 2 3 2 2" xfId="39208"/>
    <cellStyle name="Normal 3 2 6 5 2 3 3" xfId="21379"/>
    <cellStyle name="Normal 3 2 6 5 2 3 3 2" xfId="43830"/>
    <cellStyle name="Normal 3 2 6 5 2 3 4" xfId="32576"/>
    <cellStyle name="Normal 3 2 6 5 2 4" xfId="12471"/>
    <cellStyle name="Normal 3 2 6 5 2 4 2" xfId="22348"/>
    <cellStyle name="Normal 3 2 6 5 2 4 2 2" xfId="44770"/>
    <cellStyle name="Normal 3 2 6 5 2 4 3" xfId="35892"/>
    <cellStyle name="Normal 3 2 6 5 2 5" xfId="19496"/>
    <cellStyle name="Normal 3 2 6 5 2 5 2" xfId="42038"/>
    <cellStyle name="Normal 3 2 6 5 2 6" xfId="29260"/>
    <cellStyle name="Normal 3 2 6 5 3" xfId="6507"/>
    <cellStyle name="Normal 3 2 6 5 3 2" xfId="9841"/>
    <cellStyle name="Normal 3 2 6 5 3 2 2" xfId="16545"/>
    <cellStyle name="Normal 3 2 6 5 3 2 2 2" xfId="39966"/>
    <cellStyle name="Normal 3 2 6 5 3 2 3" xfId="22755"/>
    <cellStyle name="Normal 3 2 6 5 3 2 3 2" xfId="45177"/>
    <cellStyle name="Normal 3 2 6 5 3 2 4" xfId="33334"/>
    <cellStyle name="Normal 3 2 6 5 3 3" xfId="13229"/>
    <cellStyle name="Normal 3 2 6 5 3 3 2" xfId="36650"/>
    <cellStyle name="Normal 3 2 6 5 3 4" xfId="19919"/>
    <cellStyle name="Normal 3 2 6 5 3 4 2" xfId="42454"/>
    <cellStyle name="Normal 3 2 6 5 3 5" xfId="30018"/>
    <cellStyle name="Normal 3 2 6 5 4" xfId="8174"/>
    <cellStyle name="Normal 3 2 6 5 4 2" xfId="14887"/>
    <cellStyle name="Normal 3 2 6 5 4 2 2" xfId="38308"/>
    <cellStyle name="Normal 3 2 6 5 4 3" xfId="20920"/>
    <cellStyle name="Normal 3 2 6 5 4 3 2" xfId="43371"/>
    <cellStyle name="Normal 3 2 6 5 4 4" xfId="31676"/>
    <cellStyle name="Normal 3 2 6 5 5" xfId="11569"/>
    <cellStyle name="Normal 3 2 6 5 5 2" xfId="21923"/>
    <cellStyle name="Normal 3 2 6 5 5 2 2" xfId="44356"/>
    <cellStyle name="Normal 3 2 6 5 5 3" xfId="34992"/>
    <cellStyle name="Normal 3 2 6 5 6" xfId="18771"/>
    <cellStyle name="Normal 3 2 6 5 6 2" xfId="41613"/>
    <cellStyle name="Normal 3 2 6 5 7" xfId="25914"/>
    <cellStyle name="Normal 3 2 6 5 7 2" xfId="48159"/>
    <cellStyle name="Normal 3 2 6 5 8" xfId="28360"/>
    <cellStyle name="Normal 3 2 6 6" xfId="2627"/>
    <cellStyle name="Normal 3 2 6 6 2" xfId="5721"/>
    <cellStyle name="Normal 3 2 6 6 2 2" xfId="7504"/>
    <cellStyle name="Normal 3 2 6 6 2 2 2" xfId="10833"/>
    <cellStyle name="Normal 3 2 6 6 2 2 2 2" xfId="17537"/>
    <cellStyle name="Normal 3 2 6 6 2 2 2 2 2" xfId="40958"/>
    <cellStyle name="Normal 3 2 6 6 2 2 2 3" xfId="34326"/>
    <cellStyle name="Normal 3 2 6 6 2 2 3" xfId="14221"/>
    <cellStyle name="Normal 3 2 6 6 2 2 3 2" xfId="37642"/>
    <cellStyle name="Normal 3 2 6 6 2 2 4" xfId="20642"/>
    <cellStyle name="Normal 3 2 6 6 2 2 4 2" xfId="43093"/>
    <cellStyle name="Normal 3 2 6 6 2 2 5" xfId="31010"/>
    <cellStyle name="Normal 3 2 6 6 2 3" xfId="9175"/>
    <cellStyle name="Normal 3 2 6 6 2 3 2" xfId="15879"/>
    <cellStyle name="Normal 3 2 6 6 2 3 2 2" xfId="39300"/>
    <cellStyle name="Normal 3 2 6 6 2 3 3" xfId="21560"/>
    <cellStyle name="Normal 3 2 6 6 2 3 3 2" xfId="44011"/>
    <cellStyle name="Normal 3 2 6 6 2 3 4" xfId="32668"/>
    <cellStyle name="Normal 3 2 6 6 2 4" xfId="12563"/>
    <cellStyle name="Normal 3 2 6 6 2 4 2" xfId="22957"/>
    <cellStyle name="Normal 3 2 6 6 2 4 2 2" xfId="45379"/>
    <cellStyle name="Normal 3 2 6 6 2 4 3" xfId="35984"/>
    <cellStyle name="Normal 3 2 6 6 2 5" xfId="20127"/>
    <cellStyle name="Normal 3 2 6 6 2 5 2" xfId="42662"/>
    <cellStyle name="Normal 3 2 6 6 2 6" xfId="29352"/>
    <cellStyle name="Normal 3 2 6 6 3" xfId="6604"/>
    <cellStyle name="Normal 3 2 6 6 3 2" xfId="9936"/>
    <cellStyle name="Normal 3 2 6 6 3 2 2" xfId="16640"/>
    <cellStyle name="Normal 3 2 6 6 3 2 2 2" xfId="40061"/>
    <cellStyle name="Normal 3 2 6 6 3 2 3" xfId="33429"/>
    <cellStyle name="Normal 3 2 6 6 3 3" xfId="13324"/>
    <cellStyle name="Normal 3 2 6 6 3 3 2" xfId="36745"/>
    <cellStyle name="Normal 3 2 6 6 3 4" xfId="20544"/>
    <cellStyle name="Normal 3 2 6 6 3 4 2" xfId="42997"/>
    <cellStyle name="Normal 3 2 6 6 3 5" xfId="30113"/>
    <cellStyle name="Normal 3 2 6 6 4" xfId="8270"/>
    <cellStyle name="Normal 3 2 6 6 4 2" xfId="14982"/>
    <cellStyle name="Normal 3 2 6 6 4 2 2" xfId="38403"/>
    <cellStyle name="Normal 3 2 6 6 4 3" xfId="21101"/>
    <cellStyle name="Normal 3 2 6 6 4 3 2" xfId="43552"/>
    <cellStyle name="Normal 3 2 6 6 4 4" xfId="31771"/>
    <cellStyle name="Normal 3 2 6 6 5" xfId="11664"/>
    <cellStyle name="Normal 3 2 6 6 5 2" xfId="22138"/>
    <cellStyle name="Normal 3 2 6 6 5 2 2" xfId="44562"/>
    <cellStyle name="Normal 3 2 6 6 5 3" xfId="35087"/>
    <cellStyle name="Normal 3 2 6 6 6" xfId="19277"/>
    <cellStyle name="Normal 3 2 6 6 6 2" xfId="41830"/>
    <cellStyle name="Normal 3 2 6 6 7" xfId="28455"/>
    <cellStyle name="Normal 3 2 6 7" xfId="4033"/>
    <cellStyle name="Normal 3 2 6 7 2" xfId="7063"/>
    <cellStyle name="Normal 3 2 6 7 2 2" xfId="10395"/>
    <cellStyle name="Normal 3 2 6 7 2 2 2" xfId="17099"/>
    <cellStyle name="Normal 3 2 6 7 2 2 2 2" xfId="40520"/>
    <cellStyle name="Normal 3 2 6 7 2 2 3" xfId="33888"/>
    <cellStyle name="Normal 3 2 6 7 2 3" xfId="13783"/>
    <cellStyle name="Normal 3 2 6 7 2 3 2" xfId="37204"/>
    <cellStyle name="Normal 3 2 6 7 2 4" xfId="20593"/>
    <cellStyle name="Normal 3 2 6 7 2 4 2" xfId="43045"/>
    <cellStyle name="Normal 3 2 6 7 2 5" xfId="30572"/>
    <cellStyle name="Normal 3 2 6 7 3" xfId="8730"/>
    <cellStyle name="Normal 3 2 6 7 3 2" xfId="15441"/>
    <cellStyle name="Normal 3 2 6 7 3 2 2" xfId="38862"/>
    <cellStyle name="Normal 3 2 6 7 3 3" xfId="21364"/>
    <cellStyle name="Normal 3 2 6 7 3 3 2" xfId="43815"/>
    <cellStyle name="Normal 3 2 6 7 3 4" xfId="32230"/>
    <cellStyle name="Normal 3 2 6 7 4" xfId="12123"/>
    <cellStyle name="Normal 3 2 6 7 4 2" xfId="22551"/>
    <cellStyle name="Normal 3 2 6 7 4 2 2" xfId="44973"/>
    <cellStyle name="Normal 3 2 6 7 4 3" xfId="35546"/>
    <cellStyle name="Normal 3 2 6 7 5" xfId="19709"/>
    <cellStyle name="Normal 3 2 6 7 5 2" xfId="42246"/>
    <cellStyle name="Normal 3 2 6 7 6" xfId="28914"/>
    <cellStyle name="Normal 3 2 6 8" xfId="6131"/>
    <cellStyle name="Normal 3 2 6 8 2" xfId="9465"/>
    <cellStyle name="Normal 3 2 6 8 2 2" xfId="16169"/>
    <cellStyle name="Normal 3 2 6 8 2 2 2" xfId="39590"/>
    <cellStyle name="Normal 3 2 6 8 2 3" xfId="32958"/>
    <cellStyle name="Normal 3 2 6 8 3" xfId="12853"/>
    <cellStyle name="Normal 3 2 6 8 3 2" xfId="36274"/>
    <cellStyle name="Normal 3 2 6 8 4" xfId="18345"/>
    <cellStyle name="Normal 3 2 6 8 4 2" xfId="41478"/>
    <cellStyle name="Normal 3 2 6 8 5" xfId="29642"/>
    <cellStyle name="Normal 3 2 6 9" xfId="7796"/>
    <cellStyle name="Normal 3 2 6 9 2" xfId="14511"/>
    <cellStyle name="Normal 3 2 6 9 2 2" xfId="37932"/>
    <cellStyle name="Normal 3 2 6 9 3" xfId="20905"/>
    <cellStyle name="Normal 3 2 6 9 3 2" xfId="43356"/>
    <cellStyle name="Normal 3 2 6 9 4" xfId="31300"/>
    <cellStyle name="Normal 3 2 7" xfId="1519"/>
    <cellStyle name="Normal 3 2 7 10" xfId="23686"/>
    <cellStyle name="Normal 3 2 7 10 2" xfId="45976"/>
    <cellStyle name="Normal 3 2 7 11" xfId="28049"/>
    <cellStyle name="Normal 3 2 7 2" xfId="1665"/>
    <cellStyle name="Normal 3 2 7 2 2" xfId="18780"/>
    <cellStyle name="Normal 3 2 7 3" xfId="1828"/>
    <cellStyle name="Normal 3 2 7 3 10" xfId="28180"/>
    <cellStyle name="Normal 3 2 7 3 2" xfId="2347"/>
    <cellStyle name="Normal 3 2 7 3 2 2" xfId="5594"/>
    <cellStyle name="Normal 3 2 7 3 2 2 2" xfId="7418"/>
    <cellStyle name="Normal 3 2 7 3 2 2 2 2" xfId="10749"/>
    <cellStyle name="Normal 3 2 7 3 2 2 2 2 2" xfId="17453"/>
    <cellStyle name="Normal 3 2 7 3 2 2 2 2 2 2" xfId="40874"/>
    <cellStyle name="Normal 3 2 7 3 2 2 2 2 3" xfId="23169"/>
    <cellStyle name="Normal 3 2 7 3 2 2 2 2 3 2" xfId="45591"/>
    <cellStyle name="Normal 3 2 7 3 2 2 2 2 4" xfId="34242"/>
    <cellStyle name="Normal 3 2 7 3 2 2 2 3" xfId="14137"/>
    <cellStyle name="Normal 3 2 7 3 2 2 2 3 2" xfId="37558"/>
    <cellStyle name="Normal 3 2 7 3 2 2 2 4" xfId="20343"/>
    <cellStyle name="Normal 3 2 7 3 2 2 2 4 2" xfId="42878"/>
    <cellStyle name="Normal 3 2 7 3 2 2 2 5" xfId="30926"/>
    <cellStyle name="Normal 3 2 7 3 2 2 3" xfId="9091"/>
    <cellStyle name="Normal 3 2 7 3 2 2 3 2" xfId="15795"/>
    <cellStyle name="Normal 3 2 7 3 2 2 3 2 2" xfId="39216"/>
    <cellStyle name="Normal 3 2 7 3 2 2 3 3" xfId="21381"/>
    <cellStyle name="Normal 3 2 7 3 2 2 3 3 2" xfId="43832"/>
    <cellStyle name="Normal 3 2 7 3 2 2 3 4" xfId="32584"/>
    <cellStyle name="Normal 3 2 7 3 2 2 4" xfId="12479"/>
    <cellStyle name="Normal 3 2 7 3 2 2 4 2" xfId="22356"/>
    <cellStyle name="Normal 3 2 7 3 2 2 4 2 2" xfId="44778"/>
    <cellStyle name="Normal 3 2 7 3 2 2 4 3" xfId="35900"/>
    <cellStyle name="Normal 3 2 7 3 2 2 5" xfId="19504"/>
    <cellStyle name="Normal 3 2 7 3 2 2 5 2" xfId="42046"/>
    <cellStyle name="Normal 3 2 7 3 2 2 6" xfId="29268"/>
    <cellStyle name="Normal 3 2 7 3 2 3" xfId="6515"/>
    <cellStyle name="Normal 3 2 7 3 2 3 2" xfId="9849"/>
    <cellStyle name="Normal 3 2 7 3 2 3 2 2" xfId="16553"/>
    <cellStyle name="Normal 3 2 7 3 2 3 2 2 2" xfId="39974"/>
    <cellStyle name="Normal 3 2 7 3 2 3 2 3" xfId="22763"/>
    <cellStyle name="Normal 3 2 7 3 2 3 2 3 2" xfId="45185"/>
    <cellStyle name="Normal 3 2 7 3 2 3 2 4" xfId="33342"/>
    <cellStyle name="Normal 3 2 7 3 2 3 3" xfId="13237"/>
    <cellStyle name="Normal 3 2 7 3 2 3 3 2" xfId="36658"/>
    <cellStyle name="Normal 3 2 7 3 2 3 4" xfId="19927"/>
    <cellStyle name="Normal 3 2 7 3 2 3 4 2" xfId="42462"/>
    <cellStyle name="Normal 3 2 7 3 2 3 5" xfId="30026"/>
    <cellStyle name="Normal 3 2 7 3 2 4" xfId="8182"/>
    <cellStyle name="Normal 3 2 7 3 2 4 2" xfId="14895"/>
    <cellStyle name="Normal 3 2 7 3 2 4 2 2" xfId="38316"/>
    <cellStyle name="Normal 3 2 7 3 2 4 3" xfId="20922"/>
    <cellStyle name="Normal 3 2 7 3 2 4 3 2" xfId="43373"/>
    <cellStyle name="Normal 3 2 7 3 2 4 4" xfId="31684"/>
    <cellStyle name="Normal 3 2 7 3 2 5" xfId="11577"/>
    <cellStyle name="Normal 3 2 7 3 2 5 2" xfId="21932"/>
    <cellStyle name="Normal 3 2 7 3 2 5 2 2" xfId="44364"/>
    <cellStyle name="Normal 3 2 7 3 2 5 3" xfId="35000"/>
    <cellStyle name="Normal 3 2 7 3 2 6" xfId="18781"/>
    <cellStyle name="Normal 3 2 7 3 2 6 2" xfId="41621"/>
    <cellStyle name="Normal 3 2 7 3 2 7" xfId="25923"/>
    <cellStyle name="Normal 3 2 7 3 2 7 2" xfId="48168"/>
    <cellStyle name="Normal 3 2 7 3 2 8" xfId="28368"/>
    <cellStyle name="Normal 3 2 7 3 3" xfId="2825"/>
    <cellStyle name="Normal 3 2 7 3 3 2" xfId="5917"/>
    <cellStyle name="Normal 3 2 7 3 3 2 2" xfId="7699"/>
    <cellStyle name="Normal 3 2 7 3 3 2 2 2" xfId="11028"/>
    <cellStyle name="Normal 3 2 7 3 3 2 2 2 2" xfId="17732"/>
    <cellStyle name="Normal 3 2 7 3 3 2 2 2 2 2" xfId="41153"/>
    <cellStyle name="Normal 3 2 7 3 3 2 2 2 3" xfId="34521"/>
    <cellStyle name="Normal 3 2 7 3 3 2 2 3" xfId="14416"/>
    <cellStyle name="Normal 3 2 7 3 3 2 2 3 2" xfId="37837"/>
    <cellStyle name="Normal 3 2 7 3 3 2 2 4" xfId="22965"/>
    <cellStyle name="Normal 3 2 7 3 3 2 2 4 2" xfId="45387"/>
    <cellStyle name="Normal 3 2 7 3 3 2 2 5" xfId="31205"/>
    <cellStyle name="Normal 3 2 7 3 3 2 3" xfId="9370"/>
    <cellStyle name="Normal 3 2 7 3 3 2 3 2" xfId="16074"/>
    <cellStyle name="Normal 3 2 7 3 3 2 3 2 2" xfId="39495"/>
    <cellStyle name="Normal 3 2 7 3 3 2 3 3" xfId="32863"/>
    <cellStyle name="Normal 3 2 7 3 3 2 4" xfId="12758"/>
    <cellStyle name="Normal 3 2 7 3 3 2 4 2" xfId="36179"/>
    <cellStyle name="Normal 3 2 7 3 3 2 5" xfId="20135"/>
    <cellStyle name="Normal 3 2 7 3 3 2 5 2" xfId="42670"/>
    <cellStyle name="Normal 3 2 7 3 3 2 6" xfId="29547"/>
    <cellStyle name="Normal 3 2 7 3 3 3" xfId="6800"/>
    <cellStyle name="Normal 3 2 7 3 3 3 2" xfId="10132"/>
    <cellStyle name="Normal 3 2 7 3 3 3 2 2" xfId="16836"/>
    <cellStyle name="Normal 3 2 7 3 3 3 2 2 2" xfId="40257"/>
    <cellStyle name="Normal 3 2 7 3 3 3 2 3" xfId="33625"/>
    <cellStyle name="Normal 3 2 7 3 3 3 3" xfId="13520"/>
    <cellStyle name="Normal 3 2 7 3 3 3 3 2" xfId="36941"/>
    <cellStyle name="Normal 3 2 7 3 3 3 4" xfId="21380"/>
    <cellStyle name="Normal 3 2 7 3 3 3 4 2" xfId="43831"/>
    <cellStyle name="Normal 3 2 7 3 3 3 5" xfId="30309"/>
    <cellStyle name="Normal 3 2 7 3 3 4" xfId="8466"/>
    <cellStyle name="Normal 3 2 7 3 3 4 2" xfId="15178"/>
    <cellStyle name="Normal 3 2 7 3 3 4 2 2" xfId="38599"/>
    <cellStyle name="Normal 3 2 7 3 3 4 3" xfId="22146"/>
    <cellStyle name="Normal 3 2 7 3 3 4 3 2" xfId="44570"/>
    <cellStyle name="Normal 3 2 7 3 3 4 4" xfId="31967"/>
    <cellStyle name="Normal 3 2 7 3 3 5" xfId="11860"/>
    <cellStyle name="Normal 3 2 7 3 3 5 2" xfId="35283"/>
    <cellStyle name="Normal 3 2 7 3 3 6" xfId="19285"/>
    <cellStyle name="Normal 3 2 7 3 3 6 2" xfId="41838"/>
    <cellStyle name="Normal 3 2 7 3 3 7" xfId="28651"/>
    <cellStyle name="Normal 3 2 7 3 4" xfId="4042"/>
    <cellStyle name="Normal 3 2 7 3 4 2" xfId="7072"/>
    <cellStyle name="Normal 3 2 7 3 4 2 2" xfId="10404"/>
    <cellStyle name="Normal 3 2 7 3 4 2 2 2" xfId="17108"/>
    <cellStyle name="Normal 3 2 7 3 4 2 2 2 2" xfId="40529"/>
    <cellStyle name="Normal 3 2 7 3 4 2 2 3" xfId="33897"/>
    <cellStyle name="Normal 3 2 7 3 4 2 3" xfId="13792"/>
    <cellStyle name="Normal 3 2 7 3 4 2 3 2" xfId="37213"/>
    <cellStyle name="Normal 3 2 7 3 4 2 4" xfId="22559"/>
    <cellStyle name="Normal 3 2 7 3 4 2 4 2" xfId="44981"/>
    <cellStyle name="Normal 3 2 7 3 4 2 5" xfId="30581"/>
    <cellStyle name="Normal 3 2 7 3 4 3" xfId="8739"/>
    <cellStyle name="Normal 3 2 7 3 4 3 2" xfId="15450"/>
    <cellStyle name="Normal 3 2 7 3 4 3 2 2" xfId="38871"/>
    <cellStyle name="Normal 3 2 7 3 4 3 3" xfId="32239"/>
    <cellStyle name="Normal 3 2 7 3 4 4" xfId="12132"/>
    <cellStyle name="Normal 3 2 7 3 4 4 2" xfId="35555"/>
    <cellStyle name="Normal 3 2 7 3 4 5" xfId="19717"/>
    <cellStyle name="Normal 3 2 7 3 4 5 2" xfId="42254"/>
    <cellStyle name="Normal 3 2 7 3 4 6" xfId="28923"/>
    <cellStyle name="Normal 3 2 7 3 5" xfId="6327"/>
    <cellStyle name="Normal 3 2 7 3 5 2" xfId="9661"/>
    <cellStyle name="Normal 3 2 7 3 5 2 2" xfId="16365"/>
    <cellStyle name="Normal 3 2 7 3 5 2 2 2" xfId="39786"/>
    <cellStyle name="Normal 3 2 7 3 5 2 3" xfId="33154"/>
    <cellStyle name="Normal 3 2 7 3 5 3" xfId="13049"/>
    <cellStyle name="Normal 3 2 7 3 5 3 2" xfId="36470"/>
    <cellStyle name="Normal 3 2 7 3 5 4" xfId="20921"/>
    <cellStyle name="Normal 3 2 7 3 5 4 2" xfId="43372"/>
    <cellStyle name="Normal 3 2 7 3 5 5" xfId="29838"/>
    <cellStyle name="Normal 3 2 7 3 6" xfId="7993"/>
    <cellStyle name="Normal 3 2 7 3 6 2" xfId="14707"/>
    <cellStyle name="Normal 3 2 7 3 6 2 2" xfId="38128"/>
    <cellStyle name="Normal 3 2 7 3 6 3" xfId="21709"/>
    <cellStyle name="Normal 3 2 7 3 6 3 2" xfId="44158"/>
    <cellStyle name="Normal 3 2 7 3 6 4" xfId="31496"/>
    <cellStyle name="Normal 3 2 7 3 7" xfId="11389"/>
    <cellStyle name="Normal 3 2 7 3 7 2" xfId="34812"/>
    <cellStyle name="Normal 3 2 7 3 8" xfId="18095"/>
    <cellStyle name="Normal 3 2 7 3 8 2" xfId="41385"/>
    <cellStyle name="Normal 3 2 7 3 9" xfId="23687"/>
    <cellStyle name="Normal 3 2 7 3 9 2" xfId="45977"/>
    <cellStyle name="Normal 3 2 7 4" xfId="2348"/>
    <cellStyle name="Normal 3 2 7 4 2" xfId="5595"/>
    <cellStyle name="Normal 3 2 7 4 2 2" xfId="7419"/>
    <cellStyle name="Normal 3 2 7 4 2 2 2" xfId="10750"/>
    <cellStyle name="Normal 3 2 7 4 2 2 2 2" xfId="17454"/>
    <cellStyle name="Normal 3 2 7 4 2 2 2 2 2" xfId="40875"/>
    <cellStyle name="Normal 3 2 7 4 2 2 2 3" xfId="20344"/>
    <cellStyle name="Normal 3 2 7 4 2 2 2 3 2" xfId="42879"/>
    <cellStyle name="Normal 3 2 7 4 2 2 2 4" xfId="34243"/>
    <cellStyle name="Normal 3 2 7 4 2 2 3" xfId="14138"/>
    <cellStyle name="Normal 3 2 7 4 2 2 3 2" xfId="22357"/>
    <cellStyle name="Normal 3 2 7 4 2 2 3 2 2" xfId="44779"/>
    <cellStyle name="Normal 3 2 7 4 2 2 3 3" xfId="37559"/>
    <cellStyle name="Normal 3 2 7 4 2 2 4" xfId="19505"/>
    <cellStyle name="Normal 3 2 7 4 2 2 4 2" xfId="42047"/>
    <cellStyle name="Normal 3 2 7 4 2 2 5" xfId="30927"/>
    <cellStyle name="Normal 3 2 7 4 2 3" xfId="9092"/>
    <cellStyle name="Normal 3 2 7 4 2 3 2" xfId="15796"/>
    <cellStyle name="Normal 3 2 7 4 2 3 2 2" xfId="22764"/>
    <cellStyle name="Normal 3 2 7 4 2 3 2 2 2" xfId="45186"/>
    <cellStyle name="Normal 3 2 7 4 2 3 2 3" xfId="39217"/>
    <cellStyle name="Normal 3 2 7 4 2 3 3" xfId="19928"/>
    <cellStyle name="Normal 3 2 7 4 2 3 3 2" xfId="42463"/>
    <cellStyle name="Normal 3 2 7 4 2 3 4" xfId="32585"/>
    <cellStyle name="Normal 3 2 7 4 2 4" xfId="12480"/>
    <cellStyle name="Normal 3 2 7 4 2 4 2" xfId="21933"/>
    <cellStyle name="Normal 3 2 7 4 2 4 2 2" xfId="44365"/>
    <cellStyle name="Normal 3 2 7 4 2 4 3" xfId="35901"/>
    <cellStyle name="Normal 3 2 7 4 2 5" xfId="18782"/>
    <cellStyle name="Normal 3 2 7 4 2 5 2" xfId="41622"/>
    <cellStyle name="Normal 3 2 7 4 2 6" xfId="29269"/>
    <cellStyle name="Normal 3 2 7 4 3" xfId="6516"/>
    <cellStyle name="Normal 3 2 7 4 3 2" xfId="9850"/>
    <cellStyle name="Normal 3 2 7 4 3 2 2" xfId="16554"/>
    <cellStyle name="Normal 3 2 7 4 3 2 2 2" xfId="39975"/>
    <cellStyle name="Normal 3 2 7 4 3 2 3" xfId="20136"/>
    <cellStyle name="Normal 3 2 7 4 3 2 3 2" xfId="42671"/>
    <cellStyle name="Normal 3 2 7 4 3 2 4" xfId="33343"/>
    <cellStyle name="Normal 3 2 7 4 3 3" xfId="13238"/>
    <cellStyle name="Normal 3 2 7 4 3 3 2" xfId="22147"/>
    <cellStyle name="Normal 3 2 7 4 3 3 2 2" xfId="44571"/>
    <cellStyle name="Normal 3 2 7 4 3 3 3" xfId="36659"/>
    <cellStyle name="Normal 3 2 7 4 3 4" xfId="19286"/>
    <cellStyle name="Normal 3 2 7 4 3 4 2" xfId="41839"/>
    <cellStyle name="Normal 3 2 7 4 3 5" xfId="30027"/>
    <cellStyle name="Normal 3 2 7 4 4" xfId="8183"/>
    <cellStyle name="Normal 3 2 7 4 4 2" xfId="14896"/>
    <cellStyle name="Normal 3 2 7 4 4 2 2" xfId="22560"/>
    <cellStyle name="Normal 3 2 7 4 4 2 2 2" xfId="44982"/>
    <cellStyle name="Normal 3 2 7 4 4 2 3" xfId="38317"/>
    <cellStyle name="Normal 3 2 7 4 4 3" xfId="19718"/>
    <cellStyle name="Normal 3 2 7 4 4 3 2" xfId="42255"/>
    <cellStyle name="Normal 3 2 7 4 4 4" xfId="31685"/>
    <cellStyle name="Normal 3 2 7 4 5" xfId="11578"/>
    <cellStyle name="Normal 3 2 7 4 5 2" xfId="21710"/>
    <cellStyle name="Normal 3 2 7 4 5 2 2" xfId="44159"/>
    <cellStyle name="Normal 3 2 7 4 5 3" xfId="35001"/>
    <cellStyle name="Normal 3 2 7 4 6" xfId="18096"/>
    <cellStyle name="Normal 3 2 7 4 6 2" xfId="41386"/>
    <cellStyle name="Normal 3 2 7 4 7" xfId="25922"/>
    <cellStyle name="Normal 3 2 7 4 7 2" xfId="48167"/>
    <cellStyle name="Normal 3 2 7 4 8" xfId="28369"/>
    <cellStyle name="Normal 3 2 7 5" xfId="2693"/>
    <cellStyle name="Normal 3 2 7 5 2" xfId="5786"/>
    <cellStyle name="Normal 3 2 7 5 2 2" xfId="7568"/>
    <cellStyle name="Normal 3 2 7 5 2 2 2" xfId="10897"/>
    <cellStyle name="Normal 3 2 7 5 2 2 2 2" xfId="17601"/>
    <cellStyle name="Normal 3 2 7 5 2 2 2 2 2" xfId="41022"/>
    <cellStyle name="Normal 3 2 7 5 2 2 2 3" xfId="34390"/>
    <cellStyle name="Normal 3 2 7 5 2 2 3" xfId="14285"/>
    <cellStyle name="Normal 3 2 7 5 2 2 3 2" xfId="37706"/>
    <cellStyle name="Normal 3 2 7 5 2 2 4" xfId="20596"/>
    <cellStyle name="Normal 3 2 7 5 2 2 4 2" xfId="43047"/>
    <cellStyle name="Normal 3 2 7 5 2 2 5" xfId="31074"/>
    <cellStyle name="Normal 3 2 7 5 2 3" xfId="9239"/>
    <cellStyle name="Normal 3 2 7 5 2 3 2" xfId="15943"/>
    <cellStyle name="Normal 3 2 7 5 2 3 2 2" xfId="39364"/>
    <cellStyle name="Normal 3 2 7 5 2 3 3" xfId="21382"/>
    <cellStyle name="Normal 3 2 7 5 2 3 3 2" xfId="43833"/>
    <cellStyle name="Normal 3 2 7 5 2 3 4" xfId="32732"/>
    <cellStyle name="Normal 3 2 7 5 2 4" xfId="12627"/>
    <cellStyle name="Normal 3 2 7 5 2 4 2" xfId="36048"/>
    <cellStyle name="Normal 3 2 7 5 2 5" xfId="18287"/>
    <cellStyle name="Normal 3 2 7 5 2 5 2" xfId="41465"/>
    <cellStyle name="Normal 3 2 7 5 2 6" xfId="29416"/>
    <cellStyle name="Normal 3 2 7 5 3" xfId="6669"/>
    <cellStyle name="Normal 3 2 7 5 3 2" xfId="10001"/>
    <cellStyle name="Normal 3 2 7 5 3 2 2" xfId="16705"/>
    <cellStyle name="Normal 3 2 7 5 3 2 2 2" xfId="40126"/>
    <cellStyle name="Normal 3 2 7 5 3 2 3" xfId="33494"/>
    <cellStyle name="Normal 3 2 7 5 3 3" xfId="13389"/>
    <cellStyle name="Normal 3 2 7 5 3 3 2" xfId="36810"/>
    <cellStyle name="Normal 3 2 7 5 3 4" xfId="18347"/>
    <cellStyle name="Normal 3 2 7 5 3 4 2" xfId="41480"/>
    <cellStyle name="Normal 3 2 7 5 3 5" xfId="30178"/>
    <cellStyle name="Normal 3 2 7 5 4" xfId="8335"/>
    <cellStyle name="Normal 3 2 7 5 4 2" xfId="15047"/>
    <cellStyle name="Normal 3 2 7 5 4 2 2" xfId="38468"/>
    <cellStyle name="Normal 3 2 7 5 4 3" xfId="20923"/>
    <cellStyle name="Normal 3 2 7 5 4 3 2" xfId="43374"/>
    <cellStyle name="Normal 3 2 7 5 4 4" xfId="31836"/>
    <cellStyle name="Normal 3 2 7 5 5" xfId="11729"/>
    <cellStyle name="Normal 3 2 7 5 5 2" xfId="21931"/>
    <cellStyle name="Normal 3 2 7 5 5 3" xfId="35152"/>
    <cellStyle name="Normal 3 2 7 5 6" xfId="18779"/>
    <cellStyle name="Normal 3 2 7 5 7" xfId="20484"/>
    <cellStyle name="Normal 3 2 7 5 7 2" xfId="42956"/>
    <cellStyle name="Normal 3 2 7 5 8" xfId="28520"/>
    <cellStyle name="Normal 3 2 7 6" xfId="4041"/>
    <cellStyle name="Normal 3 2 7 6 2" xfId="7071"/>
    <cellStyle name="Normal 3 2 7 6 2 2" xfId="10403"/>
    <cellStyle name="Normal 3 2 7 6 2 2 2" xfId="17107"/>
    <cellStyle name="Normal 3 2 7 6 2 2 2 2" xfId="40528"/>
    <cellStyle name="Normal 3 2 7 6 2 2 3" xfId="33896"/>
    <cellStyle name="Normal 3 2 7 6 2 3" xfId="13791"/>
    <cellStyle name="Normal 3 2 7 6 2 3 2" xfId="37212"/>
    <cellStyle name="Normal 3 2 7 6 2 4" xfId="30580"/>
    <cellStyle name="Normal 3 2 7 6 3" xfId="8738"/>
    <cellStyle name="Normal 3 2 7 6 3 2" xfId="15449"/>
    <cellStyle name="Normal 3 2 7 6 3 2 2" xfId="38870"/>
    <cellStyle name="Normal 3 2 7 6 3 3" xfId="32238"/>
    <cellStyle name="Normal 3 2 7 6 4" xfId="12131"/>
    <cellStyle name="Normal 3 2 7 6 4 2" xfId="35554"/>
    <cellStyle name="Normal 3 2 7 6 5" xfId="20465"/>
    <cellStyle name="Normal 3 2 7 6 6" xfId="28922"/>
    <cellStyle name="Normal 3 2 7 7" xfId="6196"/>
    <cellStyle name="Normal 3 2 7 7 2" xfId="9530"/>
    <cellStyle name="Normal 3 2 7 7 2 2" xfId="16234"/>
    <cellStyle name="Normal 3 2 7 7 2 2 2" xfId="39655"/>
    <cellStyle name="Normal 3 2 7 7 2 3" xfId="33023"/>
    <cellStyle name="Normal 3 2 7 7 3" xfId="12918"/>
    <cellStyle name="Normal 3 2 7 7 3 2" xfId="36339"/>
    <cellStyle name="Normal 3 2 7 7 4" xfId="29707"/>
    <cellStyle name="Normal 3 2 7 8" xfId="7862"/>
    <cellStyle name="Normal 3 2 7 8 2" xfId="14576"/>
    <cellStyle name="Normal 3 2 7 8 2 2" xfId="37997"/>
    <cellStyle name="Normal 3 2 7 8 3" xfId="31365"/>
    <cellStyle name="Normal 3 2 7 9" xfId="11258"/>
    <cellStyle name="Normal 3 2 7 9 2" xfId="34681"/>
    <cellStyle name="Normal 3 2 8" xfId="1658"/>
    <cellStyle name="Normal 3 3" xfId="559"/>
    <cellStyle name="Normal 3 3 2" xfId="560"/>
    <cellStyle name="Normal 3 3 2 2" xfId="4043"/>
    <cellStyle name="Normal 3 3 3" xfId="912"/>
    <cellStyle name="Normal 3 3 3 2" xfId="18784"/>
    <cellStyle name="Normal 3 3 4" xfId="913"/>
    <cellStyle name="Normal 3 3 5" xfId="18783"/>
    <cellStyle name="Normal 3 4" xfId="561"/>
    <cellStyle name="Normal 3 4 2" xfId="4044"/>
    <cellStyle name="Normal 3 4 2 2" xfId="4045"/>
    <cellStyle name="Normal 3 5" xfId="4046"/>
    <cellStyle name="Normal 3 5 10" xfId="18099"/>
    <cellStyle name="Normal 3 5 10 2" xfId="25924"/>
    <cellStyle name="Normal 3 5 10 2 2" xfId="48169"/>
    <cellStyle name="Normal 3 5 10 3" xfId="41387"/>
    <cellStyle name="Normal 3 5 11" xfId="23688"/>
    <cellStyle name="Normal 3 5 11 2" xfId="45978"/>
    <cellStyle name="Normal 3 5 12" xfId="28924"/>
    <cellStyle name="Normal 3 5 2" xfId="4047"/>
    <cellStyle name="Normal 3 5 2 10" xfId="28925"/>
    <cellStyle name="Normal 3 5 2 2" xfId="4048"/>
    <cellStyle name="Normal 3 5 2 2 2" xfId="7075"/>
    <cellStyle name="Normal 3 5 2 2 2 2" xfId="10407"/>
    <cellStyle name="Normal 3 5 2 2 2 2 2" xfId="17111"/>
    <cellStyle name="Normal 3 5 2 2 2 2 2 2" xfId="27212"/>
    <cellStyle name="Normal 3 5 2 2 2 2 2 2 2" xfId="49457"/>
    <cellStyle name="Normal 3 5 2 2 2 2 2 3" xfId="24999"/>
    <cellStyle name="Normal 3 5 2 2 2 2 2 3 2" xfId="47244"/>
    <cellStyle name="Normal 3 5 2 2 2 2 2 4" xfId="40532"/>
    <cellStyle name="Normal 3 5 2 2 2 2 3" xfId="25579"/>
    <cellStyle name="Normal 3 5 2 2 2 2 3 2" xfId="27884"/>
    <cellStyle name="Normal 3 5 2 2 2 2 3 2 2" xfId="50129"/>
    <cellStyle name="Normal 3 5 2 2 2 2 3 3" xfId="47824"/>
    <cellStyle name="Normal 3 5 2 2 2 2 4" xfId="26538"/>
    <cellStyle name="Normal 3 5 2 2 2 2 4 2" xfId="48783"/>
    <cellStyle name="Normal 3 5 2 2 2 2 5" xfId="24334"/>
    <cellStyle name="Normal 3 5 2 2 2 2 5 2" xfId="46580"/>
    <cellStyle name="Normal 3 5 2 2 2 2 6" xfId="33900"/>
    <cellStyle name="Normal 3 5 2 2 2 3" xfId="13795"/>
    <cellStyle name="Normal 3 5 2 2 2 3 2" xfId="26880"/>
    <cellStyle name="Normal 3 5 2 2 2 3 2 2" xfId="49125"/>
    <cellStyle name="Normal 3 5 2 2 2 3 3" xfId="24667"/>
    <cellStyle name="Normal 3 5 2 2 2 3 3 2" xfId="46912"/>
    <cellStyle name="Normal 3 5 2 2 2 3 4" xfId="37216"/>
    <cellStyle name="Normal 3 5 2 2 2 4" xfId="25243"/>
    <cellStyle name="Normal 3 5 2 2 2 4 2" xfId="27548"/>
    <cellStyle name="Normal 3 5 2 2 2 4 2 2" xfId="49793"/>
    <cellStyle name="Normal 3 5 2 2 2 4 3" xfId="47488"/>
    <cellStyle name="Normal 3 5 2 2 2 5" xfId="26209"/>
    <cellStyle name="Normal 3 5 2 2 2 5 2" xfId="48454"/>
    <cellStyle name="Normal 3 5 2 2 2 6" xfId="24018"/>
    <cellStyle name="Normal 3 5 2 2 2 6 2" xfId="46264"/>
    <cellStyle name="Normal 3 5 2 2 2 7" xfId="30584"/>
    <cellStyle name="Normal 3 5 2 2 3" xfId="8742"/>
    <cellStyle name="Normal 3 5 2 2 3 2" xfId="15453"/>
    <cellStyle name="Normal 3 5 2 2 3 2 2" xfId="27046"/>
    <cellStyle name="Normal 3 5 2 2 3 2 2 2" xfId="49291"/>
    <cellStyle name="Normal 3 5 2 2 3 2 3" xfId="24833"/>
    <cellStyle name="Normal 3 5 2 2 3 2 3 2" xfId="47078"/>
    <cellStyle name="Normal 3 5 2 2 3 2 4" xfId="38874"/>
    <cellStyle name="Normal 3 5 2 2 3 3" xfId="25411"/>
    <cellStyle name="Normal 3 5 2 2 3 3 2" xfId="27716"/>
    <cellStyle name="Normal 3 5 2 2 3 3 2 2" xfId="49961"/>
    <cellStyle name="Normal 3 5 2 2 3 3 3" xfId="47656"/>
    <cellStyle name="Normal 3 5 2 2 3 4" xfId="26373"/>
    <cellStyle name="Normal 3 5 2 2 3 4 2" xfId="48618"/>
    <cellStyle name="Normal 3 5 2 2 3 5" xfId="24169"/>
    <cellStyle name="Normal 3 5 2 2 3 5 2" xfId="46415"/>
    <cellStyle name="Normal 3 5 2 2 3 6" xfId="32242"/>
    <cellStyle name="Normal 3 5 2 2 4" xfId="12135"/>
    <cellStyle name="Normal 3 5 2 2 4 2" xfId="26714"/>
    <cellStyle name="Normal 3 5 2 2 4 2 2" xfId="48959"/>
    <cellStyle name="Normal 3 5 2 2 4 3" xfId="24501"/>
    <cellStyle name="Normal 3 5 2 2 4 3 2" xfId="46746"/>
    <cellStyle name="Normal 3 5 2 2 4 4" xfId="35558"/>
    <cellStyle name="Normal 3 5 2 2 5" xfId="20637"/>
    <cellStyle name="Normal 3 5 2 2 5 2" xfId="27380"/>
    <cellStyle name="Normal 3 5 2 2 5 2 2" xfId="49625"/>
    <cellStyle name="Normal 3 5 2 2 5 3" xfId="25090"/>
    <cellStyle name="Normal 3 5 2 2 5 3 2" xfId="47335"/>
    <cellStyle name="Normal 3 5 2 2 5 4" xfId="43088"/>
    <cellStyle name="Normal 3 5 2 2 6" xfId="23690"/>
    <cellStyle name="Normal 3 5 2 2 6 2" xfId="45980"/>
    <cellStyle name="Normal 3 5 2 2 7" xfId="28926"/>
    <cellStyle name="Normal 3 5 2 3" xfId="4049"/>
    <cellStyle name="Normal 3 5 2 3 2" xfId="7076"/>
    <cellStyle name="Normal 3 5 2 3 2 2" xfId="10408"/>
    <cellStyle name="Normal 3 5 2 3 2 2 2" xfId="17112"/>
    <cellStyle name="Normal 3 5 2 3 2 2 2 2" xfId="27172"/>
    <cellStyle name="Normal 3 5 2 3 2 2 2 2 2" xfId="49417"/>
    <cellStyle name="Normal 3 5 2 3 2 2 2 3" xfId="24959"/>
    <cellStyle name="Normal 3 5 2 3 2 2 2 3 2" xfId="47204"/>
    <cellStyle name="Normal 3 5 2 3 2 2 2 4" xfId="40533"/>
    <cellStyle name="Normal 3 5 2 3 2 2 3" xfId="25537"/>
    <cellStyle name="Normal 3 5 2 3 2 2 3 2" xfId="27842"/>
    <cellStyle name="Normal 3 5 2 3 2 2 3 2 2" xfId="50087"/>
    <cellStyle name="Normal 3 5 2 3 2 2 3 3" xfId="47782"/>
    <cellStyle name="Normal 3 5 2 3 2 2 4" xfId="26498"/>
    <cellStyle name="Normal 3 5 2 3 2 2 4 2" xfId="48743"/>
    <cellStyle name="Normal 3 5 2 3 2 2 5" xfId="24294"/>
    <cellStyle name="Normal 3 5 2 3 2 2 5 2" xfId="46540"/>
    <cellStyle name="Normal 3 5 2 3 2 2 6" xfId="33901"/>
    <cellStyle name="Normal 3 5 2 3 2 3" xfId="13796"/>
    <cellStyle name="Normal 3 5 2 3 2 3 2" xfId="26840"/>
    <cellStyle name="Normal 3 5 2 3 2 3 2 2" xfId="49085"/>
    <cellStyle name="Normal 3 5 2 3 2 3 3" xfId="24627"/>
    <cellStyle name="Normal 3 5 2 3 2 3 3 2" xfId="46872"/>
    <cellStyle name="Normal 3 5 2 3 2 3 4" xfId="37217"/>
    <cellStyle name="Normal 3 5 2 3 2 4" xfId="25201"/>
    <cellStyle name="Normal 3 5 2 3 2 4 2" xfId="27506"/>
    <cellStyle name="Normal 3 5 2 3 2 4 2 2" xfId="49751"/>
    <cellStyle name="Normal 3 5 2 3 2 4 3" xfId="47446"/>
    <cellStyle name="Normal 3 5 2 3 2 5" xfId="26169"/>
    <cellStyle name="Normal 3 5 2 3 2 5 2" xfId="48414"/>
    <cellStyle name="Normal 3 5 2 3 2 6" xfId="23978"/>
    <cellStyle name="Normal 3 5 2 3 2 6 2" xfId="46224"/>
    <cellStyle name="Normal 3 5 2 3 2 7" xfId="30585"/>
    <cellStyle name="Normal 3 5 2 3 3" xfId="8743"/>
    <cellStyle name="Normal 3 5 2 3 3 2" xfId="15454"/>
    <cellStyle name="Normal 3 5 2 3 3 2 2" xfId="27006"/>
    <cellStyle name="Normal 3 5 2 3 3 2 2 2" xfId="49251"/>
    <cellStyle name="Normal 3 5 2 3 3 2 3" xfId="24793"/>
    <cellStyle name="Normal 3 5 2 3 3 2 3 2" xfId="47038"/>
    <cellStyle name="Normal 3 5 2 3 3 2 4" xfId="38875"/>
    <cellStyle name="Normal 3 5 2 3 3 3" xfId="25369"/>
    <cellStyle name="Normal 3 5 2 3 3 3 2" xfId="27674"/>
    <cellStyle name="Normal 3 5 2 3 3 3 2 2" xfId="49919"/>
    <cellStyle name="Normal 3 5 2 3 3 3 3" xfId="47614"/>
    <cellStyle name="Normal 3 5 2 3 3 4" xfId="26333"/>
    <cellStyle name="Normal 3 5 2 3 3 4 2" xfId="48578"/>
    <cellStyle name="Normal 3 5 2 3 3 5" xfId="24129"/>
    <cellStyle name="Normal 3 5 2 3 3 5 2" xfId="46375"/>
    <cellStyle name="Normal 3 5 2 3 3 6" xfId="32243"/>
    <cellStyle name="Normal 3 5 2 3 4" xfId="12136"/>
    <cellStyle name="Normal 3 5 2 3 4 2" xfId="26674"/>
    <cellStyle name="Normal 3 5 2 3 4 2 2" xfId="48919"/>
    <cellStyle name="Normal 3 5 2 3 4 3" xfId="24461"/>
    <cellStyle name="Normal 3 5 2 3 4 3 2" xfId="46706"/>
    <cellStyle name="Normal 3 5 2 3 4 4" xfId="35559"/>
    <cellStyle name="Normal 3 5 2 3 5" xfId="21555"/>
    <cellStyle name="Normal 3 5 2 3 5 2" xfId="27338"/>
    <cellStyle name="Normal 3 5 2 3 5 2 2" xfId="49583"/>
    <cellStyle name="Normal 3 5 2 3 5 3" xfId="25086"/>
    <cellStyle name="Normal 3 5 2 3 5 3 2" xfId="47331"/>
    <cellStyle name="Normal 3 5 2 3 5 4" xfId="44006"/>
    <cellStyle name="Normal 3 5 2 3 6" xfId="23691"/>
    <cellStyle name="Normal 3 5 2 3 6 2" xfId="45981"/>
    <cellStyle name="Normal 3 5 2 3 7" xfId="28927"/>
    <cellStyle name="Normal 3 5 2 4" xfId="7074"/>
    <cellStyle name="Normal 3 5 2 4 2" xfId="10406"/>
    <cellStyle name="Normal 3 5 2 4 2 2" xfId="17110"/>
    <cellStyle name="Normal 3 5 2 4 2 2 2" xfId="25041"/>
    <cellStyle name="Normal 3 5 2 4 2 2 2 2" xfId="27254"/>
    <cellStyle name="Normal 3 5 2 4 2 2 2 2 2" xfId="49499"/>
    <cellStyle name="Normal 3 5 2 4 2 2 2 3" xfId="47286"/>
    <cellStyle name="Normal 3 5 2 4 2 2 3" xfId="25621"/>
    <cellStyle name="Normal 3 5 2 4 2 2 3 2" xfId="27926"/>
    <cellStyle name="Normal 3 5 2 4 2 2 3 2 2" xfId="50171"/>
    <cellStyle name="Normal 3 5 2 4 2 2 3 3" xfId="47866"/>
    <cellStyle name="Normal 3 5 2 4 2 2 4" xfId="26580"/>
    <cellStyle name="Normal 3 5 2 4 2 2 4 2" xfId="48825"/>
    <cellStyle name="Normal 3 5 2 4 2 2 5" xfId="24376"/>
    <cellStyle name="Normal 3 5 2 4 2 2 5 2" xfId="46622"/>
    <cellStyle name="Normal 3 5 2 4 2 2 6" xfId="40531"/>
    <cellStyle name="Normal 3 5 2 4 2 3" xfId="24709"/>
    <cellStyle name="Normal 3 5 2 4 2 3 2" xfId="26922"/>
    <cellStyle name="Normal 3 5 2 4 2 3 2 2" xfId="49167"/>
    <cellStyle name="Normal 3 5 2 4 2 3 3" xfId="46954"/>
    <cellStyle name="Normal 3 5 2 4 2 4" xfId="25285"/>
    <cellStyle name="Normal 3 5 2 4 2 4 2" xfId="27590"/>
    <cellStyle name="Normal 3 5 2 4 2 4 2 2" xfId="49835"/>
    <cellStyle name="Normal 3 5 2 4 2 4 3" xfId="47530"/>
    <cellStyle name="Normal 3 5 2 4 2 5" xfId="26250"/>
    <cellStyle name="Normal 3 5 2 4 2 5 2" xfId="48495"/>
    <cellStyle name="Normal 3 5 2 4 2 6" xfId="24059"/>
    <cellStyle name="Normal 3 5 2 4 2 6 2" xfId="46305"/>
    <cellStyle name="Normal 3 5 2 4 2 7" xfId="33899"/>
    <cellStyle name="Normal 3 5 2 4 3" xfId="13794"/>
    <cellStyle name="Normal 3 5 2 4 3 2" xfId="24875"/>
    <cellStyle name="Normal 3 5 2 4 3 2 2" xfId="27088"/>
    <cellStyle name="Normal 3 5 2 4 3 2 2 2" xfId="49333"/>
    <cellStyle name="Normal 3 5 2 4 3 2 3" xfId="47120"/>
    <cellStyle name="Normal 3 5 2 4 3 3" xfId="25453"/>
    <cellStyle name="Normal 3 5 2 4 3 3 2" xfId="27758"/>
    <cellStyle name="Normal 3 5 2 4 3 3 2 2" xfId="50003"/>
    <cellStyle name="Normal 3 5 2 4 3 3 3" xfId="47698"/>
    <cellStyle name="Normal 3 5 2 4 3 4" xfId="26415"/>
    <cellStyle name="Normal 3 5 2 4 3 4 2" xfId="48660"/>
    <cellStyle name="Normal 3 5 2 4 3 5" xfId="24211"/>
    <cellStyle name="Normal 3 5 2 4 3 5 2" xfId="46457"/>
    <cellStyle name="Normal 3 5 2 4 3 6" xfId="37215"/>
    <cellStyle name="Normal 3 5 2 4 4" xfId="24543"/>
    <cellStyle name="Normal 3 5 2 4 4 2" xfId="26756"/>
    <cellStyle name="Normal 3 5 2 4 4 2 2" xfId="49001"/>
    <cellStyle name="Normal 3 5 2 4 4 3" xfId="46788"/>
    <cellStyle name="Normal 3 5 2 4 5" xfId="25117"/>
    <cellStyle name="Normal 3 5 2 4 5 2" xfId="27422"/>
    <cellStyle name="Normal 3 5 2 4 5 2 2" xfId="49667"/>
    <cellStyle name="Normal 3 5 2 4 5 3" xfId="47362"/>
    <cellStyle name="Normal 3 5 2 4 6" xfId="26097"/>
    <cellStyle name="Normal 3 5 2 4 6 2" xfId="48342"/>
    <cellStyle name="Normal 3 5 2 4 7" xfId="23906"/>
    <cellStyle name="Normal 3 5 2 4 7 2" xfId="46152"/>
    <cellStyle name="Normal 3 5 2 4 8" xfId="30583"/>
    <cellStyle name="Normal 3 5 2 5" xfId="8741"/>
    <cellStyle name="Normal 3 5 2 5 2" xfId="15452"/>
    <cellStyle name="Normal 3 5 2 5 2 2" xfId="24917"/>
    <cellStyle name="Normal 3 5 2 5 2 2 2" xfId="27130"/>
    <cellStyle name="Normal 3 5 2 5 2 2 2 2" xfId="49375"/>
    <cellStyle name="Normal 3 5 2 5 2 2 3" xfId="47162"/>
    <cellStyle name="Normal 3 5 2 5 2 3" xfId="25495"/>
    <cellStyle name="Normal 3 5 2 5 2 3 2" xfId="27800"/>
    <cellStyle name="Normal 3 5 2 5 2 3 2 2" xfId="50045"/>
    <cellStyle name="Normal 3 5 2 5 2 3 3" xfId="47740"/>
    <cellStyle name="Normal 3 5 2 5 2 4" xfId="26457"/>
    <cellStyle name="Normal 3 5 2 5 2 4 2" xfId="48702"/>
    <cellStyle name="Normal 3 5 2 5 2 5" xfId="24253"/>
    <cellStyle name="Normal 3 5 2 5 2 5 2" xfId="46499"/>
    <cellStyle name="Normal 3 5 2 5 2 6" xfId="38873"/>
    <cellStyle name="Normal 3 5 2 5 3" xfId="24585"/>
    <cellStyle name="Normal 3 5 2 5 3 2" xfId="26798"/>
    <cellStyle name="Normal 3 5 2 5 3 2 2" xfId="49043"/>
    <cellStyle name="Normal 3 5 2 5 3 3" xfId="46830"/>
    <cellStyle name="Normal 3 5 2 5 4" xfId="25159"/>
    <cellStyle name="Normal 3 5 2 5 4 2" xfId="27464"/>
    <cellStyle name="Normal 3 5 2 5 4 2 2" xfId="49709"/>
    <cellStyle name="Normal 3 5 2 5 4 3" xfId="47404"/>
    <cellStyle name="Normal 3 5 2 5 5" xfId="26129"/>
    <cellStyle name="Normal 3 5 2 5 5 2" xfId="48374"/>
    <cellStyle name="Normal 3 5 2 5 6" xfId="23938"/>
    <cellStyle name="Normal 3 5 2 5 6 2" xfId="46184"/>
    <cellStyle name="Normal 3 5 2 5 7" xfId="32241"/>
    <cellStyle name="Normal 3 5 2 6" xfId="12134"/>
    <cellStyle name="Normal 3 5 2 6 2" xfId="24751"/>
    <cellStyle name="Normal 3 5 2 6 2 2" xfId="26964"/>
    <cellStyle name="Normal 3 5 2 6 2 2 2" xfId="49209"/>
    <cellStyle name="Normal 3 5 2 6 2 3" xfId="46996"/>
    <cellStyle name="Normal 3 5 2 6 3" xfId="25327"/>
    <cellStyle name="Normal 3 5 2 6 3 2" xfId="27632"/>
    <cellStyle name="Normal 3 5 2 6 3 2 2" xfId="49877"/>
    <cellStyle name="Normal 3 5 2 6 3 3" xfId="47572"/>
    <cellStyle name="Normal 3 5 2 6 4" xfId="26292"/>
    <cellStyle name="Normal 3 5 2 6 4 2" xfId="48537"/>
    <cellStyle name="Normal 3 5 2 6 5" xfId="24088"/>
    <cellStyle name="Normal 3 5 2 6 5 2" xfId="46334"/>
    <cellStyle name="Normal 3 5 2 6 6" xfId="35557"/>
    <cellStyle name="Normal 3 5 2 7" xfId="17889"/>
    <cellStyle name="Normal 3 5 2 7 2" xfId="26632"/>
    <cellStyle name="Normal 3 5 2 7 2 2" xfId="48877"/>
    <cellStyle name="Normal 3 5 2 7 3" xfId="24419"/>
    <cellStyle name="Normal 3 5 2 7 3 2" xfId="46664"/>
    <cellStyle name="Normal 3 5 2 7 4" xfId="41239"/>
    <cellStyle name="Normal 3 5 2 8" xfId="23689"/>
    <cellStyle name="Normal 3 5 2 8 2" xfId="27296"/>
    <cellStyle name="Normal 3 5 2 8 2 2" xfId="49541"/>
    <cellStyle name="Normal 3 5 2 8 3" xfId="45979"/>
    <cellStyle name="Normal 3 5 2 9" xfId="25925"/>
    <cellStyle name="Normal 3 5 2 9 2" xfId="48170"/>
    <cellStyle name="Normal 3 5 3" xfId="4050"/>
    <cellStyle name="Normal 3 5 3 2" xfId="7077"/>
    <cellStyle name="Normal 3 5 3 2 2" xfId="10409"/>
    <cellStyle name="Normal 3 5 3 2 2 2" xfId="17113"/>
    <cellStyle name="Normal 3 5 3 2 2 2 2" xfId="27192"/>
    <cellStyle name="Normal 3 5 3 2 2 2 2 2" xfId="49437"/>
    <cellStyle name="Normal 3 5 3 2 2 2 3" xfId="24979"/>
    <cellStyle name="Normal 3 5 3 2 2 2 3 2" xfId="47224"/>
    <cellStyle name="Normal 3 5 3 2 2 2 4" xfId="40534"/>
    <cellStyle name="Normal 3 5 3 2 2 3" xfId="25558"/>
    <cellStyle name="Normal 3 5 3 2 2 3 2" xfId="27863"/>
    <cellStyle name="Normal 3 5 3 2 2 3 2 2" xfId="50108"/>
    <cellStyle name="Normal 3 5 3 2 2 3 3" xfId="47803"/>
    <cellStyle name="Normal 3 5 3 2 2 4" xfId="26518"/>
    <cellStyle name="Normal 3 5 3 2 2 4 2" xfId="48763"/>
    <cellStyle name="Normal 3 5 3 2 2 5" xfId="24314"/>
    <cellStyle name="Normal 3 5 3 2 2 5 2" xfId="46560"/>
    <cellStyle name="Normal 3 5 3 2 2 6" xfId="33902"/>
    <cellStyle name="Normal 3 5 3 2 3" xfId="13797"/>
    <cellStyle name="Normal 3 5 3 2 3 2" xfId="26860"/>
    <cellStyle name="Normal 3 5 3 2 3 2 2" xfId="49105"/>
    <cellStyle name="Normal 3 5 3 2 3 3" xfId="24647"/>
    <cellStyle name="Normal 3 5 3 2 3 3 2" xfId="46892"/>
    <cellStyle name="Normal 3 5 3 2 3 4" xfId="37218"/>
    <cellStyle name="Normal 3 5 3 2 4" xfId="25222"/>
    <cellStyle name="Normal 3 5 3 2 4 2" xfId="27527"/>
    <cellStyle name="Normal 3 5 3 2 4 2 2" xfId="49772"/>
    <cellStyle name="Normal 3 5 3 2 4 3" xfId="47467"/>
    <cellStyle name="Normal 3 5 3 2 5" xfId="26189"/>
    <cellStyle name="Normal 3 5 3 2 5 2" xfId="48434"/>
    <cellStyle name="Normal 3 5 3 2 6" xfId="23998"/>
    <cellStyle name="Normal 3 5 3 2 6 2" xfId="46244"/>
    <cellStyle name="Normal 3 5 3 2 7" xfId="30586"/>
    <cellStyle name="Normal 3 5 3 3" xfId="8744"/>
    <cellStyle name="Normal 3 5 3 3 2" xfId="15455"/>
    <cellStyle name="Normal 3 5 3 3 2 2" xfId="27026"/>
    <cellStyle name="Normal 3 5 3 3 2 2 2" xfId="49271"/>
    <cellStyle name="Normal 3 5 3 3 2 3" xfId="24813"/>
    <cellStyle name="Normal 3 5 3 3 2 3 2" xfId="47058"/>
    <cellStyle name="Normal 3 5 3 3 2 4" xfId="38876"/>
    <cellStyle name="Normal 3 5 3 3 3" xfId="25390"/>
    <cellStyle name="Normal 3 5 3 3 3 2" xfId="27695"/>
    <cellStyle name="Normal 3 5 3 3 3 2 2" xfId="49940"/>
    <cellStyle name="Normal 3 5 3 3 3 3" xfId="47635"/>
    <cellStyle name="Normal 3 5 3 3 4" xfId="26353"/>
    <cellStyle name="Normal 3 5 3 3 4 2" xfId="48598"/>
    <cellStyle name="Normal 3 5 3 3 5" xfId="24149"/>
    <cellStyle name="Normal 3 5 3 3 5 2" xfId="46395"/>
    <cellStyle name="Normal 3 5 3 3 6" xfId="32244"/>
    <cellStyle name="Normal 3 5 3 4" xfId="12137"/>
    <cellStyle name="Normal 3 5 3 4 2" xfId="26694"/>
    <cellStyle name="Normal 3 5 3 4 2 2" xfId="48939"/>
    <cellStyle name="Normal 3 5 3 4 3" xfId="24481"/>
    <cellStyle name="Normal 3 5 3 4 3 2" xfId="46726"/>
    <cellStyle name="Normal 3 5 3 4 4" xfId="35560"/>
    <cellStyle name="Normal 3 5 3 5" xfId="20539"/>
    <cellStyle name="Normal 3 5 3 5 2" xfId="27359"/>
    <cellStyle name="Normal 3 5 3 5 2 2" xfId="49604"/>
    <cellStyle name="Normal 3 5 3 5 3" xfId="25088"/>
    <cellStyle name="Normal 3 5 3 5 3 2" xfId="47333"/>
    <cellStyle name="Normal 3 5 3 5 4" xfId="42992"/>
    <cellStyle name="Normal 3 5 3 6" xfId="23692"/>
    <cellStyle name="Normal 3 5 3 6 2" xfId="45982"/>
    <cellStyle name="Normal 3 5 3 7" xfId="28928"/>
    <cellStyle name="Normal 3 5 4" xfId="4051"/>
    <cellStyle name="Normal 3 5 4 2" xfId="7078"/>
    <cellStyle name="Normal 3 5 4 2 2" xfId="10410"/>
    <cellStyle name="Normal 3 5 4 2 2 2" xfId="17114"/>
    <cellStyle name="Normal 3 5 4 2 2 2 2" xfId="27151"/>
    <cellStyle name="Normal 3 5 4 2 2 2 2 2" xfId="49396"/>
    <cellStyle name="Normal 3 5 4 2 2 2 3" xfId="24938"/>
    <cellStyle name="Normal 3 5 4 2 2 2 3 2" xfId="47183"/>
    <cellStyle name="Normal 3 5 4 2 2 2 4" xfId="40535"/>
    <cellStyle name="Normal 3 5 4 2 2 3" xfId="25516"/>
    <cellStyle name="Normal 3 5 4 2 2 3 2" xfId="27821"/>
    <cellStyle name="Normal 3 5 4 2 2 3 2 2" xfId="50066"/>
    <cellStyle name="Normal 3 5 4 2 2 3 3" xfId="47761"/>
    <cellStyle name="Normal 3 5 4 2 2 4" xfId="26478"/>
    <cellStyle name="Normal 3 5 4 2 2 4 2" xfId="48723"/>
    <cellStyle name="Normal 3 5 4 2 2 5" xfId="24274"/>
    <cellStyle name="Normal 3 5 4 2 2 5 2" xfId="46520"/>
    <cellStyle name="Normal 3 5 4 2 2 6" xfId="33903"/>
    <cellStyle name="Normal 3 5 4 2 3" xfId="13798"/>
    <cellStyle name="Normal 3 5 4 2 3 2" xfId="26819"/>
    <cellStyle name="Normal 3 5 4 2 3 2 2" xfId="49064"/>
    <cellStyle name="Normal 3 5 4 2 3 3" xfId="24606"/>
    <cellStyle name="Normal 3 5 4 2 3 3 2" xfId="46851"/>
    <cellStyle name="Normal 3 5 4 2 3 4" xfId="37219"/>
    <cellStyle name="Normal 3 5 4 2 4" xfId="25180"/>
    <cellStyle name="Normal 3 5 4 2 4 2" xfId="27485"/>
    <cellStyle name="Normal 3 5 4 2 4 2 2" xfId="49730"/>
    <cellStyle name="Normal 3 5 4 2 4 3" xfId="47425"/>
    <cellStyle name="Normal 3 5 4 2 5" xfId="26149"/>
    <cellStyle name="Normal 3 5 4 2 5 2" xfId="48394"/>
    <cellStyle name="Normal 3 5 4 2 6" xfId="23958"/>
    <cellStyle name="Normal 3 5 4 2 6 2" xfId="46204"/>
    <cellStyle name="Normal 3 5 4 2 7" xfId="30587"/>
    <cellStyle name="Normal 3 5 4 3" xfId="8745"/>
    <cellStyle name="Normal 3 5 4 3 2" xfId="15456"/>
    <cellStyle name="Normal 3 5 4 3 2 2" xfId="26985"/>
    <cellStyle name="Normal 3 5 4 3 2 2 2" xfId="49230"/>
    <cellStyle name="Normal 3 5 4 3 2 3" xfId="24772"/>
    <cellStyle name="Normal 3 5 4 3 2 3 2" xfId="47017"/>
    <cellStyle name="Normal 3 5 4 3 2 4" xfId="38877"/>
    <cellStyle name="Normal 3 5 4 3 3" xfId="25348"/>
    <cellStyle name="Normal 3 5 4 3 3 2" xfId="27653"/>
    <cellStyle name="Normal 3 5 4 3 3 2 2" xfId="49898"/>
    <cellStyle name="Normal 3 5 4 3 3 3" xfId="47593"/>
    <cellStyle name="Normal 3 5 4 3 4" xfId="26313"/>
    <cellStyle name="Normal 3 5 4 3 4 2" xfId="48558"/>
    <cellStyle name="Normal 3 5 4 3 5" xfId="24109"/>
    <cellStyle name="Normal 3 5 4 3 5 2" xfId="46355"/>
    <cellStyle name="Normal 3 5 4 3 6" xfId="32245"/>
    <cellStyle name="Normal 3 5 4 4" xfId="12138"/>
    <cellStyle name="Normal 3 5 4 4 2" xfId="26653"/>
    <cellStyle name="Normal 3 5 4 4 2 2" xfId="48898"/>
    <cellStyle name="Normal 3 5 4 4 3" xfId="24440"/>
    <cellStyle name="Normal 3 5 4 4 3 2" xfId="46685"/>
    <cellStyle name="Normal 3 5 4 4 4" xfId="35561"/>
    <cellStyle name="Normal 3 5 4 5" xfId="21096"/>
    <cellStyle name="Normal 3 5 4 5 2" xfId="27317"/>
    <cellStyle name="Normal 3 5 4 5 2 2" xfId="49562"/>
    <cellStyle name="Normal 3 5 4 5 3" xfId="25084"/>
    <cellStyle name="Normal 3 5 4 5 3 2" xfId="47329"/>
    <cellStyle name="Normal 3 5 4 5 4" xfId="43547"/>
    <cellStyle name="Normal 3 5 4 6" xfId="23693"/>
    <cellStyle name="Normal 3 5 4 6 2" xfId="45983"/>
    <cellStyle name="Normal 3 5 4 7" xfId="28929"/>
    <cellStyle name="Normal 3 5 5" xfId="5048"/>
    <cellStyle name="Normal 3 5 5 2" xfId="21906"/>
    <cellStyle name="Normal 3 5 5 2 2" xfId="24355"/>
    <cellStyle name="Normal 3 5 5 2 2 2" xfId="25020"/>
    <cellStyle name="Normal 3 5 5 2 2 2 2" xfId="27233"/>
    <cellStyle name="Normal 3 5 5 2 2 2 2 2" xfId="49478"/>
    <cellStyle name="Normal 3 5 5 2 2 2 3" xfId="47265"/>
    <cellStyle name="Normal 3 5 5 2 2 3" xfId="25600"/>
    <cellStyle name="Normal 3 5 5 2 2 3 2" xfId="27905"/>
    <cellStyle name="Normal 3 5 5 2 2 3 2 2" xfId="50150"/>
    <cellStyle name="Normal 3 5 5 2 2 3 3" xfId="47845"/>
    <cellStyle name="Normal 3 5 5 2 2 4" xfId="26559"/>
    <cellStyle name="Normal 3 5 5 2 2 4 2" xfId="48804"/>
    <cellStyle name="Normal 3 5 5 2 2 5" xfId="46601"/>
    <cellStyle name="Normal 3 5 5 2 3" xfId="24688"/>
    <cellStyle name="Normal 3 5 5 2 3 2" xfId="26901"/>
    <cellStyle name="Normal 3 5 5 2 3 2 2" xfId="49146"/>
    <cellStyle name="Normal 3 5 5 2 3 3" xfId="46933"/>
    <cellStyle name="Normal 3 5 5 2 4" xfId="25264"/>
    <cellStyle name="Normal 3 5 5 2 4 2" xfId="27569"/>
    <cellStyle name="Normal 3 5 5 2 4 2 2" xfId="49814"/>
    <cellStyle name="Normal 3 5 5 2 4 3" xfId="47509"/>
    <cellStyle name="Normal 3 5 5 2 5" xfId="26230"/>
    <cellStyle name="Normal 3 5 5 2 5 2" xfId="48475"/>
    <cellStyle name="Normal 3 5 5 2 6" xfId="24039"/>
    <cellStyle name="Normal 3 5 5 2 6 2" xfId="46285"/>
    <cellStyle name="Normal 3 5 5 3" xfId="24190"/>
    <cellStyle name="Normal 3 5 5 3 2" xfId="24854"/>
    <cellStyle name="Normal 3 5 5 3 2 2" xfId="27067"/>
    <cellStyle name="Normal 3 5 5 3 2 2 2" xfId="49312"/>
    <cellStyle name="Normal 3 5 5 3 2 3" xfId="47099"/>
    <cellStyle name="Normal 3 5 5 3 3" xfId="25432"/>
    <cellStyle name="Normal 3 5 5 3 3 2" xfId="27737"/>
    <cellStyle name="Normal 3 5 5 3 3 2 2" xfId="49982"/>
    <cellStyle name="Normal 3 5 5 3 3 3" xfId="47677"/>
    <cellStyle name="Normal 3 5 5 3 4" xfId="26394"/>
    <cellStyle name="Normal 3 5 5 3 4 2" xfId="48639"/>
    <cellStyle name="Normal 3 5 5 3 5" xfId="46436"/>
    <cellStyle name="Normal 3 5 5 4" xfId="24522"/>
    <cellStyle name="Normal 3 5 5 4 2" xfId="26735"/>
    <cellStyle name="Normal 3 5 5 4 2 2" xfId="48980"/>
    <cellStyle name="Normal 3 5 5 4 3" xfId="46767"/>
    <cellStyle name="Normal 3 5 5 5" xfId="25102"/>
    <cellStyle name="Normal 3 5 5 5 2" xfId="27401"/>
    <cellStyle name="Normal 3 5 5 5 2 2" xfId="49646"/>
    <cellStyle name="Normal 3 5 5 5 3" xfId="47347"/>
    <cellStyle name="Normal 3 5 5 6" xfId="23892"/>
    <cellStyle name="Normal 3 5 5 6 2" xfId="26083"/>
    <cellStyle name="Normal 3 5 5 6 2 2" xfId="48328"/>
    <cellStyle name="Normal 3 5 5 6 3" xfId="46138"/>
    <cellStyle name="Normal 3 5 6" xfId="7073"/>
    <cellStyle name="Normal 3 5 6 2" xfId="10405"/>
    <cellStyle name="Normal 3 5 6 2 2" xfId="17109"/>
    <cellStyle name="Normal 3 5 6 2 2 2" xfId="27109"/>
    <cellStyle name="Normal 3 5 6 2 2 2 2" xfId="49354"/>
    <cellStyle name="Normal 3 5 6 2 2 3" xfId="24896"/>
    <cellStyle name="Normal 3 5 6 2 2 3 2" xfId="47141"/>
    <cellStyle name="Normal 3 5 6 2 2 4" xfId="40530"/>
    <cellStyle name="Normal 3 5 6 2 3" xfId="25474"/>
    <cellStyle name="Normal 3 5 6 2 3 2" xfId="27779"/>
    <cellStyle name="Normal 3 5 6 2 3 2 2" xfId="50024"/>
    <cellStyle name="Normal 3 5 6 2 3 3" xfId="47719"/>
    <cellStyle name="Normal 3 5 6 2 4" xfId="26436"/>
    <cellStyle name="Normal 3 5 6 2 4 2" xfId="48681"/>
    <cellStyle name="Normal 3 5 6 2 5" xfId="24232"/>
    <cellStyle name="Normal 3 5 6 2 5 2" xfId="46478"/>
    <cellStyle name="Normal 3 5 6 2 6" xfId="33898"/>
    <cellStyle name="Normal 3 5 6 3" xfId="13793"/>
    <cellStyle name="Normal 3 5 6 3 2" xfId="26777"/>
    <cellStyle name="Normal 3 5 6 3 2 2" xfId="49022"/>
    <cellStyle name="Normal 3 5 6 3 3" xfId="24564"/>
    <cellStyle name="Normal 3 5 6 3 3 2" xfId="46809"/>
    <cellStyle name="Normal 3 5 6 3 4" xfId="37214"/>
    <cellStyle name="Normal 3 5 6 4" xfId="25138"/>
    <cellStyle name="Normal 3 5 6 4 2" xfId="27443"/>
    <cellStyle name="Normal 3 5 6 4 2 2" xfId="49688"/>
    <cellStyle name="Normal 3 5 6 4 3" xfId="47383"/>
    <cellStyle name="Normal 3 5 6 5" xfId="26111"/>
    <cellStyle name="Normal 3 5 6 5 2" xfId="48356"/>
    <cellStyle name="Normal 3 5 6 6" xfId="23920"/>
    <cellStyle name="Normal 3 5 6 6 2" xfId="46166"/>
    <cellStyle name="Normal 3 5 6 7" xfId="30582"/>
    <cellStyle name="Normal 3 5 7" xfId="8740"/>
    <cellStyle name="Normal 3 5 7 2" xfId="15451"/>
    <cellStyle name="Normal 3 5 7 2 2" xfId="26943"/>
    <cellStyle name="Normal 3 5 7 2 2 2" xfId="49188"/>
    <cellStyle name="Normal 3 5 7 2 3" xfId="24730"/>
    <cellStyle name="Normal 3 5 7 2 3 2" xfId="46975"/>
    <cellStyle name="Normal 3 5 7 2 4" xfId="38872"/>
    <cellStyle name="Normal 3 5 7 3" xfId="25306"/>
    <cellStyle name="Normal 3 5 7 3 2" xfId="27611"/>
    <cellStyle name="Normal 3 5 7 3 2 2" xfId="49856"/>
    <cellStyle name="Normal 3 5 7 3 3" xfId="47551"/>
    <cellStyle name="Normal 3 5 7 4" xfId="26271"/>
    <cellStyle name="Normal 3 5 7 4 2" xfId="48516"/>
    <cellStyle name="Normal 3 5 7 5" xfId="24070"/>
    <cellStyle name="Normal 3 5 7 5 2" xfId="46316"/>
    <cellStyle name="Normal 3 5 7 6" xfId="32240"/>
    <cellStyle name="Normal 3 5 8" xfId="12133"/>
    <cellStyle name="Normal 3 5 8 2" xfId="26611"/>
    <cellStyle name="Normal 3 5 8 2 2" xfId="48856"/>
    <cellStyle name="Normal 3 5 8 3" xfId="24408"/>
    <cellStyle name="Normal 3 5 8 3 2" xfId="46653"/>
    <cellStyle name="Normal 3 5 8 4" xfId="35556"/>
    <cellStyle name="Normal 3 5 9" xfId="18751"/>
    <cellStyle name="Normal 3 5 9 2" xfId="27275"/>
    <cellStyle name="Normal 3 5 9 2 2" xfId="49520"/>
    <cellStyle name="Normal 3 5 9 3" xfId="25062"/>
    <cellStyle name="Normal 3 5 9 3 2" xfId="47307"/>
    <cellStyle name="Normal 3 6" xfId="4052"/>
    <cellStyle name="Normal 3 6 2" xfId="20588"/>
    <cellStyle name="Normal 3 6 2 2" xfId="43040"/>
    <cellStyle name="Normal 3 6 3" xfId="21331"/>
    <cellStyle name="Normal 3 6 3 2" xfId="43782"/>
    <cellStyle name="Normal 3 6 4" xfId="18286"/>
    <cellStyle name="Normal 3 6 4 2" xfId="41464"/>
    <cellStyle name="Normal 3 7" xfId="6114"/>
    <cellStyle name="Normal 3 7 2" xfId="7779"/>
    <cellStyle name="Normal 3 7 2 2" xfId="11108"/>
    <cellStyle name="Normal 3 7 2 2 2" xfId="17812"/>
    <cellStyle name="Normal 3 7 2 2 2 2" xfId="41233"/>
    <cellStyle name="Normal 3 7 2 2 3" xfId="34601"/>
    <cellStyle name="Normal 3 7 2 3" xfId="14496"/>
    <cellStyle name="Normal 3 7 2 3 2" xfId="37917"/>
    <cellStyle name="Normal 3 7 2 4" xfId="26588"/>
    <cellStyle name="Normal 3 7 2 4 2" xfId="48833"/>
    <cellStyle name="Normal 3 7 2 5" xfId="31285"/>
    <cellStyle name="Normal 3 7 3" xfId="9450"/>
    <cellStyle name="Normal 3 7 3 2" xfId="16154"/>
    <cellStyle name="Normal 3 7 3 2 2" xfId="39575"/>
    <cellStyle name="Normal 3 7 3 3" xfId="32943"/>
    <cellStyle name="Normal 3 7 4" xfId="12838"/>
    <cellStyle name="Normal 3 7 4 2" xfId="36259"/>
    <cellStyle name="Normal 3 7 5" xfId="18344"/>
    <cellStyle name="Normal 3 7 5 2" xfId="41477"/>
    <cellStyle name="Normal 3 7 6" xfId="24384"/>
    <cellStyle name="Normal 3 7 6 2" xfId="46630"/>
    <cellStyle name="Normal 3 7 7" xfId="29627"/>
    <cellStyle name="Normal 3 8" xfId="20872"/>
    <cellStyle name="Normal 3 8 2" xfId="43323"/>
    <cellStyle name="Normal 30" xfId="562"/>
    <cellStyle name="Normal 30 2" xfId="4053"/>
    <cellStyle name="Normal 30 3" xfId="4826"/>
    <cellStyle name="Normal 31" xfId="563"/>
    <cellStyle name="Normal 31 2" xfId="4054"/>
    <cellStyle name="Normal 31 3" xfId="5090"/>
    <cellStyle name="Normal 32" xfId="564"/>
    <cellStyle name="Normal 32 2" xfId="4055"/>
    <cellStyle name="Normal 32 3" xfId="5110"/>
    <cellStyle name="Normal 33" xfId="565"/>
    <cellStyle name="Normal 33 2" xfId="4056"/>
    <cellStyle name="Normal 33 3" xfId="5111"/>
    <cellStyle name="Normal 34" xfId="566"/>
    <cellStyle name="Normal 34 2" xfId="801"/>
    <cellStyle name="Normal 34 2 2" xfId="4057"/>
    <cellStyle name="Normal 34 2 3" xfId="5160"/>
    <cellStyle name="Normal 34 2 4" xfId="23820"/>
    <cellStyle name="Normal 34 3" xfId="914"/>
    <cellStyle name="Normal 34 3 2" xfId="18787"/>
    <cellStyle name="Normal 34 3 3" xfId="23516"/>
    <cellStyle name="Normal 34 3 3 2" xfId="45850"/>
    <cellStyle name="Normal 34 4" xfId="5103"/>
    <cellStyle name="Normal 34 4 2" xfId="7215"/>
    <cellStyle name="Normal 34 4 2 2" xfId="10546"/>
    <cellStyle name="Normal 34 4 2 2 2" xfId="17250"/>
    <cellStyle name="Normal 34 4 2 2 2 2" xfId="40671"/>
    <cellStyle name="Normal 34 4 2 2 3" xfId="34039"/>
    <cellStyle name="Normal 34 4 2 3" xfId="13934"/>
    <cellStyle name="Normal 34 4 2 3 2" xfId="37355"/>
    <cellStyle name="Normal 34 4 2 4" xfId="26057"/>
    <cellStyle name="Normal 34 4 2 4 2" xfId="48302"/>
    <cellStyle name="Normal 34 4 2 5" xfId="30723"/>
    <cellStyle name="Normal 34 4 3" xfId="8885"/>
    <cellStyle name="Normal 34 4 3 2" xfId="15592"/>
    <cellStyle name="Normal 34 4 3 2 2" xfId="39013"/>
    <cellStyle name="Normal 34 4 3 3" xfId="32381"/>
    <cellStyle name="Normal 34 4 4" xfId="12275"/>
    <cellStyle name="Normal 34 4 4 2" xfId="35697"/>
    <cellStyle name="Normal 34 4 5" xfId="18786"/>
    <cellStyle name="Normal 34 4 6" xfId="23846"/>
    <cellStyle name="Normal 34 4 6 2" xfId="46111"/>
    <cellStyle name="Normal 34 4 7" xfId="29065"/>
    <cellStyle name="Normal 34 5" xfId="23352"/>
    <cellStyle name="Normal 34 5 2" xfId="45718"/>
    <cellStyle name="Normal 35" xfId="775"/>
    <cellStyle name="Normal 35 2" xfId="4058"/>
    <cellStyle name="Normal 35 2 2" xfId="4059"/>
    <cellStyle name="Normal 35 2 3" xfId="5161"/>
    <cellStyle name="Normal 35 2 4" xfId="23341"/>
    <cellStyle name="Normal 35 3" xfId="4060"/>
    <cellStyle name="Normal 35 3 2" xfId="23515"/>
    <cellStyle name="Normal 35 3 2 2" xfId="45849"/>
    <cellStyle name="Normal 35 4" xfId="5102"/>
    <cellStyle name="Normal 35 4 2" xfId="7214"/>
    <cellStyle name="Normal 35 4 2 2" xfId="10545"/>
    <cellStyle name="Normal 35 4 2 2 2" xfId="17249"/>
    <cellStyle name="Normal 35 4 2 2 2 2" xfId="40670"/>
    <cellStyle name="Normal 35 4 2 2 3" xfId="34038"/>
    <cellStyle name="Normal 35 4 2 3" xfId="13933"/>
    <cellStyle name="Normal 35 4 2 3 2" xfId="37354"/>
    <cellStyle name="Normal 35 4 2 4" xfId="26056"/>
    <cellStyle name="Normal 35 4 2 4 2" xfId="48301"/>
    <cellStyle name="Normal 35 4 2 5" xfId="30722"/>
    <cellStyle name="Normal 35 4 3" xfId="8884"/>
    <cellStyle name="Normal 35 4 3 2" xfId="15591"/>
    <cellStyle name="Normal 35 4 3 2 2" xfId="39012"/>
    <cellStyle name="Normal 35 4 3 3" xfId="32380"/>
    <cellStyle name="Normal 35 4 4" xfId="12274"/>
    <cellStyle name="Normal 35 4 4 2" xfId="35696"/>
    <cellStyle name="Normal 35 4 5" xfId="23845"/>
    <cellStyle name="Normal 35 4 5 2" xfId="46110"/>
    <cellStyle name="Normal 35 4 6" xfId="29064"/>
    <cellStyle name="Normal 35 5" xfId="23351"/>
    <cellStyle name="Normal 35 5 2" xfId="45717"/>
    <cellStyle name="Normal 36" xfId="777"/>
    <cellStyle name="Normal 36 2" xfId="1372"/>
    <cellStyle name="Normal 36 2 2" xfId="4062"/>
    <cellStyle name="Normal 36 2 2 2" xfId="23287"/>
    <cellStyle name="Normal 36 2 2 3" xfId="23314"/>
    <cellStyle name="Normal 36 2 3" xfId="4063"/>
    <cellStyle name="Normal 36 2 4" xfId="4061"/>
    <cellStyle name="Normal 36 3" xfId="4064"/>
    <cellStyle name="Normal 36 3 2" xfId="4065"/>
    <cellStyle name="Normal 36 3 3" xfId="5162"/>
    <cellStyle name="Normal 36 4" xfId="4066"/>
    <cellStyle name="Normal 36 4 2" xfId="23513"/>
    <cellStyle name="Normal 36 4 2 2" xfId="45847"/>
    <cellStyle name="Normal 36 5" xfId="5099"/>
    <cellStyle name="Normal 36 5 2" xfId="7212"/>
    <cellStyle name="Normal 36 5 2 2" xfId="10543"/>
    <cellStyle name="Normal 36 5 2 2 2" xfId="17247"/>
    <cellStyle name="Normal 36 5 2 2 2 2" xfId="40668"/>
    <cellStyle name="Normal 36 5 2 2 3" xfId="34036"/>
    <cellStyle name="Normal 36 5 2 3" xfId="13931"/>
    <cellStyle name="Normal 36 5 2 3 2" xfId="37352"/>
    <cellStyle name="Normal 36 5 2 4" xfId="26054"/>
    <cellStyle name="Normal 36 5 2 4 2" xfId="48299"/>
    <cellStyle name="Normal 36 5 2 5" xfId="30720"/>
    <cellStyle name="Normal 36 5 3" xfId="8882"/>
    <cellStyle name="Normal 36 5 3 2" xfId="15589"/>
    <cellStyle name="Normal 36 5 3 2 2" xfId="39010"/>
    <cellStyle name="Normal 36 5 3 3" xfId="32378"/>
    <cellStyle name="Normal 36 5 4" xfId="12272"/>
    <cellStyle name="Normal 36 5 4 2" xfId="35694"/>
    <cellStyle name="Normal 36 5 5" xfId="23844"/>
    <cellStyle name="Normal 36 5 5 2" xfId="46109"/>
    <cellStyle name="Normal 36 5 6" xfId="29062"/>
    <cellStyle name="Normal 36 6" xfId="23349"/>
    <cellStyle name="Normal 36 6 2" xfId="45715"/>
    <cellStyle name="Normal 37" xfId="779"/>
    <cellStyle name="Normal 37 2" xfId="1373"/>
    <cellStyle name="Normal 37 2 2" xfId="4067"/>
    <cellStyle name="Normal 37 2 3" xfId="4068"/>
    <cellStyle name="Normal 37 3" xfId="6026"/>
    <cellStyle name="Normal 37 3 2" xfId="18788"/>
    <cellStyle name="Normal 37 4" xfId="23315"/>
    <cellStyle name="Normal 38" xfId="780"/>
    <cellStyle name="Normal 38 2" xfId="1449"/>
    <cellStyle name="Normal 38 2 2" xfId="4070"/>
    <cellStyle name="Normal 38 2 3" xfId="4069"/>
    <cellStyle name="Normal 38 3" xfId="18789"/>
    <cellStyle name="Normal 39" xfId="776"/>
    <cellStyle name="Normal 39 2" xfId="858"/>
    <cellStyle name="Normal 39 2 2" xfId="4072"/>
    <cellStyle name="Normal 39 2 3" xfId="4071"/>
    <cellStyle name="Normal 39 3" xfId="4073"/>
    <cellStyle name="Normal 4" xfId="567"/>
    <cellStyle name="Normal 4 10" xfId="1666"/>
    <cellStyle name="Normal 4 10 10" xfId="23695"/>
    <cellStyle name="Normal 4 10 10 2" xfId="45984"/>
    <cellStyle name="Normal 4 10 11" xfId="28085"/>
    <cellStyle name="Normal 4 10 2" xfId="1864"/>
    <cellStyle name="Normal 4 10 2 10" xfId="28216"/>
    <cellStyle name="Normal 4 10 2 2" xfId="2359"/>
    <cellStyle name="Normal 4 10 2 2 2" xfId="5599"/>
    <cellStyle name="Normal 4 10 2 2 2 2" xfId="7422"/>
    <cellStyle name="Normal 4 10 2 2 2 2 2" xfId="10753"/>
    <cellStyle name="Normal 4 10 2 2 2 2 2 2" xfId="17457"/>
    <cellStyle name="Normal 4 10 2 2 2 2 2 2 2" xfId="40878"/>
    <cellStyle name="Normal 4 10 2 2 2 2 2 3" xfId="23172"/>
    <cellStyle name="Normal 4 10 2 2 2 2 2 3 2" xfId="45594"/>
    <cellStyle name="Normal 4 10 2 2 2 2 2 4" xfId="34246"/>
    <cellStyle name="Normal 4 10 2 2 2 2 3" xfId="14141"/>
    <cellStyle name="Normal 4 10 2 2 2 2 3 2" xfId="37562"/>
    <cellStyle name="Normal 4 10 2 2 2 2 4" xfId="20347"/>
    <cellStyle name="Normal 4 10 2 2 2 2 4 2" xfId="42882"/>
    <cellStyle name="Normal 4 10 2 2 2 2 5" xfId="30930"/>
    <cellStyle name="Normal 4 10 2 2 2 3" xfId="9095"/>
    <cellStyle name="Normal 4 10 2 2 2 3 2" xfId="15799"/>
    <cellStyle name="Normal 4 10 2 2 2 3 2 2" xfId="39220"/>
    <cellStyle name="Normal 4 10 2 2 2 3 3" xfId="21385"/>
    <cellStyle name="Normal 4 10 2 2 2 3 3 2" xfId="43836"/>
    <cellStyle name="Normal 4 10 2 2 2 3 4" xfId="32588"/>
    <cellStyle name="Normal 4 10 2 2 2 4" xfId="12483"/>
    <cellStyle name="Normal 4 10 2 2 2 4 2" xfId="22360"/>
    <cellStyle name="Normal 4 10 2 2 2 4 2 2" xfId="44782"/>
    <cellStyle name="Normal 4 10 2 2 2 4 3" xfId="35904"/>
    <cellStyle name="Normal 4 10 2 2 2 5" xfId="19508"/>
    <cellStyle name="Normal 4 10 2 2 2 5 2" xfId="42050"/>
    <cellStyle name="Normal 4 10 2 2 2 6" xfId="29272"/>
    <cellStyle name="Normal 4 10 2 2 3" xfId="6519"/>
    <cellStyle name="Normal 4 10 2 2 3 2" xfId="9853"/>
    <cellStyle name="Normal 4 10 2 2 3 2 2" xfId="16557"/>
    <cellStyle name="Normal 4 10 2 2 3 2 2 2" xfId="39978"/>
    <cellStyle name="Normal 4 10 2 2 3 2 3" xfId="22767"/>
    <cellStyle name="Normal 4 10 2 2 3 2 3 2" xfId="45189"/>
    <cellStyle name="Normal 4 10 2 2 3 2 4" xfId="33346"/>
    <cellStyle name="Normal 4 10 2 2 3 3" xfId="13241"/>
    <cellStyle name="Normal 4 10 2 2 3 3 2" xfId="36662"/>
    <cellStyle name="Normal 4 10 2 2 3 4" xfId="19931"/>
    <cellStyle name="Normal 4 10 2 2 3 4 2" xfId="42466"/>
    <cellStyle name="Normal 4 10 2 2 3 5" xfId="30030"/>
    <cellStyle name="Normal 4 10 2 2 4" xfId="8186"/>
    <cellStyle name="Normal 4 10 2 2 4 2" xfId="14899"/>
    <cellStyle name="Normal 4 10 2 2 4 2 2" xfId="38320"/>
    <cellStyle name="Normal 4 10 2 2 4 3" xfId="20926"/>
    <cellStyle name="Normal 4 10 2 2 4 3 2" xfId="43377"/>
    <cellStyle name="Normal 4 10 2 2 4 4" xfId="31688"/>
    <cellStyle name="Normal 4 10 2 2 5" xfId="11581"/>
    <cellStyle name="Normal 4 10 2 2 5 2" xfId="21936"/>
    <cellStyle name="Normal 4 10 2 2 5 2 2" xfId="44368"/>
    <cellStyle name="Normal 4 10 2 2 5 3" xfId="35004"/>
    <cellStyle name="Normal 4 10 2 2 6" xfId="18792"/>
    <cellStyle name="Normal 4 10 2 2 6 2" xfId="41625"/>
    <cellStyle name="Normal 4 10 2 2 7" xfId="25927"/>
    <cellStyle name="Normal 4 10 2 2 7 2" xfId="48172"/>
    <cellStyle name="Normal 4 10 2 2 8" xfId="28372"/>
    <cellStyle name="Normal 4 10 2 3" xfId="2861"/>
    <cellStyle name="Normal 4 10 2 3 2" xfId="5953"/>
    <cellStyle name="Normal 4 10 2 3 2 2" xfId="7735"/>
    <cellStyle name="Normal 4 10 2 3 2 2 2" xfId="11064"/>
    <cellStyle name="Normal 4 10 2 3 2 2 2 2" xfId="17768"/>
    <cellStyle name="Normal 4 10 2 3 2 2 2 2 2" xfId="41189"/>
    <cellStyle name="Normal 4 10 2 3 2 2 2 3" xfId="34557"/>
    <cellStyle name="Normal 4 10 2 3 2 2 3" xfId="14452"/>
    <cellStyle name="Normal 4 10 2 3 2 2 3 2" xfId="37873"/>
    <cellStyle name="Normal 4 10 2 3 2 2 4" xfId="22967"/>
    <cellStyle name="Normal 4 10 2 3 2 2 4 2" xfId="45389"/>
    <cellStyle name="Normal 4 10 2 3 2 2 5" xfId="31241"/>
    <cellStyle name="Normal 4 10 2 3 2 3" xfId="9406"/>
    <cellStyle name="Normal 4 10 2 3 2 3 2" xfId="16110"/>
    <cellStyle name="Normal 4 10 2 3 2 3 2 2" xfId="39531"/>
    <cellStyle name="Normal 4 10 2 3 2 3 3" xfId="32899"/>
    <cellStyle name="Normal 4 10 2 3 2 4" xfId="12794"/>
    <cellStyle name="Normal 4 10 2 3 2 4 2" xfId="36215"/>
    <cellStyle name="Normal 4 10 2 3 2 5" xfId="20139"/>
    <cellStyle name="Normal 4 10 2 3 2 5 2" xfId="42674"/>
    <cellStyle name="Normal 4 10 2 3 2 6" xfId="29583"/>
    <cellStyle name="Normal 4 10 2 3 3" xfId="6836"/>
    <cellStyle name="Normal 4 10 2 3 3 2" xfId="10168"/>
    <cellStyle name="Normal 4 10 2 3 3 2 2" xfId="16872"/>
    <cellStyle name="Normal 4 10 2 3 3 2 2 2" xfId="40293"/>
    <cellStyle name="Normal 4 10 2 3 3 2 3" xfId="33661"/>
    <cellStyle name="Normal 4 10 2 3 3 3" xfId="13556"/>
    <cellStyle name="Normal 4 10 2 3 3 3 2" xfId="36977"/>
    <cellStyle name="Normal 4 10 2 3 3 4" xfId="21384"/>
    <cellStyle name="Normal 4 10 2 3 3 4 2" xfId="43835"/>
    <cellStyle name="Normal 4 10 2 3 3 5" xfId="30345"/>
    <cellStyle name="Normal 4 10 2 3 4" xfId="8502"/>
    <cellStyle name="Normal 4 10 2 3 4 2" xfId="15214"/>
    <cellStyle name="Normal 4 10 2 3 4 2 2" xfId="38635"/>
    <cellStyle name="Normal 4 10 2 3 4 3" xfId="22150"/>
    <cellStyle name="Normal 4 10 2 3 4 3 2" xfId="44574"/>
    <cellStyle name="Normal 4 10 2 3 4 4" xfId="32003"/>
    <cellStyle name="Normal 4 10 2 3 5" xfId="11896"/>
    <cellStyle name="Normal 4 10 2 3 5 2" xfId="35319"/>
    <cellStyle name="Normal 4 10 2 3 6" xfId="19289"/>
    <cellStyle name="Normal 4 10 2 3 6 2" xfId="41842"/>
    <cellStyle name="Normal 4 10 2 3 7" xfId="28687"/>
    <cellStyle name="Normal 4 10 2 4" xfId="4075"/>
    <cellStyle name="Normal 4 10 2 4 2" xfId="7080"/>
    <cellStyle name="Normal 4 10 2 4 2 2" xfId="10412"/>
    <cellStyle name="Normal 4 10 2 4 2 2 2" xfId="17116"/>
    <cellStyle name="Normal 4 10 2 4 2 2 2 2" xfId="40537"/>
    <cellStyle name="Normal 4 10 2 4 2 2 3" xfId="33905"/>
    <cellStyle name="Normal 4 10 2 4 2 3" xfId="13800"/>
    <cellStyle name="Normal 4 10 2 4 2 3 2" xfId="37221"/>
    <cellStyle name="Normal 4 10 2 4 2 4" xfId="22562"/>
    <cellStyle name="Normal 4 10 2 4 2 4 2" xfId="44984"/>
    <cellStyle name="Normal 4 10 2 4 2 5" xfId="30589"/>
    <cellStyle name="Normal 4 10 2 4 3" xfId="8747"/>
    <cellStyle name="Normal 4 10 2 4 3 2" xfId="15458"/>
    <cellStyle name="Normal 4 10 2 4 3 2 2" xfId="38879"/>
    <cellStyle name="Normal 4 10 2 4 3 3" xfId="32247"/>
    <cellStyle name="Normal 4 10 2 4 4" xfId="12140"/>
    <cellStyle name="Normal 4 10 2 4 4 2" xfId="35563"/>
    <cellStyle name="Normal 4 10 2 4 5" xfId="19721"/>
    <cellStyle name="Normal 4 10 2 4 5 2" xfId="42258"/>
    <cellStyle name="Normal 4 10 2 4 6" xfId="28931"/>
    <cellStyle name="Normal 4 10 2 5" xfId="6363"/>
    <cellStyle name="Normal 4 10 2 5 2" xfId="9697"/>
    <cellStyle name="Normal 4 10 2 5 2 2" xfId="16401"/>
    <cellStyle name="Normal 4 10 2 5 2 2 2" xfId="39822"/>
    <cellStyle name="Normal 4 10 2 5 2 3" xfId="33190"/>
    <cellStyle name="Normal 4 10 2 5 3" xfId="13085"/>
    <cellStyle name="Normal 4 10 2 5 3 2" xfId="36506"/>
    <cellStyle name="Normal 4 10 2 5 4" xfId="20925"/>
    <cellStyle name="Normal 4 10 2 5 4 2" xfId="43376"/>
    <cellStyle name="Normal 4 10 2 5 5" xfId="29874"/>
    <cellStyle name="Normal 4 10 2 6" xfId="8029"/>
    <cellStyle name="Normal 4 10 2 6 2" xfId="14743"/>
    <cellStyle name="Normal 4 10 2 6 2 2" xfId="38164"/>
    <cellStyle name="Normal 4 10 2 6 3" xfId="21712"/>
    <cellStyle name="Normal 4 10 2 6 3 2" xfId="44161"/>
    <cellStyle name="Normal 4 10 2 6 4" xfId="31532"/>
    <cellStyle name="Normal 4 10 2 7" xfId="11425"/>
    <cellStyle name="Normal 4 10 2 7 2" xfId="34848"/>
    <cellStyle name="Normal 4 10 2 8" xfId="18102"/>
    <cellStyle name="Normal 4 10 2 8 2" xfId="41390"/>
    <cellStyle name="Normal 4 10 2 9" xfId="23696"/>
    <cellStyle name="Normal 4 10 2 9 2" xfId="45985"/>
    <cellStyle name="Normal 4 10 3" xfId="2358"/>
    <cellStyle name="Normal 4 10 3 2" xfId="5598"/>
    <cellStyle name="Normal 4 10 3 2 2" xfId="7421"/>
    <cellStyle name="Normal 4 10 3 2 2 2" xfId="10752"/>
    <cellStyle name="Normal 4 10 3 2 2 2 2" xfId="17456"/>
    <cellStyle name="Normal 4 10 3 2 2 2 2 2" xfId="40877"/>
    <cellStyle name="Normal 4 10 3 2 2 2 3" xfId="23171"/>
    <cellStyle name="Normal 4 10 3 2 2 2 3 2" xfId="45593"/>
    <cellStyle name="Normal 4 10 3 2 2 2 4" xfId="34245"/>
    <cellStyle name="Normal 4 10 3 2 2 3" xfId="14140"/>
    <cellStyle name="Normal 4 10 3 2 2 3 2" xfId="37561"/>
    <cellStyle name="Normal 4 10 3 2 2 4" xfId="20346"/>
    <cellStyle name="Normal 4 10 3 2 2 4 2" xfId="42881"/>
    <cellStyle name="Normal 4 10 3 2 2 5" xfId="30929"/>
    <cellStyle name="Normal 4 10 3 2 3" xfId="9094"/>
    <cellStyle name="Normal 4 10 3 2 3 2" xfId="15798"/>
    <cellStyle name="Normal 4 10 3 2 3 2 2" xfId="39219"/>
    <cellStyle name="Normal 4 10 3 2 3 3" xfId="21386"/>
    <cellStyle name="Normal 4 10 3 2 3 3 2" xfId="43837"/>
    <cellStyle name="Normal 4 10 3 2 3 4" xfId="32587"/>
    <cellStyle name="Normal 4 10 3 2 4" xfId="12482"/>
    <cellStyle name="Normal 4 10 3 2 4 2" xfId="22359"/>
    <cellStyle name="Normal 4 10 3 2 4 2 2" xfId="44781"/>
    <cellStyle name="Normal 4 10 3 2 4 3" xfId="35903"/>
    <cellStyle name="Normal 4 10 3 2 5" xfId="19507"/>
    <cellStyle name="Normal 4 10 3 2 5 2" xfId="42049"/>
    <cellStyle name="Normal 4 10 3 2 6" xfId="29271"/>
    <cellStyle name="Normal 4 10 3 3" xfId="6518"/>
    <cellStyle name="Normal 4 10 3 3 2" xfId="9852"/>
    <cellStyle name="Normal 4 10 3 3 2 2" xfId="16556"/>
    <cellStyle name="Normal 4 10 3 3 2 2 2" xfId="39977"/>
    <cellStyle name="Normal 4 10 3 3 2 3" xfId="22766"/>
    <cellStyle name="Normal 4 10 3 3 2 3 2" xfId="45188"/>
    <cellStyle name="Normal 4 10 3 3 2 4" xfId="33345"/>
    <cellStyle name="Normal 4 10 3 3 3" xfId="13240"/>
    <cellStyle name="Normal 4 10 3 3 3 2" xfId="36661"/>
    <cellStyle name="Normal 4 10 3 3 4" xfId="19930"/>
    <cellStyle name="Normal 4 10 3 3 4 2" xfId="42465"/>
    <cellStyle name="Normal 4 10 3 3 5" xfId="30029"/>
    <cellStyle name="Normal 4 10 3 4" xfId="8185"/>
    <cellStyle name="Normal 4 10 3 4 2" xfId="14898"/>
    <cellStyle name="Normal 4 10 3 4 2 2" xfId="38319"/>
    <cellStyle name="Normal 4 10 3 4 3" xfId="20927"/>
    <cellStyle name="Normal 4 10 3 4 3 2" xfId="43378"/>
    <cellStyle name="Normal 4 10 3 4 4" xfId="31687"/>
    <cellStyle name="Normal 4 10 3 5" xfId="11580"/>
    <cellStyle name="Normal 4 10 3 5 2" xfId="21935"/>
    <cellStyle name="Normal 4 10 3 5 2 2" xfId="44367"/>
    <cellStyle name="Normal 4 10 3 5 3" xfId="35003"/>
    <cellStyle name="Normal 4 10 3 6" xfId="18791"/>
    <cellStyle name="Normal 4 10 3 6 2" xfId="41624"/>
    <cellStyle name="Normal 4 10 3 7" xfId="25926"/>
    <cellStyle name="Normal 4 10 3 7 2" xfId="48171"/>
    <cellStyle name="Normal 4 10 3 8" xfId="28371"/>
    <cellStyle name="Normal 4 10 4" xfId="2729"/>
    <cellStyle name="Normal 4 10 4 2" xfId="5822"/>
    <cellStyle name="Normal 4 10 4 2 2" xfId="7604"/>
    <cellStyle name="Normal 4 10 4 2 2 2" xfId="10933"/>
    <cellStyle name="Normal 4 10 4 2 2 2 2" xfId="17637"/>
    <cellStyle name="Normal 4 10 4 2 2 2 2 2" xfId="41058"/>
    <cellStyle name="Normal 4 10 4 2 2 2 3" xfId="34426"/>
    <cellStyle name="Normal 4 10 4 2 2 3" xfId="14321"/>
    <cellStyle name="Normal 4 10 4 2 2 3 2" xfId="37742"/>
    <cellStyle name="Normal 4 10 4 2 2 4" xfId="22966"/>
    <cellStyle name="Normal 4 10 4 2 2 4 2" xfId="45388"/>
    <cellStyle name="Normal 4 10 4 2 2 5" xfId="31110"/>
    <cellStyle name="Normal 4 10 4 2 3" xfId="9275"/>
    <cellStyle name="Normal 4 10 4 2 3 2" xfId="15979"/>
    <cellStyle name="Normal 4 10 4 2 3 2 2" xfId="39400"/>
    <cellStyle name="Normal 4 10 4 2 3 3" xfId="32768"/>
    <cellStyle name="Normal 4 10 4 2 4" xfId="12663"/>
    <cellStyle name="Normal 4 10 4 2 4 2" xfId="36084"/>
    <cellStyle name="Normal 4 10 4 2 5" xfId="20138"/>
    <cellStyle name="Normal 4 10 4 2 5 2" xfId="42673"/>
    <cellStyle name="Normal 4 10 4 2 6" xfId="29452"/>
    <cellStyle name="Normal 4 10 4 3" xfId="6705"/>
    <cellStyle name="Normal 4 10 4 3 2" xfId="10037"/>
    <cellStyle name="Normal 4 10 4 3 2 2" xfId="16741"/>
    <cellStyle name="Normal 4 10 4 3 2 2 2" xfId="40162"/>
    <cellStyle name="Normal 4 10 4 3 2 3" xfId="33530"/>
    <cellStyle name="Normal 4 10 4 3 3" xfId="13425"/>
    <cellStyle name="Normal 4 10 4 3 3 2" xfId="36846"/>
    <cellStyle name="Normal 4 10 4 3 4" xfId="21383"/>
    <cellStyle name="Normal 4 10 4 3 4 2" xfId="43834"/>
    <cellStyle name="Normal 4 10 4 3 5" xfId="30214"/>
    <cellStyle name="Normal 4 10 4 4" xfId="8371"/>
    <cellStyle name="Normal 4 10 4 4 2" xfId="15083"/>
    <cellStyle name="Normal 4 10 4 4 2 2" xfId="38504"/>
    <cellStyle name="Normal 4 10 4 4 3" xfId="22149"/>
    <cellStyle name="Normal 4 10 4 4 3 2" xfId="44573"/>
    <cellStyle name="Normal 4 10 4 4 4" xfId="31872"/>
    <cellStyle name="Normal 4 10 4 5" xfId="11765"/>
    <cellStyle name="Normal 4 10 4 5 2" xfId="35188"/>
    <cellStyle name="Normal 4 10 4 6" xfId="19288"/>
    <cellStyle name="Normal 4 10 4 6 2" xfId="41841"/>
    <cellStyle name="Normal 4 10 4 7" xfId="28556"/>
    <cellStyle name="Normal 4 10 5" xfId="4074"/>
    <cellStyle name="Normal 4 10 5 2" xfId="7079"/>
    <cellStyle name="Normal 4 10 5 2 2" xfId="10411"/>
    <cellStyle name="Normal 4 10 5 2 2 2" xfId="17115"/>
    <cellStyle name="Normal 4 10 5 2 2 2 2" xfId="40536"/>
    <cellStyle name="Normal 4 10 5 2 2 3" xfId="33904"/>
    <cellStyle name="Normal 4 10 5 2 3" xfId="13799"/>
    <cellStyle name="Normal 4 10 5 2 3 2" xfId="37220"/>
    <cellStyle name="Normal 4 10 5 2 4" xfId="22561"/>
    <cellStyle name="Normal 4 10 5 2 4 2" xfId="44983"/>
    <cellStyle name="Normal 4 10 5 2 5" xfId="30588"/>
    <cellStyle name="Normal 4 10 5 3" xfId="8746"/>
    <cellStyle name="Normal 4 10 5 3 2" xfId="15457"/>
    <cellStyle name="Normal 4 10 5 3 2 2" xfId="38878"/>
    <cellStyle name="Normal 4 10 5 3 3" xfId="32246"/>
    <cellStyle name="Normal 4 10 5 4" xfId="12139"/>
    <cellStyle name="Normal 4 10 5 4 2" xfId="35562"/>
    <cellStyle name="Normal 4 10 5 5" xfId="19720"/>
    <cellStyle name="Normal 4 10 5 5 2" xfId="42257"/>
    <cellStyle name="Normal 4 10 5 6" xfId="28930"/>
    <cellStyle name="Normal 4 10 6" xfId="6232"/>
    <cellStyle name="Normal 4 10 6 2" xfId="9566"/>
    <cellStyle name="Normal 4 10 6 2 2" xfId="16270"/>
    <cellStyle name="Normal 4 10 6 2 2 2" xfId="39691"/>
    <cellStyle name="Normal 4 10 6 2 3" xfId="33059"/>
    <cellStyle name="Normal 4 10 6 3" xfId="12954"/>
    <cellStyle name="Normal 4 10 6 3 2" xfId="36375"/>
    <cellStyle name="Normal 4 10 6 4" xfId="20924"/>
    <cellStyle name="Normal 4 10 6 4 2" xfId="43375"/>
    <cellStyle name="Normal 4 10 6 5" xfId="29743"/>
    <cellStyle name="Normal 4 10 7" xfId="7898"/>
    <cellStyle name="Normal 4 10 7 2" xfId="14612"/>
    <cellStyle name="Normal 4 10 7 2 2" xfId="38033"/>
    <cellStyle name="Normal 4 10 7 3" xfId="21711"/>
    <cellStyle name="Normal 4 10 7 3 2" xfId="44160"/>
    <cellStyle name="Normal 4 10 7 4" xfId="31401"/>
    <cellStyle name="Normal 4 10 8" xfId="11294"/>
    <cellStyle name="Normal 4 10 8 2" xfId="34717"/>
    <cellStyle name="Normal 4 10 9" xfId="18101"/>
    <cellStyle name="Normal 4 10 9 2" xfId="41389"/>
    <cellStyle name="Normal 4 11" xfId="2357"/>
    <cellStyle name="Normal 4 11 2" xfId="5597"/>
    <cellStyle name="Normal 4 11 2 2" xfId="7420"/>
    <cellStyle name="Normal 4 11 2 2 2" xfId="10751"/>
    <cellStyle name="Normal 4 11 2 2 2 2" xfId="17455"/>
    <cellStyle name="Normal 4 11 2 2 2 2 2" xfId="40876"/>
    <cellStyle name="Normal 4 11 2 2 2 3" xfId="23170"/>
    <cellStyle name="Normal 4 11 2 2 2 3 2" xfId="45592"/>
    <cellStyle name="Normal 4 11 2 2 2 4" xfId="34244"/>
    <cellStyle name="Normal 4 11 2 2 3" xfId="14139"/>
    <cellStyle name="Normal 4 11 2 2 3 2" xfId="37560"/>
    <cellStyle name="Normal 4 11 2 2 4" xfId="20345"/>
    <cellStyle name="Normal 4 11 2 2 4 2" xfId="42880"/>
    <cellStyle name="Normal 4 11 2 2 5" xfId="30928"/>
    <cellStyle name="Normal 4 11 2 3" xfId="9093"/>
    <cellStyle name="Normal 4 11 2 3 2" xfId="15797"/>
    <cellStyle name="Normal 4 11 2 3 2 2" xfId="39218"/>
    <cellStyle name="Normal 4 11 2 3 3" xfId="21387"/>
    <cellStyle name="Normal 4 11 2 3 3 2" xfId="43838"/>
    <cellStyle name="Normal 4 11 2 3 4" xfId="32586"/>
    <cellStyle name="Normal 4 11 2 4" xfId="12481"/>
    <cellStyle name="Normal 4 11 2 4 2" xfId="22358"/>
    <cellStyle name="Normal 4 11 2 4 2 2" xfId="44780"/>
    <cellStyle name="Normal 4 11 2 4 3" xfId="35902"/>
    <cellStyle name="Normal 4 11 2 5" xfId="19506"/>
    <cellStyle name="Normal 4 11 2 5 2" xfId="42048"/>
    <cellStyle name="Normal 4 11 2 6" xfId="29270"/>
    <cellStyle name="Normal 4 11 3" xfId="6517"/>
    <cellStyle name="Normal 4 11 3 2" xfId="9851"/>
    <cellStyle name="Normal 4 11 3 2 2" xfId="16555"/>
    <cellStyle name="Normal 4 11 3 2 2 2" xfId="39976"/>
    <cellStyle name="Normal 4 11 3 2 3" xfId="22765"/>
    <cellStyle name="Normal 4 11 3 2 3 2" xfId="45187"/>
    <cellStyle name="Normal 4 11 3 2 4" xfId="33344"/>
    <cellStyle name="Normal 4 11 3 3" xfId="13239"/>
    <cellStyle name="Normal 4 11 3 3 2" xfId="36660"/>
    <cellStyle name="Normal 4 11 3 4" xfId="19929"/>
    <cellStyle name="Normal 4 11 3 4 2" xfId="42464"/>
    <cellStyle name="Normal 4 11 3 5" xfId="30028"/>
    <cellStyle name="Normal 4 11 4" xfId="8184"/>
    <cellStyle name="Normal 4 11 4 2" xfId="14897"/>
    <cellStyle name="Normal 4 11 4 2 2" xfId="38318"/>
    <cellStyle name="Normal 4 11 4 3" xfId="20928"/>
    <cellStyle name="Normal 4 11 4 3 2" xfId="43379"/>
    <cellStyle name="Normal 4 11 4 4" xfId="31686"/>
    <cellStyle name="Normal 4 11 5" xfId="11579"/>
    <cellStyle name="Normal 4 11 5 2" xfId="21934"/>
    <cellStyle name="Normal 4 11 5 2 2" xfId="44366"/>
    <cellStyle name="Normal 4 11 5 3" xfId="35002"/>
    <cellStyle name="Normal 4 11 6" xfId="18790"/>
    <cellStyle name="Normal 4 11 6 2" xfId="41623"/>
    <cellStyle name="Normal 4 11 7" xfId="28370"/>
    <cellStyle name="Normal 4 12" xfId="6115"/>
    <cellStyle name="Normal 4 12 2" xfId="7780"/>
    <cellStyle name="Normal 4 12 2 2" xfId="11109"/>
    <cellStyle name="Normal 4 12 2 2 2" xfId="17813"/>
    <cellStyle name="Normal 4 12 2 2 2 2" xfId="41234"/>
    <cellStyle name="Normal 4 12 2 2 3" xfId="34602"/>
    <cellStyle name="Normal 4 12 2 3" xfId="14497"/>
    <cellStyle name="Normal 4 12 2 3 2" xfId="37918"/>
    <cellStyle name="Normal 4 12 2 4" xfId="20137"/>
    <cellStyle name="Normal 4 12 2 4 2" xfId="42672"/>
    <cellStyle name="Normal 4 12 2 5" xfId="31286"/>
    <cellStyle name="Normal 4 12 3" xfId="9451"/>
    <cellStyle name="Normal 4 12 3 2" xfId="16155"/>
    <cellStyle name="Normal 4 12 3 2 2" xfId="39576"/>
    <cellStyle name="Normal 4 12 3 3" xfId="22148"/>
    <cellStyle name="Normal 4 12 3 3 2" xfId="44572"/>
    <cellStyle name="Normal 4 12 3 4" xfId="32944"/>
    <cellStyle name="Normal 4 12 4" xfId="12839"/>
    <cellStyle name="Normal 4 12 4 2" xfId="36260"/>
    <cellStyle name="Normal 4 12 5" xfId="19287"/>
    <cellStyle name="Normal 4 12 5 2" xfId="41840"/>
    <cellStyle name="Normal 4 12 6" xfId="20476"/>
    <cellStyle name="Normal 4 12 7" xfId="29628"/>
    <cellStyle name="Normal 4 13" xfId="19719"/>
    <cellStyle name="Normal 4 13 2" xfId="42256"/>
    <cellStyle name="Normal 4 14" xfId="18100"/>
    <cellStyle name="Normal 4 14 2" xfId="41388"/>
    <cellStyle name="Normal 4 2" xfId="568"/>
    <cellStyle name="Normal 4 2 2" xfId="1197"/>
    <cellStyle name="Normal 4 2 2 2" xfId="4077"/>
    <cellStyle name="Normal 4 2 2 3" xfId="4076"/>
    <cellStyle name="Normal 4 2 2 3 2" xfId="7081"/>
    <cellStyle name="Normal 4 2 2 3 2 2" xfId="10413"/>
    <cellStyle name="Normal 4 2 2 3 2 2 2" xfId="17117"/>
    <cellStyle name="Normal 4 2 2 3 2 2 2 2" xfId="40538"/>
    <cellStyle name="Normal 4 2 2 3 2 2 3" xfId="33906"/>
    <cellStyle name="Normal 4 2 2 3 2 3" xfId="13801"/>
    <cellStyle name="Normal 4 2 2 3 2 3 2" xfId="37222"/>
    <cellStyle name="Normal 4 2 2 3 2 4" xfId="25928"/>
    <cellStyle name="Normal 4 2 2 3 2 4 2" xfId="48173"/>
    <cellStyle name="Normal 4 2 2 3 2 5" xfId="30590"/>
    <cellStyle name="Normal 4 2 2 3 3" xfId="8748"/>
    <cellStyle name="Normal 4 2 2 3 3 2" xfId="15459"/>
    <cellStyle name="Normal 4 2 2 3 3 2 2" xfId="38880"/>
    <cellStyle name="Normal 4 2 2 3 3 3" xfId="32248"/>
    <cellStyle name="Normal 4 2 2 3 4" xfId="12141"/>
    <cellStyle name="Normal 4 2 2 3 4 2" xfId="35564"/>
    <cellStyle name="Normal 4 2 2 3 5" xfId="23819"/>
    <cellStyle name="Normal 4 2 2 3 5 2" xfId="46100"/>
    <cellStyle name="Normal 4 2 2 3 6" xfId="28932"/>
    <cellStyle name="Normal 4 2 2 4" xfId="23697"/>
    <cellStyle name="Normal 4 2 2 4 2" xfId="45986"/>
    <cellStyle name="Normal 4 2 3" xfId="1134"/>
    <cellStyle name="Normal 4 2 3 2" xfId="18794"/>
    <cellStyle name="Normal 4 2 3 3" xfId="23498"/>
    <cellStyle name="Normal 4 2 3 3 2" xfId="45835"/>
    <cellStyle name="Normal 4 2 4" xfId="4816"/>
    <cellStyle name="Normal 4 2 4 2" xfId="7199"/>
    <cellStyle name="Normal 4 2 4 2 2" xfId="10531"/>
    <cellStyle name="Normal 4 2 4 2 2 2" xfId="17235"/>
    <cellStyle name="Normal 4 2 4 2 2 2 2" xfId="40656"/>
    <cellStyle name="Normal 4 2 4 2 2 3" xfId="34024"/>
    <cellStyle name="Normal 4 2 4 2 3" xfId="13919"/>
    <cellStyle name="Normal 4 2 4 2 3 2" xfId="37340"/>
    <cellStyle name="Normal 4 2 4 2 4" xfId="26042"/>
    <cellStyle name="Normal 4 2 4 2 4 2" xfId="48287"/>
    <cellStyle name="Normal 4 2 4 2 5" xfId="30708"/>
    <cellStyle name="Normal 4 2 4 3" xfId="8868"/>
    <cellStyle name="Normal 4 2 4 3 2" xfId="15577"/>
    <cellStyle name="Normal 4 2 4 3 2 2" xfId="38998"/>
    <cellStyle name="Normal 4 2 4 3 3" xfId="32366"/>
    <cellStyle name="Normal 4 2 4 4" xfId="12259"/>
    <cellStyle name="Normal 4 2 4 4 2" xfId="35682"/>
    <cellStyle name="Normal 4 2 4 5" xfId="18793"/>
    <cellStyle name="Normal 4 2 4 6" xfId="23813"/>
    <cellStyle name="Normal 4 2 4 6 2" xfId="46099"/>
    <cellStyle name="Normal 4 2 4 7" xfId="29050"/>
    <cellStyle name="Normal 4 2 5" xfId="23281"/>
    <cellStyle name="Normal 4 2 5 2" xfId="45681"/>
    <cellStyle name="Normal 4 3" xfId="569"/>
    <cellStyle name="Normal 4 3 2" xfId="915"/>
    <cellStyle name="Normal 4 3 2 2" xfId="4078"/>
    <cellStyle name="Normal 4 3 2 2 2" xfId="18795"/>
    <cellStyle name="Normal 4 3 3" xfId="5163"/>
    <cellStyle name="Normal 4 3 4" xfId="5049"/>
    <cellStyle name="Normal 4 3 4 2" xfId="7206"/>
    <cellStyle name="Normal 4 3 4 2 2" xfId="10538"/>
    <cellStyle name="Normal 4 3 4 2 2 2" xfId="17242"/>
    <cellStyle name="Normal 4 3 4 2 2 2 2" xfId="40663"/>
    <cellStyle name="Normal 4 3 4 2 2 3" xfId="34031"/>
    <cellStyle name="Normal 4 3 4 2 3" xfId="13926"/>
    <cellStyle name="Normal 4 3 4 2 3 2" xfId="37347"/>
    <cellStyle name="Normal 4 3 4 2 4" xfId="26049"/>
    <cellStyle name="Normal 4 3 4 2 4 2" xfId="48294"/>
    <cellStyle name="Normal 4 3 4 2 5" xfId="30715"/>
    <cellStyle name="Normal 4 3 4 3" xfId="8876"/>
    <cellStyle name="Normal 4 3 4 3 2" xfId="15584"/>
    <cellStyle name="Normal 4 3 4 3 2 2" xfId="39005"/>
    <cellStyle name="Normal 4 3 4 3 3" xfId="32373"/>
    <cellStyle name="Normal 4 3 4 4" xfId="12266"/>
    <cellStyle name="Normal 4 3 4 4 2" xfId="35689"/>
    <cellStyle name="Normal 4 3 4 5" xfId="23506"/>
    <cellStyle name="Normal 4 3 4 5 2" xfId="45842"/>
    <cellStyle name="Normal 4 3 4 6" xfId="29057"/>
    <cellStyle name="Normal 4 3 5" xfId="23339"/>
    <cellStyle name="Normal 4 3 5 2" xfId="45710"/>
    <cellStyle name="Normal 4 4" xfId="916"/>
    <cellStyle name="Normal 4 4 2" xfId="4079"/>
    <cellStyle name="Normal 4 4 2 2" xfId="5164"/>
    <cellStyle name="Normal 4 4 3" xfId="4080"/>
    <cellStyle name="Normal 4 4 3 2" xfId="23517"/>
    <cellStyle name="Normal 4 4 3 2 2" xfId="45851"/>
    <cellStyle name="Normal 4 4 4" xfId="5105"/>
    <cellStyle name="Normal 4 4 4 2" xfId="7216"/>
    <cellStyle name="Normal 4 4 4 2 2" xfId="10547"/>
    <cellStyle name="Normal 4 4 4 2 2 2" xfId="17251"/>
    <cellStyle name="Normal 4 4 4 2 2 2 2" xfId="40672"/>
    <cellStyle name="Normal 4 4 4 2 2 3" xfId="34040"/>
    <cellStyle name="Normal 4 4 4 2 3" xfId="13935"/>
    <cellStyle name="Normal 4 4 4 2 3 2" xfId="37356"/>
    <cellStyle name="Normal 4 4 4 2 4" xfId="26058"/>
    <cellStyle name="Normal 4 4 4 2 4 2" xfId="48303"/>
    <cellStyle name="Normal 4 4 4 2 5" xfId="30724"/>
    <cellStyle name="Normal 4 4 4 3" xfId="8886"/>
    <cellStyle name="Normal 4 4 4 3 2" xfId="15593"/>
    <cellStyle name="Normal 4 4 4 3 2 2" xfId="39014"/>
    <cellStyle name="Normal 4 4 4 3 3" xfId="32382"/>
    <cellStyle name="Normal 4 4 4 4" xfId="12276"/>
    <cellStyle name="Normal 4 4 4 4 2" xfId="35698"/>
    <cellStyle name="Normal 4 4 4 5" xfId="23847"/>
    <cellStyle name="Normal 4 4 4 5 2" xfId="46112"/>
    <cellStyle name="Normal 4 4 4 6" xfId="29066"/>
    <cellStyle name="Normal 4 4 5" xfId="23353"/>
    <cellStyle name="Normal 4 4 5 2" xfId="45719"/>
    <cellStyle name="Normal 4 5" xfId="1196"/>
    <cellStyle name="Normal 4 5 10" xfId="25929"/>
    <cellStyle name="Normal 4 5 10 2" xfId="48174"/>
    <cellStyle name="Normal 4 5 2" xfId="4082"/>
    <cellStyle name="Normal 4 5 2 10" xfId="28934"/>
    <cellStyle name="Normal 4 5 2 2" xfId="4083"/>
    <cellStyle name="Normal 4 5 2 2 2" xfId="7084"/>
    <cellStyle name="Normal 4 5 2 2 2 2" xfId="10416"/>
    <cellStyle name="Normal 4 5 2 2 2 2 2" xfId="17120"/>
    <cellStyle name="Normal 4 5 2 2 2 2 2 2" xfId="27213"/>
    <cellStyle name="Normal 4 5 2 2 2 2 2 2 2" xfId="49458"/>
    <cellStyle name="Normal 4 5 2 2 2 2 2 3" xfId="25000"/>
    <cellStyle name="Normal 4 5 2 2 2 2 2 3 2" xfId="47245"/>
    <cellStyle name="Normal 4 5 2 2 2 2 2 4" xfId="40541"/>
    <cellStyle name="Normal 4 5 2 2 2 2 3" xfId="25580"/>
    <cellStyle name="Normal 4 5 2 2 2 2 3 2" xfId="27885"/>
    <cellStyle name="Normal 4 5 2 2 2 2 3 2 2" xfId="50130"/>
    <cellStyle name="Normal 4 5 2 2 2 2 3 3" xfId="47825"/>
    <cellStyle name="Normal 4 5 2 2 2 2 4" xfId="26539"/>
    <cellStyle name="Normal 4 5 2 2 2 2 4 2" xfId="48784"/>
    <cellStyle name="Normal 4 5 2 2 2 2 5" xfId="24335"/>
    <cellStyle name="Normal 4 5 2 2 2 2 5 2" xfId="46581"/>
    <cellStyle name="Normal 4 5 2 2 2 2 6" xfId="33909"/>
    <cellStyle name="Normal 4 5 2 2 2 3" xfId="13804"/>
    <cellStyle name="Normal 4 5 2 2 2 3 2" xfId="26881"/>
    <cellStyle name="Normal 4 5 2 2 2 3 2 2" xfId="49126"/>
    <cellStyle name="Normal 4 5 2 2 2 3 3" xfId="24668"/>
    <cellStyle name="Normal 4 5 2 2 2 3 3 2" xfId="46913"/>
    <cellStyle name="Normal 4 5 2 2 2 3 4" xfId="37225"/>
    <cellStyle name="Normal 4 5 2 2 2 4" xfId="25244"/>
    <cellStyle name="Normal 4 5 2 2 2 4 2" xfId="27549"/>
    <cellStyle name="Normal 4 5 2 2 2 4 2 2" xfId="49794"/>
    <cellStyle name="Normal 4 5 2 2 2 4 3" xfId="47489"/>
    <cellStyle name="Normal 4 5 2 2 2 5" xfId="26210"/>
    <cellStyle name="Normal 4 5 2 2 2 5 2" xfId="48455"/>
    <cellStyle name="Normal 4 5 2 2 2 6" xfId="24019"/>
    <cellStyle name="Normal 4 5 2 2 2 6 2" xfId="46265"/>
    <cellStyle name="Normal 4 5 2 2 2 7" xfId="30593"/>
    <cellStyle name="Normal 4 5 2 2 3" xfId="8751"/>
    <cellStyle name="Normal 4 5 2 2 3 2" xfId="15462"/>
    <cellStyle name="Normal 4 5 2 2 3 2 2" xfId="27047"/>
    <cellStyle name="Normal 4 5 2 2 3 2 2 2" xfId="49292"/>
    <cellStyle name="Normal 4 5 2 2 3 2 3" xfId="24834"/>
    <cellStyle name="Normal 4 5 2 2 3 2 3 2" xfId="47079"/>
    <cellStyle name="Normal 4 5 2 2 3 2 4" xfId="38883"/>
    <cellStyle name="Normal 4 5 2 2 3 3" xfId="25412"/>
    <cellStyle name="Normal 4 5 2 2 3 3 2" xfId="27717"/>
    <cellStyle name="Normal 4 5 2 2 3 3 2 2" xfId="49962"/>
    <cellStyle name="Normal 4 5 2 2 3 3 3" xfId="47657"/>
    <cellStyle name="Normal 4 5 2 2 3 4" xfId="26374"/>
    <cellStyle name="Normal 4 5 2 2 3 4 2" xfId="48619"/>
    <cellStyle name="Normal 4 5 2 2 3 5" xfId="24170"/>
    <cellStyle name="Normal 4 5 2 2 3 5 2" xfId="46416"/>
    <cellStyle name="Normal 4 5 2 2 3 6" xfId="32251"/>
    <cellStyle name="Normal 4 5 2 2 4" xfId="12144"/>
    <cellStyle name="Normal 4 5 2 2 4 2" xfId="26715"/>
    <cellStyle name="Normal 4 5 2 2 4 2 2" xfId="48960"/>
    <cellStyle name="Normal 4 5 2 2 4 3" xfId="24502"/>
    <cellStyle name="Normal 4 5 2 2 4 3 2" xfId="46747"/>
    <cellStyle name="Normal 4 5 2 2 4 4" xfId="35567"/>
    <cellStyle name="Normal 4 5 2 2 5" xfId="23700"/>
    <cellStyle name="Normal 4 5 2 2 5 2" xfId="27381"/>
    <cellStyle name="Normal 4 5 2 2 5 2 2" xfId="49626"/>
    <cellStyle name="Normal 4 5 2 2 5 3" xfId="45989"/>
    <cellStyle name="Normal 4 5 2 2 6" xfId="25931"/>
    <cellStyle name="Normal 4 5 2 2 6 2" xfId="48176"/>
    <cellStyle name="Normal 4 5 2 2 7" xfId="28935"/>
    <cellStyle name="Normal 4 5 2 3" xfId="4084"/>
    <cellStyle name="Normal 4 5 2 3 2" xfId="7085"/>
    <cellStyle name="Normal 4 5 2 3 2 2" xfId="10417"/>
    <cellStyle name="Normal 4 5 2 3 2 2 2" xfId="17121"/>
    <cellStyle name="Normal 4 5 2 3 2 2 2 2" xfId="27173"/>
    <cellStyle name="Normal 4 5 2 3 2 2 2 2 2" xfId="49418"/>
    <cellStyle name="Normal 4 5 2 3 2 2 2 3" xfId="24960"/>
    <cellStyle name="Normal 4 5 2 3 2 2 2 3 2" xfId="47205"/>
    <cellStyle name="Normal 4 5 2 3 2 2 2 4" xfId="40542"/>
    <cellStyle name="Normal 4 5 2 3 2 2 3" xfId="25538"/>
    <cellStyle name="Normal 4 5 2 3 2 2 3 2" xfId="27843"/>
    <cellStyle name="Normal 4 5 2 3 2 2 3 2 2" xfId="50088"/>
    <cellStyle name="Normal 4 5 2 3 2 2 3 3" xfId="47783"/>
    <cellStyle name="Normal 4 5 2 3 2 2 4" xfId="26499"/>
    <cellStyle name="Normal 4 5 2 3 2 2 4 2" xfId="48744"/>
    <cellStyle name="Normal 4 5 2 3 2 2 5" xfId="24295"/>
    <cellStyle name="Normal 4 5 2 3 2 2 5 2" xfId="46541"/>
    <cellStyle name="Normal 4 5 2 3 2 2 6" xfId="33910"/>
    <cellStyle name="Normal 4 5 2 3 2 3" xfId="13805"/>
    <cellStyle name="Normal 4 5 2 3 2 3 2" xfId="26841"/>
    <cellStyle name="Normal 4 5 2 3 2 3 2 2" xfId="49086"/>
    <cellStyle name="Normal 4 5 2 3 2 3 3" xfId="24628"/>
    <cellStyle name="Normal 4 5 2 3 2 3 3 2" xfId="46873"/>
    <cellStyle name="Normal 4 5 2 3 2 3 4" xfId="37226"/>
    <cellStyle name="Normal 4 5 2 3 2 4" xfId="25202"/>
    <cellStyle name="Normal 4 5 2 3 2 4 2" xfId="27507"/>
    <cellStyle name="Normal 4 5 2 3 2 4 2 2" xfId="49752"/>
    <cellStyle name="Normal 4 5 2 3 2 4 3" xfId="47447"/>
    <cellStyle name="Normal 4 5 2 3 2 5" xfId="26170"/>
    <cellStyle name="Normal 4 5 2 3 2 5 2" xfId="48415"/>
    <cellStyle name="Normal 4 5 2 3 2 6" xfId="23979"/>
    <cellStyle name="Normal 4 5 2 3 2 6 2" xfId="46225"/>
    <cellStyle name="Normal 4 5 2 3 2 7" xfId="30594"/>
    <cellStyle name="Normal 4 5 2 3 3" xfId="8752"/>
    <cellStyle name="Normal 4 5 2 3 3 2" xfId="15463"/>
    <cellStyle name="Normal 4 5 2 3 3 2 2" xfId="27007"/>
    <cellStyle name="Normal 4 5 2 3 3 2 2 2" xfId="49252"/>
    <cellStyle name="Normal 4 5 2 3 3 2 3" xfId="24794"/>
    <cellStyle name="Normal 4 5 2 3 3 2 3 2" xfId="47039"/>
    <cellStyle name="Normal 4 5 2 3 3 2 4" xfId="38884"/>
    <cellStyle name="Normal 4 5 2 3 3 3" xfId="25370"/>
    <cellStyle name="Normal 4 5 2 3 3 3 2" xfId="27675"/>
    <cellStyle name="Normal 4 5 2 3 3 3 2 2" xfId="49920"/>
    <cellStyle name="Normal 4 5 2 3 3 3 3" xfId="47615"/>
    <cellStyle name="Normal 4 5 2 3 3 4" xfId="26334"/>
    <cellStyle name="Normal 4 5 2 3 3 4 2" xfId="48579"/>
    <cellStyle name="Normal 4 5 2 3 3 5" xfId="24130"/>
    <cellStyle name="Normal 4 5 2 3 3 5 2" xfId="46376"/>
    <cellStyle name="Normal 4 5 2 3 3 6" xfId="32252"/>
    <cellStyle name="Normal 4 5 2 3 4" xfId="12145"/>
    <cellStyle name="Normal 4 5 2 3 4 2" xfId="26675"/>
    <cellStyle name="Normal 4 5 2 3 4 2 2" xfId="48920"/>
    <cellStyle name="Normal 4 5 2 3 4 3" xfId="24462"/>
    <cellStyle name="Normal 4 5 2 3 4 3 2" xfId="46707"/>
    <cellStyle name="Normal 4 5 2 3 4 4" xfId="35568"/>
    <cellStyle name="Normal 4 5 2 3 5" xfId="23701"/>
    <cellStyle name="Normal 4 5 2 3 5 2" xfId="27339"/>
    <cellStyle name="Normal 4 5 2 3 5 2 2" xfId="49584"/>
    <cellStyle name="Normal 4 5 2 3 5 3" xfId="45990"/>
    <cellStyle name="Normal 4 5 2 3 6" xfId="25932"/>
    <cellStyle name="Normal 4 5 2 3 6 2" xfId="48177"/>
    <cellStyle name="Normal 4 5 2 3 7" xfId="28936"/>
    <cellStyle name="Normal 4 5 2 4" xfId="7083"/>
    <cellStyle name="Normal 4 5 2 4 2" xfId="10415"/>
    <cellStyle name="Normal 4 5 2 4 2 2" xfId="17119"/>
    <cellStyle name="Normal 4 5 2 4 2 2 2" xfId="25042"/>
    <cellStyle name="Normal 4 5 2 4 2 2 2 2" xfId="27255"/>
    <cellStyle name="Normal 4 5 2 4 2 2 2 2 2" xfId="49500"/>
    <cellStyle name="Normal 4 5 2 4 2 2 2 3" xfId="47287"/>
    <cellStyle name="Normal 4 5 2 4 2 2 3" xfId="25622"/>
    <cellStyle name="Normal 4 5 2 4 2 2 3 2" xfId="27927"/>
    <cellStyle name="Normal 4 5 2 4 2 2 3 2 2" xfId="50172"/>
    <cellStyle name="Normal 4 5 2 4 2 2 3 3" xfId="47867"/>
    <cellStyle name="Normal 4 5 2 4 2 2 4" xfId="26581"/>
    <cellStyle name="Normal 4 5 2 4 2 2 4 2" xfId="48826"/>
    <cellStyle name="Normal 4 5 2 4 2 2 5" xfId="24377"/>
    <cellStyle name="Normal 4 5 2 4 2 2 5 2" xfId="46623"/>
    <cellStyle name="Normal 4 5 2 4 2 2 6" xfId="40540"/>
    <cellStyle name="Normal 4 5 2 4 2 3" xfId="24710"/>
    <cellStyle name="Normal 4 5 2 4 2 3 2" xfId="26923"/>
    <cellStyle name="Normal 4 5 2 4 2 3 2 2" xfId="49168"/>
    <cellStyle name="Normal 4 5 2 4 2 3 3" xfId="46955"/>
    <cellStyle name="Normal 4 5 2 4 2 4" xfId="25286"/>
    <cellStyle name="Normal 4 5 2 4 2 4 2" xfId="27591"/>
    <cellStyle name="Normal 4 5 2 4 2 4 2 2" xfId="49836"/>
    <cellStyle name="Normal 4 5 2 4 2 4 3" xfId="47531"/>
    <cellStyle name="Normal 4 5 2 4 2 5" xfId="26251"/>
    <cellStyle name="Normal 4 5 2 4 2 5 2" xfId="48496"/>
    <cellStyle name="Normal 4 5 2 4 2 6" xfId="24060"/>
    <cellStyle name="Normal 4 5 2 4 2 6 2" xfId="46306"/>
    <cellStyle name="Normal 4 5 2 4 2 7" xfId="33908"/>
    <cellStyle name="Normal 4 5 2 4 3" xfId="13803"/>
    <cellStyle name="Normal 4 5 2 4 3 2" xfId="24876"/>
    <cellStyle name="Normal 4 5 2 4 3 2 2" xfId="27089"/>
    <cellStyle name="Normal 4 5 2 4 3 2 2 2" xfId="49334"/>
    <cellStyle name="Normal 4 5 2 4 3 2 3" xfId="47121"/>
    <cellStyle name="Normal 4 5 2 4 3 3" xfId="25454"/>
    <cellStyle name="Normal 4 5 2 4 3 3 2" xfId="27759"/>
    <cellStyle name="Normal 4 5 2 4 3 3 2 2" xfId="50004"/>
    <cellStyle name="Normal 4 5 2 4 3 3 3" xfId="47699"/>
    <cellStyle name="Normal 4 5 2 4 3 4" xfId="26416"/>
    <cellStyle name="Normal 4 5 2 4 3 4 2" xfId="48661"/>
    <cellStyle name="Normal 4 5 2 4 3 5" xfId="24212"/>
    <cellStyle name="Normal 4 5 2 4 3 5 2" xfId="46458"/>
    <cellStyle name="Normal 4 5 2 4 3 6" xfId="37224"/>
    <cellStyle name="Normal 4 5 2 4 4" xfId="24544"/>
    <cellStyle name="Normal 4 5 2 4 4 2" xfId="26757"/>
    <cellStyle name="Normal 4 5 2 4 4 2 2" xfId="49002"/>
    <cellStyle name="Normal 4 5 2 4 4 3" xfId="46789"/>
    <cellStyle name="Normal 4 5 2 4 5" xfId="25118"/>
    <cellStyle name="Normal 4 5 2 4 5 2" xfId="27423"/>
    <cellStyle name="Normal 4 5 2 4 5 2 2" xfId="49668"/>
    <cellStyle name="Normal 4 5 2 4 5 3" xfId="47363"/>
    <cellStyle name="Normal 4 5 2 4 6" xfId="26098"/>
    <cellStyle name="Normal 4 5 2 4 6 2" xfId="48343"/>
    <cellStyle name="Normal 4 5 2 4 7" xfId="23907"/>
    <cellStyle name="Normal 4 5 2 4 7 2" xfId="46153"/>
    <cellStyle name="Normal 4 5 2 4 8" xfId="30592"/>
    <cellStyle name="Normal 4 5 2 5" xfId="8750"/>
    <cellStyle name="Normal 4 5 2 5 2" xfId="15461"/>
    <cellStyle name="Normal 4 5 2 5 2 2" xfId="24918"/>
    <cellStyle name="Normal 4 5 2 5 2 2 2" xfId="27131"/>
    <cellStyle name="Normal 4 5 2 5 2 2 2 2" xfId="49376"/>
    <cellStyle name="Normal 4 5 2 5 2 2 3" xfId="47163"/>
    <cellStyle name="Normal 4 5 2 5 2 3" xfId="25496"/>
    <cellStyle name="Normal 4 5 2 5 2 3 2" xfId="27801"/>
    <cellStyle name="Normal 4 5 2 5 2 3 2 2" xfId="50046"/>
    <cellStyle name="Normal 4 5 2 5 2 3 3" xfId="47741"/>
    <cellStyle name="Normal 4 5 2 5 2 4" xfId="26458"/>
    <cellStyle name="Normal 4 5 2 5 2 4 2" xfId="48703"/>
    <cellStyle name="Normal 4 5 2 5 2 5" xfId="24254"/>
    <cellStyle name="Normal 4 5 2 5 2 5 2" xfId="46500"/>
    <cellStyle name="Normal 4 5 2 5 2 6" xfId="38882"/>
    <cellStyle name="Normal 4 5 2 5 3" xfId="24586"/>
    <cellStyle name="Normal 4 5 2 5 3 2" xfId="26799"/>
    <cellStyle name="Normal 4 5 2 5 3 2 2" xfId="49044"/>
    <cellStyle name="Normal 4 5 2 5 3 3" xfId="46831"/>
    <cellStyle name="Normal 4 5 2 5 4" xfId="25160"/>
    <cellStyle name="Normal 4 5 2 5 4 2" xfId="27465"/>
    <cellStyle name="Normal 4 5 2 5 4 2 2" xfId="49710"/>
    <cellStyle name="Normal 4 5 2 5 4 3" xfId="47405"/>
    <cellStyle name="Normal 4 5 2 5 5" xfId="26130"/>
    <cellStyle name="Normal 4 5 2 5 5 2" xfId="48375"/>
    <cellStyle name="Normal 4 5 2 5 6" xfId="23939"/>
    <cellStyle name="Normal 4 5 2 5 6 2" xfId="46185"/>
    <cellStyle name="Normal 4 5 2 5 7" xfId="32250"/>
    <cellStyle name="Normal 4 5 2 6" xfId="12143"/>
    <cellStyle name="Normal 4 5 2 6 2" xfId="24752"/>
    <cellStyle name="Normal 4 5 2 6 2 2" xfId="26965"/>
    <cellStyle name="Normal 4 5 2 6 2 2 2" xfId="49210"/>
    <cellStyle name="Normal 4 5 2 6 2 3" xfId="46997"/>
    <cellStyle name="Normal 4 5 2 6 3" xfId="25328"/>
    <cellStyle name="Normal 4 5 2 6 3 2" xfId="27633"/>
    <cellStyle name="Normal 4 5 2 6 3 2 2" xfId="49878"/>
    <cellStyle name="Normal 4 5 2 6 3 3" xfId="47573"/>
    <cellStyle name="Normal 4 5 2 6 4" xfId="26293"/>
    <cellStyle name="Normal 4 5 2 6 4 2" xfId="48538"/>
    <cellStyle name="Normal 4 5 2 6 5" xfId="24089"/>
    <cellStyle name="Normal 4 5 2 6 5 2" xfId="46335"/>
    <cellStyle name="Normal 4 5 2 6 6" xfId="35566"/>
    <cellStyle name="Normal 4 5 2 7" xfId="18796"/>
    <cellStyle name="Normal 4 5 2 7 2" xfId="26633"/>
    <cellStyle name="Normal 4 5 2 7 2 2" xfId="48878"/>
    <cellStyle name="Normal 4 5 2 7 3" xfId="24420"/>
    <cellStyle name="Normal 4 5 2 7 3 2" xfId="46665"/>
    <cellStyle name="Normal 4 5 2 8" xfId="23699"/>
    <cellStyle name="Normal 4 5 2 8 2" xfId="27297"/>
    <cellStyle name="Normal 4 5 2 8 2 2" xfId="49542"/>
    <cellStyle name="Normal 4 5 2 8 3" xfId="45988"/>
    <cellStyle name="Normal 4 5 2 9" xfId="25930"/>
    <cellStyle name="Normal 4 5 2 9 2" xfId="48175"/>
    <cellStyle name="Normal 4 5 3" xfId="4085"/>
    <cellStyle name="Normal 4 5 3 2" xfId="7086"/>
    <cellStyle name="Normal 4 5 3 2 2" xfId="10418"/>
    <cellStyle name="Normal 4 5 3 2 2 2" xfId="17122"/>
    <cellStyle name="Normal 4 5 3 2 2 2 2" xfId="27193"/>
    <cellStyle name="Normal 4 5 3 2 2 2 2 2" xfId="49438"/>
    <cellStyle name="Normal 4 5 3 2 2 2 3" xfId="24980"/>
    <cellStyle name="Normal 4 5 3 2 2 2 3 2" xfId="47225"/>
    <cellStyle name="Normal 4 5 3 2 2 2 4" xfId="40543"/>
    <cellStyle name="Normal 4 5 3 2 2 3" xfId="25559"/>
    <cellStyle name="Normal 4 5 3 2 2 3 2" xfId="27864"/>
    <cellStyle name="Normal 4 5 3 2 2 3 2 2" xfId="50109"/>
    <cellStyle name="Normal 4 5 3 2 2 3 3" xfId="47804"/>
    <cellStyle name="Normal 4 5 3 2 2 4" xfId="26519"/>
    <cellStyle name="Normal 4 5 3 2 2 4 2" xfId="48764"/>
    <cellStyle name="Normal 4 5 3 2 2 5" xfId="24315"/>
    <cellStyle name="Normal 4 5 3 2 2 5 2" xfId="46561"/>
    <cellStyle name="Normal 4 5 3 2 2 6" xfId="33911"/>
    <cellStyle name="Normal 4 5 3 2 3" xfId="13806"/>
    <cellStyle name="Normal 4 5 3 2 3 2" xfId="26861"/>
    <cellStyle name="Normal 4 5 3 2 3 2 2" xfId="49106"/>
    <cellStyle name="Normal 4 5 3 2 3 3" xfId="24648"/>
    <cellStyle name="Normal 4 5 3 2 3 3 2" xfId="46893"/>
    <cellStyle name="Normal 4 5 3 2 3 4" xfId="37227"/>
    <cellStyle name="Normal 4 5 3 2 4" xfId="25223"/>
    <cellStyle name="Normal 4 5 3 2 4 2" xfId="27528"/>
    <cellStyle name="Normal 4 5 3 2 4 2 2" xfId="49773"/>
    <cellStyle name="Normal 4 5 3 2 4 3" xfId="47468"/>
    <cellStyle name="Normal 4 5 3 2 5" xfId="26190"/>
    <cellStyle name="Normal 4 5 3 2 5 2" xfId="48435"/>
    <cellStyle name="Normal 4 5 3 2 6" xfId="23999"/>
    <cellStyle name="Normal 4 5 3 2 6 2" xfId="46245"/>
    <cellStyle name="Normal 4 5 3 2 7" xfId="30595"/>
    <cellStyle name="Normal 4 5 3 3" xfId="8753"/>
    <cellStyle name="Normal 4 5 3 3 2" xfId="15464"/>
    <cellStyle name="Normal 4 5 3 3 2 2" xfId="27027"/>
    <cellStyle name="Normal 4 5 3 3 2 2 2" xfId="49272"/>
    <cellStyle name="Normal 4 5 3 3 2 3" xfId="24814"/>
    <cellStyle name="Normal 4 5 3 3 2 3 2" xfId="47059"/>
    <cellStyle name="Normal 4 5 3 3 2 4" xfId="38885"/>
    <cellStyle name="Normal 4 5 3 3 3" xfId="25391"/>
    <cellStyle name="Normal 4 5 3 3 3 2" xfId="27696"/>
    <cellStyle name="Normal 4 5 3 3 3 2 2" xfId="49941"/>
    <cellStyle name="Normal 4 5 3 3 3 3" xfId="47636"/>
    <cellStyle name="Normal 4 5 3 3 4" xfId="26354"/>
    <cellStyle name="Normal 4 5 3 3 4 2" xfId="48599"/>
    <cellStyle name="Normal 4 5 3 3 5" xfId="24150"/>
    <cellStyle name="Normal 4 5 3 3 5 2" xfId="46396"/>
    <cellStyle name="Normal 4 5 3 3 6" xfId="32253"/>
    <cellStyle name="Normal 4 5 3 4" xfId="12146"/>
    <cellStyle name="Normal 4 5 3 4 2" xfId="26695"/>
    <cellStyle name="Normal 4 5 3 4 2 2" xfId="48940"/>
    <cellStyle name="Normal 4 5 3 4 3" xfId="24482"/>
    <cellStyle name="Normal 4 5 3 4 3 2" xfId="46727"/>
    <cellStyle name="Normal 4 5 3 4 4" xfId="35569"/>
    <cellStyle name="Normal 4 5 3 5" xfId="23702"/>
    <cellStyle name="Normal 4 5 3 5 2" xfId="27360"/>
    <cellStyle name="Normal 4 5 3 5 2 2" xfId="49605"/>
    <cellStyle name="Normal 4 5 3 5 3" xfId="45991"/>
    <cellStyle name="Normal 4 5 3 6" xfId="25933"/>
    <cellStyle name="Normal 4 5 3 6 2" xfId="48178"/>
    <cellStyle name="Normal 4 5 3 7" xfId="28937"/>
    <cellStyle name="Normal 4 5 4" xfId="4086"/>
    <cellStyle name="Normal 4 5 4 2" xfId="7087"/>
    <cellStyle name="Normal 4 5 4 2 2" xfId="10419"/>
    <cellStyle name="Normal 4 5 4 2 2 2" xfId="17123"/>
    <cellStyle name="Normal 4 5 4 2 2 2 2" xfId="27152"/>
    <cellStyle name="Normal 4 5 4 2 2 2 2 2" xfId="49397"/>
    <cellStyle name="Normal 4 5 4 2 2 2 3" xfId="24939"/>
    <cellStyle name="Normal 4 5 4 2 2 2 3 2" xfId="47184"/>
    <cellStyle name="Normal 4 5 4 2 2 2 4" xfId="40544"/>
    <cellStyle name="Normal 4 5 4 2 2 3" xfId="25517"/>
    <cellStyle name="Normal 4 5 4 2 2 3 2" xfId="27822"/>
    <cellStyle name="Normal 4 5 4 2 2 3 2 2" xfId="50067"/>
    <cellStyle name="Normal 4 5 4 2 2 3 3" xfId="47762"/>
    <cellStyle name="Normal 4 5 4 2 2 4" xfId="26479"/>
    <cellStyle name="Normal 4 5 4 2 2 4 2" xfId="48724"/>
    <cellStyle name="Normal 4 5 4 2 2 5" xfId="24275"/>
    <cellStyle name="Normal 4 5 4 2 2 5 2" xfId="46521"/>
    <cellStyle name="Normal 4 5 4 2 2 6" xfId="33912"/>
    <cellStyle name="Normal 4 5 4 2 3" xfId="13807"/>
    <cellStyle name="Normal 4 5 4 2 3 2" xfId="26820"/>
    <cellStyle name="Normal 4 5 4 2 3 2 2" xfId="49065"/>
    <cellStyle name="Normal 4 5 4 2 3 3" xfId="24607"/>
    <cellStyle name="Normal 4 5 4 2 3 3 2" xfId="46852"/>
    <cellStyle name="Normal 4 5 4 2 3 4" xfId="37228"/>
    <cellStyle name="Normal 4 5 4 2 4" xfId="25181"/>
    <cellStyle name="Normal 4 5 4 2 4 2" xfId="27486"/>
    <cellStyle name="Normal 4 5 4 2 4 2 2" xfId="49731"/>
    <cellStyle name="Normal 4 5 4 2 4 3" xfId="47426"/>
    <cellStyle name="Normal 4 5 4 2 5" xfId="26150"/>
    <cellStyle name="Normal 4 5 4 2 5 2" xfId="48395"/>
    <cellStyle name="Normal 4 5 4 2 6" xfId="23959"/>
    <cellStyle name="Normal 4 5 4 2 6 2" xfId="46205"/>
    <cellStyle name="Normal 4 5 4 2 7" xfId="30596"/>
    <cellStyle name="Normal 4 5 4 3" xfId="8754"/>
    <cellStyle name="Normal 4 5 4 3 2" xfId="15465"/>
    <cellStyle name="Normal 4 5 4 3 2 2" xfId="26986"/>
    <cellStyle name="Normal 4 5 4 3 2 2 2" xfId="49231"/>
    <cellStyle name="Normal 4 5 4 3 2 3" xfId="24773"/>
    <cellStyle name="Normal 4 5 4 3 2 3 2" xfId="47018"/>
    <cellStyle name="Normal 4 5 4 3 2 4" xfId="38886"/>
    <cellStyle name="Normal 4 5 4 3 3" xfId="25349"/>
    <cellStyle name="Normal 4 5 4 3 3 2" xfId="27654"/>
    <cellStyle name="Normal 4 5 4 3 3 2 2" xfId="49899"/>
    <cellStyle name="Normal 4 5 4 3 3 3" xfId="47594"/>
    <cellStyle name="Normal 4 5 4 3 4" xfId="26314"/>
    <cellStyle name="Normal 4 5 4 3 4 2" xfId="48559"/>
    <cellStyle name="Normal 4 5 4 3 5" xfId="24110"/>
    <cellStyle name="Normal 4 5 4 3 5 2" xfId="46356"/>
    <cellStyle name="Normal 4 5 4 3 6" xfId="32254"/>
    <cellStyle name="Normal 4 5 4 4" xfId="12147"/>
    <cellStyle name="Normal 4 5 4 4 2" xfId="26654"/>
    <cellStyle name="Normal 4 5 4 4 2 2" xfId="48899"/>
    <cellStyle name="Normal 4 5 4 4 3" xfId="24441"/>
    <cellStyle name="Normal 4 5 4 4 3 2" xfId="46686"/>
    <cellStyle name="Normal 4 5 4 4 4" xfId="35570"/>
    <cellStyle name="Normal 4 5 4 5" xfId="23703"/>
    <cellStyle name="Normal 4 5 4 5 2" xfId="27318"/>
    <cellStyle name="Normal 4 5 4 5 2 2" xfId="49563"/>
    <cellStyle name="Normal 4 5 4 5 3" xfId="45992"/>
    <cellStyle name="Normal 4 5 4 6" xfId="25934"/>
    <cellStyle name="Normal 4 5 4 6 2" xfId="48179"/>
    <cellStyle name="Normal 4 5 4 7" xfId="28938"/>
    <cellStyle name="Normal 4 5 5" xfId="4087"/>
    <cellStyle name="Normal 4 5 5 2" xfId="24040"/>
    <cellStyle name="Normal 4 5 5 2 2" xfId="24356"/>
    <cellStyle name="Normal 4 5 5 2 2 2" xfId="25021"/>
    <cellStyle name="Normal 4 5 5 2 2 2 2" xfId="27234"/>
    <cellStyle name="Normal 4 5 5 2 2 2 2 2" xfId="49479"/>
    <cellStyle name="Normal 4 5 5 2 2 2 3" xfId="47266"/>
    <cellStyle name="Normal 4 5 5 2 2 3" xfId="25601"/>
    <cellStyle name="Normal 4 5 5 2 2 3 2" xfId="27906"/>
    <cellStyle name="Normal 4 5 5 2 2 3 2 2" xfId="50151"/>
    <cellStyle name="Normal 4 5 5 2 2 3 3" xfId="47846"/>
    <cellStyle name="Normal 4 5 5 2 2 4" xfId="26560"/>
    <cellStyle name="Normal 4 5 5 2 2 4 2" xfId="48805"/>
    <cellStyle name="Normal 4 5 5 2 2 5" xfId="46602"/>
    <cellStyle name="Normal 4 5 5 2 3" xfId="24689"/>
    <cellStyle name="Normal 4 5 5 2 3 2" xfId="26902"/>
    <cellStyle name="Normal 4 5 5 2 3 2 2" xfId="49147"/>
    <cellStyle name="Normal 4 5 5 2 3 3" xfId="46934"/>
    <cellStyle name="Normal 4 5 5 2 4" xfId="25265"/>
    <cellStyle name="Normal 4 5 5 2 4 2" xfId="27570"/>
    <cellStyle name="Normal 4 5 5 2 4 2 2" xfId="49815"/>
    <cellStyle name="Normal 4 5 5 2 4 3" xfId="47510"/>
    <cellStyle name="Normal 4 5 5 2 5" xfId="26231"/>
    <cellStyle name="Normal 4 5 5 2 5 2" xfId="48476"/>
    <cellStyle name="Normal 4 5 5 2 6" xfId="46286"/>
    <cellStyle name="Normal 4 5 5 3" xfId="24191"/>
    <cellStyle name="Normal 4 5 5 3 2" xfId="24855"/>
    <cellStyle name="Normal 4 5 5 3 2 2" xfId="27068"/>
    <cellStyle name="Normal 4 5 5 3 2 2 2" xfId="49313"/>
    <cellStyle name="Normal 4 5 5 3 2 3" xfId="47100"/>
    <cellStyle name="Normal 4 5 5 3 3" xfId="25433"/>
    <cellStyle name="Normal 4 5 5 3 3 2" xfId="27738"/>
    <cellStyle name="Normal 4 5 5 3 3 2 2" xfId="49983"/>
    <cellStyle name="Normal 4 5 5 3 3 3" xfId="47678"/>
    <cellStyle name="Normal 4 5 5 3 4" xfId="26395"/>
    <cellStyle name="Normal 4 5 5 3 4 2" xfId="48640"/>
    <cellStyle name="Normal 4 5 5 3 5" xfId="46437"/>
    <cellStyle name="Normal 4 5 5 4" xfId="24523"/>
    <cellStyle name="Normal 4 5 5 4 2" xfId="26736"/>
    <cellStyle name="Normal 4 5 5 4 2 2" xfId="48981"/>
    <cellStyle name="Normal 4 5 5 4 3" xfId="46768"/>
    <cellStyle name="Normal 4 5 5 5" xfId="25103"/>
    <cellStyle name="Normal 4 5 5 5 2" xfId="27402"/>
    <cellStyle name="Normal 4 5 5 5 2 2" xfId="49647"/>
    <cellStyle name="Normal 4 5 5 5 3" xfId="47348"/>
    <cellStyle name="Normal 4 5 5 6" xfId="23893"/>
    <cellStyle name="Normal 4 5 5 6 2" xfId="26084"/>
    <cellStyle name="Normal 4 5 5 6 2 2" xfId="48329"/>
    <cellStyle name="Normal 4 5 5 6 3" xfId="46139"/>
    <cellStyle name="Normal 4 5 6" xfId="4081"/>
    <cellStyle name="Normal 4 5 6 2" xfId="7082"/>
    <cellStyle name="Normal 4 5 6 2 2" xfId="10414"/>
    <cellStyle name="Normal 4 5 6 2 2 2" xfId="17118"/>
    <cellStyle name="Normal 4 5 6 2 2 2 2" xfId="27110"/>
    <cellStyle name="Normal 4 5 6 2 2 2 2 2" xfId="49355"/>
    <cellStyle name="Normal 4 5 6 2 2 2 3" xfId="40539"/>
    <cellStyle name="Normal 4 5 6 2 2 3" xfId="24897"/>
    <cellStyle name="Normal 4 5 6 2 2 3 2" xfId="47142"/>
    <cellStyle name="Normal 4 5 6 2 2 4" xfId="33907"/>
    <cellStyle name="Normal 4 5 6 2 3" xfId="13802"/>
    <cellStyle name="Normal 4 5 6 2 3 2" xfId="27780"/>
    <cellStyle name="Normal 4 5 6 2 3 2 2" xfId="50025"/>
    <cellStyle name="Normal 4 5 6 2 3 3" xfId="25475"/>
    <cellStyle name="Normal 4 5 6 2 3 3 2" xfId="47720"/>
    <cellStyle name="Normal 4 5 6 2 3 4" xfId="37223"/>
    <cellStyle name="Normal 4 5 6 2 4" xfId="26437"/>
    <cellStyle name="Normal 4 5 6 2 4 2" xfId="48682"/>
    <cellStyle name="Normal 4 5 6 2 5" xfId="24233"/>
    <cellStyle name="Normal 4 5 6 2 5 2" xfId="46479"/>
    <cellStyle name="Normal 4 5 6 2 6" xfId="30591"/>
    <cellStyle name="Normal 4 5 6 3" xfId="8749"/>
    <cellStyle name="Normal 4 5 6 3 2" xfId="15460"/>
    <cellStyle name="Normal 4 5 6 3 2 2" xfId="26778"/>
    <cellStyle name="Normal 4 5 6 3 2 2 2" xfId="49023"/>
    <cellStyle name="Normal 4 5 6 3 2 3" xfId="38881"/>
    <cellStyle name="Normal 4 5 6 3 3" xfId="24565"/>
    <cellStyle name="Normal 4 5 6 3 3 2" xfId="46810"/>
    <cellStyle name="Normal 4 5 6 3 4" xfId="32249"/>
    <cellStyle name="Normal 4 5 6 4" xfId="12142"/>
    <cellStyle name="Normal 4 5 6 4 2" xfId="27444"/>
    <cellStyle name="Normal 4 5 6 4 2 2" xfId="49689"/>
    <cellStyle name="Normal 4 5 6 4 3" xfId="25139"/>
    <cellStyle name="Normal 4 5 6 4 3 2" xfId="47384"/>
    <cellStyle name="Normal 4 5 6 4 4" xfId="35565"/>
    <cellStyle name="Normal 4 5 6 5" xfId="26112"/>
    <cellStyle name="Normal 4 5 6 5 2" xfId="48357"/>
    <cellStyle name="Normal 4 5 6 6" xfId="23921"/>
    <cellStyle name="Normal 4 5 6 6 2" xfId="46167"/>
    <cellStyle name="Normal 4 5 6 7" xfId="28933"/>
    <cellStyle name="Normal 4 5 7" xfId="23698"/>
    <cellStyle name="Normal 4 5 7 2" xfId="24731"/>
    <cellStyle name="Normal 4 5 7 2 2" xfId="26944"/>
    <cellStyle name="Normal 4 5 7 2 2 2" xfId="49189"/>
    <cellStyle name="Normal 4 5 7 2 3" xfId="46976"/>
    <cellStyle name="Normal 4 5 7 3" xfId="25307"/>
    <cellStyle name="Normal 4 5 7 3 2" xfId="27612"/>
    <cellStyle name="Normal 4 5 7 3 2 2" xfId="49857"/>
    <cellStyle name="Normal 4 5 7 3 3" xfId="47552"/>
    <cellStyle name="Normal 4 5 7 4" xfId="26272"/>
    <cellStyle name="Normal 4 5 7 4 2" xfId="48517"/>
    <cellStyle name="Normal 4 5 7 5" xfId="45987"/>
    <cellStyle name="Normal 4 5 8" xfId="24409"/>
    <cellStyle name="Normal 4 5 8 2" xfId="26612"/>
    <cellStyle name="Normal 4 5 8 2 2" xfId="48857"/>
    <cellStyle name="Normal 4 5 8 3" xfId="46654"/>
    <cellStyle name="Normal 4 5 9" xfId="25063"/>
    <cellStyle name="Normal 4 5 9 2" xfId="27276"/>
    <cellStyle name="Normal 4 5 9 2 2" xfId="49521"/>
    <cellStyle name="Normal 4 5 9 3" xfId="47308"/>
    <cellStyle name="Normal 4 6" xfId="1133"/>
    <cellStyle name="Normal 4 6 10" xfId="7790"/>
    <cellStyle name="Normal 4 6 10 2" xfId="14505"/>
    <cellStyle name="Normal 4 6 10 2 2" xfId="37926"/>
    <cellStyle name="Normal 4 6 10 3" xfId="20929"/>
    <cellStyle name="Normal 4 6 10 3 2" xfId="43380"/>
    <cellStyle name="Normal 4 6 10 4" xfId="31294"/>
    <cellStyle name="Normal 4 6 11" xfId="11187"/>
    <cellStyle name="Normal 4 6 11 2" xfId="21713"/>
    <cellStyle name="Normal 4 6 11 2 2" xfId="44162"/>
    <cellStyle name="Normal 4 6 11 3" xfId="34610"/>
    <cellStyle name="Normal 4 6 12" xfId="18103"/>
    <cellStyle name="Normal 4 6 12 2" xfId="41391"/>
    <cellStyle name="Normal 4 6 13" xfId="27978"/>
    <cellStyle name="Normal 4 6 2" xfId="1466"/>
    <cellStyle name="Normal 4 6 2 10" xfId="11215"/>
    <cellStyle name="Normal 4 6 2 10 2" xfId="21714"/>
    <cellStyle name="Normal 4 6 2 10 2 2" xfId="44163"/>
    <cellStyle name="Normal 4 6 2 10 3" xfId="34638"/>
    <cellStyle name="Normal 4 6 2 11" xfId="18104"/>
    <cellStyle name="Normal 4 6 2 11 2" xfId="41392"/>
    <cellStyle name="Normal 4 6 2 12" xfId="23704"/>
    <cellStyle name="Normal 4 6 2 12 2" xfId="45993"/>
    <cellStyle name="Normal 4 6 2 13" xfId="28006"/>
    <cellStyle name="Normal 4 6 2 2" xfId="1506"/>
    <cellStyle name="Normal 4 6 2 2 10" xfId="18105"/>
    <cellStyle name="Normal 4 6 2 2 10 2" xfId="41393"/>
    <cellStyle name="Normal 4 6 2 2 11" xfId="23705"/>
    <cellStyle name="Normal 4 6 2 2 11 2" xfId="45994"/>
    <cellStyle name="Normal 4 6 2 2 12" xfId="28042"/>
    <cellStyle name="Normal 4 6 2 2 2" xfId="1669"/>
    <cellStyle name="Normal 4 6 2 2 2 10" xfId="23706"/>
    <cellStyle name="Normal 4 6 2 2 2 10 2" xfId="45995"/>
    <cellStyle name="Normal 4 6 2 2 2 11" xfId="28088"/>
    <cellStyle name="Normal 4 6 2 2 2 2" xfId="1867"/>
    <cellStyle name="Normal 4 6 2 2 2 2 10" xfId="28219"/>
    <cellStyle name="Normal 4 6 2 2 2 2 2" xfId="2364"/>
    <cellStyle name="Normal 4 6 2 2 2 2 2 2" xfId="5603"/>
    <cellStyle name="Normal 4 6 2 2 2 2 2 2 2" xfId="7426"/>
    <cellStyle name="Normal 4 6 2 2 2 2 2 2 2 2" xfId="10757"/>
    <cellStyle name="Normal 4 6 2 2 2 2 2 2 2 2 2" xfId="17461"/>
    <cellStyle name="Normal 4 6 2 2 2 2 2 2 2 2 2 2" xfId="40882"/>
    <cellStyle name="Normal 4 6 2 2 2 2 2 2 2 2 3" xfId="23177"/>
    <cellStyle name="Normal 4 6 2 2 2 2 2 2 2 2 3 2" xfId="45599"/>
    <cellStyle name="Normal 4 6 2 2 2 2 2 2 2 2 4" xfId="34250"/>
    <cellStyle name="Normal 4 6 2 2 2 2 2 2 2 3" xfId="14145"/>
    <cellStyle name="Normal 4 6 2 2 2 2 2 2 2 3 2" xfId="37566"/>
    <cellStyle name="Normal 4 6 2 2 2 2 2 2 2 4" xfId="20352"/>
    <cellStyle name="Normal 4 6 2 2 2 2 2 2 2 4 2" xfId="42887"/>
    <cellStyle name="Normal 4 6 2 2 2 2 2 2 2 5" xfId="30934"/>
    <cellStyle name="Normal 4 6 2 2 2 2 2 2 3" xfId="9099"/>
    <cellStyle name="Normal 4 6 2 2 2 2 2 2 3 2" xfId="15803"/>
    <cellStyle name="Normal 4 6 2 2 2 2 2 2 3 2 2" xfId="39224"/>
    <cellStyle name="Normal 4 6 2 2 2 2 2 2 3 3" xfId="21393"/>
    <cellStyle name="Normal 4 6 2 2 2 2 2 2 3 3 2" xfId="43844"/>
    <cellStyle name="Normal 4 6 2 2 2 2 2 2 3 4" xfId="32592"/>
    <cellStyle name="Normal 4 6 2 2 2 2 2 2 4" xfId="12487"/>
    <cellStyle name="Normal 4 6 2 2 2 2 2 2 4 2" xfId="22365"/>
    <cellStyle name="Normal 4 6 2 2 2 2 2 2 4 2 2" xfId="44787"/>
    <cellStyle name="Normal 4 6 2 2 2 2 2 2 4 3" xfId="35908"/>
    <cellStyle name="Normal 4 6 2 2 2 2 2 2 5" xfId="19513"/>
    <cellStyle name="Normal 4 6 2 2 2 2 2 2 5 2" xfId="42055"/>
    <cellStyle name="Normal 4 6 2 2 2 2 2 2 6" xfId="29276"/>
    <cellStyle name="Normal 4 6 2 2 2 2 2 3" xfId="6524"/>
    <cellStyle name="Normal 4 6 2 2 2 2 2 3 2" xfId="9858"/>
    <cellStyle name="Normal 4 6 2 2 2 2 2 3 2 2" xfId="16562"/>
    <cellStyle name="Normal 4 6 2 2 2 2 2 3 2 2 2" xfId="39983"/>
    <cellStyle name="Normal 4 6 2 2 2 2 2 3 2 3" xfId="22772"/>
    <cellStyle name="Normal 4 6 2 2 2 2 2 3 2 3 2" xfId="45194"/>
    <cellStyle name="Normal 4 6 2 2 2 2 2 3 2 4" xfId="33351"/>
    <cellStyle name="Normal 4 6 2 2 2 2 2 3 3" xfId="13246"/>
    <cellStyle name="Normal 4 6 2 2 2 2 2 3 3 2" xfId="36667"/>
    <cellStyle name="Normal 4 6 2 2 2 2 2 3 4" xfId="19936"/>
    <cellStyle name="Normal 4 6 2 2 2 2 2 3 4 2" xfId="42471"/>
    <cellStyle name="Normal 4 6 2 2 2 2 2 3 5" xfId="30035"/>
    <cellStyle name="Normal 4 6 2 2 2 2 2 4" xfId="8191"/>
    <cellStyle name="Normal 4 6 2 2 2 2 2 4 2" xfId="14904"/>
    <cellStyle name="Normal 4 6 2 2 2 2 2 4 2 2" xfId="38325"/>
    <cellStyle name="Normal 4 6 2 2 2 2 2 4 3" xfId="20934"/>
    <cellStyle name="Normal 4 6 2 2 2 2 2 4 3 2" xfId="43385"/>
    <cellStyle name="Normal 4 6 2 2 2 2 2 4 4" xfId="31693"/>
    <cellStyle name="Normal 4 6 2 2 2 2 2 5" xfId="11586"/>
    <cellStyle name="Normal 4 6 2 2 2 2 2 5 2" xfId="21941"/>
    <cellStyle name="Normal 4 6 2 2 2 2 2 5 2 2" xfId="44373"/>
    <cellStyle name="Normal 4 6 2 2 2 2 2 5 3" xfId="35009"/>
    <cellStyle name="Normal 4 6 2 2 2 2 2 6" xfId="18801"/>
    <cellStyle name="Normal 4 6 2 2 2 2 2 6 2" xfId="41630"/>
    <cellStyle name="Normal 4 6 2 2 2 2 2 7" xfId="25938"/>
    <cellStyle name="Normal 4 6 2 2 2 2 2 7 2" xfId="48183"/>
    <cellStyle name="Normal 4 6 2 2 2 2 2 8" xfId="28377"/>
    <cellStyle name="Normal 4 6 2 2 2 2 3" xfId="2864"/>
    <cellStyle name="Normal 4 6 2 2 2 2 3 2" xfId="5956"/>
    <cellStyle name="Normal 4 6 2 2 2 2 3 2 2" xfId="7738"/>
    <cellStyle name="Normal 4 6 2 2 2 2 3 2 2 2" xfId="11067"/>
    <cellStyle name="Normal 4 6 2 2 2 2 3 2 2 2 2" xfId="17771"/>
    <cellStyle name="Normal 4 6 2 2 2 2 3 2 2 2 2 2" xfId="41192"/>
    <cellStyle name="Normal 4 6 2 2 2 2 3 2 2 2 3" xfId="34560"/>
    <cellStyle name="Normal 4 6 2 2 2 2 3 2 2 3" xfId="14455"/>
    <cellStyle name="Normal 4 6 2 2 2 2 3 2 2 3 2" xfId="37876"/>
    <cellStyle name="Normal 4 6 2 2 2 2 3 2 2 4" xfId="22972"/>
    <cellStyle name="Normal 4 6 2 2 2 2 3 2 2 4 2" xfId="45394"/>
    <cellStyle name="Normal 4 6 2 2 2 2 3 2 2 5" xfId="31244"/>
    <cellStyle name="Normal 4 6 2 2 2 2 3 2 3" xfId="9409"/>
    <cellStyle name="Normal 4 6 2 2 2 2 3 2 3 2" xfId="16113"/>
    <cellStyle name="Normal 4 6 2 2 2 2 3 2 3 2 2" xfId="39534"/>
    <cellStyle name="Normal 4 6 2 2 2 2 3 2 3 3" xfId="32902"/>
    <cellStyle name="Normal 4 6 2 2 2 2 3 2 4" xfId="12797"/>
    <cellStyle name="Normal 4 6 2 2 2 2 3 2 4 2" xfId="36218"/>
    <cellStyle name="Normal 4 6 2 2 2 2 3 2 5" xfId="20144"/>
    <cellStyle name="Normal 4 6 2 2 2 2 3 2 5 2" xfId="42679"/>
    <cellStyle name="Normal 4 6 2 2 2 2 3 2 6" xfId="29586"/>
    <cellStyle name="Normal 4 6 2 2 2 2 3 3" xfId="6839"/>
    <cellStyle name="Normal 4 6 2 2 2 2 3 3 2" xfId="10171"/>
    <cellStyle name="Normal 4 6 2 2 2 2 3 3 2 2" xfId="16875"/>
    <cellStyle name="Normal 4 6 2 2 2 2 3 3 2 2 2" xfId="40296"/>
    <cellStyle name="Normal 4 6 2 2 2 2 3 3 2 3" xfId="33664"/>
    <cellStyle name="Normal 4 6 2 2 2 2 3 3 3" xfId="13559"/>
    <cellStyle name="Normal 4 6 2 2 2 2 3 3 3 2" xfId="36980"/>
    <cellStyle name="Normal 4 6 2 2 2 2 3 3 4" xfId="21392"/>
    <cellStyle name="Normal 4 6 2 2 2 2 3 3 4 2" xfId="43843"/>
    <cellStyle name="Normal 4 6 2 2 2 2 3 3 5" xfId="30348"/>
    <cellStyle name="Normal 4 6 2 2 2 2 3 4" xfId="8505"/>
    <cellStyle name="Normal 4 6 2 2 2 2 3 4 2" xfId="15217"/>
    <cellStyle name="Normal 4 6 2 2 2 2 3 4 2 2" xfId="38638"/>
    <cellStyle name="Normal 4 6 2 2 2 2 3 4 3" xfId="22155"/>
    <cellStyle name="Normal 4 6 2 2 2 2 3 4 3 2" xfId="44579"/>
    <cellStyle name="Normal 4 6 2 2 2 2 3 4 4" xfId="32006"/>
    <cellStyle name="Normal 4 6 2 2 2 2 3 5" xfId="11899"/>
    <cellStyle name="Normal 4 6 2 2 2 2 3 5 2" xfId="35322"/>
    <cellStyle name="Normal 4 6 2 2 2 2 3 6" xfId="19294"/>
    <cellStyle name="Normal 4 6 2 2 2 2 3 6 2" xfId="41847"/>
    <cellStyle name="Normal 4 6 2 2 2 2 3 7" xfId="28690"/>
    <cellStyle name="Normal 4 6 2 2 2 2 4" xfId="4092"/>
    <cellStyle name="Normal 4 6 2 2 2 2 4 2" xfId="7091"/>
    <cellStyle name="Normal 4 6 2 2 2 2 4 2 2" xfId="10423"/>
    <cellStyle name="Normal 4 6 2 2 2 2 4 2 2 2" xfId="17127"/>
    <cellStyle name="Normal 4 6 2 2 2 2 4 2 2 2 2" xfId="40548"/>
    <cellStyle name="Normal 4 6 2 2 2 2 4 2 2 3" xfId="33916"/>
    <cellStyle name="Normal 4 6 2 2 2 2 4 2 3" xfId="13811"/>
    <cellStyle name="Normal 4 6 2 2 2 2 4 2 3 2" xfId="37232"/>
    <cellStyle name="Normal 4 6 2 2 2 2 4 2 4" xfId="22567"/>
    <cellStyle name="Normal 4 6 2 2 2 2 4 2 4 2" xfId="44989"/>
    <cellStyle name="Normal 4 6 2 2 2 2 4 2 5" xfId="30600"/>
    <cellStyle name="Normal 4 6 2 2 2 2 4 3" xfId="8758"/>
    <cellStyle name="Normal 4 6 2 2 2 2 4 3 2" xfId="15469"/>
    <cellStyle name="Normal 4 6 2 2 2 2 4 3 2 2" xfId="38890"/>
    <cellStyle name="Normal 4 6 2 2 2 2 4 3 3" xfId="32258"/>
    <cellStyle name="Normal 4 6 2 2 2 2 4 4" xfId="12151"/>
    <cellStyle name="Normal 4 6 2 2 2 2 4 4 2" xfId="35574"/>
    <cellStyle name="Normal 4 6 2 2 2 2 4 5" xfId="19726"/>
    <cellStyle name="Normal 4 6 2 2 2 2 4 5 2" xfId="42263"/>
    <cellStyle name="Normal 4 6 2 2 2 2 4 6" xfId="28942"/>
    <cellStyle name="Normal 4 6 2 2 2 2 5" xfId="6366"/>
    <cellStyle name="Normal 4 6 2 2 2 2 5 2" xfId="9700"/>
    <cellStyle name="Normal 4 6 2 2 2 2 5 2 2" xfId="16404"/>
    <cellStyle name="Normal 4 6 2 2 2 2 5 2 2 2" xfId="39825"/>
    <cellStyle name="Normal 4 6 2 2 2 2 5 2 3" xfId="33193"/>
    <cellStyle name="Normal 4 6 2 2 2 2 5 3" xfId="13088"/>
    <cellStyle name="Normal 4 6 2 2 2 2 5 3 2" xfId="36509"/>
    <cellStyle name="Normal 4 6 2 2 2 2 5 4" xfId="20933"/>
    <cellStyle name="Normal 4 6 2 2 2 2 5 4 2" xfId="43384"/>
    <cellStyle name="Normal 4 6 2 2 2 2 5 5" xfId="29877"/>
    <cellStyle name="Normal 4 6 2 2 2 2 6" xfId="8032"/>
    <cellStyle name="Normal 4 6 2 2 2 2 6 2" xfId="14746"/>
    <cellStyle name="Normal 4 6 2 2 2 2 6 2 2" xfId="38167"/>
    <cellStyle name="Normal 4 6 2 2 2 2 6 3" xfId="21717"/>
    <cellStyle name="Normal 4 6 2 2 2 2 6 3 2" xfId="44166"/>
    <cellStyle name="Normal 4 6 2 2 2 2 6 4" xfId="31535"/>
    <cellStyle name="Normal 4 6 2 2 2 2 7" xfId="11428"/>
    <cellStyle name="Normal 4 6 2 2 2 2 7 2" xfId="34851"/>
    <cellStyle name="Normal 4 6 2 2 2 2 8" xfId="18107"/>
    <cellStyle name="Normal 4 6 2 2 2 2 8 2" xfId="41395"/>
    <cellStyle name="Normal 4 6 2 2 2 2 9" xfId="23707"/>
    <cellStyle name="Normal 4 6 2 2 2 2 9 2" xfId="45996"/>
    <cellStyle name="Normal 4 6 2 2 2 3" xfId="2363"/>
    <cellStyle name="Normal 4 6 2 2 2 3 2" xfId="5602"/>
    <cellStyle name="Normal 4 6 2 2 2 3 2 2" xfId="7425"/>
    <cellStyle name="Normal 4 6 2 2 2 3 2 2 2" xfId="10756"/>
    <cellStyle name="Normal 4 6 2 2 2 3 2 2 2 2" xfId="17460"/>
    <cellStyle name="Normal 4 6 2 2 2 3 2 2 2 2 2" xfId="40881"/>
    <cellStyle name="Normal 4 6 2 2 2 3 2 2 2 3" xfId="23176"/>
    <cellStyle name="Normal 4 6 2 2 2 3 2 2 2 3 2" xfId="45598"/>
    <cellStyle name="Normal 4 6 2 2 2 3 2 2 2 4" xfId="34249"/>
    <cellStyle name="Normal 4 6 2 2 2 3 2 2 3" xfId="14144"/>
    <cellStyle name="Normal 4 6 2 2 2 3 2 2 3 2" xfId="37565"/>
    <cellStyle name="Normal 4 6 2 2 2 3 2 2 4" xfId="20351"/>
    <cellStyle name="Normal 4 6 2 2 2 3 2 2 4 2" xfId="42886"/>
    <cellStyle name="Normal 4 6 2 2 2 3 2 2 5" xfId="30933"/>
    <cellStyle name="Normal 4 6 2 2 2 3 2 3" xfId="9098"/>
    <cellStyle name="Normal 4 6 2 2 2 3 2 3 2" xfId="15802"/>
    <cellStyle name="Normal 4 6 2 2 2 3 2 3 2 2" xfId="39223"/>
    <cellStyle name="Normal 4 6 2 2 2 3 2 3 3" xfId="21394"/>
    <cellStyle name="Normal 4 6 2 2 2 3 2 3 3 2" xfId="43845"/>
    <cellStyle name="Normal 4 6 2 2 2 3 2 3 4" xfId="32591"/>
    <cellStyle name="Normal 4 6 2 2 2 3 2 4" xfId="12486"/>
    <cellStyle name="Normal 4 6 2 2 2 3 2 4 2" xfId="22364"/>
    <cellStyle name="Normal 4 6 2 2 2 3 2 4 2 2" xfId="44786"/>
    <cellStyle name="Normal 4 6 2 2 2 3 2 4 3" xfId="35907"/>
    <cellStyle name="Normal 4 6 2 2 2 3 2 5" xfId="19512"/>
    <cellStyle name="Normal 4 6 2 2 2 3 2 5 2" xfId="42054"/>
    <cellStyle name="Normal 4 6 2 2 2 3 2 6" xfId="29275"/>
    <cellStyle name="Normal 4 6 2 2 2 3 3" xfId="6523"/>
    <cellStyle name="Normal 4 6 2 2 2 3 3 2" xfId="9857"/>
    <cellStyle name="Normal 4 6 2 2 2 3 3 2 2" xfId="16561"/>
    <cellStyle name="Normal 4 6 2 2 2 3 3 2 2 2" xfId="39982"/>
    <cellStyle name="Normal 4 6 2 2 2 3 3 2 3" xfId="22771"/>
    <cellStyle name="Normal 4 6 2 2 2 3 3 2 3 2" xfId="45193"/>
    <cellStyle name="Normal 4 6 2 2 2 3 3 2 4" xfId="33350"/>
    <cellStyle name="Normal 4 6 2 2 2 3 3 3" xfId="13245"/>
    <cellStyle name="Normal 4 6 2 2 2 3 3 3 2" xfId="36666"/>
    <cellStyle name="Normal 4 6 2 2 2 3 3 4" xfId="19935"/>
    <cellStyle name="Normal 4 6 2 2 2 3 3 4 2" xfId="42470"/>
    <cellStyle name="Normal 4 6 2 2 2 3 3 5" xfId="30034"/>
    <cellStyle name="Normal 4 6 2 2 2 3 4" xfId="8190"/>
    <cellStyle name="Normal 4 6 2 2 2 3 4 2" xfId="14903"/>
    <cellStyle name="Normal 4 6 2 2 2 3 4 2 2" xfId="38324"/>
    <cellStyle name="Normal 4 6 2 2 2 3 4 3" xfId="20935"/>
    <cellStyle name="Normal 4 6 2 2 2 3 4 3 2" xfId="43386"/>
    <cellStyle name="Normal 4 6 2 2 2 3 4 4" xfId="31692"/>
    <cellStyle name="Normal 4 6 2 2 2 3 5" xfId="11585"/>
    <cellStyle name="Normal 4 6 2 2 2 3 5 2" xfId="21940"/>
    <cellStyle name="Normal 4 6 2 2 2 3 5 2 2" xfId="44372"/>
    <cellStyle name="Normal 4 6 2 2 2 3 5 3" xfId="35008"/>
    <cellStyle name="Normal 4 6 2 2 2 3 6" xfId="18800"/>
    <cellStyle name="Normal 4 6 2 2 2 3 6 2" xfId="41629"/>
    <cellStyle name="Normal 4 6 2 2 2 3 7" xfId="25937"/>
    <cellStyle name="Normal 4 6 2 2 2 3 7 2" xfId="48182"/>
    <cellStyle name="Normal 4 6 2 2 2 3 8" xfId="28376"/>
    <cellStyle name="Normal 4 6 2 2 2 4" xfId="2732"/>
    <cellStyle name="Normal 4 6 2 2 2 4 2" xfId="5825"/>
    <cellStyle name="Normal 4 6 2 2 2 4 2 2" xfId="7607"/>
    <cellStyle name="Normal 4 6 2 2 2 4 2 2 2" xfId="10936"/>
    <cellStyle name="Normal 4 6 2 2 2 4 2 2 2 2" xfId="17640"/>
    <cellStyle name="Normal 4 6 2 2 2 4 2 2 2 2 2" xfId="41061"/>
    <cellStyle name="Normal 4 6 2 2 2 4 2 2 2 3" xfId="34429"/>
    <cellStyle name="Normal 4 6 2 2 2 4 2 2 3" xfId="14324"/>
    <cellStyle name="Normal 4 6 2 2 2 4 2 2 3 2" xfId="37745"/>
    <cellStyle name="Normal 4 6 2 2 2 4 2 2 4" xfId="22971"/>
    <cellStyle name="Normal 4 6 2 2 2 4 2 2 4 2" xfId="45393"/>
    <cellStyle name="Normal 4 6 2 2 2 4 2 2 5" xfId="31113"/>
    <cellStyle name="Normal 4 6 2 2 2 4 2 3" xfId="9278"/>
    <cellStyle name="Normal 4 6 2 2 2 4 2 3 2" xfId="15982"/>
    <cellStyle name="Normal 4 6 2 2 2 4 2 3 2 2" xfId="39403"/>
    <cellStyle name="Normal 4 6 2 2 2 4 2 3 3" xfId="32771"/>
    <cellStyle name="Normal 4 6 2 2 2 4 2 4" xfId="12666"/>
    <cellStyle name="Normal 4 6 2 2 2 4 2 4 2" xfId="36087"/>
    <cellStyle name="Normal 4 6 2 2 2 4 2 5" xfId="20143"/>
    <cellStyle name="Normal 4 6 2 2 2 4 2 5 2" xfId="42678"/>
    <cellStyle name="Normal 4 6 2 2 2 4 2 6" xfId="29455"/>
    <cellStyle name="Normal 4 6 2 2 2 4 3" xfId="6708"/>
    <cellStyle name="Normal 4 6 2 2 2 4 3 2" xfId="10040"/>
    <cellStyle name="Normal 4 6 2 2 2 4 3 2 2" xfId="16744"/>
    <cellStyle name="Normal 4 6 2 2 2 4 3 2 2 2" xfId="40165"/>
    <cellStyle name="Normal 4 6 2 2 2 4 3 2 3" xfId="33533"/>
    <cellStyle name="Normal 4 6 2 2 2 4 3 3" xfId="13428"/>
    <cellStyle name="Normal 4 6 2 2 2 4 3 3 2" xfId="36849"/>
    <cellStyle name="Normal 4 6 2 2 2 4 3 4" xfId="21391"/>
    <cellStyle name="Normal 4 6 2 2 2 4 3 4 2" xfId="43842"/>
    <cellStyle name="Normal 4 6 2 2 2 4 3 5" xfId="30217"/>
    <cellStyle name="Normal 4 6 2 2 2 4 4" xfId="8374"/>
    <cellStyle name="Normal 4 6 2 2 2 4 4 2" xfId="15086"/>
    <cellStyle name="Normal 4 6 2 2 2 4 4 2 2" xfId="38507"/>
    <cellStyle name="Normal 4 6 2 2 2 4 4 3" xfId="22154"/>
    <cellStyle name="Normal 4 6 2 2 2 4 4 3 2" xfId="44578"/>
    <cellStyle name="Normal 4 6 2 2 2 4 4 4" xfId="31875"/>
    <cellStyle name="Normal 4 6 2 2 2 4 5" xfId="11768"/>
    <cellStyle name="Normal 4 6 2 2 2 4 5 2" xfId="35191"/>
    <cellStyle name="Normal 4 6 2 2 2 4 6" xfId="19293"/>
    <cellStyle name="Normal 4 6 2 2 2 4 6 2" xfId="41846"/>
    <cellStyle name="Normal 4 6 2 2 2 4 7" xfId="28559"/>
    <cellStyle name="Normal 4 6 2 2 2 5" xfId="4091"/>
    <cellStyle name="Normal 4 6 2 2 2 5 2" xfId="7090"/>
    <cellStyle name="Normal 4 6 2 2 2 5 2 2" xfId="10422"/>
    <cellStyle name="Normal 4 6 2 2 2 5 2 2 2" xfId="17126"/>
    <cellStyle name="Normal 4 6 2 2 2 5 2 2 2 2" xfId="40547"/>
    <cellStyle name="Normal 4 6 2 2 2 5 2 2 3" xfId="33915"/>
    <cellStyle name="Normal 4 6 2 2 2 5 2 3" xfId="13810"/>
    <cellStyle name="Normal 4 6 2 2 2 5 2 3 2" xfId="37231"/>
    <cellStyle name="Normal 4 6 2 2 2 5 2 4" xfId="22566"/>
    <cellStyle name="Normal 4 6 2 2 2 5 2 4 2" xfId="44988"/>
    <cellStyle name="Normal 4 6 2 2 2 5 2 5" xfId="30599"/>
    <cellStyle name="Normal 4 6 2 2 2 5 3" xfId="8757"/>
    <cellStyle name="Normal 4 6 2 2 2 5 3 2" xfId="15468"/>
    <cellStyle name="Normal 4 6 2 2 2 5 3 2 2" xfId="38889"/>
    <cellStyle name="Normal 4 6 2 2 2 5 3 3" xfId="32257"/>
    <cellStyle name="Normal 4 6 2 2 2 5 4" xfId="12150"/>
    <cellStyle name="Normal 4 6 2 2 2 5 4 2" xfId="35573"/>
    <cellStyle name="Normal 4 6 2 2 2 5 5" xfId="19725"/>
    <cellStyle name="Normal 4 6 2 2 2 5 5 2" xfId="42262"/>
    <cellStyle name="Normal 4 6 2 2 2 5 6" xfId="28941"/>
    <cellStyle name="Normal 4 6 2 2 2 6" xfId="6235"/>
    <cellStyle name="Normal 4 6 2 2 2 6 2" xfId="9569"/>
    <cellStyle name="Normal 4 6 2 2 2 6 2 2" xfId="16273"/>
    <cellStyle name="Normal 4 6 2 2 2 6 2 2 2" xfId="39694"/>
    <cellStyle name="Normal 4 6 2 2 2 6 2 3" xfId="33062"/>
    <cellStyle name="Normal 4 6 2 2 2 6 3" xfId="12957"/>
    <cellStyle name="Normal 4 6 2 2 2 6 3 2" xfId="36378"/>
    <cellStyle name="Normal 4 6 2 2 2 6 4" xfId="20932"/>
    <cellStyle name="Normal 4 6 2 2 2 6 4 2" xfId="43383"/>
    <cellStyle name="Normal 4 6 2 2 2 6 5" xfId="29746"/>
    <cellStyle name="Normal 4 6 2 2 2 7" xfId="7901"/>
    <cellStyle name="Normal 4 6 2 2 2 7 2" xfId="14615"/>
    <cellStyle name="Normal 4 6 2 2 2 7 2 2" xfId="38036"/>
    <cellStyle name="Normal 4 6 2 2 2 7 3" xfId="21716"/>
    <cellStyle name="Normal 4 6 2 2 2 7 3 2" xfId="44165"/>
    <cellStyle name="Normal 4 6 2 2 2 7 4" xfId="31404"/>
    <cellStyle name="Normal 4 6 2 2 2 8" xfId="11297"/>
    <cellStyle name="Normal 4 6 2 2 2 8 2" xfId="34720"/>
    <cellStyle name="Normal 4 6 2 2 2 9" xfId="18106"/>
    <cellStyle name="Normal 4 6 2 2 2 9 2" xfId="41394"/>
    <cellStyle name="Normal 4 6 2 2 3" xfId="1821"/>
    <cellStyle name="Normal 4 6 2 2 3 10" xfId="28173"/>
    <cellStyle name="Normal 4 6 2 2 3 2" xfId="2365"/>
    <cellStyle name="Normal 4 6 2 2 3 2 2" xfId="5604"/>
    <cellStyle name="Normal 4 6 2 2 3 2 2 2" xfId="7427"/>
    <cellStyle name="Normal 4 6 2 2 3 2 2 2 2" xfId="10758"/>
    <cellStyle name="Normal 4 6 2 2 3 2 2 2 2 2" xfId="17462"/>
    <cellStyle name="Normal 4 6 2 2 3 2 2 2 2 2 2" xfId="40883"/>
    <cellStyle name="Normal 4 6 2 2 3 2 2 2 2 3" xfId="23178"/>
    <cellStyle name="Normal 4 6 2 2 3 2 2 2 2 3 2" xfId="45600"/>
    <cellStyle name="Normal 4 6 2 2 3 2 2 2 2 4" xfId="34251"/>
    <cellStyle name="Normal 4 6 2 2 3 2 2 2 3" xfId="14146"/>
    <cellStyle name="Normal 4 6 2 2 3 2 2 2 3 2" xfId="37567"/>
    <cellStyle name="Normal 4 6 2 2 3 2 2 2 4" xfId="20353"/>
    <cellStyle name="Normal 4 6 2 2 3 2 2 2 4 2" xfId="42888"/>
    <cellStyle name="Normal 4 6 2 2 3 2 2 2 5" xfId="30935"/>
    <cellStyle name="Normal 4 6 2 2 3 2 2 3" xfId="9100"/>
    <cellStyle name="Normal 4 6 2 2 3 2 2 3 2" xfId="15804"/>
    <cellStyle name="Normal 4 6 2 2 3 2 2 3 2 2" xfId="39225"/>
    <cellStyle name="Normal 4 6 2 2 3 2 2 3 3" xfId="21396"/>
    <cellStyle name="Normal 4 6 2 2 3 2 2 3 3 2" xfId="43847"/>
    <cellStyle name="Normal 4 6 2 2 3 2 2 3 4" xfId="32593"/>
    <cellStyle name="Normal 4 6 2 2 3 2 2 4" xfId="12488"/>
    <cellStyle name="Normal 4 6 2 2 3 2 2 4 2" xfId="22366"/>
    <cellStyle name="Normal 4 6 2 2 3 2 2 4 2 2" xfId="44788"/>
    <cellStyle name="Normal 4 6 2 2 3 2 2 4 3" xfId="35909"/>
    <cellStyle name="Normal 4 6 2 2 3 2 2 5" xfId="19514"/>
    <cellStyle name="Normal 4 6 2 2 3 2 2 5 2" xfId="42056"/>
    <cellStyle name="Normal 4 6 2 2 3 2 2 6" xfId="29277"/>
    <cellStyle name="Normal 4 6 2 2 3 2 3" xfId="6525"/>
    <cellStyle name="Normal 4 6 2 2 3 2 3 2" xfId="9859"/>
    <cellStyle name="Normal 4 6 2 2 3 2 3 2 2" xfId="16563"/>
    <cellStyle name="Normal 4 6 2 2 3 2 3 2 2 2" xfId="39984"/>
    <cellStyle name="Normal 4 6 2 2 3 2 3 2 3" xfId="22773"/>
    <cellStyle name="Normal 4 6 2 2 3 2 3 2 3 2" xfId="45195"/>
    <cellStyle name="Normal 4 6 2 2 3 2 3 2 4" xfId="33352"/>
    <cellStyle name="Normal 4 6 2 2 3 2 3 3" xfId="13247"/>
    <cellStyle name="Normal 4 6 2 2 3 2 3 3 2" xfId="36668"/>
    <cellStyle name="Normal 4 6 2 2 3 2 3 4" xfId="19937"/>
    <cellStyle name="Normal 4 6 2 2 3 2 3 4 2" xfId="42472"/>
    <cellStyle name="Normal 4 6 2 2 3 2 3 5" xfId="30036"/>
    <cellStyle name="Normal 4 6 2 2 3 2 4" xfId="8192"/>
    <cellStyle name="Normal 4 6 2 2 3 2 4 2" xfId="14905"/>
    <cellStyle name="Normal 4 6 2 2 3 2 4 2 2" xfId="38326"/>
    <cellStyle name="Normal 4 6 2 2 3 2 4 3" xfId="20937"/>
    <cellStyle name="Normal 4 6 2 2 3 2 4 3 2" xfId="43388"/>
    <cellStyle name="Normal 4 6 2 2 3 2 4 4" xfId="31694"/>
    <cellStyle name="Normal 4 6 2 2 3 2 5" xfId="11587"/>
    <cellStyle name="Normal 4 6 2 2 3 2 5 2" xfId="21942"/>
    <cellStyle name="Normal 4 6 2 2 3 2 5 2 2" xfId="44374"/>
    <cellStyle name="Normal 4 6 2 2 3 2 5 3" xfId="35010"/>
    <cellStyle name="Normal 4 6 2 2 3 2 6" xfId="18802"/>
    <cellStyle name="Normal 4 6 2 2 3 2 6 2" xfId="41631"/>
    <cellStyle name="Normal 4 6 2 2 3 2 7" xfId="25939"/>
    <cellStyle name="Normal 4 6 2 2 3 2 7 2" xfId="48184"/>
    <cellStyle name="Normal 4 6 2 2 3 2 8" xfId="28378"/>
    <cellStyle name="Normal 4 6 2 2 3 3" xfId="2818"/>
    <cellStyle name="Normal 4 6 2 2 3 3 2" xfId="5910"/>
    <cellStyle name="Normal 4 6 2 2 3 3 2 2" xfId="7692"/>
    <cellStyle name="Normal 4 6 2 2 3 3 2 2 2" xfId="11021"/>
    <cellStyle name="Normal 4 6 2 2 3 3 2 2 2 2" xfId="17725"/>
    <cellStyle name="Normal 4 6 2 2 3 3 2 2 2 2 2" xfId="41146"/>
    <cellStyle name="Normal 4 6 2 2 3 3 2 2 2 3" xfId="34514"/>
    <cellStyle name="Normal 4 6 2 2 3 3 2 2 3" xfId="14409"/>
    <cellStyle name="Normal 4 6 2 2 3 3 2 2 3 2" xfId="37830"/>
    <cellStyle name="Normal 4 6 2 2 3 3 2 2 4" xfId="22973"/>
    <cellStyle name="Normal 4 6 2 2 3 3 2 2 4 2" xfId="45395"/>
    <cellStyle name="Normal 4 6 2 2 3 3 2 2 5" xfId="31198"/>
    <cellStyle name="Normal 4 6 2 2 3 3 2 3" xfId="9363"/>
    <cellStyle name="Normal 4 6 2 2 3 3 2 3 2" xfId="16067"/>
    <cellStyle name="Normal 4 6 2 2 3 3 2 3 2 2" xfId="39488"/>
    <cellStyle name="Normal 4 6 2 2 3 3 2 3 3" xfId="32856"/>
    <cellStyle name="Normal 4 6 2 2 3 3 2 4" xfId="12751"/>
    <cellStyle name="Normal 4 6 2 2 3 3 2 4 2" xfId="36172"/>
    <cellStyle name="Normal 4 6 2 2 3 3 2 5" xfId="20145"/>
    <cellStyle name="Normal 4 6 2 2 3 3 2 5 2" xfId="42680"/>
    <cellStyle name="Normal 4 6 2 2 3 3 2 6" xfId="29540"/>
    <cellStyle name="Normal 4 6 2 2 3 3 3" xfId="6793"/>
    <cellStyle name="Normal 4 6 2 2 3 3 3 2" xfId="10125"/>
    <cellStyle name="Normal 4 6 2 2 3 3 3 2 2" xfId="16829"/>
    <cellStyle name="Normal 4 6 2 2 3 3 3 2 2 2" xfId="40250"/>
    <cellStyle name="Normal 4 6 2 2 3 3 3 2 3" xfId="33618"/>
    <cellStyle name="Normal 4 6 2 2 3 3 3 3" xfId="13513"/>
    <cellStyle name="Normal 4 6 2 2 3 3 3 3 2" xfId="36934"/>
    <cellStyle name="Normal 4 6 2 2 3 3 3 4" xfId="21395"/>
    <cellStyle name="Normal 4 6 2 2 3 3 3 4 2" xfId="43846"/>
    <cellStyle name="Normal 4 6 2 2 3 3 3 5" xfId="30302"/>
    <cellStyle name="Normal 4 6 2 2 3 3 4" xfId="8459"/>
    <cellStyle name="Normal 4 6 2 2 3 3 4 2" xfId="15171"/>
    <cellStyle name="Normal 4 6 2 2 3 3 4 2 2" xfId="38592"/>
    <cellStyle name="Normal 4 6 2 2 3 3 4 3" xfId="22156"/>
    <cellStyle name="Normal 4 6 2 2 3 3 4 3 2" xfId="44580"/>
    <cellStyle name="Normal 4 6 2 2 3 3 4 4" xfId="31960"/>
    <cellStyle name="Normal 4 6 2 2 3 3 5" xfId="11853"/>
    <cellStyle name="Normal 4 6 2 2 3 3 5 2" xfId="35276"/>
    <cellStyle name="Normal 4 6 2 2 3 3 6" xfId="19295"/>
    <cellStyle name="Normal 4 6 2 2 3 3 6 2" xfId="41848"/>
    <cellStyle name="Normal 4 6 2 2 3 3 7" xfId="28644"/>
    <cellStyle name="Normal 4 6 2 2 3 4" xfId="4093"/>
    <cellStyle name="Normal 4 6 2 2 3 4 2" xfId="7092"/>
    <cellStyle name="Normal 4 6 2 2 3 4 2 2" xfId="10424"/>
    <cellStyle name="Normal 4 6 2 2 3 4 2 2 2" xfId="17128"/>
    <cellStyle name="Normal 4 6 2 2 3 4 2 2 2 2" xfId="40549"/>
    <cellStyle name="Normal 4 6 2 2 3 4 2 2 3" xfId="33917"/>
    <cellStyle name="Normal 4 6 2 2 3 4 2 3" xfId="13812"/>
    <cellStyle name="Normal 4 6 2 2 3 4 2 3 2" xfId="37233"/>
    <cellStyle name="Normal 4 6 2 2 3 4 2 4" xfId="22568"/>
    <cellStyle name="Normal 4 6 2 2 3 4 2 4 2" xfId="44990"/>
    <cellStyle name="Normal 4 6 2 2 3 4 2 5" xfId="30601"/>
    <cellStyle name="Normal 4 6 2 2 3 4 3" xfId="8759"/>
    <cellStyle name="Normal 4 6 2 2 3 4 3 2" xfId="15470"/>
    <cellStyle name="Normal 4 6 2 2 3 4 3 2 2" xfId="38891"/>
    <cellStyle name="Normal 4 6 2 2 3 4 3 3" xfId="32259"/>
    <cellStyle name="Normal 4 6 2 2 3 4 4" xfId="12152"/>
    <cellStyle name="Normal 4 6 2 2 3 4 4 2" xfId="35575"/>
    <cellStyle name="Normal 4 6 2 2 3 4 5" xfId="19727"/>
    <cellStyle name="Normal 4 6 2 2 3 4 5 2" xfId="42264"/>
    <cellStyle name="Normal 4 6 2 2 3 4 6" xfId="28943"/>
    <cellStyle name="Normal 4 6 2 2 3 5" xfId="6320"/>
    <cellStyle name="Normal 4 6 2 2 3 5 2" xfId="9654"/>
    <cellStyle name="Normal 4 6 2 2 3 5 2 2" xfId="16358"/>
    <cellStyle name="Normal 4 6 2 2 3 5 2 2 2" xfId="39779"/>
    <cellStyle name="Normal 4 6 2 2 3 5 2 3" xfId="33147"/>
    <cellStyle name="Normal 4 6 2 2 3 5 3" xfId="13042"/>
    <cellStyle name="Normal 4 6 2 2 3 5 3 2" xfId="36463"/>
    <cellStyle name="Normal 4 6 2 2 3 5 4" xfId="20936"/>
    <cellStyle name="Normal 4 6 2 2 3 5 4 2" xfId="43387"/>
    <cellStyle name="Normal 4 6 2 2 3 5 5" xfId="29831"/>
    <cellStyle name="Normal 4 6 2 2 3 6" xfId="7986"/>
    <cellStyle name="Normal 4 6 2 2 3 6 2" xfId="14700"/>
    <cellStyle name="Normal 4 6 2 2 3 6 2 2" xfId="38121"/>
    <cellStyle name="Normal 4 6 2 2 3 6 3" xfId="21718"/>
    <cellStyle name="Normal 4 6 2 2 3 6 3 2" xfId="44167"/>
    <cellStyle name="Normal 4 6 2 2 3 6 4" xfId="31489"/>
    <cellStyle name="Normal 4 6 2 2 3 7" xfId="11382"/>
    <cellStyle name="Normal 4 6 2 2 3 7 2" xfId="34805"/>
    <cellStyle name="Normal 4 6 2 2 3 8" xfId="18108"/>
    <cellStyle name="Normal 4 6 2 2 3 8 2" xfId="41396"/>
    <cellStyle name="Normal 4 6 2 2 3 9" xfId="23708"/>
    <cellStyle name="Normal 4 6 2 2 3 9 2" xfId="45997"/>
    <cellStyle name="Normal 4 6 2 2 4" xfId="2362"/>
    <cellStyle name="Normal 4 6 2 2 4 2" xfId="5601"/>
    <cellStyle name="Normal 4 6 2 2 4 2 2" xfId="7424"/>
    <cellStyle name="Normal 4 6 2 2 4 2 2 2" xfId="10755"/>
    <cellStyle name="Normal 4 6 2 2 4 2 2 2 2" xfId="17459"/>
    <cellStyle name="Normal 4 6 2 2 4 2 2 2 2 2" xfId="40880"/>
    <cellStyle name="Normal 4 6 2 2 4 2 2 2 3" xfId="23175"/>
    <cellStyle name="Normal 4 6 2 2 4 2 2 2 3 2" xfId="45597"/>
    <cellStyle name="Normal 4 6 2 2 4 2 2 2 4" xfId="34248"/>
    <cellStyle name="Normal 4 6 2 2 4 2 2 3" xfId="14143"/>
    <cellStyle name="Normal 4 6 2 2 4 2 2 3 2" xfId="37564"/>
    <cellStyle name="Normal 4 6 2 2 4 2 2 4" xfId="20350"/>
    <cellStyle name="Normal 4 6 2 2 4 2 2 4 2" xfId="42885"/>
    <cellStyle name="Normal 4 6 2 2 4 2 2 5" xfId="30932"/>
    <cellStyle name="Normal 4 6 2 2 4 2 3" xfId="9097"/>
    <cellStyle name="Normal 4 6 2 2 4 2 3 2" xfId="15801"/>
    <cellStyle name="Normal 4 6 2 2 4 2 3 2 2" xfId="39222"/>
    <cellStyle name="Normal 4 6 2 2 4 2 3 3" xfId="21397"/>
    <cellStyle name="Normal 4 6 2 2 4 2 3 3 2" xfId="43848"/>
    <cellStyle name="Normal 4 6 2 2 4 2 3 4" xfId="32590"/>
    <cellStyle name="Normal 4 6 2 2 4 2 4" xfId="12485"/>
    <cellStyle name="Normal 4 6 2 2 4 2 4 2" xfId="22363"/>
    <cellStyle name="Normal 4 6 2 2 4 2 4 2 2" xfId="44785"/>
    <cellStyle name="Normal 4 6 2 2 4 2 4 3" xfId="35906"/>
    <cellStyle name="Normal 4 6 2 2 4 2 5" xfId="19511"/>
    <cellStyle name="Normal 4 6 2 2 4 2 5 2" xfId="42053"/>
    <cellStyle name="Normal 4 6 2 2 4 2 6" xfId="29274"/>
    <cellStyle name="Normal 4 6 2 2 4 3" xfId="6522"/>
    <cellStyle name="Normal 4 6 2 2 4 3 2" xfId="9856"/>
    <cellStyle name="Normal 4 6 2 2 4 3 2 2" xfId="16560"/>
    <cellStyle name="Normal 4 6 2 2 4 3 2 2 2" xfId="39981"/>
    <cellStyle name="Normal 4 6 2 2 4 3 2 3" xfId="22770"/>
    <cellStyle name="Normal 4 6 2 2 4 3 2 3 2" xfId="45192"/>
    <cellStyle name="Normal 4 6 2 2 4 3 2 4" xfId="33349"/>
    <cellStyle name="Normal 4 6 2 2 4 3 3" xfId="13244"/>
    <cellStyle name="Normal 4 6 2 2 4 3 3 2" xfId="36665"/>
    <cellStyle name="Normal 4 6 2 2 4 3 4" xfId="19934"/>
    <cellStyle name="Normal 4 6 2 2 4 3 4 2" xfId="42469"/>
    <cellStyle name="Normal 4 6 2 2 4 3 5" xfId="30033"/>
    <cellStyle name="Normal 4 6 2 2 4 4" xfId="8189"/>
    <cellStyle name="Normal 4 6 2 2 4 4 2" xfId="14902"/>
    <cellStyle name="Normal 4 6 2 2 4 4 2 2" xfId="38323"/>
    <cellStyle name="Normal 4 6 2 2 4 4 3" xfId="20938"/>
    <cellStyle name="Normal 4 6 2 2 4 4 3 2" xfId="43389"/>
    <cellStyle name="Normal 4 6 2 2 4 4 4" xfId="31691"/>
    <cellStyle name="Normal 4 6 2 2 4 5" xfId="11584"/>
    <cellStyle name="Normal 4 6 2 2 4 5 2" xfId="21939"/>
    <cellStyle name="Normal 4 6 2 2 4 5 2 2" xfId="44371"/>
    <cellStyle name="Normal 4 6 2 2 4 5 3" xfId="35007"/>
    <cellStyle name="Normal 4 6 2 2 4 6" xfId="18799"/>
    <cellStyle name="Normal 4 6 2 2 4 6 2" xfId="41628"/>
    <cellStyle name="Normal 4 6 2 2 4 7" xfId="25936"/>
    <cellStyle name="Normal 4 6 2 2 4 7 2" xfId="48181"/>
    <cellStyle name="Normal 4 6 2 2 4 8" xfId="28375"/>
    <cellStyle name="Normal 4 6 2 2 5" xfId="2686"/>
    <cellStyle name="Normal 4 6 2 2 5 2" xfId="5779"/>
    <cellStyle name="Normal 4 6 2 2 5 2 2" xfId="7561"/>
    <cellStyle name="Normal 4 6 2 2 5 2 2 2" xfId="10890"/>
    <cellStyle name="Normal 4 6 2 2 5 2 2 2 2" xfId="17594"/>
    <cellStyle name="Normal 4 6 2 2 5 2 2 2 2 2" xfId="41015"/>
    <cellStyle name="Normal 4 6 2 2 5 2 2 2 3" xfId="34383"/>
    <cellStyle name="Normal 4 6 2 2 5 2 2 3" xfId="14278"/>
    <cellStyle name="Normal 4 6 2 2 5 2 2 3 2" xfId="37699"/>
    <cellStyle name="Normal 4 6 2 2 5 2 2 4" xfId="20646"/>
    <cellStyle name="Normal 4 6 2 2 5 2 2 4 2" xfId="43097"/>
    <cellStyle name="Normal 4 6 2 2 5 2 2 5" xfId="31067"/>
    <cellStyle name="Normal 4 6 2 2 5 2 3" xfId="9232"/>
    <cellStyle name="Normal 4 6 2 2 5 2 3 2" xfId="15936"/>
    <cellStyle name="Normal 4 6 2 2 5 2 3 2 2" xfId="39357"/>
    <cellStyle name="Normal 4 6 2 2 5 2 3 3" xfId="21564"/>
    <cellStyle name="Normal 4 6 2 2 5 2 3 3 2" xfId="44015"/>
    <cellStyle name="Normal 4 6 2 2 5 2 3 4" xfId="32725"/>
    <cellStyle name="Normal 4 6 2 2 5 2 4" xfId="12620"/>
    <cellStyle name="Normal 4 6 2 2 5 2 4 2" xfId="22970"/>
    <cellStyle name="Normal 4 6 2 2 5 2 4 2 2" xfId="45392"/>
    <cellStyle name="Normal 4 6 2 2 5 2 4 3" xfId="36041"/>
    <cellStyle name="Normal 4 6 2 2 5 2 5" xfId="20142"/>
    <cellStyle name="Normal 4 6 2 2 5 2 5 2" xfId="42677"/>
    <cellStyle name="Normal 4 6 2 2 5 2 6" xfId="29409"/>
    <cellStyle name="Normal 4 6 2 2 5 3" xfId="6662"/>
    <cellStyle name="Normal 4 6 2 2 5 3 2" xfId="9994"/>
    <cellStyle name="Normal 4 6 2 2 5 3 2 2" xfId="16698"/>
    <cellStyle name="Normal 4 6 2 2 5 3 2 2 2" xfId="40119"/>
    <cellStyle name="Normal 4 6 2 2 5 3 2 3" xfId="33487"/>
    <cellStyle name="Normal 4 6 2 2 5 3 3" xfId="13382"/>
    <cellStyle name="Normal 4 6 2 2 5 3 3 2" xfId="36803"/>
    <cellStyle name="Normal 4 6 2 2 5 3 4" xfId="20548"/>
    <cellStyle name="Normal 4 6 2 2 5 3 4 2" xfId="43001"/>
    <cellStyle name="Normal 4 6 2 2 5 3 5" xfId="30171"/>
    <cellStyle name="Normal 4 6 2 2 5 4" xfId="8328"/>
    <cellStyle name="Normal 4 6 2 2 5 4 2" xfId="15040"/>
    <cellStyle name="Normal 4 6 2 2 5 4 2 2" xfId="38461"/>
    <cellStyle name="Normal 4 6 2 2 5 4 3" xfId="21105"/>
    <cellStyle name="Normal 4 6 2 2 5 4 3 2" xfId="43556"/>
    <cellStyle name="Normal 4 6 2 2 5 4 4" xfId="31829"/>
    <cellStyle name="Normal 4 6 2 2 5 5" xfId="11722"/>
    <cellStyle name="Normal 4 6 2 2 5 5 2" xfId="22153"/>
    <cellStyle name="Normal 4 6 2 2 5 5 2 2" xfId="44577"/>
    <cellStyle name="Normal 4 6 2 2 5 5 3" xfId="35145"/>
    <cellStyle name="Normal 4 6 2 2 5 6" xfId="19292"/>
    <cellStyle name="Normal 4 6 2 2 5 6 2" xfId="41845"/>
    <cellStyle name="Normal 4 6 2 2 5 7" xfId="28513"/>
    <cellStyle name="Normal 4 6 2 2 6" xfId="4090"/>
    <cellStyle name="Normal 4 6 2 2 6 2" xfId="7089"/>
    <cellStyle name="Normal 4 6 2 2 6 2 2" xfId="10421"/>
    <cellStyle name="Normal 4 6 2 2 6 2 2 2" xfId="17125"/>
    <cellStyle name="Normal 4 6 2 2 6 2 2 2 2" xfId="40546"/>
    <cellStyle name="Normal 4 6 2 2 6 2 2 3" xfId="33914"/>
    <cellStyle name="Normal 4 6 2 2 6 2 3" xfId="13809"/>
    <cellStyle name="Normal 4 6 2 2 6 2 3 2" xfId="37230"/>
    <cellStyle name="Normal 4 6 2 2 6 2 4" xfId="20598"/>
    <cellStyle name="Normal 4 6 2 2 6 2 4 2" xfId="43049"/>
    <cellStyle name="Normal 4 6 2 2 6 2 5" xfId="30598"/>
    <cellStyle name="Normal 4 6 2 2 6 3" xfId="8756"/>
    <cellStyle name="Normal 4 6 2 2 6 3 2" xfId="15467"/>
    <cellStyle name="Normal 4 6 2 2 6 3 2 2" xfId="38888"/>
    <cellStyle name="Normal 4 6 2 2 6 3 3" xfId="21390"/>
    <cellStyle name="Normal 4 6 2 2 6 3 3 2" xfId="43841"/>
    <cellStyle name="Normal 4 6 2 2 6 3 4" xfId="32256"/>
    <cellStyle name="Normal 4 6 2 2 6 4" xfId="12149"/>
    <cellStyle name="Normal 4 6 2 2 6 4 2" xfId="22565"/>
    <cellStyle name="Normal 4 6 2 2 6 4 2 2" xfId="44987"/>
    <cellStyle name="Normal 4 6 2 2 6 4 3" xfId="35572"/>
    <cellStyle name="Normal 4 6 2 2 6 5" xfId="19724"/>
    <cellStyle name="Normal 4 6 2 2 6 5 2" xfId="42261"/>
    <cellStyle name="Normal 4 6 2 2 6 6" xfId="28940"/>
    <cellStyle name="Normal 4 6 2 2 7" xfId="6189"/>
    <cellStyle name="Normal 4 6 2 2 7 2" xfId="9523"/>
    <cellStyle name="Normal 4 6 2 2 7 2 2" xfId="16227"/>
    <cellStyle name="Normal 4 6 2 2 7 2 2 2" xfId="39648"/>
    <cellStyle name="Normal 4 6 2 2 7 2 3" xfId="33016"/>
    <cellStyle name="Normal 4 6 2 2 7 3" xfId="12911"/>
    <cellStyle name="Normal 4 6 2 2 7 3 2" xfId="36332"/>
    <cellStyle name="Normal 4 6 2 2 7 4" xfId="18437"/>
    <cellStyle name="Normal 4 6 2 2 7 4 2" xfId="41488"/>
    <cellStyle name="Normal 4 6 2 2 7 5" xfId="29700"/>
    <cellStyle name="Normal 4 6 2 2 8" xfId="7855"/>
    <cellStyle name="Normal 4 6 2 2 8 2" xfId="14569"/>
    <cellStyle name="Normal 4 6 2 2 8 2 2" xfId="37990"/>
    <cellStyle name="Normal 4 6 2 2 8 3" xfId="20931"/>
    <cellStyle name="Normal 4 6 2 2 8 3 2" xfId="43382"/>
    <cellStyle name="Normal 4 6 2 2 8 4" xfId="31358"/>
    <cellStyle name="Normal 4 6 2 2 9" xfId="11251"/>
    <cellStyle name="Normal 4 6 2 2 9 2" xfId="21715"/>
    <cellStyle name="Normal 4 6 2 2 9 2 2" xfId="44164"/>
    <cellStyle name="Normal 4 6 2 2 9 3" xfId="34674"/>
    <cellStyle name="Normal 4 6 2 3" xfId="1668"/>
    <cellStyle name="Normal 4 6 2 3 10" xfId="23709"/>
    <cellStyle name="Normal 4 6 2 3 10 2" xfId="45998"/>
    <cellStyle name="Normal 4 6 2 3 11" xfId="28087"/>
    <cellStyle name="Normal 4 6 2 3 2" xfId="1866"/>
    <cellStyle name="Normal 4 6 2 3 2 10" xfId="28218"/>
    <cellStyle name="Normal 4 6 2 3 2 2" xfId="2367"/>
    <cellStyle name="Normal 4 6 2 3 2 2 2" xfId="5606"/>
    <cellStyle name="Normal 4 6 2 3 2 2 2 2" xfId="7429"/>
    <cellStyle name="Normal 4 6 2 3 2 2 2 2 2" xfId="10760"/>
    <cellStyle name="Normal 4 6 2 3 2 2 2 2 2 2" xfId="17464"/>
    <cellStyle name="Normal 4 6 2 3 2 2 2 2 2 2 2" xfId="40885"/>
    <cellStyle name="Normal 4 6 2 3 2 2 2 2 2 3" xfId="23180"/>
    <cellStyle name="Normal 4 6 2 3 2 2 2 2 2 3 2" xfId="45602"/>
    <cellStyle name="Normal 4 6 2 3 2 2 2 2 2 4" xfId="34253"/>
    <cellStyle name="Normal 4 6 2 3 2 2 2 2 3" xfId="14148"/>
    <cellStyle name="Normal 4 6 2 3 2 2 2 2 3 2" xfId="37569"/>
    <cellStyle name="Normal 4 6 2 3 2 2 2 2 4" xfId="20355"/>
    <cellStyle name="Normal 4 6 2 3 2 2 2 2 4 2" xfId="42890"/>
    <cellStyle name="Normal 4 6 2 3 2 2 2 2 5" xfId="30937"/>
    <cellStyle name="Normal 4 6 2 3 2 2 2 3" xfId="9102"/>
    <cellStyle name="Normal 4 6 2 3 2 2 2 3 2" xfId="15806"/>
    <cellStyle name="Normal 4 6 2 3 2 2 2 3 2 2" xfId="39227"/>
    <cellStyle name="Normal 4 6 2 3 2 2 2 3 3" xfId="21400"/>
    <cellStyle name="Normal 4 6 2 3 2 2 2 3 3 2" xfId="43851"/>
    <cellStyle name="Normal 4 6 2 3 2 2 2 3 4" xfId="32595"/>
    <cellStyle name="Normal 4 6 2 3 2 2 2 4" xfId="12490"/>
    <cellStyle name="Normal 4 6 2 3 2 2 2 4 2" xfId="22368"/>
    <cellStyle name="Normal 4 6 2 3 2 2 2 4 2 2" xfId="44790"/>
    <cellStyle name="Normal 4 6 2 3 2 2 2 4 3" xfId="35911"/>
    <cellStyle name="Normal 4 6 2 3 2 2 2 5" xfId="19516"/>
    <cellStyle name="Normal 4 6 2 3 2 2 2 5 2" xfId="42058"/>
    <cellStyle name="Normal 4 6 2 3 2 2 2 6" xfId="29279"/>
    <cellStyle name="Normal 4 6 2 3 2 2 3" xfId="6527"/>
    <cellStyle name="Normal 4 6 2 3 2 2 3 2" xfId="9861"/>
    <cellStyle name="Normal 4 6 2 3 2 2 3 2 2" xfId="16565"/>
    <cellStyle name="Normal 4 6 2 3 2 2 3 2 2 2" xfId="39986"/>
    <cellStyle name="Normal 4 6 2 3 2 2 3 2 3" xfId="22775"/>
    <cellStyle name="Normal 4 6 2 3 2 2 3 2 3 2" xfId="45197"/>
    <cellStyle name="Normal 4 6 2 3 2 2 3 2 4" xfId="33354"/>
    <cellStyle name="Normal 4 6 2 3 2 2 3 3" xfId="13249"/>
    <cellStyle name="Normal 4 6 2 3 2 2 3 3 2" xfId="36670"/>
    <cellStyle name="Normal 4 6 2 3 2 2 3 4" xfId="19939"/>
    <cellStyle name="Normal 4 6 2 3 2 2 3 4 2" xfId="42474"/>
    <cellStyle name="Normal 4 6 2 3 2 2 3 5" xfId="30038"/>
    <cellStyle name="Normal 4 6 2 3 2 2 4" xfId="8194"/>
    <cellStyle name="Normal 4 6 2 3 2 2 4 2" xfId="14907"/>
    <cellStyle name="Normal 4 6 2 3 2 2 4 2 2" xfId="38328"/>
    <cellStyle name="Normal 4 6 2 3 2 2 4 3" xfId="20941"/>
    <cellStyle name="Normal 4 6 2 3 2 2 4 3 2" xfId="43392"/>
    <cellStyle name="Normal 4 6 2 3 2 2 4 4" xfId="31696"/>
    <cellStyle name="Normal 4 6 2 3 2 2 5" xfId="11589"/>
    <cellStyle name="Normal 4 6 2 3 2 2 5 2" xfId="21944"/>
    <cellStyle name="Normal 4 6 2 3 2 2 5 2 2" xfId="44376"/>
    <cellStyle name="Normal 4 6 2 3 2 2 5 3" xfId="35012"/>
    <cellStyle name="Normal 4 6 2 3 2 2 6" xfId="18804"/>
    <cellStyle name="Normal 4 6 2 3 2 2 6 2" xfId="41633"/>
    <cellStyle name="Normal 4 6 2 3 2 2 7" xfId="25941"/>
    <cellStyle name="Normal 4 6 2 3 2 2 7 2" xfId="48186"/>
    <cellStyle name="Normal 4 6 2 3 2 2 8" xfId="28380"/>
    <cellStyle name="Normal 4 6 2 3 2 3" xfId="2863"/>
    <cellStyle name="Normal 4 6 2 3 2 3 2" xfId="5955"/>
    <cellStyle name="Normal 4 6 2 3 2 3 2 2" xfId="7737"/>
    <cellStyle name="Normal 4 6 2 3 2 3 2 2 2" xfId="11066"/>
    <cellStyle name="Normal 4 6 2 3 2 3 2 2 2 2" xfId="17770"/>
    <cellStyle name="Normal 4 6 2 3 2 3 2 2 2 2 2" xfId="41191"/>
    <cellStyle name="Normal 4 6 2 3 2 3 2 2 2 3" xfId="34559"/>
    <cellStyle name="Normal 4 6 2 3 2 3 2 2 3" xfId="14454"/>
    <cellStyle name="Normal 4 6 2 3 2 3 2 2 3 2" xfId="37875"/>
    <cellStyle name="Normal 4 6 2 3 2 3 2 2 4" xfId="22975"/>
    <cellStyle name="Normal 4 6 2 3 2 3 2 2 4 2" xfId="45397"/>
    <cellStyle name="Normal 4 6 2 3 2 3 2 2 5" xfId="31243"/>
    <cellStyle name="Normal 4 6 2 3 2 3 2 3" xfId="9408"/>
    <cellStyle name="Normal 4 6 2 3 2 3 2 3 2" xfId="16112"/>
    <cellStyle name="Normal 4 6 2 3 2 3 2 3 2 2" xfId="39533"/>
    <cellStyle name="Normal 4 6 2 3 2 3 2 3 3" xfId="32901"/>
    <cellStyle name="Normal 4 6 2 3 2 3 2 4" xfId="12796"/>
    <cellStyle name="Normal 4 6 2 3 2 3 2 4 2" xfId="36217"/>
    <cellStyle name="Normal 4 6 2 3 2 3 2 5" xfId="20147"/>
    <cellStyle name="Normal 4 6 2 3 2 3 2 5 2" xfId="42682"/>
    <cellStyle name="Normal 4 6 2 3 2 3 2 6" xfId="29585"/>
    <cellStyle name="Normal 4 6 2 3 2 3 3" xfId="6838"/>
    <cellStyle name="Normal 4 6 2 3 2 3 3 2" xfId="10170"/>
    <cellStyle name="Normal 4 6 2 3 2 3 3 2 2" xfId="16874"/>
    <cellStyle name="Normal 4 6 2 3 2 3 3 2 2 2" xfId="40295"/>
    <cellStyle name="Normal 4 6 2 3 2 3 3 2 3" xfId="33663"/>
    <cellStyle name="Normal 4 6 2 3 2 3 3 3" xfId="13558"/>
    <cellStyle name="Normal 4 6 2 3 2 3 3 3 2" xfId="36979"/>
    <cellStyle name="Normal 4 6 2 3 2 3 3 4" xfId="21399"/>
    <cellStyle name="Normal 4 6 2 3 2 3 3 4 2" xfId="43850"/>
    <cellStyle name="Normal 4 6 2 3 2 3 3 5" xfId="30347"/>
    <cellStyle name="Normal 4 6 2 3 2 3 4" xfId="8504"/>
    <cellStyle name="Normal 4 6 2 3 2 3 4 2" xfId="15216"/>
    <cellStyle name="Normal 4 6 2 3 2 3 4 2 2" xfId="38637"/>
    <cellStyle name="Normal 4 6 2 3 2 3 4 3" xfId="22158"/>
    <cellStyle name="Normal 4 6 2 3 2 3 4 3 2" xfId="44582"/>
    <cellStyle name="Normal 4 6 2 3 2 3 4 4" xfId="32005"/>
    <cellStyle name="Normal 4 6 2 3 2 3 5" xfId="11898"/>
    <cellStyle name="Normal 4 6 2 3 2 3 5 2" xfId="35321"/>
    <cellStyle name="Normal 4 6 2 3 2 3 6" xfId="19297"/>
    <cellStyle name="Normal 4 6 2 3 2 3 6 2" xfId="41850"/>
    <cellStyle name="Normal 4 6 2 3 2 3 7" xfId="28689"/>
    <cellStyle name="Normal 4 6 2 3 2 4" xfId="4095"/>
    <cellStyle name="Normal 4 6 2 3 2 4 2" xfId="7094"/>
    <cellStyle name="Normal 4 6 2 3 2 4 2 2" xfId="10426"/>
    <cellStyle name="Normal 4 6 2 3 2 4 2 2 2" xfId="17130"/>
    <cellStyle name="Normal 4 6 2 3 2 4 2 2 2 2" xfId="40551"/>
    <cellStyle name="Normal 4 6 2 3 2 4 2 2 3" xfId="33919"/>
    <cellStyle name="Normal 4 6 2 3 2 4 2 3" xfId="13814"/>
    <cellStyle name="Normal 4 6 2 3 2 4 2 3 2" xfId="37235"/>
    <cellStyle name="Normal 4 6 2 3 2 4 2 4" xfId="22570"/>
    <cellStyle name="Normal 4 6 2 3 2 4 2 4 2" xfId="44992"/>
    <cellStyle name="Normal 4 6 2 3 2 4 2 5" xfId="30603"/>
    <cellStyle name="Normal 4 6 2 3 2 4 3" xfId="8761"/>
    <cellStyle name="Normal 4 6 2 3 2 4 3 2" xfId="15472"/>
    <cellStyle name="Normal 4 6 2 3 2 4 3 2 2" xfId="38893"/>
    <cellStyle name="Normal 4 6 2 3 2 4 3 3" xfId="32261"/>
    <cellStyle name="Normal 4 6 2 3 2 4 4" xfId="12154"/>
    <cellStyle name="Normal 4 6 2 3 2 4 4 2" xfId="35577"/>
    <cellStyle name="Normal 4 6 2 3 2 4 5" xfId="19729"/>
    <cellStyle name="Normal 4 6 2 3 2 4 5 2" xfId="42266"/>
    <cellStyle name="Normal 4 6 2 3 2 4 6" xfId="28945"/>
    <cellStyle name="Normal 4 6 2 3 2 5" xfId="6365"/>
    <cellStyle name="Normal 4 6 2 3 2 5 2" xfId="9699"/>
    <cellStyle name="Normal 4 6 2 3 2 5 2 2" xfId="16403"/>
    <cellStyle name="Normal 4 6 2 3 2 5 2 2 2" xfId="39824"/>
    <cellStyle name="Normal 4 6 2 3 2 5 2 3" xfId="33192"/>
    <cellStyle name="Normal 4 6 2 3 2 5 3" xfId="13087"/>
    <cellStyle name="Normal 4 6 2 3 2 5 3 2" xfId="36508"/>
    <cellStyle name="Normal 4 6 2 3 2 5 4" xfId="20940"/>
    <cellStyle name="Normal 4 6 2 3 2 5 4 2" xfId="43391"/>
    <cellStyle name="Normal 4 6 2 3 2 5 5" xfId="29876"/>
    <cellStyle name="Normal 4 6 2 3 2 6" xfId="8031"/>
    <cellStyle name="Normal 4 6 2 3 2 6 2" xfId="14745"/>
    <cellStyle name="Normal 4 6 2 3 2 6 2 2" xfId="38166"/>
    <cellStyle name="Normal 4 6 2 3 2 6 3" xfId="21720"/>
    <cellStyle name="Normal 4 6 2 3 2 6 3 2" xfId="44169"/>
    <cellStyle name="Normal 4 6 2 3 2 6 4" xfId="31534"/>
    <cellStyle name="Normal 4 6 2 3 2 7" xfId="11427"/>
    <cellStyle name="Normal 4 6 2 3 2 7 2" xfId="34850"/>
    <cellStyle name="Normal 4 6 2 3 2 8" xfId="18110"/>
    <cellStyle name="Normal 4 6 2 3 2 8 2" xfId="41398"/>
    <cellStyle name="Normal 4 6 2 3 2 9" xfId="23710"/>
    <cellStyle name="Normal 4 6 2 3 2 9 2" xfId="45999"/>
    <cellStyle name="Normal 4 6 2 3 3" xfId="2366"/>
    <cellStyle name="Normal 4 6 2 3 3 2" xfId="5605"/>
    <cellStyle name="Normal 4 6 2 3 3 2 2" xfId="7428"/>
    <cellStyle name="Normal 4 6 2 3 3 2 2 2" xfId="10759"/>
    <cellStyle name="Normal 4 6 2 3 3 2 2 2 2" xfId="17463"/>
    <cellStyle name="Normal 4 6 2 3 3 2 2 2 2 2" xfId="40884"/>
    <cellStyle name="Normal 4 6 2 3 3 2 2 2 3" xfId="23179"/>
    <cellStyle name="Normal 4 6 2 3 3 2 2 2 3 2" xfId="45601"/>
    <cellStyle name="Normal 4 6 2 3 3 2 2 2 4" xfId="34252"/>
    <cellStyle name="Normal 4 6 2 3 3 2 2 3" xfId="14147"/>
    <cellStyle name="Normal 4 6 2 3 3 2 2 3 2" xfId="37568"/>
    <cellStyle name="Normal 4 6 2 3 3 2 2 4" xfId="20354"/>
    <cellStyle name="Normal 4 6 2 3 3 2 2 4 2" xfId="42889"/>
    <cellStyle name="Normal 4 6 2 3 3 2 2 5" xfId="30936"/>
    <cellStyle name="Normal 4 6 2 3 3 2 3" xfId="9101"/>
    <cellStyle name="Normal 4 6 2 3 3 2 3 2" xfId="15805"/>
    <cellStyle name="Normal 4 6 2 3 3 2 3 2 2" xfId="39226"/>
    <cellStyle name="Normal 4 6 2 3 3 2 3 3" xfId="21401"/>
    <cellStyle name="Normal 4 6 2 3 3 2 3 3 2" xfId="43852"/>
    <cellStyle name="Normal 4 6 2 3 3 2 3 4" xfId="32594"/>
    <cellStyle name="Normal 4 6 2 3 3 2 4" xfId="12489"/>
    <cellStyle name="Normal 4 6 2 3 3 2 4 2" xfId="22367"/>
    <cellStyle name="Normal 4 6 2 3 3 2 4 2 2" xfId="44789"/>
    <cellStyle name="Normal 4 6 2 3 3 2 4 3" xfId="35910"/>
    <cellStyle name="Normal 4 6 2 3 3 2 5" xfId="19515"/>
    <cellStyle name="Normal 4 6 2 3 3 2 5 2" xfId="42057"/>
    <cellStyle name="Normal 4 6 2 3 3 2 6" xfId="29278"/>
    <cellStyle name="Normal 4 6 2 3 3 3" xfId="6526"/>
    <cellStyle name="Normal 4 6 2 3 3 3 2" xfId="9860"/>
    <cellStyle name="Normal 4 6 2 3 3 3 2 2" xfId="16564"/>
    <cellStyle name="Normal 4 6 2 3 3 3 2 2 2" xfId="39985"/>
    <cellStyle name="Normal 4 6 2 3 3 3 2 3" xfId="22774"/>
    <cellStyle name="Normal 4 6 2 3 3 3 2 3 2" xfId="45196"/>
    <cellStyle name="Normal 4 6 2 3 3 3 2 4" xfId="33353"/>
    <cellStyle name="Normal 4 6 2 3 3 3 3" xfId="13248"/>
    <cellStyle name="Normal 4 6 2 3 3 3 3 2" xfId="36669"/>
    <cellStyle name="Normal 4 6 2 3 3 3 4" xfId="19938"/>
    <cellStyle name="Normal 4 6 2 3 3 3 4 2" xfId="42473"/>
    <cellStyle name="Normal 4 6 2 3 3 3 5" xfId="30037"/>
    <cellStyle name="Normal 4 6 2 3 3 4" xfId="8193"/>
    <cellStyle name="Normal 4 6 2 3 3 4 2" xfId="14906"/>
    <cellStyle name="Normal 4 6 2 3 3 4 2 2" xfId="38327"/>
    <cellStyle name="Normal 4 6 2 3 3 4 3" xfId="20942"/>
    <cellStyle name="Normal 4 6 2 3 3 4 3 2" xfId="43393"/>
    <cellStyle name="Normal 4 6 2 3 3 4 4" xfId="31695"/>
    <cellStyle name="Normal 4 6 2 3 3 5" xfId="11588"/>
    <cellStyle name="Normal 4 6 2 3 3 5 2" xfId="21943"/>
    <cellStyle name="Normal 4 6 2 3 3 5 2 2" xfId="44375"/>
    <cellStyle name="Normal 4 6 2 3 3 5 3" xfId="35011"/>
    <cellStyle name="Normal 4 6 2 3 3 6" xfId="18803"/>
    <cellStyle name="Normal 4 6 2 3 3 6 2" xfId="41632"/>
    <cellStyle name="Normal 4 6 2 3 3 7" xfId="25940"/>
    <cellStyle name="Normal 4 6 2 3 3 7 2" xfId="48185"/>
    <cellStyle name="Normal 4 6 2 3 3 8" xfId="28379"/>
    <cellStyle name="Normal 4 6 2 3 4" xfId="2731"/>
    <cellStyle name="Normal 4 6 2 3 4 2" xfId="5824"/>
    <cellStyle name="Normal 4 6 2 3 4 2 2" xfId="7606"/>
    <cellStyle name="Normal 4 6 2 3 4 2 2 2" xfId="10935"/>
    <cellStyle name="Normal 4 6 2 3 4 2 2 2 2" xfId="17639"/>
    <cellStyle name="Normal 4 6 2 3 4 2 2 2 2 2" xfId="41060"/>
    <cellStyle name="Normal 4 6 2 3 4 2 2 2 3" xfId="34428"/>
    <cellStyle name="Normal 4 6 2 3 4 2 2 3" xfId="14323"/>
    <cellStyle name="Normal 4 6 2 3 4 2 2 3 2" xfId="37744"/>
    <cellStyle name="Normal 4 6 2 3 4 2 2 4" xfId="22974"/>
    <cellStyle name="Normal 4 6 2 3 4 2 2 4 2" xfId="45396"/>
    <cellStyle name="Normal 4 6 2 3 4 2 2 5" xfId="31112"/>
    <cellStyle name="Normal 4 6 2 3 4 2 3" xfId="9277"/>
    <cellStyle name="Normal 4 6 2 3 4 2 3 2" xfId="15981"/>
    <cellStyle name="Normal 4 6 2 3 4 2 3 2 2" xfId="39402"/>
    <cellStyle name="Normal 4 6 2 3 4 2 3 3" xfId="32770"/>
    <cellStyle name="Normal 4 6 2 3 4 2 4" xfId="12665"/>
    <cellStyle name="Normal 4 6 2 3 4 2 4 2" xfId="36086"/>
    <cellStyle name="Normal 4 6 2 3 4 2 5" xfId="20146"/>
    <cellStyle name="Normal 4 6 2 3 4 2 5 2" xfId="42681"/>
    <cellStyle name="Normal 4 6 2 3 4 2 6" xfId="29454"/>
    <cellStyle name="Normal 4 6 2 3 4 3" xfId="6707"/>
    <cellStyle name="Normal 4 6 2 3 4 3 2" xfId="10039"/>
    <cellStyle name="Normal 4 6 2 3 4 3 2 2" xfId="16743"/>
    <cellStyle name="Normal 4 6 2 3 4 3 2 2 2" xfId="40164"/>
    <cellStyle name="Normal 4 6 2 3 4 3 2 3" xfId="33532"/>
    <cellStyle name="Normal 4 6 2 3 4 3 3" xfId="13427"/>
    <cellStyle name="Normal 4 6 2 3 4 3 3 2" xfId="36848"/>
    <cellStyle name="Normal 4 6 2 3 4 3 4" xfId="21398"/>
    <cellStyle name="Normal 4 6 2 3 4 3 4 2" xfId="43849"/>
    <cellStyle name="Normal 4 6 2 3 4 3 5" xfId="30216"/>
    <cellStyle name="Normal 4 6 2 3 4 4" xfId="8373"/>
    <cellStyle name="Normal 4 6 2 3 4 4 2" xfId="15085"/>
    <cellStyle name="Normal 4 6 2 3 4 4 2 2" xfId="38506"/>
    <cellStyle name="Normal 4 6 2 3 4 4 3" xfId="22157"/>
    <cellStyle name="Normal 4 6 2 3 4 4 3 2" xfId="44581"/>
    <cellStyle name="Normal 4 6 2 3 4 4 4" xfId="31874"/>
    <cellStyle name="Normal 4 6 2 3 4 5" xfId="11767"/>
    <cellStyle name="Normal 4 6 2 3 4 5 2" xfId="35190"/>
    <cellStyle name="Normal 4 6 2 3 4 6" xfId="19296"/>
    <cellStyle name="Normal 4 6 2 3 4 6 2" xfId="41849"/>
    <cellStyle name="Normal 4 6 2 3 4 7" xfId="28558"/>
    <cellStyle name="Normal 4 6 2 3 5" xfId="4094"/>
    <cellStyle name="Normal 4 6 2 3 5 2" xfId="7093"/>
    <cellStyle name="Normal 4 6 2 3 5 2 2" xfId="10425"/>
    <cellStyle name="Normal 4 6 2 3 5 2 2 2" xfId="17129"/>
    <cellStyle name="Normal 4 6 2 3 5 2 2 2 2" xfId="40550"/>
    <cellStyle name="Normal 4 6 2 3 5 2 2 3" xfId="33918"/>
    <cellStyle name="Normal 4 6 2 3 5 2 3" xfId="13813"/>
    <cellStyle name="Normal 4 6 2 3 5 2 3 2" xfId="37234"/>
    <cellStyle name="Normal 4 6 2 3 5 2 4" xfId="22569"/>
    <cellStyle name="Normal 4 6 2 3 5 2 4 2" xfId="44991"/>
    <cellStyle name="Normal 4 6 2 3 5 2 5" xfId="30602"/>
    <cellStyle name="Normal 4 6 2 3 5 3" xfId="8760"/>
    <cellStyle name="Normal 4 6 2 3 5 3 2" xfId="15471"/>
    <cellStyle name="Normal 4 6 2 3 5 3 2 2" xfId="38892"/>
    <cellStyle name="Normal 4 6 2 3 5 3 3" xfId="32260"/>
    <cellStyle name="Normal 4 6 2 3 5 4" xfId="12153"/>
    <cellStyle name="Normal 4 6 2 3 5 4 2" xfId="35576"/>
    <cellStyle name="Normal 4 6 2 3 5 5" xfId="19728"/>
    <cellStyle name="Normal 4 6 2 3 5 5 2" xfId="42265"/>
    <cellStyle name="Normal 4 6 2 3 5 6" xfId="28944"/>
    <cellStyle name="Normal 4 6 2 3 6" xfId="6234"/>
    <cellStyle name="Normal 4 6 2 3 6 2" xfId="9568"/>
    <cellStyle name="Normal 4 6 2 3 6 2 2" xfId="16272"/>
    <cellStyle name="Normal 4 6 2 3 6 2 2 2" xfId="39693"/>
    <cellStyle name="Normal 4 6 2 3 6 2 3" xfId="33061"/>
    <cellStyle name="Normal 4 6 2 3 6 3" xfId="12956"/>
    <cellStyle name="Normal 4 6 2 3 6 3 2" xfId="36377"/>
    <cellStyle name="Normal 4 6 2 3 6 4" xfId="20939"/>
    <cellStyle name="Normal 4 6 2 3 6 4 2" xfId="43390"/>
    <cellStyle name="Normal 4 6 2 3 6 5" xfId="29745"/>
    <cellStyle name="Normal 4 6 2 3 7" xfId="7900"/>
    <cellStyle name="Normal 4 6 2 3 7 2" xfId="14614"/>
    <cellStyle name="Normal 4 6 2 3 7 2 2" xfId="38035"/>
    <cellStyle name="Normal 4 6 2 3 7 3" xfId="21719"/>
    <cellStyle name="Normal 4 6 2 3 7 3 2" xfId="44168"/>
    <cellStyle name="Normal 4 6 2 3 7 4" xfId="31403"/>
    <cellStyle name="Normal 4 6 2 3 8" xfId="11296"/>
    <cellStyle name="Normal 4 6 2 3 8 2" xfId="34719"/>
    <cellStyle name="Normal 4 6 2 3 9" xfId="18109"/>
    <cellStyle name="Normal 4 6 2 3 9 2" xfId="41397"/>
    <cellStyle name="Normal 4 6 2 4" xfId="1785"/>
    <cellStyle name="Normal 4 6 2 4 10" xfId="28137"/>
    <cellStyle name="Normal 4 6 2 4 2" xfId="2368"/>
    <cellStyle name="Normal 4 6 2 4 2 2" xfId="5607"/>
    <cellStyle name="Normal 4 6 2 4 2 2 2" xfId="7430"/>
    <cellStyle name="Normal 4 6 2 4 2 2 2 2" xfId="10761"/>
    <cellStyle name="Normal 4 6 2 4 2 2 2 2 2" xfId="17465"/>
    <cellStyle name="Normal 4 6 2 4 2 2 2 2 2 2" xfId="40886"/>
    <cellStyle name="Normal 4 6 2 4 2 2 2 2 3" xfId="23181"/>
    <cellStyle name="Normal 4 6 2 4 2 2 2 2 3 2" xfId="45603"/>
    <cellStyle name="Normal 4 6 2 4 2 2 2 2 4" xfId="34254"/>
    <cellStyle name="Normal 4 6 2 4 2 2 2 3" xfId="14149"/>
    <cellStyle name="Normal 4 6 2 4 2 2 2 3 2" xfId="37570"/>
    <cellStyle name="Normal 4 6 2 4 2 2 2 4" xfId="20356"/>
    <cellStyle name="Normal 4 6 2 4 2 2 2 4 2" xfId="42891"/>
    <cellStyle name="Normal 4 6 2 4 2 2 2 5" xfId="30938"/>
    <cellStyle name="Normal 4 6 2 4 2 2 3" xfId="9103"/>
    <cellStyle name="Normal 4 6 2 4 2 2 3 2" xfId="15807"/>
    <cellStyle name="Normal 4 6 2 4 2 2 3 2 2" xfId="39228"/>
    <cellStyle name="Normal 4 6 2 4 2 2 3 3" xfId="21403"/>
    <cellStyle name="Normal 4 6 2 4 2 2 3 3 2" xfId="43854"/>
    <cellStyle name="Normal 4 6 2 4 2 2 3 4" xfId="32596"/>
    <cellStyle name="Normal 4 6 2 4 2 2 4" xfId="12491"/>
    <cellStyle name="Normal 4 6 2 4 2 2 4 2" xfId="22369"/>
    <cellStyle name="Normal 4 6 2 4 2 2 4 2 2" xfId="44791"/>
    <cellStyle name="Normal 4 6 2 4 2 2 4 3" xfId="35912"/>
    <cellStyle name="Normal 4 6 2 4 2 2 5" xfId="19517"/>
    <cellStyle name="Normal 4 6 2 4 2 2 5 2" xfId="42059"/>
    <cellStyle name="Normal 4 6 2 4 2 2 6" xfId="29280"/>
    <cellStyle name="Normal 4 6 2 4 2 3" xfId="6528"/>
    <cellStyle name="Normal 4 6 2 4 2 3 2" xfId="9862"/>
    <cellStyle name="Normal 4 6 2 4 2 3 2 2" xfId="16566"/>
    <cellStyle name="Normal 4 6 2 4 2 3 2 2 2" xfId="39987"/>
    <cellStyle name="Normal 4 6 2 4 2 3 2 3" xfId="22776"/>
    <cellStyle name="Normal 4 6 2 4 2 3 2 3 2" xfId="45198"/>
    <cellStyle name="Normal 4 6 2 4 2 3 2 4" xfId="33355"/>
    <cellStyle name="Normal 4 6 2 4 2 3 3" xfId="13250"/>
    <cellStyle name="Normal 4 6 2 4 2 3 3 2" xfId="36671"/>
    <cellStyle name="Normal 4 6 2 4 2 3 4" xfId="19940"/>
    <cellStyle name="Normal 4 6 2 4 2 3 4 2" xfId="42475"/>
    <cellStyle name="Normal 4 6 2 4 2 3 5" xfId="30039"/>
    <cellStyle name="Normal 4 6 2 4 2 4" xfId="8195"/>
    <cellStyle name="Normal 4 6 2 4 2 4 2" xfId="14908"/>
    <cellStyle name="Normal 4 6 2 4 2 4 2 2" xfId="38329"/>
    <cellStyle name="Normal 4 6 2 4 2 4 3" xfId="20944"/>
    <cellStyle name="Normal 4 6 2 4 2 4 3 2" xfId="43395"/>
    <cellStyle name="Normal 4 6 2 4 2 4 4" xfId="31697"/>
    <cellStyle name="Normal 4 6 2 4 2 5" xfId="11590"/>
    <cellStyle name="Normal 4 6 2 4 2 5 2" xfId="21945"/>
    <cellStyle name="Normal 4 6 2 4 2 5 2 2" xfId="44377"/>
    <cellStyle name="Normal 4 6 2 4 2 5 3" xfId="35013"/>
    <cellStyle name="Normal 4 6 2 4 2 6" xfId="18805"/>
    <cellStyle name="Normal 4 6 2 4 2 6 2" xfId="41634"/>
    <cellStyle name="Normal 4 6 2 4 2 7" xfId="25942"/>
    <cellStyle name="Normal 4 6 2 4 2 7 2" xfId="48187"/>
    <cellStyle name="Normal 4 6 2 4 2 8" xfId="28381"/>
    <cellStyle name="Normal 4 6 2 4 3" xfId="2782"/>
    <cellStyle name="Normal 4 6 2 4 3 2" xfId="5874"/>
    <cellStyle name="Normal 4 6 2 4 3 2 2" xfId="7656"/>
    <cellStyle name="Normal 4 6 2 4 3 2 2 2" xfId="10985"/>
    <cellStyle name="Normal 4 6 2 4 3 2 2 2 2" xfId="17689"/>
    <cellStyle name="Normal 4 6 2 4 3 2 2 2 2 2" xfId="41110"/>
    <cellStyle name="Normal 4 6 2 4 3 2 2 2 3" xfId="34478"/>
    <cellStyle name="Normal 4 6 2 4 3 2 2 3" xfId="14373"/>
    <cellStyle name="Normal 4 6 2 4 3 2 2 3 2" xfId="37794"/>
    <cellStyle name="Normal 4 6 2 4 3 2 2 4" xfId="22976"/>
    <cellStyle name="Normal 4 6 2 4 3 2 2 4 2" xfId="45398"/>
    <cellStyle name="Normal 4 6 2 4 3 2 2 5" xfId="31162"/>
    <cellStyle name="Normal 4 6 2 4 3 2 3" xfId="9327"/>
    <cellStyle name="Normal 4 6 2 4 3 2 3 2" xfId="16031"/>
    <cellStyle name="Normal 4 6 2 4 3 2 3 2 2" xfId="39452"/>
    <cellStyle name="Normal 4 6 2 4 3 2 3 3" xfId="32820"/>
    <cellStyle name="Normal 4 6 2 4 3 2 4" xfId="12715"/>
    <cellStyle name="Normal 4 6 2 4 3 2 4 2" xfId="36136"/>
    <cellStyle name="Normal 4 6 2 4 3 2 5" xfId="20148"/>
    <cellStyle name="Normal 4 6 2 4 3 2 5 2" xfId="42683"/>
    <cellStyle name="Normal 4 6 2 4 3 2 6" xfId="29504"/>
    <cellStyle name="Normal 4 6 2 4 3 3" xfId="6757"/>
    <cellStyle name="Normal 4 6 2 4 3 3 2" xfId="10089"/>
    <cellStyle name="Normal 4 6 2 4 3 3 2 2" xfId="16793"/>
    <cellStyle name="Normal 4 6 2 4 3 3 2 2 2" xfId="40214"/>
    <cellStyle name="Normal 4 6 2 4 3 3 2 3" xfId="33582"/>
    <cellStyle name="Normal 4 6 2 4 3 3 3" xfId="13477"/>
    <cellStyle name="Normal 4 6 2 4 3 3 3 2" xfId="36898"/>
    <cellStyle name="Normal 4 6 2 4 3 3 4" xfId="21402"/>
    <cellStyle name="Normal 4 6 2 4 3 3 4 2" xfId="43853"/>
    <cellStyle name="Normal 4 6 2 4 3 3 5" xfId="30266"/>
    <cellStyle name="Normal 4 6 2 4 3 4" xfId="8423"/>
    <cellStyle name="Normal 4 6 2 4 3 4 2" xfId="15135"/>
    <cellStyle name="Normal 4 6 2 4 3 4 2 2" xfId="38556"/>
    <cellStyle name="Normal 4 6 2 4 3 4 3" xfId="22159"/>
    <cellStyle name="Normal 4 6 2 4 3 4 3 2" xfId="44583"/>
    <cellStyle name="Normal 4 6 2 4 3 4 4" xfId="31924"/>
    <cellStyle name="Normal 4 6 2 4 3 5" xfId="11817"/>
    <cellStyle name="Normal 4 6 2 4 3 5 2" xfId="35240"/>
    <cellStyle name="Normal 4 6 2 4 3 6" xfId="19298"/>
    <cellStyle name="Normal 4 6 2 4 3 6 2" xfId="41851"/>
    <cellStyle name="Normal 4 6 2 4 3 7" xfId="28608"/>
    <cellStyle name="Normal 4 6 2 4 4" xfId="4096"/>
    <cellStyle name="Normal 4 6 2 4 4 2" xfId="7095"/>
    <cellStyle name="Normal 4 6 2 4 4 2 2" xfId="10427"/>
    <cellStyle name="Normal 4 6 2 4 4 2 2 2" xfId="17131"/>
    <cellStyle name="Normal 4 6 2 4 4 2 2 2 2" xfId="40552"/>
    <cellStyle name="Normal 4 6 2 4 4 2 2 3" xfId="33920"/>
    <cellStyle name="Normal 4 6 2 4 4 2 3" xfId="13815"/>
    <cellStyle name="Normal 4 6 2 4 4 2 3 2" xfId="37236"/>
    <cellStyle name="Normal 4 6 2 4 4 2 4" xfId="22571"/>
    <cellStyle name="Normal 4 6 2 4 4 2 4 2" xfId="44993"/>
    <cellStyle name="Normal 4 6 2 4 4 2 5" xfId="30604"/>
    <cellStyle name="Normal 4 6 2 4 4 3" xfId="8762"/>
    <cellStyle name="Normal 4 6 2 4 4 3 2" xfId="15473"/>
    <cellStyle name="Normal 4 6 2 4 4 3 2 2" xfId="38894"/>
    <cellStyle name="Normal 4 6 2 4 4 3 3" xfId="32262"/>
    <cellStyle name="Normal 4 6 2 4 4 4" xfId="12155"/>
    <cellStyle name="Normal 4 6 2 4 4 4 2" xfId="35578"/>
    <cellStyle name="Normal 4 6 2 4 4 5" xfId="19730"/>
    <cellStyle name="Normal 4 6 2 4 4 5 2" xfId="42267"/>
    <cellStyle name="Normal 4 6 2 4 4 6" xfId="28946"/>
    <cellStyle name="Normal 4 6 2 4 5" xfId="6284"/>
    <cellStyle name="Normal 4 6 2 4 5 2" xfId="9618"/>
    <cellStyle name="Normal 4 6 2 4 5 2 2" xfId="16322"/>
    <cellStyle name="Normal 4 6 2 4 5 2 2 2" xfId="39743"/>
    <cellStyle name="Normal 4 6 2 4 5 2 3" xfId="33111"/>
    <cellStyle name="Normal 4 6 2 4 5 3" xfId="13006"/>
    <cellStyle name="Normal 4 6 2 4 5 3 2" xfId="36427"/>
    <cellStyle name="Normal 4 6 2 4 5 4" xfId="20943"/>
    <cellStyle name="Normal 4 6 2 4 5 4 2" xfId="43394"/>
    <cellStyle name="Normal 4 6 2 4 5 5" xfId="29795"/>
    <cellStyle name="Normal 4 6 2 4 6" xfId="7950"/>
    <cellStyle name="Normal 4 6 2 4 6 2" xfId="14664"/>
    <cellStyle name="Normal 4 6 2 4 6 2 2" xfId="38085"/>
    <cellStyle name="Normal 4 6 2 4 6 3" xfId="21721"/>
    <cellStyle name="Normal 4 6 2 4 6 3 2" xfId="44170"/>
    <cellStyle name="Normal 4 6 2 4 6 4" xfId="31453"/>
    <cellStyle name="Normal 4 6 2 4 7" xfId="11346"/>
    <cellStyle name="Normal 4 6 2 4 7 2" xfId="34769"/>
    <cellStyle name="Normal 4 6 2 4 8" xfId="18111"/>
    <cellStyle name="Normal 4 6 2 4 8 2" xfId="41399"/>
    <cellStyle name="Normal 4 6 2 4 9" xfId="23711"/>
    <cellStyle name="Normal 4 6 2 4 9 2" xfId="46000"/>
    <cellStyle name="Normal 4 6 2 5" xfId="2361"/>
    <cellStyle name="Normal 4 6 2 5 2" xfId="5600"/>
    <cellStyle name="Normal 4 6 2 5 2 2" xfId="7423"/>
    <cellStyle name="Normal 4 6 2 5 2 2 2" xfId="10754"/>
    <cellStyle name="Normal 4 6 2 5 2 2 2 2" xfId="17458"/>
    <cellStyle name="Normal 4 6 2 5 2 2 2 2 2" xfId="40879"/>
    <cellStyle name="Normal 4 6 2 5 2 2 2 3" xfId="23174"/>
    <cellStyle name="Normal 4 6 2 5 2 2 2 3 2" xfId="45596"/>
    <cellStyle name="Normal 4 6 2 5 2 2 2 4" xfId="34247"/>
    <cellStyle name="Normal 4 6 2 5 2 2 3" xfId="14142"/>
    <cellStyle name="Normal 4 6 2 5 2 2 3 2" xfId="37563"/>
    <cellStyle name="Normal 4 6 2 5 2 2 4" xfId="20349"/>
    <cellStyle name="Normal 4 6 2 5 2 2 4 2" xfId="42884"/>
    <cellStyle name="Normal 4 6 2 5 2 2 5" xfId="30931"/>
    <cellStyle name="Normal 4 6 2 5 2 3" xfId="9096"/>
    <cellStyle name="Normal 4 6 2 5 2 3 2" xfId="15800"/>
    <cellStyle name="Normal 4 6 2 5 2 3 2 2" xfId="39221"/>
    <cellStyle name="Normal 4 6 2 5 2 3 3" xfId="21404"/>
    <cellStyle name="Normal 4 6 2 5 2 3 3 2" xfId="43855"/>
    <cellStyle name="Normal 4 6 2 5 2 3 4" xfId="32589"/>
    <cellStyle name="Normal 4 6 2 5 2 4" xfId="12484"/>
    <cellStyle name="Normal 4 6 2 5 2 4 2" xfId="22362"/>
    <cellStyle name="Normal 4 6 2 5 2 4 2 2" xfId="44784"/>
    <cellStyle name="Normal 4 6 2 5 2 4 3" xfId="35905"/>
    <cellStyle name="Normal 4 6 2 5 2 5" xfId="19510"/>
    <cellStyle name="Normal 4 6 2 5 2 5 2" xfId="42052"/>
    <cellStyle name="Normal 4 6 2 5 2 6" xfId="29273"/>
    <cellStyle name="Normal 4 6 2 5 3" xfId="6521"/>
    <cellStyle name="Normal 4 6 2 5 3 2" xfId="9855"/>
    <cellStyle name="Normal 4 6 2 5 3 2 2" xfId="16559"/>
    <cellStyle name="Normal 4 6 2 5 3 2 2 2" xfId="39980"/>
    <cellStyle name="Normal 4 6 2 5 3 2 3" xfId="22769"/>
    <cellStyle name="Normal 4 6 2 5 3 2 3 2" xfId="45191"/>
    <cellStyle name="Normal 4 6 2 5 3 2 4" xfId="33348"/>
    <cellStyle name="Normal 4 6 2 5 3 3" xfId="13243"/>
    <cellStyle name="Normal 4 6 2 5 3 3 2" xfId="36664"/>
    <cellStyle name="Normal 4 6 2 5 3 4" xfId="19933"/>
    <cellStyle name="Normal 4 6 2 5 3 4 2" xfId="42468"/>
    <cellStyle name="Normal 4 6 2 5 3 5" xfId="30032"/>
    <cellStyle name="Normal 4 6 2 5 4" xfId="8188"/>
    <cellStyle name="Normal 4 6 2 5 4 2" xfId="14901"/>
    <cellStyle name="Normal 4 6 2 5 4 2 2" xfId="38322"/>
    <cellStyle name="Normal 4 6 2 5 4 3" xfId="20945"/>
    <cellStyle name="Normal 4 6 2 5 4 3 2" xfId="43396"/>
    <cellStyle name="Normal 4 6 2 5 4 4" xfId="31690"/>
    <cellStyle name="Normal 4 6 2 5 5" xfId="11583"/>
    <cellStyle name="Normal 4 6 2 5 5 2" xfId="21938"/>
    <cellStyle name="Normal 4 6 2 5 5 2 2" xfId="44370"/>
    <cellStyle name="Normal 4 6 2 5 5 3" xfId="35006"/>
    <cellStyle name="Normal 4 6 2 5 6" xfId="18798"/>
    <cellStyle name="Normal 4 6 2 5 6 2" xfId="41627"/>
    <cellStyle name="Normal 4 6 2 5 7" xfId="25935"/>
    <cellStyle name="Normal 4 6 2 5 7 2" xfId="48180"/>
    <cellStyle name="Normal 4 6 2 5 8" xfId="28374"/>
    <cellStyle name="Normal 4 6 2 6" xfId="2650"/>
    <cellStyle name="Normal 4 6 2 6 2" xfId="5743"/>
    <cellStyle name="Normal 4 6 2 6 2 2" xfId="7525"/>
    <cellStyle name="Normal 4 6 2 6 2 2 2" xfId="10854"/>
    <cellStyle name="Normal 4 6 2 6 2 2 2 2" xfId="17558"/>
    <cellStyle name="Normal 4 6 2 6 2 2 2 2 2" xfId="40979"/>
    <cellStyle name="Normal 4 6 2 6 2 2 2 3" xfId="34347"/>
    <cellStyle name="Normal 4 6 2 6 2 2 3" xfId="14242"/>
    <cellStyle name="Normal 4 6 2 6 2 2 3 2" xfId="37663"/>
    <cellStyle name="Normal 4 6 2 6 2 2 4" xfId="20645"/>
    <cellStyle name="Normal 4 6 2 6 2 2 4 2" xfId="43096"/>
    <cellStyle name="Normal 4 6 2 6 2 2 5" xfId="31031"/>
    <cellStyle name="Normal 4 6 2 6 2 3" xfId="9196"/>
    <cellStyle name="Normal 4 6 2 6 2 3 2" xfId="15900"/>
    <cellStyle name="Normal 4 6 2 6 2 3 2 2" xfId="39321"/>
    <cellStyle name="Normal 4 6 2 6 2 3 3" xfId="21563"/>
    <cellStyle name="Normal 4 6 2 6 2 3 3 2" xfId="44014"/>
    <cellStyle name="Normal 4 6 2 6 2 3 4" xfId="32689"/>
    <cellStyle name="Normal 4 6 2 6 2 4" xfId="12584"/>
    <cellStyle name="Normal 4 6 2 6 2 4 2" xfId="22969"/>
    <cellStyle name="Normal 4 6 2 6 2 4 2 2" xfId="45391"/>
    <cellStyle name="Normal 4 6 2 6 2 4 3" xfId="36005"/>
    <cellStyle name="Normal 4 6 2 6 2 5" xfId="20141"/>
    <cellStyle name="Normal 4 6 2 6 2 5 2" xfId="42676"/>
    <cellStyle name="Normal 4 6 2 6 2 6" xfId="29373"/>
    <cellStyle name="Normal 4 6 2 6 3" xfId="6626"/>
    <cellStyle name="Normal 4 6 2 6 3 2" xfId="9958"/>
    <cellStyle name="Normal 4 6 2 6 3 2 2" xfId="16662"/>
    <cellStyle name="Normal 4 6 2 6 3 2 2 2" xfId="40083"/>
    <cellStyle name="Normal 4 6 2 6 3 2 3" xfId="33451"/>
    <cellStyle name="Normal 4 6 2 6 3 3" xfId="13346"/>
    <cellStyle name="Normal 4 6 2 6 3 3 2" xfId="36767"/>
    <cellStyle name="Normal 4 6 2 6 3 4" xfId="20547"/>
    <cellStyle name="Normal 4 6 2 6 3 4 2" xfId="43000"/>
    <cellStyle name="Normal 4 6 2 6 3 5" xfId="30135"/>
    <cellStyle name="Normal 4 6 2 6 4" xfId="8292"/>
    <cellStyle name="Normal 4 6 2 6 4 2" xfId="15004"/>
    <cellStyle name="Normal 4 6 2 6 4 2 2" xfId="38425"/>
    <cellStyle name="Normal 4 6 2 6 4 3" xfId="21104"/>
    <cellStyle name="Normal 4 6 2 6 4 3 2" xfId="43555"/>
    <cellStyle name="Normal 4 6 2 6 4 4" xfId="31793"/>
    <cellStyle name="Normal 4 6 2 6 5" xfId="11686"/>
    <cellStyle name="Normal 4 6 2 6 5 2" xfId="22152"/>
    <cellStyle name="Normal 4 6 2 6 5 2 2" xfId="44576"/>
    <cellStyle name="Normal 4 6 2 6 5 3" xfId="35109"/>
    <cellStyle name="Normal 4 6 2 6 6" xfId="19291"/>
    <cellStyle name="Normal 4 6 2 6 6 2" xfId="41844"/>
    <cellStyle name="Normal 4 6 2 6 7" xfId="28477"/>
    <cellStyle name="Normal 4 6 2 7" xfId="4089"/>
    <cellStyle name="Normal 4 6 2 7 2" xfId="7088"/>
    <cellStyle name="Normal 4 6 2 7 2 2" xfId="10420"/>
    <cellStyle name="Normal 4 6 2 7 2 2 2" xfId="17124"/>
    <cellStyle name="Normal 4 6 2 7 2 2 2 2" xfId="40545"/>
    <cellStyle name="Normal 4 6 2 7 2 2 3" xfId="33913"/>
    <cellStyle name="Normal 4 6 2 7 2 3" xfId="13808"/>
    <cellStyle name="Normal 4 6 2 7 2 3 2" xfId="37229"/>
    <cellStyle name="Normal 4 6 2 7 2 4" xfId="20597"/>
    <cellStyle name="Normal 4 6 2 7 2 4 2" xfId="43048"/>
    <cellStyle name="Normal 4 6 2 7 2 5" xfId="30597"/>
    <cellStyle name="Normal 4 6 2 7 3" xfId="8755"/>
    <cellStyle name="Normal 4 6 2 7 3 2" xfId="15466"/>
    <cellStyle name="Normal 4 6 2 7 3 2 2" xfId="38887"/>
    <cellStyle name="Normal 4 6 2 7 3 3" xfId="21389"/>
    <cellStyle name="Normal 4 6 2 7 3 3 2" xfId="43840"/>
    <cellStyle name="Normal 4 6 2 7 3 4" xfId="32255"/>
    <cellStyle name="Normal 4 6 2 7 4" xfId="12148"/>
    <cellStyle name="Normal 4 6 2 7 4 2" xfId="22564"/>
    <cellStyle name="Normal 4 6 2 7 4 2 2" xfId="44986"/>
    <cellStyle name="Normal 4 6 2 7 4 3" xfId="35571"/>
    <cellStyle name="Normal 4 6 2 7 5" xfId="19723"/>
    <cellStyle name="Normal 4 6 2 7 5 2" xfId="42260"/>
    <cellStyle name="Normal 4 6 2 7 6" xfId="28939"/>
    <cellStyle name="Normal 4 6 2 8" xfId="6153"/>
    <cellStyle name="Normal 4 6 2 8 2" xfId="9487"/>
    <cellStyle name="Normal 4 6 2 8 2 2" xfId="16191"/>
    <cellStyle name="Normal 4 6 2 8 2 2 2" xfId="39612"/>
    <cellStyle name="Normal 4 6 2 8 2 3" xfId="32980"/>
    <cellStyle name="Normal 4 6 2 8 3" xfId="12875"/>
    <cellStyle name="Normal 4 6 2 8 3 2" xfId="36296"/>
    <cellStyle name="Normal 4 6 2 8 4" xfId="18436"/>
    <cellStyle name="Normal 4 6 2 8 4 2" xfId="41487"/>
    <cellStyle name="Normal 4 6 2 8 5" xfId="29664"/>
    <cellStyle name="Normal 4 6 2 9" xfId="7819"/>
    <cellStyle name="Normal 4 6 2 9 2" xfId="14533"/>
    <cellStyle name="Normal 4 6 2 9 2 2" xfId="37954"/>
    <cellStyle name="Normal 4 6 2 9 3" xfId="20930"/>
    <cellStyle name="Normal 4 6 2 9 3 2" xfId="43381"/>
    <cellStyle name="Normal 4 6 2 9 4" xfId="31322"/>
    <cellStyle name="Normal 4 6 3" xfId="1478"/>
    <cellStyle name="Normal 4 6 3 10" xfId="18112"/>
    <cellStyle name="Normal 4 6 3 10 2" xfId="41400"/>
    <cellStyle name="Normal 4 6 3 11" xfId="23712"/>
    <cellStyle name="Normal 4 6 3 11 2" xfId="46001"/>
    <cellStyle name="Normal 4 6 3 12" xfId="28014"/>
    <cellStyle name="Normal 4 6 3 2" xfId="1670"/>
    <cellStyle name="Normal 4 6 3 2 10" xfId="23713"/>
    <cellStyle name="Normal 4 6 3 2 10 2" xfId="46002"/>
    <cellStyle name="Normal 4 6 3 2 11" xfId="28089"/>
    <cellStyle name="Normal 4 6 3 2 2" xfId="1868"/>
    <cellStyle name="Normal 4 6 3 2 2 10" xfId="28220"/>
    <cellStyle name="Normal 4 6 3 2 2 2" xfId="2371"/>
    <cellStyle name="Normal 4 6 3 2 2 2 2" xfId="5610"/>
    <cellStyle name="Normal 4 6 3 2 2 2 2 2" xfId="7433"/>
    <cellStyle name="Normal 4 6 3 2 2 2 2 2 2" xfId="10764"/>
    <cellStyle name="Normal 4 6 3 2 2 2 2 2 2 2" xfId="17468"/>
    <cellStyle name="Normal 4 6 3 2 2 2 2 2 2 2 2" xfId="40889"/>
    <cellStyle name="Normal 4 6 3 2 2 2 2 2 2 3" xfId="23184"/>
    <cellStyle name="Normal 4 6 3 2 2 2 2 2 2 3 2" xfId="45606"/>
    <cellStyle name="Normal 4 6 3 2 2 2 2 2 2 4" xfId="34257"/>
    <cellStyle name="Normal 4 6 3 2 2 2 2 2 3" xfId="14152"/>
    <cellStyle name="Normal 4 6 3 2 2 2 2 2 3 2" xfId="37573"/>
    <cellStyle name="Normal 4 6 3 2 2 2 2 2 4" xfId="20359"/>
    <cellStyle name="Normal 4 6 3 2 2 2 2 2 4 2" xfId="42894"/>
    <cellStyle name="Normal 4 6 3 2 2 2 2 2 5" xfId="30941"/>
    <cellStyle name="Normal 4 6 3 2 2 2 2 3" xfId="9106"/>
    <cellStyle name="Normal 4 6 3 2 2 2 2 3 2" xfId="15810"/>
    <cellStyle name="Normal 4 6 3 2 2 2 2 3 2 2" xfId="39231"/>
    <cellStyle name="Normal 4 6 3 2 2 2 2 3 3" xfId="21408"/>
    <cellStyle name="Normal 4 6 3 2 2 2 2 3 3 2" xfId="43859"/>
    <cellStyle name="Normal 4 6 3 2 2 2 2 3 4" xfId="32599"/>
    <cellStyle name="Normal 4 6 3 2 2 2 2 4" xfId="12494"/>
    <cellStyle name="Normal 4 6 3 2 2 2 2 4 2" xfId="22372"/>
    <cellStyle name="Normal 4 6 3 2 2 2 2 4 2 2" xfId="44794"/>
    <cellStyle name="Normal 4 6 3 2 2 2 2 4 3" xfId="35915"/>
    <cellStyle name="Normal 4 6 3 2 2 2 2 5" xfId="19520"/>
    <cellStyle name="Normal 4 6 3 2 2 2 2 5 2" xfId="42062"/>
    <cellStyle name="Normal 4 6 3 2 2 2 2 6" xfId="29283"/>
    <cellStyle name="Normal 4 6 3 2 2 2 3" xfId="6531"/>
    <cellStyle name="Normal 4 6 3 2 2 2 3 2" xfId="9865"/>
    <cellStyle name="Normal 4 6 3 2 2 2 3 2 2" xfId="16569"/>
    <cellStyle name="Normal 4 6 3 2 2 2 3 2 2 2" xfId="39990"/>
    <cellStyle name="Normal 4 6 3 2 2 2 3 2 3" xfId="22779"/>
    <cellStyle name="Normal 4 6 3 2 2 2 3 2 3 2" xfId="45201"/>
    <cellStyle name="Normal 4 6 3 2 2 2 3 2 4" xfId="33358"/>
    <cellStyle name="Normal 4 6 3 2 2 2 3 3" xfId="13253"/>
    <cellStyle name="Normal 4 6 3 2 2 2 3 3 2" xfId="36674"/>
    <cellStyle name="Normal 4 6 3 2 2 2 3 4" xfId="19943"/>
    <cellStyle name="Normal 4 6 3 2 2 2 3 4 2" xfId="42478"/>
    <cellStyle name="Normal 4 6 3 2 2 2 3 5" xfId="30042"/>
    <cellStyle name="Normal 4 6 3 2 2 2 4" xfId="8198"/>
    <cellStyle name="Normal 4 6 3 2 2 2 4 2" xfId="14911"/>
    <cellStyle name="Normal 4 6 3 2 2 2 4 2 2" xfId="38332"/>
    <cellStyle name="Normal 4 6 3 2 2 2 4 3" xfId="20949"/>
    <cellStyle name="Normal 4 6 3 2 2 2 4 3 2" xfId="43400"/>
    <cellStyle name="Normal 4 6 3 2 2 2 4 4" xfId="31700"/>
    <cellStyle name="Normal 4 6 3 2 2 2 5" xfId="11593"/>
    <cellStyle name="Normal 4 6 3 2 2 2 5 2" xfId="21948"/>
    <cellStyle name="Normal 4 6 3 2 2 2 5 2 2" xfId="44380"/>
    <cellStyle name="Normal 4 6 3 2 2 2 5 3" xfId="35016"/>
    <cellStyle name="Normal 4 6 3 2 2 2 6" xfId="18808"/>
    <cellStyle name="Normal 4 6 3 2 2 2 6 2" xfId="41637"/>
    <cellStyle name="Normal 4 6 3 2 2 2 7" xfId="25945"/>
    <cellStyle name="Normal 4 6 3 2 2 2 7 2" xfId="48190"/>
    <cellStyle name="Normal 4 6 3 2 2 2 8" xfId="28384"/>
    <cellStyle name="Normal 4 6 3 2 2 3" xfId="2865"/>
    <cellStyle name="Normal 4 6 3 2 2 3 2" xfId="5957"/>
    <cellStyle name="Normal 4 6 3 2 2 3 2 2" xfId="7739"/>
    <cellStyle name="Normal 4 6 3 2 2 3 2 2 2" xfId="11068"/>
    <cellStyle name="Normal 4 6 3 2 2 3 2 2 2 2" xfId="17772"/>
    <cellStyle name="Normal 4 6 3 2 2 3 2 2 2 2 2" xfId="41193"/>
    <cellStyle name="Normal 4 6 3 2 2 3 2 2 2 3" xfId="34561"/>
    <cellStyle name="Normal 4 6 3 2 2 3 2 2 3" xfId="14456"/>
    <cellStyle name="Normal 4 6 3 2 2 3 2 2 3 2" xfId="37877"/>
    <cellStyle name="Normal 4 6 3 2 2 3 2 2 4" xfId="22979"/>
    <cellStyle name="Normal 4 6 3 2 2 3 2 2 4 2" xfId="45401"/>
    <cellStyle name="Normal 4 6 3 2 2 3 2 2 5" xfId="31245"/>
    <cellStyle name="Normal 4 6 3 2 2 3 2 3" xfId="9410"/>
    <cellStyle name="Normal 4 6 3 2 2 3 2 3 2" xfId="16114"/>
    <cellStyle name="Normal 4 6 3 2 2 3 2 3 2 2" xfId="39535"/>
    <cellStyle name="Normal 4 6 3 2 2 3 2 3 3" xfId="32903"/>
    <cellStyle name="Normal 4 6 3 2 2 3 2 4" xfId="12798"/>
    <cellStyle name="Normal 4 6 3 2 2 3 2 4 2" xfId="36219"/>
    <cellStyle name="Normal 4 6 3 2 2 3 2 5" xfId="20151"/>
    <cellStyle name="Normal 4 6 3 2 2 3 2 5 2" xfId="42686"/>
    <cellStyle name="Normal 4 6 3 2 2 3 2 6" xfId="29587"/>
    <cellStyle name="Normal 4 6 3 2 2 3 3" xfId="6840"/>
    <cellStyle name="Normal 4 6 3 2 2 3 3 2" xfId="10172"/>
    <cellStyle name="Normal 4 6 3 2 2 3 3 2 2" xfId="16876"/>
    <cellStyle name="Normal 4 6 3 2 2 3 3 2 2 2" xfId="40297"/>
    <cellStyle name="Normal 4 6 3 2 2 3 3 2 3" xfId="33665"/>
    <cellStyle name="Normal 4 6 3 2 2 3 3 3" xfId="13560"/>
    <cellStyle name="Normal 4 6 3 2 2 3 3 3 2" xfId="36981"/>
    <cellStyle name="Normal 4 6 3 2 2 3 3 4" xfId="21407"/>
    <cellStyle name="Normal 4 6 3 2 2 3 3 4 2" xfId="43858"/>
    <cellStyle name="Normal 4 6 3 2 2 3 3 5" xfId="30349"/>
    <cellStyle name="Normal 4 6 3 2 2 3 4" xfId="8506"/>
    <cellStyle name="Normal 4 6 3 2 2 3 4 2" xfId="15218"/>
    <cellStyle name="Normal 4 6 3 2 2 3 4 2 2" xfId="38639"/>
    <cellStyle name="Normal 4 6 3 2 2 3 4 3" xfId="22162"/>
    <cellStyle name="Normal 4 6 3 2 2 3 4 3 2" xfId="44586"/>
    <cellStyle name="Normal 4 6 3 2 2 3 4 4" xfId="32007"/>
    <cellStyle name="Normal 4 6 3 2 2 3 5" xfId="11900"/>
    <cellStyle name="Normal 4 6 3 2 2 3 5 2" xfId="35323"/>
    <cellStyle name="Normal 4 6 3 2 2 3 6" xfId="19301"/>
    <cellStyle name="Normal 4 6 3 2 2 3 6 2" xfId="41854"/>
    <cellStyle name="Normal 4 6 3 2 2 3 7" xfId="28691"/>
    <cellStyle name="Normal 4 6 3 2 2 4" xfId="4099"/>
    <cellStyle name="Normal 4 6 3 2 2 4 2" xfId="7098"/>
    <cellStyle name="Normal 4 6 3 2 2 4 2 2" xfId="10430"/>
    <cellStyle name="Normal 4 6 3 2 2 4 2 2 2" xfId="17134"/>
    <cellStyle name="Normal 4 6 3 2 2 4 2 2 2 2" xfId="40555"/>
    <cellStyle name="Normal 4 6 3 2 2 4 2 2 3" xfId="33923"/>
    <cellStyle name="Normal 4 6 3 2 2 4 2 3" xfId="13818"/>
    <cellStyle name="Normal 4 6 3 2 2 4 2 3 2" xfId="37239"/>
    <cellStyle name="Normal 4 6 3 2 2 4 2 4" xfId="22574"/>
    <cellStyle name="Normal 4 6 3 2 2 4 2 4 2" xfId="44996"/>
    <cellStyle name="Normal 4 6 3 2 2 4 2 5" xfId="30607"/>
    <cellStyle name="Normal 4 6 3 2 2 4 3" xfId="8765"/>
    <cellStyle name="Normal 4 6 3 2 2 4 3 2" xfId="15476"/>
    <cellStyle name="Normal 4 6 3 2 2 4 3 2 2" xfId="38897"/>
    <cellStyle name="Normal 4 6 3 2 2 4 3 3" xfId="32265"/>
    <cellStyle name="Normal 4 6 3 2 2 4 4" xfId="12158"/>
    <cellStyle name="Normal 4 6 3 2 2 4 4 2" xfId="35581"/>
    <cellStyle name="Normal 4 6 3 2 2 4 5" xfId="19733"/>
    <cellStyle name="Normal 4 6 3 2 2 4 5 2" xfId="42270"/>
    <cellStyle name="Normal 4 6 3 2 2 4 6" xfId="28949"/>
    <cellStyle name="Normal 4 6 3 2 2 5" xfId="6367"/>
    <cellStyle name="Normal 4 6 3 2 2 5 2" xfId="9701"/>
    <cellStyle name="Normal 4 6 3 2 2 5 2 2" xfId="16405"/>
    <cellStyle name="Normal 4 6 3 2 2 5 2 2 2" xfId="39826"/>
    <cellStyle name="Normal 4 6 3 2 2 5 2 3" xfId="33194"/>
    <cellStyle name="Normal 4 6 3 2 2 5 3" xfId="13089"/>
    <cellStyle name="Normal 4 6 3 2 2 5 3 2" xfId="36510"/>
    <cellStyle name="Normal 4 6 3 2 2 5 4" xfId="20948"/>
    <cellStyle name="Normal 4 6 3 2 2 5 4 2" xfId="43399"/>
    <cellStyle name="Normal 4 6 3 2 2 5 5" xfId="29878"/>
    <cellStyle name="Normal 4 6 3 2 2 6" xfId="8033"/>
    <cellStyle name="Normal 4 6 3 2 2 6 2" xfId="14747"/>
    <cellStyle name="Normal 4 6 3 2 2 6 2 2" xfId="38168"/>
    <cellStyle name="Normal 4 6 3 2 2 6 3" xfId="21724"/>
    <cellStyle name="Normal 4 6 3 2 2 6 3 2" xfId="44173"/>
    <cellStyle name="Normal 4 6 3 2 2 6 4" xfId="31536"/>
    <cellStyle name="Normal 4 6 3 2 2 7" xfId="11429"/>
    <cellStyle name="Normal 4 6 3 2 2 7 2" xfId="34852"/>
    <cellStyle name="Normal 4 6 3 2 2 8" xfId="18114"/>
    <cellStyle name="Normal 4 6 3 2 2 8 2" xfId="41402"/>
    <cellStyle name="Normal 4 6 3 2 2 9" xfId="23714"/>
    <cellStyle name="Normal 4 6 3 2 2 9 2" xfId="46003"/>
    <cellStyle name="Normal 4 6 3 2 3" xfId="2370"/>
    <cellStyle name="Normal 4 6 3 2 3 2" xfId="5609"/>
    <cellStyle name="Normal 4 6 3 2 3 2 2" xfId="7432"/>
    <cellStyle name="Normal 4 6 3 2 3 2 2 2" xfId="10763"/>
    <cellStyle name="Normal 4 6 3 2 3 2 2 2 2" xfId="17467"/>
    <cellStyle name="Normal 4 6 3 2 3 2 2 2 2 2" xfId="40888"/>
    <cellStyle name="Normal 4 6 3 2 3 2 2 2 3" xfId="23183"/>
    <cellStyle name="Normal 4 6 3 2 3 2 2 2 3 2" xfId="45605"/>
    <cellStyle name="Normal 4 6 3 2 3 2 2 2 4" xfId="34256"/>
    <cellStyle name="Normal 4 6 3 2 3 2 2 3" xfId="14151"/>
    <cellStyle name="Normal 4 6 3 2 3 2 2 3 2" xfId="37572"/>
    <cellStyle name="Normal 4 6 3 2 3 2 2 4" xfId="20358"/>
    <cellStyle name="Normal 4 6 3 2 3 2 2 4 2" xfId="42893"/>
    <cellStyle name="Normal 4 6 3 2 3 2 2 5" xfId="30940"/>
    <cellStyle name="Normal 4 6 3 2 3 2 3" xfId="9105"/>
    <cellStyle name="Normal 4 6 3 2 3 2 3 2" xfId="15809"/>
    <cellStyle name="Normal 4 6 3 2 3 2 3 2 2" xfId="39230"/>
    <cellStyle name="Normal 4 6 3 2 3 2 3 3" xfId="21409"/>
    <cellStyle name="Normal 4 6 3 2 3 2 3 3 2" xfId="43860"/>
    <cellStyle name="Normal 4 6 3 2 3 2 3 4" xfId="32598"/>
    <cellStyle name="Normal 4 6 3 2 3 2 4" xfId="12493"/>
    <cellStyle name="Normal 4 6 3 2 3 2 4 2" xfId="22371"/>
    <cellStyle name="Normal 4 6 3 2 3 2 4 2 2" xfId="44793"/>
    <cellStyle name="Normal 4 6 3 2 3 2 4 3" xfId="35914"/>
    <cellStyle name="Normal 4 6 3 2 3 2 5" xfId="19519"/>
    <cellStyle name="Normal 4 6 3 2 3 2 5 2" xfId="42061"/>
    <cellStyle name="Normal 4 6 3 2 3 2 6" xfId="29282"/>
    <cellStyle name="Normal 4 6 3 2 3 3" xfId="6530"/>
    <cellStyle name="Normal 4 6 3 2 3 3 2" xfId="9864"/>
    <cellStyle name="Normal 4 6 3 2 3 3 2 2" xfId="16568"/>
    <cellStyle name="Normal 4 6 3 2 3 3 2 2 2" xfId="39989"/>
    <cellStyle name="Normal 4 6 3 2 3 3 2 3" xfId="22778"/>
    <cellStyle name="Normal 4 6 3 2 3 3 2 3 2" xfId="45200"/>
    <cellStyle name="Normal 4 6 3 2 3 3 2 4" xfId="33357"/>
    <cellStyle name="Normal 4 6 3 2 3 3 3" xfId="13252"/>
    <cellStyle name="Normal 4 6 3 2 3 3 3 2" xfId="36673"/>
    <cellStyle name="Normal 4 6 3 2 3 3 4" xfId="19942"/>
    <cellStyle name="Normal 4 6 3 2 3 3 4 2" xfId="42477"/>
    <cellStyle name="Normal 4 6 3 2 3 3 5" xfId="30041"/>
    <cellStyle name="Normal 4 6 3 2 3 4" xfId="8197"/>
    <cellStyle name="Normal 4 6 3 2 3 4 2" xfId="14910"/>
    <cellStyle name="Normal 4 6 3 2 3 4 2 2" xfId="38331"/>
    <cellStyle name="Normal 4 6 3 2 3 4 3" xfId="20950"/>
    <cellStyle name="Normal 4 6 3 2 3 4 3 2" xfId="43401"/>
    <cellStyle name="Normal 4 6 3 2 3 4 4" xfId="31699"/>
    <cellStyle name="Normal 4 6 3 2 3 5" xfId="11592"/>
    <cellStyle name="Normal 4 6 3 2 3 5 2" xfId="21947"/>
    <cellStyle name="Normal 4 6 3 2 3 5 2 2" xfId="44379"/>
    <cellStyle name="Normal 4 6 3 2 3 5 3" xfId="35015"/>
    <cellStyle name="Normal 4 6 3 2 3 6" xfId="18807"/>
    <cellStyle name="Normal 4 6 3 2 3 6 2" xfId="41636"/>
    <cellStyle name="Normal 4 6 3 2 3 7" xfId="25944"/>
    <cellStyle name="Normal 4 6 3 2 3 7 2" xfId="48189"/>
    <cellStyle name="Normal 4 6 3 2 3 8" xfId="28383"/>
    <cellStyle name="Normal 4 6 3 2 4" xfId="2733"/>
    <cellStyle name="Normal 4 6 3 2 4 2" xfId="5826"/>
    <cellStyle name="Normal 4 6 3 2 4 2 2" xfId="7608"/>
    <cellStyle name="Normal 4 6 3 2 4 2 2 2" xfId="10937"/>
    <cellStyle name="Normal 4 6 3 2 4 2 2 2 2" xfId="17641"/>
    <cellStyle name="Normal 4 6 3 2 4 2 2 2 2 2" xfId="41062"/>
    <cellStyle name="Normal 4 6 3 2 4 2 2 2 3" xfId="34430"/>
    <cellStyle name="Normal 4 6 3 2 4 2 2 3" xfId="14325"/>
    <cellStyle name="Normal 4 6 3 2 4 2 2 3 2" xfId="37746"/>
    <cellStyle name="Normal 4 6 3 2 4 2 2 4" xfId="22978"/>
    <cellStyle name="Normal 4 6 3 2 4 2 2 4 2" xfId="45400"/>
    <cellStyle name="Normal 4 6 3 2 4 2 2 5" xfId="31114"/>
    <cellStyle name="Normal 4 6 3 2 4 2 3" xfId="9279"/>
    <cellStyle name="Normal 4 6 3 2 4 2 3 2" xfId="15983"/>
    <cellStyle name="Normal 4 6 3 2 4 2 3 2 2" xfId="39404"/>
    <cellStyle name="Normal 4 6 3 2 4 2 3 3" xfId="32772"/>
    <cellStyle name="Normal 4 6 3 2 4 2 4" xfId="12667"/>
    <cellStyle name="Normal 4 6 3 2 4 2 4 2" xfId="36088"/>
    <cellStyle name="Normal 4 6 3 2 4 2 5" xfId="20150"/>
    <cellStyle name="Normal 4 6 3 2 4 2 5 2" xfId="42685"/>
    <cellStyle name="Normal 4 6 3 2 4 2 6" xfId="29456"/>
    <cellStyle name="Normal 4 6 3 2 4 3" xfId="6709"/>
    <cellStyle name="Normal 4 6 3 2 4 3 2" xfId="10041"/>
    <cellStyle name="Normal 4 6 3 2 4 3 2 2" xfId="16745"/>
    <cellStyle name="Normal 4 6 3 2 4 3 2 2 2" xfId="40166"/>
    <cellStyle name="Normal 4 6 3 2 4 3 2 3" xfId="33534"/>
    <cellStyle name="Normal 4 6 3 2 4 3 3" xfId="13429"/>
    <cellStyle name="Normal 4 6 3 2 4 3 3 2" xfId="36850"/>
    <cellStyle name="Normal 4 6 3 2 4 3 4" xfId="21406"/>
    <cellStyle name="Normal 4 6 3 2 4 3 4 2" xfId="43857"/>
    <cellStyle name="Normal 4 6 3 2 4 3 5" xfId="30218"/>
    <cellStyle name="Normal 4 6 3 2 4 4" xfId="8375"/>
    <cellStyle name="Normal 4 6 3 2 4 4 2" xfId="15087"/>
    <cellStyle name="Normal 4 6 3 2 4 4 2 2" xfId="38508"/>
    <cellStyle name="Normal 4 6 3 2 4 4 3" xfId="22161"/>
    <cellStyle name="Normal 4 6 3 2 4 4 3 2" xfId="44585"/>
    <cellStyle name="Normal 4 6 3 2 4 4 4" xfId="31876"/>
    <cellStyle name="Normal 4 6 3 2 4 5" xfId="11769"/>
    <cellStyle name="Normal 4 6 3 2 4 5 2" xfId="35192"/>
    <cellStyle name="Normal 4 6 3 2 4 6" xfId="19300"/>
    <cellStyle name="Normal 4 6 3 2 4 6 2" xfId="41853"/>
    <cellStyle name="Normal 4 6 3 2 4 7" xfId="28560"/>
    <cellStyle name="Normal 4 6 3 2 5" xfId="4098"/>
    <cellStyle name="Normal 4 6 3 2 5 2" xfId="7097"/>
    <cellStyle name="Normal 4 6 3 2 5 2 2" xfId="10429"/>
    <cellStyle name="Normal 4 6 3 2 5 2 2 2" xfId="17133"/>
    <cellStyle name="Normal 4 6 3 2 5 2 2 2 2" xfId="40554"/>
    <cellStyle name="Normal 4 6 3 2 5 2 2 3" xfId="33922"/>
    <cellStyle name="Normal 4 6 3 2 5 2 3" xfId="13817"/>
    <cellStyle name="Normal 4 6 3 2 5 2 3 2" xfId="37238"/>
    <cellStyle name="Normal 4 6 3 2 5 2 4" xfId="22573"/>
    <cellStyle name="Normal 4 6 3 2 5 2 4 2" xfId="44995"/>
    <cellStyle name="Normal 4 6 3 2 5 2 5" xfId="30606"/>
    <cellStyle name="Normal 4 6 3 2 5 3" xfId="8764"/>
    <cellStyle name="Normal 4 6 3 2 5 3 2" xfId="15475"/>
    <cellStyle name="Normal 4 6 3 2 5 3 2 2" xfId="38896"/>
    <cellStyle name="Normal 4 6 3 2 5 3 3" xfId="32264"/>
    <cellStyle name="Normal 4 6 3 2 5 4" xfId="12157"/>
    <cellStyle name="Normal 4 6 3 2 5 4 2" xfId="35580"/>
    <cellStyle name="Normal 4 6 3 2 5 5" xfId="19732"/>
    <cellStyle name="Normal 4 6 3 2 5 5 2" xfId="42269"/>
    <cellStyle name="Normal 4 6 3 2 5 6" xfId="28948"/>
    <cellStyle name="Normal 4 6 3 2 6" xfId="6236"/>
    <cellStyle name="Normal 4 6 3 2 6 2" xfId="9570"/>
    <cellStyle name="Normal 4 6 3 2 6 2 2" xfId="16274"/>
    <cellStyle name="Normal 4 6 3 2 6 2 2 2" xfId="39695"/>
    <cellStyle name="Normal 4 6 3 2 6 2 3" xfId="33063"/>
    <cellStyle name="Normal 4 6 3 2 6 3" xfId="12958"/>
    <cellStyle name="Normal 4 6 3 2 6 3 2" xfId="36379"/>
    <cellStyle name="Normal 4 6 3 2 6 4" xfId="20947"/>
    <cellStyle name="Normal 4 6 3 2 6 4 2" xfId="43398"/>
    <cellStyle name="Normal 4 6 3 2 6 5" xfId="29747"/>
    <cellStyle name="Normal 4 6 3 2 7" xfId="7902"/>
    <cellStyle name="Normal 4 6 3 2 7 2" xfId="14616"/>
    <cellStyle name="Normal 4 6 3 2 7 2 2" xfId="38037"/>
    <cellStyle name="Normal 4 6 3 2 7 3" xfId="21723"/>
    <cellStyle name="Normal 4 6 3 2 7 3 2" xfId="44172"/>
    <cellStyle name="Normal 4 6 3 2 7 4" xfId="31405"/>
    <cellStyle name="Normal 4 6 3 2 8" xfId="11298"/>
    <cellStyle name="Normal 4 6 3 2 8 2" xfId="34721"/>
    <cellStyle name="Normal 4 6 3 2 9" xfId="18113"/>
    <cellStyle name="Normal 4 6 3 2 9 2" xfId="41401"/>
    <cellStyle name="Normal 4 6 3 3" xfId="1793"/>
    <cellStyle name="Normal 4 6 3 3 10" xfId="28145"/>
    <cellStyle name="Normal 4 6 3 3 2" xfId="2372"/>
    <cellStyle name="Normal 4 6 3 3 2 2" xfId="5611"/>
    <cellStyle name="Normal 4 6 3 3 2 2 2" xfId="7434"/>
    <cellStyle name="Normal 4 6 3 3 2 2 2 2" xfId="10765"/>
    <cellStyle name="Normal 4 6 3 3 2 2 2 2 2" xfId="17469"/>
    <cellStyle name="Normal 4 6 3 3 2 2 2 2 2 2" xfId="40890"/>
    <cellStyle name="Normal 4 6 3 3 2 2 2 2 3" xfId="23185"/>
    <cellStyle name="Normal 4 6 3 3 2 2 2 2 3 2" xfId="45607"/>
    <cellStyle name="Normal 4 6 3 3 2 2 2 2 4" xfId="34258"/>
    <cellStyle name="Normal 4 6 3 3 2 2 2 3" xfId="14153"/>
    <cellStyle name="Normal 4 6 3 3 2 2 2 3 2" xfId="37574"/>
    <cellStyle name="Normal 4 6 3 3 2 2 2 4" xfId="20360"/>
    <cellStyle name="Normal 4 6 3 3 2 2 2 4 2" xfId="42895"/>
    <cellStyle name="Normal 4 6 3 3 2 2 2 5" xfId="30942"/>
    <cellStyle name="Normal 4 6 3 3 2 2 3" xfId="9107"/>
    <cellStyle name="Normal 4 6 3 3 2 2 3 2" xfId="15811"/>
    <cellStyle name="Normal 4 6 3 3 2 2 3 2 2" xfId="39232"/>
    <cellStyle name="Normal 4 6 3 3 2 2 3 3" xfId="21411"/>
    <cellStyle name="Normal 4 6 3 3 2 2 3 3 2" xfId="43862"/>
    <cellStyle name="Normal 4 6 3 3 2 2 3 4" xfId="32600"/>
    <cellStyle name="Normal 4 6 3 3 2 2 4" xfId="12495"/>
    <cellStyle name="Normal 4 6 3 3 2 2 4 2" xfId="22373"/>
    <cellStyle name="Normal 4 6 3 3 2 2 4 2 2" xfId="44795"/>
    <cellStyle name="Normal 4 6 3 3 2 2 4 3" xfId="35916"/>
    <cellStyle name="Normal 4 6 3 3 2 2 5" xfId="19521"/>
    <cellStyle name="Normal 4 6 3 3 2 2 5 2" xfId="42063"/>
    <cellStyle name="Normal 4 6 3 3 2 2 6" xfId="29284"/>
    <cellStyle name="Normal 4 6 3 3 2 3" xfId="6532"/>
    <cellStyle name="Normal 4 6 3 3 2 3 2" xfId="9866"/>
    <cellStyle name="Normal 4 6 3 3 2 3 2 2" xfId="16570"/>
    <cellStyle name="Normal 4 6 3 3 2 3 2 2 2" xfId="39991"/>
    <cellStyle name="Normal 4 6 3 3 2 3 2 3" xfId="22780"/>
    <cellStyle name="Normal 4 6 3 3 2 3 2 3 2" xfId="45202"/>
    <cellStyle name="Normal 4 6 3 3 2 3 2 4" xfId="33359"/>
    <cellStyle name="Normal 4 6 3 3 2 3 3" xfId="13254"/>
    <cellStyle name="Normal 4 6 3 3 2 3 3 2" xfId="36675"/>
    <cellStyle name="Normal 4 6 3 3 2 3 4" xfId="19944"/>
    <cellStyle name="Normal 4 6 3 3 2 3 4 2" xfId="42479"/>
    <cellStyle name="Normal 4 6 3 3 2 3 5" xfId="30043"/>
    <cellStyle name="Normal 4 6 3 3 2 4" xfId="8199"/>
    <cellStyle name="Normal 4 6 3 3 2 4 2" xfId="14912"/>
    <cellStyle name="Normal 4 6 3 3 2 4 2 2" xfId="38333"/>
    <cellStyle name="Normal 4 6 3 3 2 4 3" xfId="20952"/>
    <cellStyle name="Normal 4 6 3 3 2 4 3 2" xfId="43403"/>
    <cellStyle name="Normal 4 6 3 3 2 4 4" xfId="31701"/>
    <cellStyle name="Normal 4 6 3 3 2 5" xfId="11594"/>
    <cellStyle name="Normal 4 6 3 3 2 5 2" xfId="21949"/>
    <cellStyle name="Normal 4 6 3 3 2 5 2 2" xfId="44381"/>
    <cellStyle name="Normal 4 6 3 3 2 5 3" xfId="35017"/>
    <cellStyle name="Normal 4 6 3 3 2 6" xfId="18809"/>
    <cellStyle name="Normal 4 6 3 3 2 6 2" xfId="41638"/>
    <cellStyle name="Normal 4 6 3 3 2 7" xfId="25946"/>
    <cellStyle name="Normal 4 6 3 3 2 7 2" xfId="48191"/>
    <cellStyle name="Normal 4 6 3 3 2 8" xfId="28385"/>
    <cellStyle name="Normal 4 6 3 3 3" xfId="2790"/>
    <cellStyle name="Normal 4 6 3 3 3 2" xfId="5882"/>
    <cellStyle name="Normal 4 6 3 3 3 2 2" xfId="7664"/>
    <cellStyle name="Normal 4 6 3 3 3 2 2 2" xfId="10993"/>
    <cellStyle name="Normal 4 6 3 3 3 2 2 2 2" xfId="17697"/>
    <cellStyle name="Normal 4 6 3 3 3 2 2 2 2 2" xfId="41118"/>
    <cellStyle name="Normal 4 6 3 3 3 2 2 2 3" xfId="34486"/>
    <cellStyle name="Normal 4 6 3 3 3 2 2 3" xfId="14381"/>
    <cellStyle name="Normal 4 6 3 3 3 2 2 3 2" xfId="37802"/>
    <cellStyle name="Normal 4 6 3 3 3 2 2 4" xfId="22980"/>
    <cellStyle name="Normal 4 6 3 3 3 2 2 4 2" xfId="45402"/>
    <cellStyle name="Normal 4 6 3 3 3 2 2 5" xfId="31170"/>
    <cellStyle name="Normal 4 6 3 3 3 2 3" xfId="9335"/>
    <cellStyle name="Normal 4 6 3 3 3 2 3 2" xfId="16039"/>
    <cellStyle name="Normal 4 6 3 3 3 2 3 2 2" xfId="39460"/>
    <cellStyle name="Normal 4 6 3 3 3 2 3 3" xfId="32828"/>
    <cellStyle name="Normal 4 6 3 3 3 2 4" xfId="12723"/>
    <cellStyle name="Normal 4 6 3 3 3 2 4 2" xfId="36144"/>
    <cellStyle name="Normal 4 6 3 3 3 2 5" xfId="20152"/>
    <cellStyle name="Normal 4 6 3 3 3 2 5 2" xfId="42687"/>
    <cellStyle name="Normal 4 6 3 3 3 2 6" xfId="29512"/>
    <cellStyle name="Normal 4 6 3 3 3 3" xfId="6765"/>
    <cellStyle name="Normal 4 6 3 3 3 3 2" xfId="10097"/>
    <cellStyle name="Normal 4 6 3 3 3 3 2 2" xfId="16801"/>
    <cellStyle name="Normal 4 6 3 3 3 3 2 2 2" xfId="40222"/>
    <cellStyle name="Normal 4 6 3 3 3 3 2 3" xfId="33590"/>
    <cellStyle name="Normal 4 6 3 3 3 3 3" xfId="13485"/>
    <cellStyle name="Normal 4 6 3 3 3 3 3 2" xfId="36906"/>
    <cellStyle name="Normal 4 6 3 3 3 3 4" xfId="21410"/>
    <cellStyle name="Normal 4 6 3 3 3 3 4 2" xfId="43861"/>
    <cellStyle name="Normal 4 6 3 3 3 3 5" xfId="30274"/>
    <cellStyle name="Normal 4 6 3 3 3 4" xfId="8431"/>
    <cellStyle name="Normal 4 6 3 3 3 4 2" xfId="15143"/>
    <cellStyle name="Normal 4 6 3 3 3 4 2 2" xfId="38564"/>
    <cellStyle name="Normal 4 6 3 3 3 4 3" xfId="22163"/>
    <cellStyle name="Normal 4 6 3 3 3 4 3 2" xfId="44587"/>
    <cellStyle name="Normal 4 6 3 3 3 4 4" xfId="31932"/>
    <cellStyle name="Normal 4 6 3 3 3 5" xfId="11825"/>
    <cellStyle name="Normal 4 6 3 3 3 5 2" xfId="35248"/>
    <cellStyle name="Normal 4 6 3 3 3 6" xfId="19302"/>
    <cellStyle name="Normal 4 6 3 3 3 6 2" xfId="41855"/>
    <cellStyle name="Normal 4 6 3 3 3 7" xfId="28616"/>
    <cellStyle name="Normal 4 6 3 3 4" xfId="4100"/>
    <cellStyle name="Normal 4 6 3 3 4 2" xfId="7099"/>
    <cellStyle name="Normal 4 6 3 3 4 2 2" xfId="10431"/>
    <cellStyle name="Normal 4 6 3 3 4 2 2 2" xfId="17135"/>
    <cellStyle name="Normal 4 6 3 3 4 2 2 2 2" xfId="40556"/>
    <cellStyle name="Normal 4 6 3 3 4 2 2 3" xfId="33924"/>
    <cellStyle name="Normal 4 6 3 3 4 2 3" xfId="13819"/>
    <cellStyle name="Normal 4 6 3 3 4 2 3 2" xfId="37240"/>
    <cellStyle name="Normal 4 6 3 3 4 2 4" xfId="22575"/>
    <cellStyle name="Normal 4 6 3 3 4 2 4 2" xfId="44997"/>
    <cellStyle name="Normal 4 6 3 3 4 2 5" xfId="30608"/>
    <cellStyle name="Normal 4 6 3 3 4 3" xfId="8766"/>
    <cellStyle name="Normal 4 6 3 3 4 3 2" xfId="15477"/>
    <cellStyle name="Normal 4 6 3 3 4 3 2 2" xfId="38898"/>
    <cellStyle name="Normal 4 6 3 3 4 3 3" xfId="32266"/>
    <cellStyle name="Normal 4 6 3 3 4 4" xfId="12159"/>
    <cellStyle name="Normal 4 6 3 3 4 4 2" xfId="35582"/>
    <cellStyle name="Normal 4 6 3 3 4 5" xfId="19734"/>
    <cellStyle name="Normal 4 6 3 3 4 5 2" xfId="42271"/>
    <cellStyle name="Normal 4 6 3 3 4 6" xfId="28950"/>
    <cellStyle name="Normal 4 6 3 3 5" xfId="6292"/>
    <cellStyle name="Normal 4 6 3 3 5 2" xfId="9626"/>
    <cellStyle name="Normal 4 6 3 3 5 2 2" xfId="16330"/>
    <cellStyle name="Normal 4 6 3 3 5 2 2 2" xfId="39751"/>
    <cellStyle name="Normal 4 6 3 3 5 2 3" xfId="33119"/>
    <cellStyle name="Normal 4 6 3 3 5 3" xfId="13014"/>
    <cellStyle name="Normal 4 6 3 3 5 3 2" xfId="36435"/>
    <cellStyle name="Normal 4 6 3 3 5 4" xfId="20951"/>
    <cellStyle name="Normal 4 6 3 3 5 4 2" xfId="43402"/>
    <cellStyle name="Normal 4 6 3 3 5 5" xfId="29803"/>
    <cellStyle name="Normal 4 6 3 3 6" xfId="7958"/>
    <cellStyle name="Normal 4 6 3 3 6 2" xfId="14672"/>
    <cellStyle name="Normal 4 6 3 3 6 2 2" xfId="38093"/>
    <cellStyle name="Normal 4 6 3 3 6 3" xfId="21725"/>
    <cellStyle name="Normal 4 6 3 3 6 3 2" xfId="44174"/>
    <cellStyle name="Normal 4 6 3 3 6 4" xfId="31461"/>
    <cellStyle name="Normal 4 6 3 3 7" xfId="11354"/>
    <cellStyle name="Normal 4 6 3 3 7 2" xfId="34777"/>
    <cellStyle name="Normal 4 6 3 3 8" xfId="18115"/>
    <cellStyle name="Normal 4 6 3 3 8 2" xfId="41403"/>
    <cellStyle name="Normal 4 6 3 3 9" xfId="23715"/>
    <cellStyle name="Normal 4 6 3 3 9 2" xfId="46004"/>
    <cellStyle name="Normal 4 6 3 4" xfId="2369"/>
    <cellStyle name="Normal 4 6 3 4 2" xfId="5608"/>
    <cellStyle name="Normal 4 6 3 4 2 2" xfId="7431"/>
    <cellStyle name="Normal 4 6 3 4 2 2 2" xfId="10762"/>
    <cellStyle name="Normal 4 6 3 4 2 2 2 2" xfId="17466"/>
    <cellStyle name="Normal 4 6 3 4 2 2 2 2 2" xfId="40887"/>
    <cellStyle name="Normal 4 6 3 4 2 2 2 3" xfId="23182"/>
    <cellStyle name="Normal 4 6 3 4 2 2 2 3 2" xfId="45604"/>
    <cellStyle name="Normal 4 6 3 4 2 2 2 4" xfId="34255"/>
    <cellStyle name="Normal 4 6 3 4 2 2 3" xfId="14150"/>
    <cellStyle name="Normal 4 6 3 4 2 2 3 2" xfId="37571"/>
    <cellStyle name="Normal 4 6 3 4 2 2 4" xfId="20357"/>
    <cellStyle name="Normal 4 6 3 4 2 2 4 2" xfId="42892"/>
    <cellStyle name="Normal 4 6 3 4 2 2 5" xfId="30939"/>
    <cellStyle name="Normal 4 6 3 4 2 3" xfId="9104"/>
    <cellStyle name="Normal 4 6 3 4 2 3 2" xfId="15808"/>
    <cellStyle name="Normal 4 6 3 4 2 3 2 2" xfId="39229"/>
    <cellStyle name="Normal 4 6 3 4 2 3 3" xfId="21412"/>
    <cellStyle name="Normal 4 6 3 4 2 3 3 2" xfId="43863"/>
    <cellStyle name="Normal 4 6 3 4 2 3 4" xfId="32597"/>
    <cellStyle name="Normal 4 6 3 4 2 4" xfId="12492"/>
    <cellStyle name="Normal 4 6 3 4 2 4 2" xfId="22370"/>
    <cellStyle name="Normal 4 6 3 4 2 4 2 2" xfId="44792"/>
    <cellStyle name="Normal 4 6 3 4 2 4 3" xfId="35913"/>
    <cellStyle name="Normal 4 6 3 4 2 5" xfId="19518"/>
    <cellStyle name="Normal 4 6 3 4 2 5 2" xfId="42060"/>
    <cellStyle name="Normal 4 6 3 4 2 6" xfId="29281"/>
    <cellStyle name="Normal 4 6 3 4 3" xfId="6529"/>
    <cellStyle name="Normal 4 6 3 4 3 2" xfId="9863"/>
    <cellStyle name="Normal 4 6 3 4 3 2 2" xfId="16567"/>
    <cellStyle name="Normal 4 6 3 4 3 2 2 2" xfId="39988"/>
    <cellStyle name="Normal 4 6 3 4 3 2 3" xfId="22777"/>
    <cellStyle name="Normal 4 6 3 4 3 2 3 2" xfId="45199"/>
    <cellStyle name="Normal 4 6 3 4 3 2 4" xfId="33356"/>
    <cellStyle name="Normal 4 6 3 4 3 3" xfId="13251"/>
    <cellStyle name="Normal 4 6 3 4 3 3 2" xfId="36672"/>
    <cellStyle name="Normal 4 6 3 4 3 4" xfId="19941"/>
    <cellStyle name="Normal 4 6 3 4 3 4 2" xfId="42476"/>
    <cellStyle name="Normal 4 6 3 4 3 5" xfId="30040"/>
    <cellStyle name="Normal 4 6 3 4 4" xfId="8196"/>
    <cellStyle name="Normal 4 6 3 4 4 2" xfId="14909"/>
    <cellStyle name="Normal 4 6 3 4 4 2 2" xfId="38330"/>
    <cellStyle name="Normal 4 6 3 4 4 3" xfId="20953"/>
    <cellStyle name="Normal 4 6 3 4 4 3 2" xfId="43404"/>
    <cellStyle name="Normal 4 6 3 4 4 4" xfId="31698"/>
    <cellStyle name="Normal 4 6 3 4 5" xfId="11591"/>
    <cellStyle name="Normal 4 6 3 4 5 2" xfId="21946"/>
    <cellStyle name="Normal 4 6 3 4 5 2 2" xfId="44378"/>
    <cellStyle name="Normal 4 6 3 4 5 3" xfId="35014"/>
    <cellStyle name="Normal 4 6 3 4 6" xfId="18806"/>
    <cellStyle name="Normal 4 6 3 4 6 2" xfId="41635"/>
    <cellStyle name="Normal 4 6 3 4 7" xfId="25943"/>
    <cellStyle name="Normal 4 6 3 4 7 2" xfId="48188"/>
    <cellStyle name="Normal 4 6 3 4 8" xfId="28382"/>
    <cellStyle name="Normal 4 6 3 5" xfId="2658"/>
    <cellStyle name="Normal 4 6 3 5 2" xfId="5751"/>
    <cellStyle name="Normal 4 6 3 5 2 2" xfId="7533"/>
    <cellStyle name="Normal 4 6 3 5 2 2 2" xfId="10862"/>
    <cellStyle name="Normal 4 6 3 5 2 2 2 2" xfId="17566"/>
    <cellStyle name="Normal 4 6 3 5 2 2 2 2 2" xfId="40987"/>
    <cellStyle name="Normal 4 6 3 5 2 2 2 3" xfId="34355"/>
    <cellStyle name="Normal 4 6 3 5 2 2 3" xfId="14250"/>
    <cellStyle name="Normal 4 6 3 5 2 2 3 2" xfId="37671"/>
    <cellStyle name="Normal 4 6 3 5 2 2 4" xfId="20647"/>
    <cellStyle name="Normal 4 6 3 5 2 2 4 2" xfId="43098"/>
    <cellStyle name="Normal 4 6 3 5 2 2 5" xfId="31039"/>
    <cellStyle name="Normal 4 6 3 5 2 3" xfId="9204"/>
    <cellStyle name="Normal 4 6 3 5 2 3 2" xfId="15908"/>
    <cellStyle name="Normal 4 6 3 5 2 3 2 2" xfId="39329"/>
    <cellStyle name="Normal 4 6 3 5 2 3 3" xfId="21565"/>
    <cellStyle name="Normal 4 6 3 5 2 3 3 2" xfId="44016"/>
    <cellStyle name="Normal 4 6 3 5 2 3 4" xfId="32697"/>
    <cellStyle name="Normal 4 6 3 5 2 4" xfId="12592"/>
    <cellStyle name="Normal 4 6 3 5 2 4 2" xfId="22977"/>
    <cellStyle name="Normal 4 6 3 5 2 4 2 2" xfId="45399"/>
    <cellStyle name="Normal 4 6 3 5 2 4 3" xfId="36013"/>
    <cellStyle name="Normal 4 6 3 5 2 5" xfId="20149"/>
    <cellStyle name="Normal 4 6 3 5 2 5 2" xfId="42684"/>
    <cellStyle name="Normal 4 6 3 5 2 6" xfId="29381"/>
    <cellStyle name="Normal 4 6 3 5 3" xfId="6634"/>
    <cellStyle name="Normal 4 6 3 5 3 2" xfId="9966"/>
    <cellStyle name="Normal 4 6 3 5 3 2 2" xfId="16670"/>
    <cellStyle name="Normal 4 6 3 5 3 2 2 2" xfId="40091"/>
    <cellStyle name="Normal 4 6 3 5 3 2 3" xfId="33459"/>
    <cellStyle name="Normal 4 6 3 5 3 3" xfId="13354"/>
    <cellStyle name="Normal 4 6 3 5 3 3 2" xfId="36775"/>
    <cellStyle name="Normal 4 6 3 5 3 4" xfId="20549"/>
    <cellStyle name="Normal 4 6 3 5 3 4 2" xfId="43002"/>
    <cellStyle name="Normal 4 6 3 5 3 5" xfId="30143"/>
    <cellStyle name="Normal 4 6 3 5 4" xfId="8300"/>
    <cellStyle name="Normal 4 6 3 5 4 2" xfId="15012"/>
    <cellStyle name="Normal 4 6 3 5 4 2 2" xfId="38433"/>
    <cellStyle name="Normal 4 6 3 5 4 3" xfId="21106"/>
    <cellStyle name="Normal 4 6 3 5 4 3 2" xfId="43557"/>
    <cellStyle name="Normal 4 6 3 5 4 4" xfId="31801"/>
    <cellStyle name="Normal 4 6 3 5 5" xfId="11694"/>
    <cellStyle name="Normal 4 6 3 5 5 2" xfId="22160"/>
    <cellStyle name="Normal 4 6 3 5 5 2 2" xfId="44584"/>
    <cellStyle name="Normal 4 6 3 5 5 3" xfId="35117"/>
    <cellStyle name="Normal 4 6 3 5 6" xfId="19299"/>
    <cellStyle name="Normal 4 6 3 5 6 2" xfId="41852"/>
    <cellStyle name="Normal 4 6 3 5 7" xfId="28485"/>
    <cellStyle name="Normal 4 6 3 6" xfId="4097"/>
    <cellStyle name="Normal 4 6 3 6 2" xfId="7096"/>
    <cellStyle name="Normal 4 6 3 6 2 2" xfId="10428"/>
    <cellStyle name="Normal 4 6 3 6 2 2 2" xfId="17132"/>
    <cellStyle name="Normal 4 6 3 6 2 2 2 2" xfId="40553"/>
    <cellStyle name="Normal 4 6 3 6 2 2 3" xfId="33921"/>
    <cellStyle name="Normal 4 6 3 6 2 3" xfId="13816"/>
    <cellStyle name="Normal 4 6 3 6 2 3 2" xfId="37237"/>
    <cellStyle name="Normal 4 6 3 6 2 4" xfId="20599"/>
    <cellStyle name="Normal 4 6 3 6 2 4 2" xfId="43050"/>
    <cellStyle name="Normal 4 6 3 6 2 5" xfId="30605"/>
    <cellStyle name="Normal 4 6 3 6 3" xfId="8763"/>
    <cellStyle name="Normal 4 6 3 6 3 2" xfId="15474"/>
    <cellStyle name="Normal 4 6 3 6 3 2 2" xfId="38895"/>
    <cellStyle name="Normal 4 6 3 6 3 3" xfId="21405"/>
    <cellStyle name="Normal 4 6 3 6 3 3 2" xfId="43856"/>
    <cellStyle name="Normal 4 6 3 6 3 4" xfId="32263"/>
    <cellStyle name="Normal 4 6 3 6 4" xfId="12156"/>
    <cellStyle name="Normal 4 6 3 6 4 2" xfId="22572"/>
    <cellStyle name="Normal 4 6 3 6 4 2 2" xfId="44994"/>
    <cellStyle name="Normal 4 6 3 6 4 3" xfId="35579"/>
    <cellStyle name="Normal 4 6 3 6 5" xfId="19731"/>
    <cellStyle name="Normal 4 6 3 6 5 2" xfId="42268"/>
    <cellStyle name="Normal 4 6 3 6 6" xfId="28947"/>
    <cellStyle name="Normal 4 6 3 7" xfId="6161"/>
    <cellStyle name="Normal 4 6 3 7 2" xfId="9495"/>
    <cellStyle name="Normal 4 6 3 7 2 2" xfId="16199"/>
    <cellStyle name="Normal 4 6 3 7 2 2 2" xfId="39620"/>
    <cellStyle name="Normal 4 6 3 7 2 3" xfId="32988"/>
    <cellStyle name="Normal 4 6 3 7 3" xfId="12883"/>
    <cellStyle name="Normal 4 6 3 7 3 2" xfId="36304"/>
    <cellStyle name="Normal 4 6 3 7 4" xfId="18349"/>
    <cellStyle name="Normal 4 6 3 7 4 2" xfId="41482"/>
    <cellStyle name="Normal 4 6 3 7 5" xfId="29672"/>
    <cellStyle name="Normal 4 6 3 8" xfId="7827"/>
    <cellStyle name="Normal 4 6 3 8 2" xfId="14541"/>
    <cellStyle name="Normal 4 6 3 8 2 2" xfId="37962"/>
    <cellStyle name="Normal 4 6 3 8 3" xfId="20946"/>
    <cellStyle name="Normal 4 6 3 8 3 2" xfId="43397"/>
    <cellStyle name="Normal 4 6 3 8 4" xfId="31330"/>
    <cellStyle name="Normal 4 6 3 9" xfId="11223"/>
    <cellStyle name="Normal 4 6 3 9 2" xfId="21722"/>
    <cellStyle name="Normal 4 6 3 9 2 2" xfId="44171"/>
    <cellStyle name="Normal 4 6 3 9 3" xfId="34646"/>
    <cellStyle name="Normal 4 6 4" xfId="1667"/>
    <cellStyle name="Normal 4 6 4 10" xfId="23716"/>
    <cellStyle name="Normal 4 6 4 10 2" xfId="46005"/>
    <cellStyle name="Normal 4 6 4 11" xfId="28086"/>
    <cellStyle name="Normal 4 6 4 2" xfId="1865"/>
    <cellStyle name="Normal 4 6 4 2 10" xfId="28217"/>
    <cellStyle name="Normal 4 6 4 2 2" xfId="2374"/>
    <cellStyle name="Normal 4 6 4 2 2 2" xfId="5613"/>
    <cellStyle name="Normal 4 6 4 2 2 2 2" xfId="7436"/>
    <cellStyle name="Normal 4 6 4 2 2 2 2 2" xfId="10767"/>
    <cellStyle name="Normal 4 6 4 2 2 2 2 2 2" xfId="17471"/>
    <cellStyle name="Normal 4 6 4 2 2 2 2 2 2 2" xfId="40892"/>
    <cellStyle name="Normal 4 6 4 2 2 2 2 2 3" xfId="23187"/>
    <cellStyle name="Normal 4 6 4 2 2 2 2 2 3 2" xfId="45609"/>
    <cellStyle name="Normal 4 6 4 2 2 2 2 2 4" xfId="34260"/>
    <cellStyle name="Normal 4 6 4 2 2 2 2 3" xfId="14155"/>
    <cellStyle name="Normal 4 6 4 2 2 2 2 3 2" xfId="37576"/>
    <cellStyle name="Normal 4 6 4 2 2 2 2 4" xfId="20362"/>
    <cellStyle name="Normal 4 6 4 2 2 2 2 4 2" xfId="42897"/>
    <cellStyle name="Normal 4 6 4 2 2 2 2 5" xfId="30944"/>
    <cellStyle name="Normal 4 6 4 2 2 2 3" xfId="9109"/>
    <cellStyle name="Normal 4 6 4 2 2 2 3 2" xfId="15813"/>
    <cellStyle name="Normal 4 6 4 2 2 2 3 2 2" xfId="39234"/>
    <cellStyle name="Normal 4 6 4 2 2 2 3 3" xfId="21415"/>
    <cellStyle name="Normal 4 6 4 2 2 2 3 3 2" xfId="43866"/>
    <cellStyle name="Normal 4 6 4 2 2 2 3 4" xfId="32602"/>
    <cellStyle name="Normal 4 6 4 2 2 2 4" xfId="12497"/>
    <cellStyle name="Normal 4 6 4 2 2 2 4 2" xfId="22375"/>
    <cellStyle name="Normal 4 6 4 2 2 2 4 2 2" xfId="44797"/>
    <cellStyle name="Normal 4 6 4 2 2 2 4 3" xfId="35918"/>
    <cellStyle name="Normal 4 6 4 2 2 2 5" xfId="19523"/>
    <cellStyle name="Normal 4 6 4 2 2 2 5 2" xfId="42065"/>
    <cellStyle name="Normal 4 6 4 2 2 2 6" xfId="29286"/>
    <cellStyle name="Normal 4 6 4 2 2 3" xfId="6534"/>
    <cellStyle name="Normal 4 6 4 2 2 3 2" xfId="9868"/>
    <cellStyle name="Normal 4 6 4 2 2 3 2 2" xfId="16572"/>
    <cellStyle name="Normal 4 6 4 2 2 3 2 2 2" xfId="39993"/>
    <cellStyle name="Normal 4 6 4 2 2 3 2 3" xfId="22782"/>
    <cellStyle name="Normal 4 6 4 2 2 3 2 3 2" xfId="45204"/>
    <cellStyle name="Normal 4 6 4 2 2 3 2 4" xfId="33361"/>
    <cellStyle name="Normal 4 6 4 2 2 3 3" xfId="13256"/>
    <cellStyle name="Normal 4 6 4 2 2 3 3 2" xfId="36677"/>
    <cellStyle name="Normal 4 6 4 2 2 3 4" xfId="19946"/>
    <cellStyle name="Normal 4 6 4 2 2 3 4 2" xfId="42481"/>
    <cellStyle name="Normal 4 6 4 2 2 3 5" xfId="30045"/>
    <cellStyle name="Normal 4 6 4 2 2 4" xfId="8201"/>
    <cellStyle name="Normal 4 6 4 2 2 4 2" xfId="14914"/>
    <cellStyle name="Normal 4 6 4 2 2 4 2 2" xfId="38335"/>
    <cellStyle name="Normal 4 6 4 2 2 4 3" xfId="20956"/>
    <cellStyle name="Normal 4 6 4 2 2 4 3 2" xfId="43407"/>
    <cellStyle name="Normal 4 6 4 2 2 4 4" xfId="31703"/>
    <cellStyle name="Normal 4 6 4 2 2 5" xfId="11596"/>
    <cellStyle name="Normal 4 6 4 2 2 5 2" xfId="21951"/>
    <cellStyle name="Normal 4 6 4 2 2 5 2 2" xfId="44383"/>
    <cellStyle name="Normal 4 6 4 2 2 5 3" xfId="35019"/>
    <cellStyle name="Normal 4 6 4 2 2 6" xfId="18811"/>
    <cellStyle name="Normal 4 6 4 2 2 6 2" xfId="41640"/>
    <cellStyle name="Normal 4 6 4 2 2 7" xfId="25948"/>
    <cellStyle name="Normal 4 6 4 2 2 7 2" xfId="48193"/>
    <cellStyle name="Normal 4 6 4 2 2 8" xfId="28387"/>
    <cellStyle name="Normal 4 6 4 2 3" xfId="2862"/>
    <cellStyle name="Normal 4 6 4 2 3 2" xfId="5954"/>
    <cellStyle name="Normal 4 6 4 2 3 2 2" xfId="7736"/>
    <cellStyle name="Normal 4 6 4 2 3 2 2 2" xfId="11065"/>
    <cellStyle name="Normal 4 6 4 2 3 2 2 2 2" xfId="17769"/>
    <cellStyle name="Normal 4 6 4 2 3 2 2 2 2 2" xfId="41190"/>
    <cellStyle name="Normal 4 6 4 2 3 2 2 2 3" xfId="34558"/>
    <cellStyle name="Normal 4 6 4 2 3 2 2 3" xfId="14453"/>
    <cellStyle name="Normal 4 6 4 2 3 2 2 3 2" xfId="37874"/>
    <cellStyle name="Normal 4 6 4 2 3 2 2 4" xfId="22982"/>
    <cellStyle name="Normal 4 6 4 2 3 2 2 4 2" xfId="45404"/>
    <cellStyle name="Normal 4 6 4 2 3 2 2 5" xfId="31242"/>
    <cellStyle name="Normal 4 6 4 2 3 2 3" xfId="9407"/>
    <cellStyle name="Normal 4 6 4 2 3 2 3 2" xfId="16111"/>
    <cellStyle name="Normal 4 6 4 2 3 2 3 2 2" xfId="39532"/>
    <cellStyle name="Normal 4 6 4 2 3 2 3 3" xfId="32900"/>
    <cellStyle name="Normal 4 6 4 2 3 2 4" xfId="12795"/>
    <cellStyle name="Normal 4 6 4 2 3 2 4 2" xfId="36216"/>
    <cellStyle name="Normal 4 6 4 2 3 2 5" xfId="20154"/>
    <cellStyle name="Normal 4 6 4 2 3 2 5 2" xfId="42689"/>
    <cellStyle name="Normal 4 6 4 2 3 2 6" xfId="29584"/>
    <cellStyle name="Normal 4 6 4 2 3 3" xfId="6837"/>
    <cellStyle name="Normal 4 6 4 2 3 3 2" xfId="10169"/>
    <cellStyle name="Normal 4 6 4 2 3 3 2 2" xfId="16873"/>
    <cellStyle name="Normal 4 6 4 2 3 3 2 2 2" xfId="40294"/>
    <cellStyle name="Normal 4 6 4 2 3 3 2 3" xfId="33662"/>
    <cellStyle name="Normal 4 6 4 2 3 3 3" xfId="13557"/>
    <cellStyle name="Normal 4 6 4 2 3 3 3 2" xfId="36978"/>
    <cellStyle name="Normal 4 6 4 2 3 3 4" xfId="21414"/>
    <cellStyle name="Normal 4 6 4 2 3 3 4 2" xfId="43865"/>
    <cellStyle name="Normal 4 6 4 2 3 3 5" xfId="30346"/>
    <cellStyle name="Normal 4 6 4 2 3 4" xfId="8503"/>
    <cellStyle name="Normal 4 6 4 2 3 4 2" xfId="15215"/>
    <cellStyle name="Normal 4 6 4 2 3 4 2 2" xfId="38636"/>
    <cellStyle name="Normal 4 6 4 2 3 4 3" xfId="22165"/>
    <cellStyle name="Normal 4 6 4 2 3 4 3 2" xfId="44589"/>
    <cellStyle name="Normal 4 6 4 2 3 4 4" xfId="32004"/>
    <cellStyle name="Normal 4 6 4 2 3 5" xfId="11897"/>
    <cellStyle name="Normal 4 6 4 2 3 5 2" xfId="35320"/>
    <cellStyle name="Normal 4 6 4 2 3 6" xfId="19304"/>
    <cellStyle name="Normal 4 6 4 2 3 6 2" xfId="41857"/>
    <cellStyle name="Normal 4 6 4 2 3 7" xfId="28688"/>
    <cellStyle name="Normal 4 6 4 2 4" xfId="4102"/>
    <cellStyle name="Normal 4 6 4 2 4 2" xfId="7101"/>
    <cellStyle name="Normal 4 6 4 2 4 2 2" xfId="10433"/>
    <cellStyle name="Normal 4 6 4 2 4 2 2 2" xfId="17137"/>
    <cellStyle name="Normal 4 6 4 2 4 2 2 2 2" xfId="40558"/>
    <cellStyle name="Normal 4 6 4 2 4 2 2 3" xfId="33926"/>
    <cellStyle name="Normal 4 6 4 2 4 2 3" xfId="13821"/>
    <cellStyle name="Normal 4 6 4 2 4 2 3 2" xfId="37242"/>
    <cellStyle name="Normal 4 6 4 2 4 2 4" xfId="22577"/>
    <cellStyle name="Normal 4 6 4 2 4 2 4 2" xfId="44999"/>
    <cellStyle name="Normal 4 6 4 2 4 2 5" xfId="30610"/>
    <cellStyle name="Normal 4 6 4 2 4 3" xfId="8768"/>
    <cellStyle name="Normal 4 6 4 2 4 3 2" xfId="15479"/>
    <cellStyle name="Normal 4 6 4 2 4 3 2 2" xfId="38900"/>
    <cellStyle name="Normal 4 6 4 2 4 3 3" xfId="32268"/>
    <cellStyle name="Normal 4 6 4 2 4 4" xfId="12161"/>
    <cellStyle name="Normal 4 6 4 2 4 4 2" xfId="35584"/>
    <cellStyle name="Normal 4 6 4 2 4 5" xfId="19736"/>
    <cellStyle name="Normal 4 6 4 2 4 5 2" xfId="42273"/>
    <cellStyle name="Normal 4 6 4 2 4 6" xfId="28952"/>
    <cellStyle name="Normal 4 6 4 2 5" xfId="6364"/>
    <cellStyle name="Normal 4 6 4 2 5 2" xfId="9698"/>
    <cellStyle name="Normal 4 6 4 2 5 2 2" xfId="16402"/>
    <cellStyle name="Normal 4 6 4 2 5 2 2 2" xfId="39823"/>
    <cellStyle name="Normal 4 6 4 2 5 2 3" xfId="33191"/>
    <cellStyle name="Normal 4 6 4 2 5 3" xfId="13086"/>
    <cellStyle name="Normal 4 6 4 2 5 3 2" xfId="36507"/>
    <cellStyle name="Normal 4 6 4 2 5 4" xfId="20955"/>
    <cellStyle name="Normal 4 6 4 2 5 4 2" xfId="43406"/>
    <cellStyle name="Normal 4 6 4 2 5 5" xfId="29875"/>
    <cellStyle name="Normal 4 6 4 2 6" xfId="8030"/>
    <cellStyle name="Normal 4 6 4 2 6 2" xfId="14744"/>
    <cellStyle name="Normal 4 6 4 2 6 2 2" xfId="38165"/>
    <cellStyle name="Normal 4 6 4 2 6 3" xfId="21727"/>
    <cellStyle name="Normal 4 6 4 2 6 3 2" xfId="44176"/>
    <cellStyle name="Normal 4 6 4 2 6 4" xfId="31533"/>
    <cellStyle name="Normal 4 6 4 2 7" xfId="11426"/>
    <cellStyle name="Normal 4 6 4 2 7 2" xfId="34849"/>
    <cellStyle name="Normal 4 6 4 2 8" xfId="18117"/>
    <cellStyle name="Normal 4 6 4 2 8 2" xfId="41405"/>
    <cellStyle name="Normal 4 6 4 2 9" xfId="23717"/>
    <cellStyle name="Normal 4 6 4 2 9 2" xfId="46006"/>
    <cellStyle name="Normal 4 6 4 3" xfId="2373"/>
    <cellStyle name="Normal 4 6 4 3 2" xfId="5612"/>
    <cellStyle name="Normal 4 6 4 3 2 2" xfId="7435"/>
    <cellStyle name="Normal 4 6 4 3 2 2 2" xfId="10766"/>
    <cellStyle name="Normal 4 6 4 3 2 2 2 2" xfId="17470"/>
    <cellStyle name="Normal 4 6 4 3 2 2 2 2 2" xfId="40891"/>
    <cellStyle name="Normal 4 6 4 3 2 2 2 3" xfId="23186"/>
    <cellStyle name="Normal 4 6 4 3 2 2 2 3 2" xfId="45608"/>
    <cellStyle name="Normal 4 6 4 3 2 2 2 4" xfId="34259"/>
    <cellStyle name="Normal 4 6 4 3 2 2 3" xfId="14154"/>
    <cellStyle name="Normal 4 6 4 3 2 2 3 2" xfId="37575"/>
    <cellStyle name="Normal 4 6 4 3 2 2 4" xfId="20361"/>
    <cellStyle name="Normal 4 6 4 3 2 2 4 2" xfId="42896"/>
    <cellStyle name="Normal 4 6 4 3 2 2 5" xfId="30943"/>
    <cellStyle name="Normal 4 6 4 3 2 3" xfId="9108"/>
    <cellStyle name="Normal 4 6 4 3 2 3 2" xfId="15812"/>
    <cellStyle name="Normal 4 6 4 3 2 3 2 2" xfId="39233"/>
    <cellStyle name="Normal 4 6 4 3 2 3 3" xfId="21416"/>
    <cellStyle name="Normal 4 6 4 3 2 3 3 2" xfId="43867"/>
    <cellStyle name="Normal 4 6 4 3 2 3 4" xfId="32601"/>
    <cellStyle name="Normal 4 6 4 3 2 4" xfId="12496"/>
    <cellStyle name="Normal 4 6 4 3 2 4 2" xfId="22374"/>
    <cellStyle name="Normal 4 6 4 3 2 4 2 2" xfId="44796"/>
    <cellStyle name="Normal 4 6 4 3 2 4 3" xfId="35917"/>
    <cellStyle name="Normal 4 6 4 3 2 5" xfId="19522"/>
    <cellStyle name="Normal 4 6 4 3 2 5 2" xfId="42064"/>
    <cellStyle name="Normal 4 6 4 3 2 6" xfId="29285"/>
    <cellStyle name="Normal 4 6 4 3 3" xfId="6533"/>
    <cellStyle name="Normal 4 6 4 3 3 2" xfId="9867"/>
    <cellStyle name="Normal 4 6 4 3 3 2 2" xfId="16571"/>
    <cellStyle name="Normal 4 6 4 3 3 2 2 2" xfId="39992"/>
    <cellStyle name="Normal 4 6 4 3 3 2 3" xfId="22781"/>
    <cellStyle name="Normal 4 6 4 3 3 2 3 2" xfId="45203"/>
    <cellStyle name="Normal 4 6 4 3 3 2 4" xfId="33360"/>
    <cellStyle name="Normal 4 6 4 3 3 3" xfId="13255"/>
    <cellStyle name="Normal 4 6 4 3 3 3 2" xfId="36676"/>
    <cellStyle name="Normal 4 6 4 3 3 4" xfId="19945"/>
    <cellStyle name="Normal 4 6 4 3 3 4 2" xfId="42480"/>
    <cellStyle name="Normal 4 6 4 3 3 5" xfId="30044"/>
    <cellStyle name="Normal 4 6 4 3 4" xfId="8200"/>
    <cellStyle name="Normal 4 6 4 3 4 2" xfId="14913"/>
    <cellStyle name="Normal 4 6 4 3 4 2 2" xfId="38334"/>
    <cellStyle name="Normal 4 6 4 3 4 3" xfId="20957"/>
    <cellStyle name="Normal 4 6 4 3 4 3 2" xfId="43408"/>
    <cellStyle name="Normal 4 6 4 3 4 4" xfId="31702"/>
    <cellStyle name="Normal 4 6 4 3 5" xfId="11595"/>
    <cellStyle name="Normal 4 6 4 3 5 2" xfId="21950"/>
    <cellStyle name="Normal 4 6 4 3 5 2 2" xfId="44382"/>
    <cellStyle name="Normal 4 6 4 3 5 3" xfId="35018"/>
    <cellStyle name="Normal 4 6 4 3 6" xfId="18810"/>
    <cellStyle name="Normal 4 6 4 3 6 2" xfId="41639"/>
    <cellStyle name="Normal 4 6 4 3 7" xfId="25947"/>
    <cellStyle name="Normal 4 6 4 3 7 2" xfId="48192"/>
    <cellStyle name="Normal 4 6 4 3 8" xfId="28386"/>
    <cellStyle name="Normal 4 6 4 4" xfId="2730"/>
    <cellStyle name="Normal 4 6 4 4 2" xfId="5823"/>
    <cellStyle name="Normal 4 6 4 4 2 2" xfId="7605"/>
    <cellStyle name="Normal 4 6 4 4 2 2 2" xfId="10934"/>
    <cellStyle name="Normal 4 6 4 4 2 2 2 2" xfId="17638"/>
    <cellStyle name="Normal 4 6 4 4 2 2 2 2 2" xfId="41059"/>
    <cellStyle name="Normal 4 6 4 4 2 2 2 3" xfId="34427"/>
    <cellStyle name="Normal 4 6 4 4 2 2 3" xfId="14322"/>
    <cellStyle name="Normal 4 6 4 4 2 2 3 2" xfId="37743"/>
    <cellStyle name="Normal 4 6 4 4 2 2 4" xfId="22981"/>
    <cellStyle name="Normal 4 6 4 4 2 2 4 2" xfId="45403"/>
    <cellStyle name="Normal 4 6 4 4 2 2 5" xfId="31111"/>
    <cellStyle name="Normal 4 6 4 4 2 3" xfId="9276"/>
    <cellStyle name="Normal 4 6 4 4 2 3 2" xfId="15980"/>
    <cellStyle name="Normal 4 6 4 4 2 3 2 2" xfId="39401"/>
    <cellStyle name="Normal 4 6 4 4 2 3 3" xfId="32769"/>
    <cellStyle name="Normal 4 6 4 4 2 4" xfId="12664"/>
    <cellStyle name="Normal 4 6 4 4 2 4 2" xfId="36085"/>
    <cellStyle name="Normal 4 6 4 4 2 5" xfId="20153"/>
    <cellStyle name="Normal 4 6 4 4 2 5 2" xfId="42688"/>
    <cellStyle name="Normal 4 6 4 4 2 6" xfId="29453"/>
    <cellStyle name="Normal 4 6 4 4 3" xfId="6706"/>
    <cellStyle name="Normal 4 6 4 4 3 2" xfId="10038"/>
    <cellStyle name="Normal 4 6 4 4 3 2 2" xfId="16742"/>
    <cellStyle name="Normal 4 6 4 4 3 2 2 2" xfId="40163"/>
    <cellStyle name="Normal 4 6 4 4 3 2 3" xfId="33531"/>
    <cellStyle name="Normal 4 6 4 4 3 3" xfId="13426"/>
    <cellStyle name="Normal 4 6 4 4 3 3 2" xfId="36847"/>
    <cellStyle name="Normal 4 6 4 4 3 4" xfId="21413"/>
    <cellStyle name="Normal 4 6 4 4 3 4 2" xfId="43864"/>
    <cellStyle name="Normal 4 6 4 4 3 5" xfId="30215"/>
    <cellStyle name="Normal 4 6 4 4 4" xfId="8372"/>
    <cellStyle name="Normal 4 6 4 4 4 2" xfId="15084"/>
    <cellStyle name="Normal 4 6 4 4 4 2 2" xfId="38505"/>
    <cellStyle name="Normal 4 6 4 4 4 3" xfId="22164"/>
    <cellStyle name="Normal 4 6 4 4 4 3 2" xfId="44588"/>
    <cellStyle name="Normal 4 6 4 4 4 4" xfId="31873"/>
    <cellStyle name="Normal 4 6 4 4 5" xfId="11766"/>
    <cellStyle name="Normal 4 6 4 4 5 2" xfId="35189"/>
    <cellStyle name="Normal 4 6 4 4 6" xfId="19303"/>
    <cellStyle name="Normal 4 6 4 4 6 2" xfId="41856"/>
    <cellStyle name="Normal 4 6 4 4 7" xfId="28557"/>
    <cellStyle name="Normal 4 6 4 5" xfId="4101"/>
    <cellStyle name="Normal 4 6 4 5 2" xfId="7100"/>
    <cellStyle name="Normal 4 6 4 5 2 2" xfId="10432"/>
    <cellStyle name="Normal 4 6 4 5 2 2 2" xfId="17136"/>
    <cellStyle name="Normal 4 6 4 5 2 2 2 2" xfId="40557"/>
    <cellStyle name="Normal 4 6 4 5 2 2 3" xfId="33925"/>
    <cellStyle name="Normal 4 6 4 5 2 3" xfId="13820"/>
    <cellStyle name="Normal 4 6 4 5 2 3 2" xfId="37241"/>
    <cellStyle name="Normal 4 6 4 5 2 4" xfId="22576"/>
    <cellStyle name="Normal 4 6 4 5 2 4 2" xfId="44998"/>
    <cellStyle name="Normal 4 6 4 5 2 5" xfId="30609"/>
    <cellStyle name="Normal 4 6 4 5 3" xfId="8767"/>
    <cellStyle name="Normal 4 6 4 5 3 2" xfId="15478"/>
    <cellStyle name="Normal 4 6 4 5 3 2 2" xfId="38899"/>
    <cellStyle name="Normal 4 6 4 5 3 3" xfId="32267"/>
    <cellStyle name="Normal 4 6 4 5 4" xfId="12160"/>
    <cellStyle name="Normal 4 6 4 5 4 2" xfId="35583"/>
    <cellStyle name="Normal 4 6 4 5 5" xfId="19735"/>
    <cellStyle name="Normal 4 6 4 5 5 2" xfId="42272"/>
    <cellStyle name="Normal 4 6 4 5 6" xfId="28951"/>
    <cellStyle name="Normal 4 6 4 6" xfId="6233"/>
    <cellStyle name="Normal 4 6 4 6 2" xfId="9567"/>
    <cellStyle name="Normal 4 6 4 6 2 2" xfId="16271"/>
    <cellStyle name="Normal 4 6 4 6 2 2 2" xfId="39692"/>
    <cellStyle name="Normal 4 6 4 6 2 3" xfId="33060"/>
    <cellStyle name="Normal 4 6 4 6 3" xfId="12955"/>
    <cellStyle name="Normal 4 6 4 6 3 2" xfId="36376"/>
    <cellStyle name="Normal 4 6 4 6 4" xfId="20954"/>
    <cellStyle name="Normal 4 6 4 6 4 2" xfId="43405"/>
    <cellStyle name="Normal 4 6 4 6 5" xfId="29744"/>
    <cellStyle name="Normal 4 6 4 7" xfId="7899"/>
    <cellStyle name="Normal 4 6 4 7 2" xfId="14613"/>
    <cellStyle name="Normal 4 6 4 7 2 2" xfId="38034"/>
    <cellStyle name="Normal 4 6 4 7 3" xfId="21726"/>
    <cellStyle name="Normal 4 6 4 7 3 2" xfId="44175"/>
    <cellStyle name="Normal 4 6 4 7 4" xfId="31402"/>
    <cellStyle name="Normal 4 6 4 8" xfId="11295"/>
    <cellStyle name="Normal 4 6 4 8 2" xfId="34718"/>
    <cellStyle name="Normal 4 6 4 9" xfId="18116"/>
    <cellStyle name="Normal 4 6 4 9 2" xfId="41404"/>
    <cellStyle name="Normal 4 6 5" xfId="1756"/>
    <cellStyle name="Normal 4 6 5 10" xfId="28109"/>
    <cellStyle name="Normal 4 6 5 2" xfId="2375"/>
    <cellStyle name="Normal 4 6 5 2 2" xfId="5614"/>
    <cellStyle name="Normal 4 6 5 2 2 2" xfId="7437"/>
    <cellStyle name="Normal 4 6 5 2 2 2 2" xfId="10768"/>
    <cellStyle name="Normal 4 6 5 2 2 2 2 2" xfId="17472"/>
    <cellStyle name="Normal 4 6 5 2 2 2 2 2 2" xfId="40893"/>
    <cellStyle name="Normal 4 6 5 2 2 2 2 3" xfId="23188"/>
    <cellStyle name="Normal 4 6 5 2 2 2 2 3 2" xfId="45610"/>
    <cellStyle name="Normal 4 6 5 2 2 2 2 4" xfId="34261"/>
    <cellStyle name="Normal 4 6 5 2 2 2 3" xfId="14156"/>
    <cellStyle name="Normal 4 6 5 2 2 2 3 2" xfId="37577"/>
    <cellStyle name="Normal 4 6 5 2 2 2 4" xfId="20363"/>
    <cellStyle name="Normal 4 6 5 2 2 2 4 2" xfId="42898"/>
    <cellStyle name="Normal 4 6 5 2 2 2 5" xfId="30945"/>
    <cellStyle name="Normal 4 6 5 2 2 3" xfId="9110"/>
    <cellStyle name="Normal 4 6 5 2 2 3 2" xfId="15814"/>
    <cellStyle name="Normal 4 6 5 2 2 3 2 2" xfId="39235"/>
    <cellStyle name="Normal 4 6 5 2 2 3 3" xfId="21418"/>
    <cellStyle name="Normal 4 6 5 2 2 3 3 2" xfId="43869"/>
    <cellStyle name="Normal 4 6 5 2 2 3 4" xfId="32603"/>
    <cellStyle name="Normal 4 6 5 2 2 4" xfId="12498"/>
    <cellStyle name="Normal 4 6 5 2 2 4 2" xfId="22376"/>
    <cellStyle name="Normal 4 6 5 2 2 4 2 2" xfId="44798"/>
    <cellStyle name="Normal 4 6 5 2 2 4 3" xfId="35919"/>
    <cellStyle name="Normal 4 6 5 2 2 5" xfId="19524"/>
    <cellStyle name="Normal 4 6 5 2 2 5 2" xfId="42066"/>
    <cellStyle name="Normal 4 6 5 2 2 6" xfId="29287"/>
    <cellStyle name="Normal 4 6 5 2 3" xfId="6535"/>
    <cellStyle name="Normal 4 6 5 2 3 2" xfId="9869"/>
    <cellStyle name="Normal 4 6 5 2 3 2 2" xfId="16573"/>
    <cellStyle name="Normal 4 6 5 2 3 2 2 2" xfId="39994"/>
    <cellStyle name="Normal 4 6 5 2 3 2 3" xfId="22783"/>
    <cellStyle name="Normal 4 6 5 2 3 2 3 2" xfId="45205"/>
    <cellStyle name="Normal 4 6 5 2 3 2 4" xfId="33362"/>
    <cellStyle name="Normal 4 6 5 2 3 3" xfId="13257"/>
    <cellStyle name="Normal 4 6 5 2 3 3 2" xfId="36678"/>
    <cellStyle name="Normal 4 6 5 2 3 4" xfId="19947"/>
    <cellStyle name="Normal 4 6 5 2 3 4 2" xfId="42482"/>
    <cellStyle name="Normal 4 6 5 2 3 5" xfId="30046"/>
    <cellStyle name="Normal 4 6 5 2 4" xfId="8202"/>
    <cellStyle name="Normal 4 6 5 2 4 2" xfId="14915"/>
    <cellStyle name="Normal 4 6 5 2 4 2 2" xfId="38336"/>
    <cellStyle name="Normal 4 6 5 2 4 3" xfId="20959"/>
    <cellStyle name="Normal 4 6 5 2 4 3 2" xfId="43410"/>
    <cellStyle name="Normal 4 6 5 2 4 4" xfId="31704"/>
    <cellStyle name="Normal 4 6 5 2 5" xfId="11597"/>
    <cellStyle name="Normal 4 6 5 2 5 2" xfId="21952"/>
    <cellStyle name="Normal 4 6 5 2 5 2 2" xfId="44384"/>
    <cellStyle name="Normal 4 6 5 2 5 3" xfId="35020"/>
    <cellStyle name="Normal 4 6 5 2 6" xfId="18812"/>
    <cellStyle name="Normal 4 6 5 2 6 2" xfId="41641"/>
    <cellStyle name="Normal 4 6 5 2 7" xfId="25949"/>
    <cellStyle name="Normal 4 6 5 2 7 2" xfId="48194"/>
    <cellStyle name="Normal 4 6 5 2 8" xfId="28388"/>
    <cellStyle name="Normal 4 6 5 3" xfId="2754"/>
    <cellStyle name="Normal 4 6 5 3 2" xfId="5846"/>
    <cellStyle name="Normal 4 6 5 3 2 2" xfId="7628"/>
    <cellStyle name="Normal 4 6 5 3 2 2 2" xfId="10957"/>
    <cellStyle name="Normal 4 6 5 3 2 2 2 2" xfId="17661"/>
    <cellStyle name="Normal 4 6 5 3 2 2 2 2 2" xfId="41082"/>
    <cellStyle name="Normal 4 6 5 3 2 2 2 3" xfId="34450"/>
    <cellStyle name="Normal 4 6 5 3 2 2 3" xfId="14345"/>
    <cellStyle name="Normal 4 6 5 3 2 2 3 2" xfId="37766"/>
    <cellStyle name="Normal 4 6 5 3 2 2 4" xfId="22983"/>
    <cellStyle name="Normal 4 6 5 3 2 2 4 2" xfId="45405"/>
    <cellStyle name="Normal 4 6 5 3 2 2 5" xfId="31134"/>
    <cellStyle name="Normal 4 6 5 3 2 3" xfId="9299"/>
    <cellStyle name="Normal 4 6 5 3 2 3 2" xfId="16003"/>
    <cellStyle name="Normal 4 6 5 3 2 3 2 2" xfId="39424"/>
    <cellStyle name="Normal 4 6 5 3 2 3 3" xfId="32792"/>
    <cellStyle name="Normal 4 6 5 3 2 4" xfId="12687"/>
    <cellStyle name="Normal 4 6 5 3 2 4 2" xfId="36108"/>
    <cellStyle name="Normal 4 6 5 3 2 5" xfId="20155"/>
    <cellStyle name="Normal 4 6 5 3 2 5 2" xfId="42690"/>
    <cellStyle name="Normal 4 6 5 3 2 6" xfId="29476"/>
    <cellStyle name="Normal 4 6 5 3 3" xfId="6729"/>
    <cellStyle name="Normal 4 6 5 3 3 2" xfId="10061"/>
    <cellStyle name="Normal 4 6 5 3 3 2 2" xfId="16765"/>
    <cellStyle name="Normal 4 6 5 3 3 2 2 2" xfId="40186"/>
    <cellStyle name="Normal 4 6 5 3 3 2 3" xfId="33554"/>
    <cellStyle name="Normal 4 6 5 3 3 3" xfId="13449"/>
    <cellStyle name="Normal 4 6 5 3 3 3 2" xfId="36870"/>
    <cellStyle name="Normal 4 6 5 3 3 4" xfId="21417"/>
    <cellStyle name="Normal 4 6 5 3 3 4 2" xfId="43868"/>
    <cellStyle name="Normal 4 6 5 3 3 5" xfId="30238"/>
    <cellStyle name="Normal 4 6 5 3 4" xfId="8395"/>
    <cellStyle name="Normal 4 6 5 3 4 2" xfId="15107"/>
    <cellStyle name="Normal 4 6 5 3 4 2 2" xfId="38528"/>
    <cellStyle name="Normal 4 6 5 3 4 3" xfId="22166"/>
    <cellStyle name="Normal 4 6 5 3 4 3 2" xfId="44590"/>
    <cellStyle name="Normal 4 6 5 3 4 4" xfId="31896"/>
    <cellStyle name="Normal 4 6 5 3 5" xfId="11789"/>
    <cellStyle name="Normal 4 6 5 3 5 2" xfId="35212"/>
    <cellStyle name="Normal 4 6 5 3 6" xfId="19305"/>
    <cellStyle name="Normal 4 6 5 3 6 2" xfId="41858"/>
    <cellStyle name="Normal 4 6 5 3 7" xfId="28580"/>
    <cellStyle name="Normal 4 6 5 4" xfId="4103"/>
    <cellStyle name="Normal 4 6 5 4 2" xfId="7102"/>
    <cellStyle name="Normal 4 6 5 4 2 2" xfId="10434"/>
    <cellStyle name="Normal 4 6 5 4 2 2 2" xfId="17138"/>
    <cellStyle name="Normal 4 6 5 4 2 2 2 2" xfId="40559"/>
    <cellStyle name="Normal 4 6 5 4 2 2 3" xfId="33927"/>
    <cellStyle name="Normal 4 6 5 4 2 3" xfId="13822"/>
    <cellStyle name="Normal 4 6 5 4 2 3 2" xfId="37243"/>
    <cellStyle name="Normal 4 6 5 4 2 4" xfId="22578"/>
    <cellStyle name="Normal 4 6 5 4 2 4 2" xfId="45000"/>
    <cellStyle name="Normal 4 6 5 4 2 5" xfId="30611"/>
    <cellStyle name="Normal 4 6 5 4 3" xfId="8769"/>
    <cellStyle name="Normal 4 6 5 4 3 2" xfId="15480"/>
    <cellStyle name="Normal 4 6 5 4 3 2 2" xfId="38901"/>
    <cellStyle name="Normal 4 6 5 4 3 3" xfId="32269"/>
    <cellStyle name="Normal 4 6 5 4 4" xfId="12162"/>
    <cellStyle name="Normal 4 6 5 4 4 2" xfId="35585"/>
    <cellStyle name="Normal 4 6 5 4 5" xfId="19737"/>
    <cellStyle name="Normal 4 6 5 4 5 2" xfId="42274"/>
    <cellStyle name="Normal 4 6 5 4 6" xfId="28953"/>
    <cellStyle name="Normal 4 6 5 5" xfId="6256"/>
    <cellStyle name="Normal 4 6 5 5 2" xfId="9590"/>
    <cellStyle name="Normal 4 6 5 5 2 2" xfId="16294"/>
    <cellStyle name="Normal 4 6 5 5 2 2 2" xfId="39715"/>
    <cellStyle name="Normal 4 6 5 5 2 3" xfId="33083"/>
    <cellStyle name="Normal 4 6 5 5 3" xfId="12978"/>
    <cellStyle name="Normal 4 6 5 5 3 2" xfId="36399"/>
    <cellStyle name="Normal 4 6 5 5 4" xfId="20958"/>
    <cellStyle name="Normal 4 6 5 5 4 2" xfId="43409"/>
    <cellStyle name="Normal 4 6 5 5 5" xfId="29767"/>
    <cellStyle name="Normal 4 6 5 6" xfId="7922"/>
    <cellStyle name="Normal 4 6 5 6 2" xfId="14636"/>
    <cellStyle name="Normal 4 6 5 6 2 2" xfId="38057"/>
    <cellStyle name="Normal 4 6 5 6 3" xfId="21728"/>
    <cellStyle name="Normal 4 6 5 6 3 2" xfId="44177"/>
    <cellStyle name="Normal 4 6 5 6 4" xfId="31425"/>
    <cellStyle name="Normal 4 6 5 7" xfId="11318"/>
    <cellStyle name="Normal 4 6 5 7 2" xfId="34741"/>
    <cellStyle name="Normal 4 6 5 8" xfId="18118"/>
    <cellStyle name="Normal 4 6 5 8 2" xfId="41406"/>
    <cellStyle name="Normal 4 6 5 9" xfId="23718"/>
    <cellStyle name="Normal 4 6 5 9 2" xfId="46007"/>
    <cellStyle name="Normal 4 6 6" xfId="2360"/>
    <cellStyle name="Normal 4 6 6 2" xfId="4104"/>
    <cellStyle name="Normal 4 6 6 2 2" xfId="7103"/>
    <cellStyle name="Normal 4 6 6 2 2 2" xfId="10435"/>
    <cellStyle name="Normal 4 6 6 2 2 2 2" xfId="17139"/>
    <cellStyle name="Normal 4 6 6 2 2 2 2 2" xfId="40560"/>
    <cellStyle name="Normal 4 6 6 2 2 2 3" xfId="23173"/>
    <cellStyle name="Normal 4 6 6 2 2 2 3 2" xfId="45595"/>
    <cellStyle name="Normal 4 6 6 2 2 2 4" xfId="33928"/>
    <cellStyle name="Normal 4 6 6 2 2 3" xfId="13823"/>
    <cellStyle name="Normal 4 6 6 2 2 3 2" xfId="37244"/>
    <cellStyle name="Normal 4 6 6 2 2 4" xfId="20348"/>
    <cellStyle name="Normal 4 6 6 2 2 4 2" xfId="42883"/>
    <cellStyle name="Normal 4 6 6 2 2 5" xfId="30612"/>
    <cellStyle name="Normal 4 6 6 2 3" xfId="8770"/>
    <cellStyle name="Normal 4 6 6 2 3 2" xfId="15481"/>
    <cellStyle name="Normal 4 6 6 2 3 2 2" xfId="38902"/>
    <cellStyle name="Normal 4 6 6 2 3 3" xfId="21419"/>
    <cellStyle name="Normal 4 6 6 2 3 3 2" xfId="43870"/>
    <cellStyle name="Normal 4 6 6 2 3 4" xfId="32270"/>
    <cellStyle name="Normal 4 6 6 2 4" xfId="12163"/>
    <cellStyle name="Normal 4 6 6 2 4 2" xfId="22361"/>
    <cellStyle name="Normal 4 6 6 2 4 2 2" xfId="44783"/>
    <cellStyle name="Normal 4 6 6 2 4 3" xfId="35586"/>
    <cellStyle name="Normal 4 6 6 2 5" xfId="19509"/>
    <cellStyle name="Normal 4 6 6 2 5 2" xfId="42051"/>
    <cellStyle name="Normal 4 6 6 2 6" xfId="25950"/>
    <cellStyle name="Normal 4 6 6 2 6 2" xfId="48195"/>
    <cellStyle name="Normal 4 6 6 2 7" xfId="28954"/>
    <cellStyle name="Normal 4 6 6 3" xfId="6520"/>
    <cellStyle name="Normal 4 6 6 3 2" xfId="9854"/>
    <cellStyle name="Normal 4 6 6 3 2 2" xfId="16558"/>
    <cellStyle name="Normal 4 6 6 3 2 2 2" xfId="39979"/>
    <cellStyle name="Normal 4 6 6 3 2 3" xfId="22768"/>
    <cellStyle name="Normal 4 6 6 3 2 3 2" xfId="45190"/>
    <cellStyle name="Normal 4 6 6 3 2 4" xfId="33347"/>
    <cellStyle name="Normal 4 6 6 3 3" xfId="13242"/>
    <cellStyle name="Normal 4 6 6 3 3 2" xfId="36663"/>
    <cellStyle name="Normal 4 6 6 3 4" xfId="19932"/>
    <cellStyle name="Normal 4 6 6 3 4 2" xfId="42467"/>
    <cellStyle name="Normal 4 6 6 3 5" xfId="30031"/>
    <cellStyle name="Normal 4 6 6 4" xfId="8187"/>
    <cellStyle name="Normal 4 6 6 4 2" xfId="14900"/>
    <cellStyle name="Normal 4 6 6 4 2 2" xfId="38321"/>
    <cellStyle name="Normal 4 6 6 4 3" xfId="20960"/>
    <cellStyle name="Normal 4 6 6 4 3 2" xfId="43411"/>
    <cellStyle name="Normal 4 6 6 4 4" xfId="31689"/>
    <cellStyle name="Normal 4 6 6 5" xfId="11582"/>
    <cellStyle name="Normal 4 6 6 5 2" xfId="21937"/>
    <cellStyle name="Normal 4 6 6 5 2 2" xfId="44369"/>
    <cellStyle name="Normal 4 6 6 5 3" xfId="35005"/>
    <cellStyle name="Normal 4 6 6 6" xfId="18797"/>
    <cellStyle name="Normal 4 6 6 6 2" xfId="41626"/>
    <cellStyle name="Normal 4 6 6 7" xfId="23719"/>
    <cellStyle name="Normal 4 6 6 7 2" xfId="46008"/>
    <cellStyle name="Normal 4 6 6 8" xfId="28373"/>
    <cellStyle name="Normal 4 6 7" xfId="2621"/>
    <cellStyle name="Normal 4 6 7 2" xfId="5715"/>
    <cellStyle name="Normal 4 6 7 2 2" xfId="7498"/>
    <cellStyle name="Normal 4 6 7 2 2 2" xfId="10827"/>
    <cellStyle name="Normal 4 6 7 2 2 2 2" xfId="17531"/>
    <cellStyle name="Normal 4 6 7 2 2 2 2 2" xfId="40952"/>
    <cellStyle name="Normal 4 6 7 2 2 2 3" xfId="34320"/>
    <cellStyle name="Normal 4 6 7 2 2 3" xfId="14215"/>
    <cellStyle name="Normal 4 6 7 2 2 3 2" xfId="37636"/>
    <cellStyle name="Normal 4 6 7 2 2 4" xfId="20644"/>
    <cellStyle name="Normal 4 6 7 2 2 4 2" xfId="43095"/>
    <cellStyle name="Normal 4 6 7 2 2 5" xfId="31004"/>
    <cellStyle name="Normal 4 6 7 2 3" xfId="9169"/>
    <cellStyle name="Normal 4 6 7 2 3 2" xfId="15873"/>
    <cellStyle name="Normal 4 6 7 2 3 2 2" xfId="39294"/>
    <cellStyle name="Normal 4 6 7 2 3 3" xfId="21562"/>
    <cellStyle name="Normal 4 6 7 2 3 3 2" xfId="44013"/>
    <cellStyle name="Normal 4 6 7 2 3 4" xfId="32662"/>
    <cellStyle name="Normal 4 6 7 2 4" xfId="12557"/>
    <cellStyle name="Normal 4 6 7 2 4 2" xfId="22968"/>
    <cellStyle name="Normal 4 6 7 2 4 2 2" xfId="45390"/>
    <cellStyle name="Normal 4 6 7 2 4 3" xfId="35978"/>
    <cellStyle name="Normal 4 6 7 2 5" xfId="20140"/>
    <cellStyle name="Normal 4 6 7 2 5 2" xfId="42675"/>
    <cellStyle name="Normal 4 6 7 2 6" xfId="29346"/>
    <cellStyle name="Normal 4 6 7 3" xfId="6598"/>
    <cellStyle name="Normal 4 6 7 3 2" xfId="9930"/>
    <cellStyle name="Normal 4 6 7 3 2 2" xfId="16634"/>
    <cellStyle name="Normal 4 6 7 3 2 2 2" xfId="40055"/>
    <cellStyle name="Normal 4 6 7 3 2 3" xfId="33423"/>
    <cellStyle name="Normal 4 6 7 3 3" xfId="13318"/>
    <cellStyle name="Normal 4 6 7 3 3 2" xfId="36739"/>
    <cellStyle name="Normal 4 6 7 3 4" xfId="20546"/>
    <cellStyle name="Normal 4 6 7 3 4 2" xfId="42999"/>
    <cellStyle name="Normal 4 6 7 3 5" xfId="30107"/>
    <cellStyle name="Normal 4 6 7 4" xfId="8264"/>
    <cellStyle name="Normal 4 6 7 4 2" xfId="14976"/>
    <cellStyle name="Normal 4 6 7 4 2 2" xfId="38397"/>
    <cellStyle name="Normal 4 6 7 4 3" xfId="21103"/>
    <cellStyle name="Normal 4 6 7 4 3 2" xfId="43554"/>
    <cellStyle name="Normal 4 6 7 4 4" xfId="31765"/>
    <cellStyle name="Normal 4 6 7 5" xfId="11658"/>
    <cellStyle name="Normal 4 6 7 5 2" xfId="22151"/>
    <cellStyle name="Normal 4 6 7 5 2 2" xfId="44575"/>
    <cellStyle name="Normal 4 6 7 5 3" xfId="35081"/>
    <cellStyle name="Normal 4 6 7 6" xfId="19290"/>
    <cellStyle name="Normal 4 6 7 6 2" xfId="41843"/>
    <cellStyle name="Normal 4 6 7 7" xfId="28449"/>
    <cellStyle name="Normal 4 6 8" xfId="4088"/>
    <cellStyle name="Normal 4 6 8 2" xfId="19722"/>
    <cellStyle name="Normal 4 6 8 2 2" xfId="42259"/>
    <cellStyle name="Normal 4 6 8 3" xfId="21388"/>
    <cellStyle name="Normal 4 6 8 3 2" xfId="43839"/>
    <cellStyle name="Normal 4 6 8 4" xfId="22563"/>
    <cellStyle name="Normal 4 6 8 4 2" xfId="44985"/>
    <cellStyle name="Normal 4 6 9" xfId="6125"/>
    <cellStyle name="Normal 4 6 9 2" xfId="9459"/>
    <cellStyle name="Normal 4 6 9 2 2" xfId="16163"/>
    <cellStyle name="Normal 4 6 9 2 2 2" xfId="39584"/>
    <cellStyle name="Normal 4 6 9 2 3" xfId="32952"/>
    <cellStyle name="Normal 4 6 9 3" xfId="12847"/>
    <cellStyle name="Normal 4 6 9 3 2" xfId="36268"/>
    <cellStyle name="Normal 4 6 9 4" xfId="18348"/>
    <cellStyle name="Normal 4 6 9 4 2" xfId="41481"/>
    <cellStyle name="Normal 4 6 9 5" xfId="29636"/>
    <cellStyle name="Normal 4 7" xfId="1253"/>
    <cellStyle name="Normal 4 7 2" xfId="24393"/>
    <cellStyle name="Normal 4 7 2 2" xfId="26596"/>
    <cellStyle name="Normal 4 7 2 2 2" xfId="48841"/>
    <cellStyle name="Normal 4 7 2 3" xfId="46638"/>
    <cellStyle name="Normal 4 8" xfId="1294"/>
    <cellStyle name="Normal 4 8 10" xfId="11194"/>
    <cellStyle name="Normal 4 8 10 2" xfId="21729"/>
    <cellStyle name="Normal 4 8 10 2 2" xfId="44178"/>
    <cellStyle name="Normal 4 8 10 3" xfId="34617"/>
    <cellStyle name="Normal 4 8 11" xfId="18119"/>
    <cellStyle name="Normal 4 8 11 2" xfId="41407"/>
    <cellStyle name="Normal 4 8 12" xfId="23720"/>
    <cellStyle name="Normal 4 8 12 2" xfId="46009"/>
    <cellStyle name="Normal 4 8 13" xfId="27985"/>
    <cellStyle name="Normal 4 8 2" xfId="1485"/>
    <cellStyle name="Normal 4 8 2 10" xfId="18120"/>
    <cellStyle name="Normal 4 8 2 10 2" xfId="41408"/>
    <cellStyle name="Normal 4 8 2 11" xfId="23721"/>
    <cellStyle name="Normal 4 8 2 11 2" xfId="46010"/>
    <cellStyle name="Normal 4 8 2 12" xfId="28021"/>
    <cellStyle name="Normal 4 8 2 2" xfId="1672"/>
    <cellStyle name="Normal 4 8 2 2 10" xfId="23722"/>
    <cellStyle name="Normal 4 8 2 2 10 2" xfId="46011"/>
    <cellStyle name="Normal 4 8 2 2 11" xfId="28091"/>
    <cellStyle name="Normal 4 8 2 2 2" xfId="1870"/>
    <cellStyle name="Normal 4 8 2 2 2 10" xfId="28222"/>
    <cellStyle name="Normal 4 8 2 2 2 2" xfId="2379"/>
    <cellStyle name="Normal 4 8 2 2 2 2 2" xfId="5618"/>
    <cellStyle name="Normal 4 8 2 2 2 2 2 2" xfId="7441"/>
    <cellStyle name="Normal 4 8 2 2 2 2 2 2 2" xfId="10772"/>
    <cellStyle name="Normal 4 8 2 2 2 2 2 2 2 2" xfId="17476"/>
    <cellStyle name="Normal 4 8 2 2 2 2 2 2 2 2 2" xfId="40897"/>
    <cellStyle name="Normal 4 8 2 2 2 2 2 2 2 3" xfId="23192"/>
    <cellStyle name="Normal 4 8 2 2 2 2 2 2 2 3 2" xfId="45614"/>
    <cellStyle name="Normal 4 8 2 2 2 2 2 2 2 4" xfId="34265"/>
    <cellStyle name="Normal 4 8 2 2 2 2 2 2 3" xfId="14160"/>
    <cellStyle name="Normal 4 8 2 2 2 2 2 2 3 2" xfId="37581"/>
    <cellStyle name="Normal 4 8 2 2 2 2 2 2 4" xfId="20367"/>
    <cellStyle name="Normal 4 8 2 2 2 2 2 2 4 2" xfId="42902"/>
    <cellStyle name="Normal 4 8 2 2 2 2 2 2 5" xfId="30949"/>
    <cellStyle name="Normal 4 8 2 2 2 2 2 3" xfId="9114"/>
    <cellStyle name="Normal 4 8 2 2 2 2 2 3 2" xfId="15818"/>
    <cellStyle name="Normal 4 8 2 2 2 2 2 3 2 2" xfId="39239"/>
    <cellStyle name="Normal 4 8 2 2 2 2 2 3 3" xfId="21424"/>
    <cellStyle name="Normal 4 8 2 2 2 2 2 3 3 2" xfId="43875"/>
    <cellStyle name="Normal 4 8 2 2 2 2 2 3 4" xfId="32607"/>
    <cellStyle name="Normal 4 8 2 2 2 2 2 4" xfId="12502"/>
    <cellStyle name="Normal 4 8 2 2 2 2 2 4 2" xfId="22380"/>
    <cellStyle name="Normal 4 8 2 2 2 2 2 4 2 2" xfId="44802"/>
    <cellStyle name="Normal 4 8 2 2 2 2 2 4 3" xfId="35923"/>
    <cellStyle name="Normal 4 8 2 2 2 2 2 5" xfId="19528"/>
    <cellStyle name="Normal 4 8 2 2 2 2 2 5 2" xfId="42070"/>
    <cellStyle name="Normal 4 8 2 2 2 2 2 6" xfId="29291"/>
    <cellStyle name="Normal 4 8 2 2 2 2 3" xfId="6539"/>
    <cellStyle name="Normal 4 8 2 2 2 2 3 2" xfId="9873"/>
    <cellStyle name="Normal 4 8 2 2 2 2 3 2 2" xfId="16577"/>
    <cellStyle name="Normal 4 8 2 2 2 2 3 2 2 2" xfId="39998"/>
    <cellStyle name="Normal 4 8 2 2 2 2 3 2 3" xfId="22787"/>
    <cellStyle name="Normal 4 8 2 2 2 2 3 2 3 2" xfId="45209"/>
    <cellStyle name="Normal 4 8 2 2 2 2 3 2 4" xfId="33366"/>
    <cellStyle name="Normal 4 8 2 2 2 2 3 3" xfId="13261"/>
    <cellStyle name="Normal 4 8 2 2 2 2 3 3 2" xfId="36682"/>
    <cellStyle name="Normal 4 8 2 2 2 2 3 4" xfId="19951"/>
    <cellStyle name="Normal 4 8 2 2 2 2 3 4 2" xfId="42486"/>
    <cellStyle name="Normal 4 8 2 2 2 2 3 5" xfId="30050"/>
    <cellStyle name="Normal 4 8 2 2 2 2 4" xfId="8206"/>
    <cellStyle name="Normal 4 8 2 2 2 2 4 2" xfId="14919"/>
    <cellStyle name="Normal 4 8 2 2 2 2 4 2 2" xfId="38340"/>
    <cellStyle name="Normal 4 8 2 2 2 2 4 3" xfId="20965"/>
    <cellStyle name="Normal 4 8 2 2 2 2 4 3 2" xfId="43416"/>
    <cellStyle name="Normal 4 8 2 2 2 2 4 4" xfId="31708"/>
    <cellStyle name="Normal 4 8 2 2 2 2 5" xfId="11601"/>
    <cellStyle name="Normal 4 8 2 2 2 2 5 2" xfId="21956"/>
    <cellStyle name="Normal 4 8 2 2 2 2 5 2 2" xfId="44388"/>
    <cellStyle name="Normal 4 8 2 2 2 2 5 3" xfId="35024"/>
    <cellStyle name="Normal 4 8 2 2 2 2 6" xfId="18816"/>
    <cellStyle name="Normal 4 8 2 2 2 2 6 2" xfId="41645"/>
    <cellStyle name="Normal 4 8 2 2 2 2 7" xfId="25954"/>
    <cellStyle name="Normal 4 8 2 2 2 2 7 2" xfId="48199"/>
    <cellStyle name="Normal 4 8 2 2 2 2 8" xfId="28392"/>
    <cellStyle name="Normal 4 8 2 2 2 3" xfId="2867"/>
    <cellStyle name="Normal 4 8 2 2 2 3 2" xfId="5959"/>
    <cellStyle name="Normal 4 8 2 2 2 3 2 2" xfId="7741"/>
    <cellStyle name="Normal 4 8 2 2 2 3 2 2 2" xfId="11070"/>
    <cellStyle name="Normal 4 8 2 2 2 3 2 2 2 2" xfId="17774"/>
    <cellStyle name="Normal 4 8 2 2 2 3 2 2 2 2 2" xfId="41195"/>
    <cellStyle name="Normal 4 8 2 2 2 3 2 2 2 3" xfId="34563"/>
    <cellStyle name="Normal 4 8 2 2 2 3 2 2 3" xfId="14458"/>
    <cellStyle name="Normal 4 8 2 2 2 3 2 2 3 2" xfId="37879"/>
    <cellStyle name="Normal 4 8 2 2 2 3 2 2 4" xfId="22987"/>
    <cellStyle name="Normal 4 8 2 2 2 3 2 2 4 2" xfId="45409"/>
    <cellStyle name="Normal 4 8 2 2 2 3 2 2 5" xfId="31247"/>
    <cellStyle name="Normal 4 8 2 2 2 3 2 3" xfId="9412"/>
    <cellStyle name="Normal 4 8 2 2 2 3 2 3 2" xfId="16116"/>
    <cellStyle name="Normal 4 8 2 2 2 3 2 3 2 2" xfId="39537"/>
    <cellStyle name="Normal 4 8 2 2 2 3 2 3 3" xfId="32905"/>
    <cellStyle name="Normal 4 8 2 2 2 3 2 4" xfId="12800"/>
    <cellStyle name="Normal 4 8 2 2 2 3 2 4 2" xfId="36221"/>
    <cellStyle name="Normal 4 8 2 2 2 3 2 5" xfId="20159"/>
    <cellStyle name="Normal 4 8 2 2 2 3 2 5 2" xfId="42694"/>
    <cellStyle name="Normal 4 8 2 2 2 3 2 6" xfId="29589"/>
    <cellStyle name="Normal 4 8 2 2 2 3 3" xfId="6842"/>
    <cellStyle name="Normal 4 8 2 2 2 3 3 2" xfId="10174"/>
    <cellStyle name="Normal 4 8 2 2 2 3 3 2 2" xfId="16878"/>
    <cellStyle name="Normal 4 8 2 2 2 3 3 2 2 2" xfId="40299"/>
    <cellStyle name="Normal 4 8 2 2 2 3 3 2 3" xfId="33667"/>
    <cellStyle name="Normal 4 8 2 2 2 3 3 3" xfId="13562"/>
    <cellStyle name="Normal 4 8 2 2 2 3 3 3 2" xfId="36983"/>
    <cellStyle name="Normal 4 8 2 2 2 3 3 4" xfId="21423"/>
    <cellStyle name="Normal 4 8 2 2 2 3 3 4 2" xfId="43874"/>
    <cellStyle name="Normal 4 8 2 2 2 3 3 5" xfId="30351"/>
    <cellStyle name="Normal 4 8 2 2 2 3 4" xfId="8508"/>
    <cellStyle name="Normal 4 8 2 2 2 3 4 2" xfId="15220"/>
    <cellStyle name="Normal 4 8 2 2 2 3 4 2 2" xfId="38641"/>
    <cellStyle name="Normal 4 8 2 2 2 3 4 3" xfId="22170"/>
    <cellStyle name="Normal 4 8 2 2 2 3 4 3 2" xfId="44594"/>
    <cellStyle name="Normal 4 8 2 2 2 3 4 4" xfId="32009"/>
    <cellStyle name="Normal 4 8 2 2 2 3 5" xfId="11902"/>
    <cellStyle name="Normal 4 8 2 2 2 3 5 2" xfId="35325"/>
    <cellStyle name="Normal 4 8 2 2 2 3 6" xfId="19309"/>
    <cellStyle name="Normal 4 8 2 2 2 3 6 2" xfId="41862"/>
    <cellStyle name="Normal 4 8 2 2 2 3 7" xfId="28693"/>
    <cellStyle name="Normal 4 8 2 2 2 4" xfId="4108"/>
    <cellStyle name="Normal 4 8 2 2 2 4 2" xfId="7107"/>
    <cellStyle name="Normal 4 8 2 2 2 4 2 2" xfId="10439"/>
    <cellStyle name="Normal 4 8 2 2 2 4 2 2 2" xfId="17143"/>
    <cellStyle name="Normal 4 8 2 2 2 4 2 2 2 2" xfId="40564"/>
    <cellStyle name="Normal 4 8 2 2 2 4 2 2 3" xfId="33932"/>
    <cellStyle name="Normal 4 8 2 2 2 4 2 3" xfId="13827"/>
    <cellStyle name="Normal 4 8 2 2 2 4 2 3 2" xfId="37248"/>
    <cellStyle name="Normal 4 8 2 2 2 4 2 4" xfId="22582"/>
    <cellStyle name="Normal 4 8 2 2 2 4 2 4 2" xfId="45004"/>
    <cellStyle name="Normal 4 8 2 2 2 4 2 5" xfId="30616"/>
    <cellStyle name="Normal 4 8 2 2 2 4 3" xfId="8774"/>
    <cellStyle name="Normal 4 8 2 2 2 4 3 2" xfId="15485"/>
    <cellStyle name="Normal 4 8 2 2 2 4 3 2 2" xfId="38906"/>
    <cellStyle name="Normal 4 8 2 2 2 4 3 3" xfId="32274"/>
    <cellStyle name="Normal 4 8 2 2 2 4 4" xfId="12167"/>
    <cellStyle name="Normal 4 8 2 2 2 4 4 2" xfId="35590"/>
    <cellStyle name="Normal 4 8 2 2 2 4 5" xfId="19741"/>
    <cellStyle name="Normal 4 8 2 2 2 4 5 2" xfId="42278"/>
    <cellStyle name="Normal 4 8 2 2 2 4 6" xfId="28958"/>
    <cellStyle name="Normal 4 8 2 2 2 5" xfId="6369"/>
    <cellStyle name="Normal 4 8 2 2 2 5 2" xfId="9703"/>
    <cellStyle name="Normal 4 8 2 2 2 5 2 2" xfId="16407"/>
    <cellStyle name="Normal 4 8 2 2 2 5 2 2 2" xfId="39828"/>
    <cellStyle name="Normal 4 8 2 2 2 5 2 3" xfId="33196"/>
    <cellStyle name="Normal 4 8 2 2 2 5 3" xfId="13091"/>
    <cellStyle name="Normal 4 8 2 2 2 5 3 2" xfId="36512"/>
    <cellStyle name="Normal 4 8 2 2 2 5 4" xfId="20964"/>
    <cellStyle name="Normal 4 8 2 2 2 5 4 2" xfId="43415"/>
    <cellStyle name="Normal 4 8 2 2 2 5 5" xfId="29880"/>
    <cellStyle name="Normal 4 8 2 2 2 6" xfId="8035"/>
    <cellStyle name="Normal 4 8 2 2 2 6 2" xfId="14749"/>
    <cellStyle name="Normal 4 8 2 2 2 6 2 2" xfId="38170"/>
    <cellStyle name="Normal 4 8 2 2 2 6 3" xfId="21732"/>
    <cellStyle name="Normal 4 8 2 2 2 6 3 2" xfId="44181"/>
    <cellStyle name="Normal 4 8 2 2 2 6 4" xfId="31538"/>
    <cellStyle name="Normal 4 8 2 2 2 7" xfId="11431"/>
    <cellStyle name="Normal 4 8 2 2 2 7 2" xfId="34854"/>
    <cellStyle name="Normal 4 8 2 2 2 8" xfId="18122"/>
    <cellStyle name="Normal 4 8 2 2 2 8 2" xfId="41410"/>
    <cellStyle name="Normal 4 8 2 2 2 9" xfId="23723"/>
    <cellStyle name="Normal 4 8 2 2 2 9 2" xfId="46012"/>
    <cellStyle name="Normal 4 8 2 2 3" xfId="2378"/>
    <cellStyle name="Normal 4 8 2 2 3 2" xfId="5617"/>
    <cellStyle name="Normal 4 8 2 2 3 2 2" xfId="7440"/>
    <cellStyle name="Normal 4 8 2 2 3 2 2 2" xfId="10771"/>
    <cellStyle name="Normal 4 8 2 2 3 2 2 2 2" xfId="17475"/>
    <cellStyle name="Normal 4 8 2 2 3 2 2 2 2 2" xfId="40896"/>
    <cellStyle name="Normal 4 8 2 2 3 2 2 2 3" xfId="23191"/>
    <cellStyle name="Normal 4 8 2 2 3 2 2 2 3 2" xfId="45613"/>
    <cellStyle name="Normal 4 8 2 2 3 2 2 2 4" xfId="34264"/>
    <cellStyle name="Normal 4 8 2 2 3 2 2 3" xfId="14159"/>
    <cellStyle name="Normal 4 8 2 2 3 2 2 3 2" xfId="37580"/>
    <cellStyle name="Normal 4 8 2 2 3 2 2 4" xfId="20366"/>
    <cellStyle name="Normal 4 8 2 2 3 2 2 4 2" xfId="42901"/>
    <cellStyle name="Normal 4 8 2 2 3 2 2 5" xfId="30948"/>
    <cellStyle name="Normal 4 8 2 2 3 2 3" xfId="9113"/>
    <cellStyle name="Normal 4 8 2 2 3 2 3 2" xfId="15817"/>
    <cellStyle name="Normal 4 8 2 2 3 2 3 2 2" xfId="39238"/>
    <cellStyle name="Normal 4 8 2 2 3 2 3 3" xfId="21425"/>
    <cellStyle name="Normal 4 8 2 2 3 2 3 3 2" xfId="43876"/>
    <cellStyle name="Normal 4 8 2 2 3 2 3 4" xfId="32606"/>
    <cellStyle name="Normal 4 8 2 2 3 2 4" xfId="12501"/>
    <cellStyle name="Normal 4 8 2 2 3 2 4 2" xfId="22379"/>
    <cellStyle name="Normal 4 8 2 2 3 2 4 2 2" xfId="44801"/>
    <cellStyle name="Normal 4 8 2 2 3 2 4 3" xfId="35922"/>
    <cellStyle name="Normal 4 8 2 2 3 2 5" xfId="19527"/>
    <cellStyle name="Normal 4 8 2 2 3 2 5 2" xfId="42069"/>
    <cellStyle name="Normal 4 8 2 2 3 2 6" xfId="29290"/>
    <cellStyle name="Normal 4 8 2 2 3 3" xfId="6538"/>
    <cellStyle name="Normal 4 8 2 2 3 3 2" xfId="9872"/>
    <cellStyle name="Normal 4 8 2 2 3 3 2 2" xfId="16576"/>
    <cellStyle name="Normal 4 8 2 2 3 3 2 2 2" xfId="39997"/>
    <cellStyle name="Normal 4 8 2 2 3 3 2 3" xfId="22786"/>
    <cellStyle name="Normal 4 8 2 2 3 3 2 3 2" xfId="45208"/>
    <cellStyle name="Normal 4 8 2 2 3 3 2 4" xfId="33365"/>
    <cellStyle name="Normal 4 8 2 2 3 3 3" xfId="13260"/>
    <cellStyle name="Normal 4 8 2 2 3 3 3 2" xfId="36681"/>
    <cellStyle name="Normal 4 8 2 2 3 3 4" xfId="19950"/>
    <cellStyle name="Normal 4 8 2 2 3 3 4 2" xfId="42485"/>
    <cellStyle name="Normal 4 8 2 2 3 3 5" xfId="30049"/>
    <cellStyle name="Normal 4 8 2 2 3 4" xfId="8205"/>
    <cellStyle name="Normal 4 8 2 2 3 4 2" xfId="14918"/>
    <cellStyle name="Normal 4 8 2 2 3 4 2 2" xfId="38339"/>
    <cellStyle name="Normal 4 8 2 2 3 4 3" xfId="20966"/>
    <cellStyle name="Normal 4 8 2 2 3 4 3 2" xfId="43417"/>
    <cellStyle name="Normal 4 8 2 2 3 4 4" xfId="31707"/>
    <cellStyle name="Normal 4 8 2 2 3 5" xfId="11600"/>
    <cellStyle name="Normal 4 8 2 2 3 5 2" xfId="21955"/>
    <cellStyle name="Normal 4 8 2 2 3 5 2 2" xfId="44387"/>
    <cellStyle name="Normal 4 8 2 2 3 5 3" xfId="35023"/>
    <cellStyle name="Normal 4 8 2 2 3 6" xfId="18815"/>
    <cellStyle name="Normal 4 8 2 2 3 6 2" xfId="41644"/>
    <cellStyle name="Normal 4 8 2 2 3 7" xfId="25953"/>
    <cellStyle name="Normal 4 8 2 2 3 7 2" xfId="48198"/>
    <cellStyle name="Normal 4 8 2 2 3 8" xfId="28391"/>
    <cellStyle name="Normal 4 8 2 2 4" xfId="2735"/>
    <cellStyle name="Normal 4 8 2 2 4 2" xfId="5828"/>
    <cellStyle name="Normal 4 8 2 2 4 2 2" xfId="7610"/>
    <cellStyle name="Normal 4 8 2 2 4 2 2 2" xfId="10939"/>
    <cellStyle name="Normal 4 8 2 2 4 2 2 2 2" xfId="17643"/>
    <cellStyle name="Normal 4 8 2 2 4 2 2 2 2 2" xfId="41064"/>
    <cellStyle name="Normal 4 8 2 2 4 2 2 2 3" xfId="34432"/>
    <cellStyle name="Normal 4 8 2 2 4 2 2 3" xfId="14327"/>
    <cellStyle name="Normal 4 8 2 2 4 2 2 3 2" xfId="37748"/>
    <cellStyle name="Normal 4 8 2 2 4 2 2 4" xfId="22986"/>
    <cellStyle name="Normal 4 8 2 2 4 2 2 4 2" xfId="45408"/>
    <cellStyle name="Normal 4 8 2 2 4 2 2 5" xfId="31116"/>
    <cellStyle name="Normal 4 8 2 2 4 2 3" xfId="9281"/>
    <cellStyle name="Normal 4 8 2 2 4 2 3 2" xfId="15985"/>
    <cellStyle name="Normal 4 8 2 2 4 2 3 2 2" xfId="39406"/>
    <cellStyle name="Normal 4 8 2 2 4 2 3 3" xfId="32774"/>
    <cellStyle name="Normal 4 8 2 2 4 2 4" xfId="12669"/>
    <cellStyle name="Normal 4 8 2 2 4 2 4 2" xfId="36090"/>
    <cellStyle name="Normal 4 8 2 2 4 2 5" xfId="20158"/>
    <cellStyle name="Normal 4 8 2 2 4 2 5 2" xfId="42693"/>
    <cellStyle name="Normal 4 8 2 2 4 2 6" xfId="29458"/>
    <cellStyle name="Normal 4 8 2 2 4 3" xfId="6711"/>
    <cellStyle name="Normal 4 8 2 2 4 3 2" xfId="10043"/>
    <cellStyle name="Normal 4 8 2 2 4 3 2 2" xfId="16747"/>
    <cellStyle name="Normal 4 8 2 2 4 3 2 2 2" xfId="40168"/>
    <cellStyle name="Normal 4 8 2 2 4 3 2 3" xfId="33536"/>
    <cellStyle name="Normal 4 8 2 2 4 3 3" xfId="13431"/>
    <cellStyle name="Normal 4 8 2 2 4 3 3 2" xfId="36852"/>
    <cellStyle name="Normal 4 8 2 2 4 3 4" xfId="21422"/>
    <cellStyle name="Normal 4 8 2 2 4 3 4 2" xfId="43873"/>
    <cellStyle name="Normal 4 8 2 2 4 3 5" xfId="30220"/>
    <cellStyle name="Normal 4 8 2 2 4 4" xfId="8377"/>
    <cellStyle name="Normal 4 8 2 2 4 4 2" xfId="15089"/>
    <cellStyle name="Normal 4 8 2 2 4 4 2 2" xfId="38510"/>
    <cellStyle name="Normal 4 8 2 2 4 4 3" xfId="22169"/>
    <cellStyle name="Normal 4 8 2 2 4 4 3 2" xfId="44593"/>
    <cellStyle name="Normal 4 8 2 2 4 4 4" xfId="31878"/>
    <cellStyle name="Normal 4 8 2 2 4 5" xfId="11771"/>
    <cellStyle name="Normal 4 8 2 2 4 5 2" xfId="35194"/>
    <cellStyle name="Normal 4 8 2 2 4 6" xfId="19308"/>
    <cellStyle name="Normal 4 8 2 2 4 6 2" xfId="41861"/>
    <cellStyle name="Normal 4 8 2 2 4 7" xfId="28562"/>
    <cellStyle name="Normal 4 8 2 2 5" xfId="4107"/>
    <cellStyle name="Normal 4 8 2 2 5 2" xfId="7106"/>
    <cellStyle name="Normal 4 8 2 2 5 2 2" xfId="10438"/>
    <cellStyle name="Normal 4 8 2 2 5 2 2 2" xfId="17142"/>
    <cellStyle name="Normal 4 8 2 2 5 2 2 2 2" xfId="40563"/>
    <cellStyle name="Normal 4 8 2 2 5 2 2 3" xfId="33931"/>
    <cellStyle name="Normal 4 8 2 2 5 2 3" xfId="13826"/>
    <cellStyle name="Normal 4 8 2 2 5 2 3 2" xfId="37247"/>
    <cellStyle name="Normal 4 8 2 2 5 2 4" xfId="22581"/>
    <cellStyle name="Normal 4 8 2 2 5 2 4 2" xfId="45003"/>
    <cellStyle name="Normal 4 8 2 2 5 2 5" xfId="30615"/>
    <cellStyle name="Normal 4 8 2 2 5 3" xfId="8773"/>
    <cellStyle name="Normal 4 8 2 2 5 3 2" xfId="15484"/>
    <cellStyle name="Normal 4 8 2 2 5 3 2 2" xfId="38905"/>
    <cellStyle name="Normal 4 8 2 2 5 3 3" xfId="32273"/>
    <cellStyle name="Normal 4 8 2 2 5 4" xfId="12166"/>
    <cellStyle name="Normal 4 8 2 2 5 4 2" xfId="35589"/>
    <cellStyle name="Normal 4 8 2 2 5 5" xfId="19740"/>
    <cellStyle name="Normal 4 8 2 2 5 5 2" xfId="42277"/>
    <cellStyle name="Normal 4 8 2 2 5 6" xfId="28957"/>
    <cellStyle name="Normal 4 8 2 2 6" xfId="6238"/>
    <cellStyle name="Normal 4 8 2 2 6 2" xfId="9572"/>
    <cellStyle name="Normal 4 8 2 2 6 2 2" xfId="16276"/>
    <cellStyle name="Normal 4 8 2 2 6 2 2 2" xfId="39697"/>
    <cellStyle name="Normal 4 8 2 2 6 2 3" xfId="33065"/>
    <cellStyle name="Normal 4 8 2 2 6 3" xfId="12960"/>
    <cellStyle name="Normal 4 8 2 2 6 3 2" xfId="36381"/>
    <cellStyle name="Normal 4 8 2 2 6 4" xfId="20963"/>
    <cellStyle name="Normal 4 8 2 2 6 4 2" xfId="43414"/>
    <cellStyle name="Normal 4 8 2 2 6 5" xfId="29749"/>
    <cellStyle name="Normal 4 8 2 2 7" xfId="7904"/>
    <cellStyle name="Normal 4 8 2 2 7 2" xfId="14618"/>
    <cellStyle name="Normal 4 8 2 2 7 2 2" xfId="38039"/>
    <cellStyle name="Normal 4 8 2 2 7 3" xfId="21731"/>
    <cellStyle name="Normal 4 8 2 2 7 3 2" xfId="44180"/>
    <cellStyle name="Normal 4 8 2 2 7 4" xfId="31407"/>
    <cellStyle name="Normal 4 8 2 2 8" xfId="11300"/>
    <cellStyle name="Normal 4 8 2 2 8 2" xfId="34723"/>
    <cellStyle name="Normal 4 8 2 2 9" xfId="18121"/>
    <cellStyle name="Normal 4 8 2 2 9 2" xfId="41409"/>
    <cellStyle name="Normal 4 8 2 3" xfId="1800"/>
    <cellStyle name="Normal 4 8 2 3 10" xfId="28152"/>
    <cellStyle name="Normal 4 8 2 3 2" xfId="2380"/>
    <cellStyle name="Normal 4 8 2 3 2 2" xfId="5619"/>
    <cellStyle name="Normal 4 8 2 3 2 2 2" xfId="7442"/>
    <cellStyle name="Normal 4 8 2 3 2 2 2 2" xfId="10773"/>
    <cellStyle name="Normal 4 8 2 3 2 2 2 2 2" xfId="17477"/>
    <cellStyle name="Normal 4 8 2 3 2 2 2 2 2 2" xfId="40898"/>
    <cellStyle name="Normal 4 8 2 3 2 2 2 2 3" xfId="23193"/>
    <cellStyle name="Normal 4 8 2 3 2 2 2 2 3 2" xfId="45615"/>
    <cellStyle name="Normal 4 8 2 3 2 2 2 2 4" xfId="34266"/>
    <cellStyle name="Normal 4 8 2 3 2 2 2 3" xfId="14161"/>
    <cellStyle name="Normal 4 8 2 3 2 2 2 3 2" xfId="37582"/>
    <cellStyle name="Normal 4 8 2 3 2 2 2 4" xfId="20368"/>
    <cellStyle name="Normal 4 8 2 3 2 2 2 4 2" xfId="42903"/>
    <cellStyle name="Normal 4 8 2 3 2 2 2 5" xfId="30950"/>
    <cellStyle name="Normal 4 8 2 3 2 2 3" xfId="9115"/>
    <cellStyle name="Normal 4 8 2 3 2 2 3 2" xfId="15819"/>
    <cellStyle name="Normal 4 8 2 3 2 2 3 2 2" xfId="39240"/>
    <cellStyle name="Normal 4 8 2 3 2 2 3 3" xfId="21427"/>
    <cellStyle name="Normal 4 8 2 3 2 2 3 3 2" xfId="43878"/>
    <cellStyle name="Normal 4 8 2 3 2 2 3 4" xfId="32608"/>
    <cellStyle name="Normal 4 8 2 3 2 2 4" xfId="12503"/>
    <cellStyle name="Normal 4 8 2 3 2 2 4 2" xfId="22381"/>
    <cellStyle name="Normal 4 8 2 3 2 2 4 2 2" xfId="44803"/>
    <cellStyle name="Normal 4 8 2 3 2 2 4 3" xfId="35924"/>
    <cellStyle name="Normal 4 8 2 3 2 2 5" xfId="19529"/>
    <cellStyle name="Normal 4 8 2 3 2 2 5 2" xfId="42071"/>
    <cellStyle name="Normal 4 8 2 3 2 2 6" xfId="29292"/>
    <cellStyle name="Normal 4 8 2 3 2 3" xfId="6540"/>
    <cellStyle name="Normal 4 8 2 3 2 3 2" xfId="9874"/>
    <cellStyle name="Normal 4 8 2 3 2 3 2 2" xfId="16578"/>
    <cellStyle name="Normal 4 8 2 3 2 3 2 2 2" xfId="39999"/>
    <cellStyle name="Normal 4 8 2 3 2 3 2 3" xfId="22788"/>
    <cellStyle name="Normal 4 8 2 3 2 3 2 3 2" xfId="45210"/>
    <cellStyle name="Normal 4 8 2 3 2 3 2 4" xfId="33367"/>
    <cellStyle name="Normal 4 8 2 3 2 3 3" xfId="13262"/>
    <cellStyle name="Normal 4 8 2 3 2 3 3 2" xfId="36683"/>
    <cellStyle name="Normal 4 8 2 3 2 3 4" xfId="19952"/>
    <cellStyle name="Normal 4 8 2 3 2 3 4 2" xfId="42487"/>
    <cellStyle name="Normal 4 8 2 3 2 3 5" xfId="30051"/>
    <cellStyle name="Normal 4 8 2 3 2 4" xfId="8207"/>
    <cellStyle name="Normal 4 8 2 3 2 4 2" xfId="14920"/>
    <cellStyle name="Normal 4 8 2 3 2 4 2 2" xfId="38341"/>
    <cellStyle name="Normal 4 8 2 3 2 4 3" xfId="20968"/>
    <cellStyle name="Normal 4 8 2 3 2 4 3 2" xfId="43419"/>
    <cellStyle name="Normal 4 8 2 3 2 4 4" xfId="31709"/>
    <cellStyle name="Normal 4 8 2 3 2 5" xfId="11602"/>
    <cellStyle name="Normal 4 8 2 3 2 5 2" xfId="21957"/>
    <cellStyle name="Normal 4 8 2 3 2 5 2 2" xfId="44389"/>
    <cellStyle name="Normal 4 8 2 3 2 5 3" xfId="35025"/>
    <cellStyle name="Normal 4 8 2 3 2 6" xfId="18817"/>
    <cellStyle name="Normal 4 8 2 3 2 6 2" xfId="41646"/>
    <cellStyle name="Normal 4 8 2 3 2 7" xfId="25955"/>
    <cellStyle name="Normal 4 8 2 3 2 7 2" xfId="48200"/>
    <cellStyle name="Normal 4 8 2 3 2 8" xfId="28393"/>
    <cellStyle name="Normal 4 8 2 3 3" xfId="2797"/>
    <cellStyle name="Normal 4 8 2 3 3 2" xfId="5889"/>
    <cellStyle name="Normal 4 8 2 3 3 2 2" xfId="7671"/>
    <cellStyle name="Normal 4 8 2 3 3 2 2 2" xfId="11000"/>
    <cellStyle name="Normal 4 8 2 3 3 2 2 2 2" xfId="17704"/>
    <cellStyle name="Normal 4 8 2 3 3 2 2 2 2 2" xfId="41125"/>
    <cellStyle name="Normal 4 8 2 3 3 2 2 2 3" xfId="34493"/>
    <cellStyle name="Normal 4 8 2 3 3 2 2 3" xfId="14388"/>
    <cellStyle name="Normal 4 8 2 3 3 2 2 3 2" xfId="37809"/>
    <cellStyle name="Normal 4 8 2 3 3 2 2 4" xfId="22988"/>
    <cellStyle name="Normal 4 8 2 3 3 2 2 4 2" xfId="45410"/>
    <cellStyle name="Normal 4 8 2 3 3 2 2 5" xfId="31177"/>
    <cellStyle name="Normal 4 8 2 3 3 2 3" xfId="9342"/>
    <cellStyle name="Normal 4 8 2 3 3 2 3 2" xfId="16046"/>
    <cellStyle name="Normal 4 8 2 3 3 2 3 2 2" xfId="39467"/>
    <cellStyle name="Normal 4 8 2 3 3 2 3 3" xfId="32835"/>
    <cellStyle name="Normal 4 8 2 3 3 2 4" xfId="12730"/>
    <cellStyle name="Normal 4 8 2 3 3 2 4 2" xfId="36151"/>
    <cellStyle name="Normal 4 8 2 3 3 2 5" xfId="20160"/>
    <cellStyle name="Normal 4 8 2 3 3 2 5 2" xfId="42695"/>
    <cellStyle name="Normal 4 8 2 3 3 2 6" xfId="29519"/>
    <cellStyle name="Normal 4 8 2 3 3 3" xfId="6772"/>
    <cellStyle name="Normal 4 8 2 3 3 3 2" xfId="10104"/>
    <cellStyle name="Normal 4 8 2 3 3 3 2 2" xfId="16808"/>
    <cellStyle name="Normal 4 8 2 3 3 3 2 2 2" xfId="40229"/>
    <cellStyle name="Normal 4 8 2 3 3 3 2 3" xfId="33597"/>
    <cellStyle name="Normal 4 8 2 3 3 3 3" xfId="13492"/>
    <cellStyle name="Normal 4 8 2 3 3 3 3 2" xfId="36913"/>
    <cellStyle name="Normal 4 8 2 3 3 3 4" xfId="21426"/>
    <cellStyle name="Normal 4 8 2 3 3 3 4 2" xfId="43877"/>
    <cellStyle name="Normal 4 8 2 3 3 3 5" xfId="30281"/>
    <cellStyle name="Normal 4 8 2 3 3 4" xfId="8438"/>
    <cellStyle name="Normal 4 8 2 3 3 4 2" xfId="15150"/>
    <cellStyle name="Normal 4 8 2 3 3 4 2 2" xfId="38571"/>
    <cellStyle name="Normal 4 8 2 3 3 4 3" xfId="22171"/>
    <cellStyle name="Normal 4 8 2 3 3 4 3 2" xfId="44595"/>
    <cellStyle name="Normal 4 8 2 3 3 4 4" xfId="31939"/>
    <cellStyle name="Normal 4 8 2 3 3 5" xfId="11832"/>
    <cellStyle name="Normal 4 8 2 3 3 5 2" xfId="35255"/>
    <cellStyle name="Normal 4 8 2 3 3 6" xfId="19310"/>
    <cellStyle name="Normal 4 8 2 3 3 6 2" xfId="41863"/>
    <cellStyle name="Normal 4 8 2 3 3 7" xfId="28623"/>
    <cellStyle name="Normal 4 8 2 3 4" xfId="4109"/>
    <cellStyle name="Normal 4 8 2 3 4 2" xfId="7108"/>
    <cellStyle name="Normal 4 8 2 3 4 2 2" xfId="10440"/>
    <cellStyle name="Normal 4 8 2 3 4 2 2 2" xfId="17144"/>
    <cellStyle name="Normal 4 8 2 3 4 2 2 2 2" xfId="40565"/>
    <cellStyle name="Normal 4 8 2 3 4 2 2 3" xfId="33933"/>
    <cellStyle name="Normal 4 8 2 3 4 2 3" xfId="13828"/>
    <cellStyle name="Normal 4 8 2 3 4 2 3 2" xfId="37249"/>
    <cellStyle name="Normal 4 8 2 3 4 2 4" xfId="22583"/>
    <cellStyle name="Normal 4 8 2 3 4 2 4 2" xfId="45005"/>
    <cellStyle name="Normal 4 8 2 3 4 2 5" xfId="30617"/>
    <cellStyle name="Normal 4 8 2 3 4 3" xfId="8775"/>
    <cellStyle name="Normal 4 8 2 3 4 3 2" xfId="15486"/>
    <cellStyle name="Normal 4 8 2 3 4 3 2 2" xfId="38907"/>
    <cellStyle name="Normal 4 8 2 3 4 3 3" xfId="32275"/>
    <cellStyle name="Normal 4 8 2 3 4 4" xfId="12168"/>
    <cellStyle name="Normal 4 8 2 3 4 4 2" xfId="35591"/>
    <cellStyle name="Normal 4 8 2 3 4 5" xfId="19742"/>
    <cellStyle name="Normal 4 8 2 3 4 5 2" xfId="42279"/>
    <cellStyle name="Normal 4 8 2 3 4 6" xfId="28959"/>
    <cellStyle name="Normal 4 8 2 3 5" xfId="6299"/>
    <cellStyle name="Normal 4 8 2 3 5 2" xfId="9633"/>
    <cellStyle name="Normal 4 8 2 3 5 2 2" xfId="16337"/>
    <cellStyle name="Normal 4 8 2 3 5 2 2 2" xfId="39758"/>
    <cellStyle name="Normal 4 8 2 3 5 2 3" xfId="33126"/>
    <cellStyle name="Normal 4 8 2 3 5 3" xfId="13021"/>
    <cellStyle name="Normal 4 8 2 3 5 3 2" xfId="36442"/>
    <cellStyle name="Normal 4 8 2 3 5 4" xfId="20967"/>
    <cellStyle name="Normal 4 8 2 3 5 4 2" xfId="43418"/>
    <cellStyle name="Normal 4 8 2 3 5 5" xfId="29810"/>
    <cellStyle name="Normal 4 8 2 3 6" xfId="7965"/>
    <cellStyle name="Normal 4 8 2 3 6 2" xfId="14679"/>
    <cellStyle name="Normal 4 8 2 3 6 2 2" xfId="38100"/>
    <cellStyle name="Normal 4 8 2 3 6 3" xfId="21733"/>
    <cellStyle name="Normal 4 8 2 3 6 3 2" xfId="44182"/>
    <cellStyle name="Normal 4 8 2 3 6 4" xfId="31468"/>
    <cellStyle name="Normal 4 8 2 3 7" xfId="11361"/>
    <cellStyle name="Normal 4 8 2 3 7 2" xfId="34784"/>
    <cellStyle name="Normal 4 8 2 3 8" xfId="18123"/>
    <cellStyle name="Normal 4 8 2 3 8 2" xfId="41411"/>
    <cellStyle name="Normal 4 8 2 3 9" xfId="23724"/>
    <cellStyle name="Normal 4 8 2 3 9 2" xfId="46013"/>
    <cellStyle name="Normal 4 8 2 4" xfId="2377"/>
    <cellStyle name="Normal 4 8 2 4 2" xfId="5616"/>
    <cellStyle name="Normal 4 8 2 4 2 2" xfId="7439"/>
    <cellStyle name="Normal 4 8 2 4 2 2 2" xfId="10770"/>
    <cellStyle name="Normal 4 8 2 4 2 2 2 2" xfId="17474"/>
    <cellStyle name="Normal 4 8 2 4 2 2 2 2 2" xfId="40895"/>
    <cellStyle name="Normal 4 8 2 4 2 2 2 3" xfId="23190"/>
    <cellStyle name="Normal 4 8 2 4 2 2 2 3 2" xfId="45612"/>
    <cellStyle name="Normal 4 8 2 4 2 2 2 4" xfId="34263"/>
    <cellStyle name="Normal 4 8 2 4 2 2 3" xfId="14158"/>
    <cellStyle name="Normal 4 8 2 4 2 2 3 2" xfId="37579"/>
    <cellStyle name="Normal 4 8 2 4 2 2 4" xfId="20365"/>
    <cellStyle name="Normal 4 8 2 4 2 2 4 2" xfId="42900"/>
    <cellStyle name="Normal 4 8 2 4 2 2 5" xfId="30947"/>
    <cellStyle name="Normal 4 8 2 4 2 3" xfId="9112"/>
    <cellStyle name="Normal 4 8 2 4 2 3 2" xfId="15816"/>
    <cellStyle name="Normal 4 8 2 4 2 3 2 2" xfId="39237"/>
    <cellStyle name="Normal 4 8 2 4 2 3 3" xfId="21428"/>
    <cellStyle name="Normal 4 8 2 4 2 3 3 2" xfId="43879"/>
    <cellStyle name="Normal 4 8 2 4 2 3 4" xfId="32605"/>
    <cellStyle name="Normal 4 8 2 4 2 4" xfId="12500"/>
    <cellStyle name="Normal 4 8 2 4 2 4 2" xfId="22378"/>
    <cellStyle name="Normal 4 8 2 4 2 4 2 2" xfId="44800"/>
    <cellStyle name="Normal 4 8 2 4 2 4 3" xfId="35921"/>
    <cellStyle name="Normal 4 8 2 4 2 5" xfId="19526"/>
    <cellStyle name="Normal 4 8 2 4 2 5 2" xfId="42068"/>
    <cellStyle name="Normal 4 8 2 4 2 6" xfId="29289"/>
    <cellStyle name="Normal 4 8 2 4 3" xfId="6537"/>
    <cellStyle name="Normal 4 8 2 4 3 2" xfId="9871"/>
    <cellStyle name="Normal 4 8 2 4 3 2 2" xfId="16575"/>
    <cellStyle name="Normal 4 8 2 4 3 2 2 2" xfId="39996"/>
    <cellStyle name="Normal 4 8 2 4 3 2 3" xfId="22785"/>
    <cellStyle name="Normal 4 8 2 4 3 2 3 2" xfId="45207"/>
    <cellStyle name="Normal 4 8 2 4 3 2 4" xfId="33364"/>
    <cellStyle name="Normal 4 8 2 4 3 3" xfId="13259"/>
    <cellStyle name="Normal 4 8 2 4 3 3 2" xfId="36680"/>
    <cellStyle name="Normal 4 8 2 4 3 4" xfId="19949"/>
    <cellStyle name="Normal 4 8 2 4 3 4 2" xfId="42484"/>
    <cellStyle name="Normal 4 8 2 4 3 5" xfId="30048"/>
    <cellStyle name="Normal 4 8 2 4 4" xfId="8204"/>
    <cellStyle name="Normal 4 8 2 4 4 2" xfId="14917"/>
    <cellStyle name="Normal 4 8 2 4 4 2 2" xfId="38338"/>
    <cellStyle name="Normal 4 8 2 4 4 3" xfId="20969"/>
    <cellStyle name="Normal 4 8 2 4 4 3 2" xfId="43420"/>
    <cellStyle name="Normal 4 8 2 4 4 4" xfId="31706"/>
    <cellStyle name="Normal 4 8 2 4 5" xfId="11599"/>
    <cellStyle name="Normal 4 8 2 4 5 2" xfId="21954"/>
    <cellStyle name="Normal 4 8 2 4 5 2 2" xfId="44386"/>
    <cellStyle name="Normal 4 8 2 4 5 3" xfId="35022"/>
    <cellStyle name="Normal 4 8 2 4 6" xfId="18814"/>
    <cellStyle name="Normal 4 8 2 4 6 2" xfId="41643"/>
    <cellStyle name="Normal 4 8 2 4 7" xfId="25952"/>
    <cellStyle name="Normal 4 8 2 4 7 2" xfId="48197"/>
    <cellStyle name="Normal 4 8 2 4 8" xfId="28390"/>
    <cellStyle name="Normal 4 8 2 5" xfId="2665"/>
    <cellStyle name="Normal 4 8 2 5 2" xfId="5758"/>
    <cellStyle name="Normal 4 8 2 5 2 2" xfId="7540"/>
    <cellStyle name="Normal 4 8 2 5 2 2 2" xfId="10869"/>
    <cellStyle name="Normal 4 8 2 5 2 2 2 2" xfId="17573"/>
    <cellStyle name="Normal 4 8 2 5 2 2 2 2 2" xfId="40994"/>
    <cellStyle name="Normal 4 8 2 5 2 2 2 3" xfId="34362"/>
    <cellStyle name="Normal 4 8 2 5 2 2 3" xfId="14257"/>
    <cellStyle name="Normal 4 8 2 5 2 2 3 2" xfId="37678"/>
    <cellStyle name="Normal 4 8 2 5 2 2 4" xfId="20649"/>
    <cellStyle name="Normal 4 8 2 5 2 2 4 2" xfId="43100"/>
    <cellStyle name="Normal 4 8 2 5 2 2 5" xfId="31046"/>
    <cellStyle name="Normal 4 8 2 5 2 3" xfId="9211"/>
    <cellStyle name="Normal 4 8 2 5 2 3 2" xfId="15915"/>
    <cellStyle name="Normal 4 8 2 5 2 3 2 2" xfId="39336"/>
    <cellStyle name="Normal 4 8 2 5 2 3 3" xfId="21567"/>
    <cellStyle name="Normal 4 8 2 5 2 3 3 2" xfId="44018"/>
    <cellStyle name="Normal 4 8 2 5 2 3 4" xfId="32704"/>
    <cellStyle name="Normal 4 8 2 5 2 4" xfId="12599"/>
    <cellStyle name="Normal 4 8 2 5 2 4 2" xfId="22985"/>
    <cellStyle name="Normal 4 8 2 5 2 4 2 2" xfId="45407"/>
    <cellStyle name="Normal 4 8 2 5 2 4 3" xfId="36020"/>
    <cellStyle name="Normal 4 8 2 5 2 5" xfId="20157"/>
    <cellStyle name="Normal 4 8 2 5 2 5 2" xfId="42692"/>
    <cellStyle name="Normal 4 8 2 5 2 6" xfId="29388"/>
    <cellStyle name="Normal 4 8 2 5 3" xfId="6641"/>
    <cellStyle name="Normal 4 8 2 5 3 2" xfId="9973"/>
    <cellStyle name="Normal 4 8 2 5 3 2 2" xfId="16677"/>
    <cellStyle name="Normal 4 8 2 5 3 2 2 2" xfId="40098"/>
    <cellStyle name="Normal 4 8 2 5 3 2 3" xfId="33466"/>
    <cellStyle name="Normal 4 8 2 5 3 3" xfId="13361"/>
    <cellStyle name="Normal 4 8 2 5 3 3 2" xfId="36782"/>
    <cellStyle name="Normal 4 8 2 5 3 4" xfId="20551"/>
    <cellStyle name="Normal 4 8 2 5 3 4 2" xfId="43004"/>
    <cellStyle name="Normal 4 8 2 5 3 5" xfId="30150"/>
    <cellStyle name="Normal 4 8 2 5 4" xfId="8307"/>
    <cellStyle name="Normal 4 8 2 5 4 2" xfId="15019"/>
    <cellStyle name="Normal 4 8 2 5 4 2 2" xfId="38440"/>
    <cellStyle name="Normal 4 8 2 5 4 3" xfId="21108"/>
    <cellStyle name="Normal 4 8 2 5 4 3 2" xfId="43559"/>
    <cellStyle name="Normal 4 8 2 5 4 4" xfId="31808"/>
    <cellStyle name="Normal 4 8 2 5 5" xfId="11701"/>
    <cellStyle name="Normal 4 8 2 5 5 2" xfId="22168"/>
    <cellStyle name="Normal 4 8 2 5 5 2 2" xfId="44592"/>
    <cellStyle name="Normal 4 8 2 5 5 3" xfId="35124"/>
    <cellStyle name="Normal 4 8 2 5 6" xfId="19307"/>
    <cellStyle name="Normal 4 8 2 5 6 2" xfId="41860"/>
    <cellStyle name="Normal 4 8 2 5 7" xfId="28492"/>
    <cellStyle name="Normal 4 8 2 6" xfId="4106"/>
    <cellStyle name="Normal 4 8 2 6 2" xfId="7105"/>
    <cellStyle name="Normal 4 8 2 6 2 2" xfId="10437"/>
    <cellStyle name="Normal 4 8 2 6 2 2 2" xfId="17141"/>
    <cellStyle name="Normal 4 8 2 6 2 2 2 2" xfId="40562"/>
    <cellStyle name="Normal 4 8 2 6 2 2 3" xfId="33930"/>
    <cellStyle name="Normal 4 8 2 6 2 3" xfId="13825"/>
    <cellStyle name="Normal 4 8 2 6 2 3 2" xfId="37246"/>
    <cellStyle name="Normal 4 8 2 6 2 4" xfId="20601"/>
    <cellStyle name="Normal 4 8 2 6 2 4 2" xfId="43052"/>
    <cellStyle name="Normal 4 8 2 6 2 5" xfId="30614"/>
    <cellStyle name="Normal 4 8 2 6 3" xfId="8772"/>
    <cellStyle name="Normal 4 8 2 6 3 2" xfId="15483"/>
    <cellStyle name="Normal 4 8 2 6 3 2 2" xfId="38904"/>
    <cellStyle name="Normal 4 8 2 6 3 3" xfId="21421"/>
    <cellStyle name="Normal 4 8 2 6 3 3 2" xfId="43872"/>
    <cellStyle name="Normal 4 8 2 6 3 4" xfId="32272"/>
    <cellStyle name="Normal 4 8 2 6 4" xfId="12165"/>
    <cellStyle name="Normal 4 8 2 6 4 2" xfId="22580"/>
    <cellStyle name="Normal 4 8 2 6 4 2 2" xfId="45002"/>
    <cellStyle name="Normal 4 8 2 6 4 3" xfId="35588"/>
    <cellStyle name="Normal 4 8 2 6 5" xfId="19739"/>
    <cellStyle name="Normal 4 8 2 6 5 2" xfId="42276"/>
    <cellStyle name="Normal 4 8 2 6 6" xfId="28956"/>
    <cellStyle name="Normal 4 8 2 7" xfId="6168"/>
    <cellStyle name="Normal 4 8 2 7 2" xfId="9502"/>
    <cellStyle name="Normal 4 8 2 7 2 2" xfId="16206"/>
    <cellStyle name="Normal 4 8 2 7 2 2 2" xfId="39627"/>
    <cellStyle name="Normal 4 8 2 7 2 3" xfId="32995"/>
    <cellStyle name="Normal 4 8 2 7 3" xfId="12890"/>
    <cellStyle name="Normal 4 8 2 7 3 2" xfId="36311"/>
    <cellStyle name="Normal 4 8 2 7 4" xfId="18350"/>
    <cellStyle name="Normal 4 8 2 7 4 2" xfId="41483"/>
    <cellStyle name="Normal 4 8 2 7 5" xfId="29679"/>
    <cellStyle name="Normal 4 8 2 8" xfId="7834"/>
    <cellStyle name="Normal 4 8 2 8 2" xfId="14548"/>
    <cellStyle name="Normal 4 8 2 8 2 2" xfId="37969"/>
    <cellStyle name="Normal 4 8 2 8 3" xfId="20962"/>
    <cellStyle name="Normal 4 8 2 8 3 2" xfId="43413"/>
    <cellStyle name="Normal 4 8 2 8 4" xfId="31337"/>
    <cellStyle name="Normal 4 8 2 9" xfId="11230"/>
    <cellStyle name="Normal 4 8 2 9 2" xfId="21730"/>
    <cellStyle name="Normal 4 8 2 9 2 2" xfId="44179"/>
    <cellStyle name="Normal 4 8 2 9 3" xfId="34653"/>
    <cellStyle name="Normal 4 8 3" xfId="1671"/>
    <cellStyle name="Normal 4 8 3 10" xfId="23725"/>
    <cellStyle name="Normal 4 8 3 10 2" xfId="46014"/>
    <cellStyle name="Normal 4 8 3 11" xfId="28090"/>
    <cellStyle name="Normal 4 8 3 2" xfId="1869"/>
    <cellStyle name="Normal 4 8 3 2 10" xfId="28221"/>
    <cellStyle name="Normal 4 8 3 2 2" xfId="2382"/>
    <cellStyle name="Normal 4 8 3 2 2 2" xfId="5621"/>
    <cellStyle name="Normal 4 8 3 2 2 2 2" xfId="7444"/>
    <cellStyle name="Normal 4 8 3 2 2 2 2 2" xfId="10775"/>
    <cellStyle name="Normal 4 8 3 2 2 2 2 2 2" xfId="17479"/>
    <cellStyle name="Normal 4 8 3 2 2 2 2 2 2 2" xfId="40900"/>
    <cellStyle name="Normal 4 8 3 2 2 2 2 2 3" xfId="23195"/>
    <cellStyle name="Normal 4 8 3 2 2 2 2 2 3 2" xfId="45617"/>
    <cellStyle name="Normal 4 8 3 2 2 2 2 2 4" xfId="34268"/>
    <cellStyle name="Normal 4 8 3 2 2 2 2 3" xfId="14163"/>
    <cellStyle name="Normal 4 8 3 2 2 2 2 3 2" xfId="37584"/>
    <cellStyle name="Normal 4 8 3 2 2 2 2 4" xfId="20370"/>
    <cellStyle name="Normal 4 8 3 2 2 2 2 4 2" xfId="42905"/>
    <cellStyle name="Normal 4 8 3 2 2 2 2 5" xfId="30952"/>
    <cellStyle name="Normal 4 8 3 2 2 2 3" xfId="9117"/>
    <cellStyle name="Normal 4 8 3 2 2 2 3 2" xfId="15821"/>
    <cellStyle name="Normal 4 8 3 2 2 2 3 2 2" xfId="39242"/>
    <cellStyle name="Normal 4 8 3 2 2 2 3 3" xfId="21431"/>
    <cellStyle name="Normal 4 8 3 2 2 2 3 3 2" xfId="43882"/>
    <cellStyle name="Normal 4 8 3 2 2 2 3 4" xfId="32610"/>
    <cellStyle name="Normal 4 8 3 2 2 2 4" xfId="12505"/>
    <cellStyle name="Normal 4 8 3 2 2 2 4 2" xfId="22383"/>
    <cellStyle name="Normal 4 8 3 2 2 2 4 2 2" xfId="44805"/>
    <cellStyle name="Normal 4 8 3 2 2 2 4 3" xfId="35926"/>
    <cellStyle name="Normal 4 8 3 2 2 2 5" xfId="19531"/>
    <cellStyle name="Normal 4 8 3 2 2 2 5 2" xfId="42073"/>
    <cellStyle name="Normal 4 8 3 2 2 2 6" xfId="29294"/>
    <cellStyle name="Normal 4 8 3 2 2 3" xfId="6542"/>
    <cellStyle name="Normal 4 8 3 2 2 3 2" xfId="9876"/>
    <cellStyle name="Normal 4 8 3 2 2 3 2 2" xfId="16580"/>
    <cellStyle name="Normal 4 8 3 2 2 3 2 2 2" xfId="40001"/>
    <cellStyle name="Normal 4 8 3 2 2 3 2 3" xfId="22790"/>
    <cellStyle name="Normal 4 8 3 2 2 3 2 3 2" xfId="45212"/>
    <cellStyle name="Normal 4 8 3 2 2 3 2 4" xfId="33369"/>
    <cellStyle name="Normal 4 8 3 2 2 3 3" xfId="13264"/>
    <cellStyle name="Normal 4 8 3 2 2 3 3 2" xfId="36685"/>
    <cellStyle name="Normal 4 8 3 2 2 3 4" xfId="19954"/>
    <cellStyle name="Normal 4 8 3 2 2 3 4 2" xfId="42489"/>
    <cellStyle name="Normal 4 8 3 2 2 3 5" xfId="30053"/>
    <cellStyle name="Normal 4 8 3 2 2 4" xfId="8209"/>
    <cellStyle name="Normal 4 8 3 2 2 4 2" xfId="14922"/>
    <cellStyle name="Normal 4 8 3 2 2 4 2 2" xfId="38343"/>
    <cellStyle name="Normal 4 8 3 2 2 4 3" xfId="20972"/>
    <cellStyle name="Normal 4 8 3 2 2 4 3 2" xfId="43423"/>
    <cellStyle name="Normal 4 8 3 2 2 4 4" xfId="31711"/>
    <cellStyle name="Normal 4 8 3 2 2 5" xfId="11604"/>
    <cellStyle name="Normal 4 8 3 2 2 5 2" xfId="21959"/>
    <cellStyle name="Normal 4 8 3 2 2 5 2 2" xfId="44391"/>
    <cellStyle name="Normal 4 8 3 2 2 5 3" xfId="35027"/>
    <cellStyle name="Normal 4 8 3 2 2 6" xfId="18819"/>
    <cellStyle name="Normal 4 8 3 2 2 6 2" xfId="41648"/>
    <cellStyle name="Normal 4 8 3 2 2 7" xfId="25957"/>
    <cellStyle name="Normal 4 8 3 2 2 7 2" xfId="48202"/>
    <cellStyle name="Normal 4 8 3 2 2 8" xfId="28395"/>
    <cellStyle name="Normal 4 8 3 2 3" xfId="2866"/>
    <cellStyle name="Normal 4 8 3 2 3 2" xfId="5958"/>
    <cellStyle name="Normal 4 8 3 2 3 2 2" xfId="7740"/>
    <cellStyle name="Normal 4 8 3 2 3 2 2 2" xfId="11069"/>
    <cellStyle name="Normal 4 8 3 2 3 2 2 2 2" xfId="17773"/>
    <cellStyle name="Normal 4 8 3 2 3 2 2 2 2 2" xfId="41194"/>
    <cellStyle name="Normal 4 8 3 2 3 2 2 2 3" xfId="34562"/>
    <cellStyle name="Normal 4 8 3 2 3 2 2 3" xfId="14457"/>
    <cellStyle name="Normal 4 8 3 2 3 2 2 3 2" xfId="37878"/>
    <cellStyle name="Normal 4 8 3 2 3 2 2 4" xfId="22990"/>
    <cellStyle name="Normal 4 8 3 2 3 2 2 4 2" xfId="45412"/>
    <cellStyle name="Normal 4 8 3 2 3 2 2 5" xfId="31246"/>
    <cellStyle name="Normal 4 8 3 2 3 2 3" xfId="9411"/>
    <cellStyle name="Normal 4 8 3 2 3 2 3 2" xfId="16115"/>
    <cellStyle name="Normal 4 8 3 2 3 2 3 2 2" xfId="39536"/>
    <cellStyle name="Normal 4 8 3 2 3 2 3 3" xfId="32904"/>
    <cellStyle name="Normal 4 8 3 2 3 2 4" xfId="12799"/>
    <cellStyle name="Normal 4 8 3 2 3 2 4 2" xfId="36220"/>
    <cellStyle name="Normal 4 8 3 2 3 2 5" xfId="20162"/>
    <cellStyle name="Normal 4 8 3 2 3 2 5 2" xfId="42697"/>
    <cellStyle name="Normal 4 8 3 2 3 2 6" xfId="29588"/>
    <cellStyle name="Normal 4 8 3 2 3 3" xfId="6841"/>
    <cellStyle name="Normal 4 8 3 2 3 3 2" xfId="10173"/>
    <cellStyle name="Normal 4 8 3 2 3 3 2 2" xfId="16877"/>
    <cellStyle name="Normal 4 8 3 2 3 3 2 2 2" xfId="40298"/>
    <cellStyle name="Normal 4 8 3 2 3 3 2 3" xfId="33666"/>
    <cellStyle name="Normal 4 8 3 2 3 3 3" xfId="13561"/>
    <cellStyle name="Normal 4 8 3 2 3 3 3 2" xfId="36982"/>
    <cellStyle name="Normal 4 8 3 2 3 3 4" xfId="21430"/>
    <cellStyle name="Normal 4 8 3 2 3 3 4 2" xfId="43881"/>
    <cellStyle name="Normal 4 8 3 2 3 3 5" xfId="30350"/>
    <cellStyle name="Normal 4 8 3 2 3 4" xfId="8507"/>
    <cellStyle name="Normal 4 8 3 2 3 4 2" xfId="15219"/>
    <cellStyle name="Normal 4 8 3 2 3 4 2 2" xfId="38640"/>
    <cellStyle name="Normal 4 8 3 2 3 4 3" xfId="22173"/>
    <cellStyle name="Normal 4 8 3 2 3 4 3 2" xfId="44597"/>
    <cellStyle name="Normal 4 8 3 2 3 4 4" xfId="32008"/>
    <cellStyle name="Normal 4 8 3 2 3 5" xfId="11901"/>
    <cellStyle name="Normal 4 8 3 2 3 5 2" xfId="35324"/>
    <cellStyle name="Normal 4 8 3 2 3 6" xfId="19312"/>
    <cellStyle name="Normal 4 8 3 2 3 6 2" xfId="41865"/>
    <cellStyle name="Normal 4 8 3 2 3 7" xfId="28692"/>
    <cellStyle name="Normal 4 8 3 2 4" xfId="4111"/>
    <cellStyle name="Normal 4 8 3 2 4 2" xfId="7110"/>
    <cellStyle name="Normal 4 8 3 2 4 2 2" xfId="10442"/>
    <cellStyle name="Normal 4 8 3 2 4 2 2 2" xfId="17146"/>
    <cellStyle name="Normal 4 8 3 2 4 2 2 2 2" xfId="40567"/>
    <cellStyle name="Normal 4 8 3 2 4 2 2 3" xfId="33935"/>
    <cellStyle name="Normal 4 8 3 2 4 2 3" xfId="13830"/>
    <cellStyle name="Normal 4 8 3 2 4 2 3 2" xfId="37251"/>
    <cellStyle name="Normal 4 8 3 2 4 2 4" xfId="22585"/>
    <cellStyle name="Normal 4 8 3 2 4 2 4 2" xfId="45007"/>
    <cellStyle name="Normal 4 8 3 2 4 2 5" xfId="30619"/>
    <cellStyle name="Normal 4 8 3 2 4 3" xfId="8777"/>
    <cellStyle name="Normal 4 8 3 2 4 3 2" xfId="15488"/>
    <cellStyle name="Normal 4 8 3 2 4 3 2 2" xfId="38909"/>
    <cellStyle name="Normal 4 8 3 2 4 3 3" xfId="32277"/>
    <cellStyle name="Normal 4 8 3 2 4 4" xfId="12170"/>
    <cellStyle name="Normal 4 8 3 2 4 4 2" xfId="35593"/>
    <cellStyle name="Normal 4 8 3 2 4 5" xfId="19744"/>
    <cellStyle name="Normal 4 8 3 2 4 5 2" xfId="42281"/>
    <cellStyle name="Normal 4 8 3 2 4 6" xfId="28961"/>
    <cellStyle name="Normal 4 8 3 2 5" xfId="6368"/>
    <cellStyle name="Normal 4 8 3 2 5 2" xfId="9702"/>
    <cellStyle name="Normal 4 8 3 2 5 2 2" xfId="16406"/>
    <cellStyle name="Normal 4 8 3 2 5 2 2 2" xfId="39827"/>
    <cellStyle name="Normal 4 8 3 2 5 2 3" xfId="33195"/>
    <cellStyle name="Normal 4 8 3 2 5 3" xfId="13090"/>
    <cellStyle name="Normal 4 8 3 2 5 3 2" xfId="36511"/>
    <cellStyle name="Normal 4 8 3 2 5 4" xfId="20971"/>
    <cellStyle name="Normal 4 8 3 2 5 4 2" xfId="43422"/>
    <cellStyle name="Normal 4 8 3 2 5 5" xfId="29879"/>
    <cellStyle name="Normal 4 8 3 2 6" xfId="8034"/>
    <cellStyle name="Normal 4 8 3 2 6 2" xfId="14748"/>
    <cellStyle name="Normal 4 8 3 2 6 2 2" xfId="38169"/>
    <cellStyle name="Normal 4 8 3 2 6 3" xfId="21735"/>
    <cellStyle name="Normal 4 8 3 2 6 3 2" xfId="44184"/>
    <cellStyle name="Normal 4 8 3 2 6 4" xfId="31537"/>
    <cellStyle name="Normal 4 8 3 2 7" xfId="11430"/>
    <cellStyle name="Normal 4 8 3 2 7 2" xfId="34853"/>
    <cellStyle name="Normal 4 8 3 2 8" xfId="18125"/>
    <cellStyle name="Normal 4 8 3 2 8 2" xfId="41413"/>
    <cellStyle name="Normal 4 8 3 2 9" xfId="23726"/>
    <cellStyle name="Normal 4 8 3 2 9 2" xfId="46015"/>
    <cellStyle name="Normal 4 8 3 3" xfId="2381"/>
    <cellStyle name="Normal 4 8 3 3 2" xfId="5620"/>
    <cellStyle name="Normal 4 8 3 3 2 2" xfId="7443"/>
    <cellStyle name="Normal 4 8 3 3 2 2 2" xfId="10774"/>
    <cellStyle name="Normal 4 8 3 3 2 2 2 2" xfId="17478"/>
    <cellStyle name="Normal 4 8 3 3 2 2 2 2 2" xfId="40899"/>
    <cellStyle name="Normal 4 8 3 3 2 2 2 3" xfId="23194"/>
    <cellStyle name="Normal 4 8 3 3 2 2 2 3 2" xfId="45616"/>
    <cellStyle name="Normal 4 8 3 3 2 2 2 4" xfId="34267"/>
    <cellStyle name="Normal 4 8 3 3 2 2 3" xfId="14162"/>
    <cellStyle name="Normal 4 8 3 3 2 2 3 2" xfId="37583"/>
    <cellStyle name="Normal 4 8 3 3 2 2 4" xfId="20369"/>
    <cellStyle name="Normal 4 8 3 3 2 2 4 2" xfId="42904"/>
    <cellStyle name="Normal 4 8 3 3 2 2 5" xfId="30951"/>
    <cellStyle name="Normal 4 8 3 3 2 3" xfId="9116"/>
    <cellStyle name="Normal 4 8 3 3 2 3 2" xfId="15820"/>
    <cellStyle name="Normal 4 8 3 3 2 3 2 2" xfId="39241"/>
    <cellStyle name="Normal 4 8 3 3 2 3 3" xfId="21432"/>
    <cellStyle name="Normal 4 8 3 3 2 3 3 2" xfId="43883"/>
    <cellStyle name="Normal 4 8 3 3 2 3 4" xfId="32609"/>
    <cellStyle name="Normal 4 8 3 3 2 4" xfId="12504"/>
    <cellStyle name="Normal 4 8 3 3 2 4 2" xfId="22382"/>
    <cellStyle name="Normal 4 8 3 3 2 4 2 2" xfId="44804"/>
    <cellStyle name="Normal 4 8 3 3 2 4 3" xfId="35925"/>
    <cellStyle name="Normal 4 8 3 3 2 5" xfId="19530"/>
    <cellStyle name="Normal 4 8 3 3 2 5 2" xfId="42072"/>
    <cellStyle name="Normal 4 8 3 3 2 6" xfId="29293"/>
    <cellStyle name="Normal 4 8 3 3 3" xfId="6541"/>
    <cellStyle name="Normal 4 8 3 3 3 2" xfId="9875"/>
    <cellStyle name="Normal 4 8 3 3 3 2 2" xfId="16579"/>
    <cellStyle name="Normal 4 8 3 3 3 2 2 2" xfId="40000"/>
    <cellStyle name="Normal 4 8 3 3 3 2 3" xfId="22789"/>
    <cellStyle name="Normal 4 8 3 3 3 2 3 2" xfId="45211"/>
    <cellStyle name="Normal 4 8 3 3 3 2 4" xfId="33368"/>
    <cellStyle name="Normal 4 8 3 3 3 3" xfId="13263"/>
    <cellStyle name="Normal 4 8 3 3 3 3 2" xfId="36684"/>
    <cellStyle name="Normal 4 8 3 3 3 4" xfId="19953"/>
    <cellStyle name="Normal 4 8 3 3 3 4 2" xfId="42488"/>
    <cellStyle name="Normal 4 8 3 3 3 5" xfId="30052"/>
    <cellStyle name="Normal 4 8 3 3 4" xfId="8208"/>
    <cellStyle name="Normal 4 8 3 3 4 2" xfId="14921"/>
    <cellStyle name="Normal 4 8 3 3 4 2 2" xfId="38342"/>
    <cellStyle name="Normal 4 8 3 3 4 3" xfId="20973"/>
    <cellStyle name="Normal 4 8 3 3 4 3 2" xfId="43424"/>
    <cellStyle name="Normal 4 8 3 3 4 4" xfId="31710"/>
    <cellStyle name="Normal 4 8 3 3 5" xfId="11603"/>
    <cellStyle name="Normal 4 8 3 3 5 2" xfId="21958"/>
    <cellStyle name="Normal 4 8 3 3 5 2 2" xfId="44390"/>
    <cellStyle name="Normal 4 8 3 3 5 3" xfId="35026"/>
    <cellStyle name="Normal 4 8 3 3 6" xfId="18818"/>
    <cellStyle name="Normal 4 8 3 3 6 2" xfId="41647"/>
    <cellStyle name="Normal 4 8 3 3 7" xfId="25956"/>
    <cellStyle name="Normal 4 8 3 3 7 2" xfId="48201"/>
    <cellStyle name="Normal 4 8 3 3 8" xfId="28394"/>
    <cellStyle name="Normal 4 8 3 4" xfId="2734"/>
    <cellStyle name="Normal 4 8 3 4 2" xfId="5827"/>
    <cellStyle name="Normal 4 8 3 4 2 2" xfId="7609"/>
    <cellStyle name="Normal 4 8 3 4 2 2 2" xfId="10938"/>
    <cellStyle name="Normal 4 8 3 4 2 2 2 2" xfId="17642"/>
    <cellStyle name="Normal 4 8 3 4 2 2 2 2 2" xfId="41063"/>
    <cellStyle name="Normal 4 8 3 4 2 2 2 3" xfId="34431"/>
    <cellStyle name="Normal 4 8 3 4 2 2 3" xfId="14326"/>
    <cellStyle name="Normal 4 8 3 4 2 2 3 2" xfId="37747"/>
    <cellStyle name="Normal 4 8 3 4 2 2 4" xfId="22989"/>
    <cellStyle name="Normal 4 8 3 4 2 2 4 2" xfId="45411"/>
    <cellStyle name="Normal 4 8 3 4 2 2 5" xfId="31115"/>
    <cellStyle name="Normal 4 8 3 4 2 3" xfId="9280"/>
    <cellStyle name="Normal 4 8 3 4 2 3 2" xfId="15984"/>
    <cellStyle name="Normal 4 8 3 4 2 3 2 2" xfId="39405"/>
    <cellStyle name="Normal 4 8 3 4 2 3 3" xfId="32773"/>
    <cellStyle name="Normal 4 8 3 4 2 4" xfId="12668"/>
    <cellStyle name="Normal 4 8 3 4 2 4 2" xfId="36089"/>
    <cellStyle name="Normal 4 8 3 4 2 5" xfId="20161"/>
    <cellStyle name="Normal 4 8 3 4 2 5 2" xfId="42696"/>
    <cellStyle name="Normal 4 8 3 4 2 6" xfId="29457"/>
    <cellStyle name="Normal 4 8 3 4 3" xfId="6710"/>
    <cellStyle name="Normal 4 8 3 4 3 2" xfId="10042"/>
    <cellStyle name="Normal 4 8 3 4 3 2 2" xfId="16746"/>
    <cellStyle name="Normal 4 8 3 4 3 2 2 2" xfId="40167"/>
    <cellStyle name="Normal 4 8 3 4 3 2 3" xfId="33535"/>
    <cellStyle name="Normal 4 8 3 4 3 3" xfId="13430"/>
    <cellStyle name="Normal 4 8 3 4 3 3 2" xfId="36851"/>
    <cellStyle name="Normal 4 8 3 4 3 4" xfId="21429"/>
    <cellStyle name="Normal 4 8 3 4 3 4 2" xfId="43880"/>
    <cellStyle name="Normal 4 8 3 4 3 5" xfId="30219"/>
    <cellStyle name="Normal 4 8 3 4 4" xfId="8376"/>
    <cellStyle name="Normal 4 8 3 4 4 2" xfId="15088"/>
    <cellStyle name="Normal 4 8 3 4 4 2 2" xfId="38509"/>
    <cellStyle name="Normal 4 8 3 4 4 3" xfId="22172"/>
    <cellStyle name="Normal 4 8 3 4 4 3 2" xfId="44596"/>
    <cellStyle name="Normal 4 8 3 4 4 4" xfId="31877"/>
    <cellStyle name="Normal 4 8 3 4 5" xfId="11770"/>
    <cellStyle name="Normal 4 8 3 4 5 2" xfId="35193"/>
    <cellStyle name="Normal 4 8 3 4 6" xfId="19311"/>
    <cellStyle name="Normal 4 8 3 4 6 2" xfId="41864"/>
    <cellStyle name="Normal 4 8 3 4 7" xfId="28561"/>
    <cellStyle name="Normal 4 8 3 5" xfId="4110"/>
    <cellStyle name="Normal 4 8 3 5 2" xfId="7109"/>
    <cellStyle name="Normal 4 8 3 5 2 2" xfId="10441"/>
    <cellStyle name="Normal 4 8 3 5 2 2 2" xfId="17145"/>
    <cellStyle name="Normal 4 8 3 5 2 2 2 2" xfId="40566"/>
    <cellStyle name="Normal 4 8 3 5 2 2 3" xfId="33934"/>
    <cellStyle name="Normal 4 8 3 5 2 3" xfId="13829"/>
    <cellStyle name="Normal 4 8 3 5 2 3 2" xfId="37250"/>
    <cellStyle name="Normal 4 8 3 5 2 4" xfId="22584"/>
    <cellStyle name="Normal 4 8 3 5 2 4 2" xfId="45006"/>
    <cellStyle name="Normal 4 8 3 5 2 5" xfId="30618"/>
    <cellStyle name="Normal 4 8 3 5 3" xfId="8776"/>
    <cellStyle name="Normal 4 8 3 5 3 2" xfId="15487"/>
    <cellStyle name="Normal 4 8 3 5 3 2 2" xfId="38908"/>
    <cellStyle name="Normal 4 8 3 5 3 3" xfId="32276"/>
    <cellStyle name="Normal 4 8 3 5 4" xfId="12169"/>
    <cellStyle name="Normal 4 8 3 5 4 2" xfId="35592"/>
    <cellStyle name="Normal 4 8 3 5 5" xfId="19743"/>
    <cellStyle name="Normal 4 8 3 5 5 2" xfId="42280"/>
    <cellStyle name="Normal 4 8 3 5 6" xfId="28960"/>
    <cellStyle name="Normal 4 8 3 6" xfId="6237"/>
    <cellStyle name="Normal 4 8 3 6 2" xfId="9571"/>
    <cellStyle name="Normal 4 8 3 6 2 2" xfId="16275"/>
    <cellStyle name="Normal 4 8 3 6 2 2 2" xfId="39696"/>
    <cellStyle name="Normal 4 8 3 6 2 3" xfId="33064"/>
    <cellStyle name="Normal 4 8 3 6 3" xfId="12959"/>
    <cellStyle name="Normal 4 8 3 6 3 2" xfId="36380"/>
    <cellStyle name="Normal 4 8 3 6 4" xfId="20970"/>
    <cellStyle name="Normal 4 8 3 6 4 2" xfId="43421"/>
    <cellStyle name="Normal 4 8 3 6 5" xfId="29748"/>
    <cellStyle name="Normal 4 8 3 7" xfId="7903"/>
    <cellStyle name="Normal 4 8 3 7 2" xfId="14617"/>
    <cellStyle name="Normal 4 8 3 7 2 2" xfId="38038"/>
    <cellStyle name="Normal 4 8 3 7 3" xfId="21734"/>
    <cellStyle name="Normal 4 8 3 7 3 2" xfId="44183"/>
    <cellStyle name="Normal 4 8 3 7 4" xfId="31406"/>
    <cellStyle name="Normal 4 8 3 8" xfId="11299"/>
    <cellStyle name="Normal 4 8 3 8 2" xfId="34722"/>
    <cellStyle name="Normal 4 8 3 9" xfId="18124"/>
    <cellStyle name="Normal 4 8 3 9 2" xfId="41412"/>
    <cellStyle name="Normal 4 8 4" xfId="1763"/>
    <cellStyle name="Normal 4 8 4 10" xfId="28116"/>
    <cellStyle name="Normal 4 8 4 2" xfId="2383"/>
    <cellStyle name="Normal 4 8 4 2 2" xfId="5622"/>
    <cellStyle name="Normal 4 8 4 2 2 2" xfId="7445"/>
    <cellStyle name="Normal 4 8 4 2 2 2 2" xfId="10776"/>
    <cellStyle name="Normal 4 8 4 2 2 2 2 2" xfId="17480"/>
    <cellStyle name="Normal 4 8 4 2 2 2 2 2 2" xfId="40901"/>
    <cellStyle name="Normal 4 8 4 2 2 2 2 3" xfId="23196"/>
    <cellStyle name="Normal 4 8 4 2 2 2 2 3 2" xfId="45618"/>
    <cellStyle name="Normal 4 8 4 2 2 2 2 4" xfId="34269"/>
    <cellStyle name="Normal 4 8 4 2 2 2 3" xfId="14164"/>
    <cellStyle name="Normal 4 8 4 2 2 2 3 2" xfId="37585"/>
    <cellStyle name="Normal 4 8 4 2 2 2 4" xfId="20371"/>
    <cellStyle name="Normal 4 8 4 2 2 2 4 2" xfId="42906"/>
    <cellStyle name="Normal 4 8 4 2 2 2 5" xfId="30953"/>
    <cellStyle name="Normal 4 8 4 2 2 3" xfId="9118"/>
    <cellStyle name="Normal 4 8 4 2 2 3 2" xfId="15822"/>
    <cellStyle name="Normal 4 8 4 2 2 3 2 2" xfId="39243"/>
    <cellStyle name="Normal 4 8 4 2 2 3 3" xfId="21434"/>
    <cellStyle name="Normal 4 8 4 2 2 3 3 2" xfId="43885"/>
    <cellStyle name="Normal 4 8 4 2 2 3 4" xfId="32611"/>
    <cellStyle name="Normal 4 8 4 2 2 4" xfId="12506"/>
    <cellStyle name="Normal 4 8 4 2 2 4 2" xfId="22384"/>
    <cellStyle name="Normal 4 8 4 2 2 4 2 2" xfId="44806"/>
    <cellStyle name="Normal 4 8 4 2 2 4 3" xfId="35927"/>
    <cellStyle name="Normal 4 8 4 2 2 5" xfId="19532"/>
    <cellStyle name="Normal 4 8 4 2 2 5 2" xfId="42074"/>
    <cellStyle name="Normal 4 8 4 2 2 6" xfId="29295"/>
    <cellStyle name="Normal 4 8 4 2 3" xfId="6543"/>
    <cellStyle name="Normal 4 8 4 2 3 2" xfId="9877"/>
    <cellStyle name="Normal 4 8 4 2 3 2 2" xfId="16581"/>
    <cellStyle name="Normal 4 8 4 2 3 2 2 2" xfId="40002"/>
    <cellStyle name="Normal 4 8 4 2 3 2 3" xfId="22791"/>
    <cellStyle name="Normal 4 8 4 2 3 2 3 2" xfId="45213"/>
    <cellStyle name="Normal 4 8 4 2 3 2 4" xfId="33370"/>
    <cellStyle name="Normal 4 8 4 2 3 3" xfId="13265"/>
    <cellStyle name="Normal 4 8 4 2 3 3 2" xfId="36686"/>
    <cellStyle name="Normal 4 8 4 2 3 4" xfId="19955"/>
    <cellStyle name="Normal 4 8 4 2 3 4 2" xfId="42490"/>
    <cellStyle name="Normal 4 8 4 2 3 5" xfId="30054"/>
    <cellStyle name="Normal 4 8 4 2 4" xfId="8210"/>
    <cellStyle name="Normal 4 8 4 2 4 2" xfId="14923"/>
    <cellStyle name="Normal 4 8 4 2 4 2 2" xfId="38344"/>
    <cellStyle name="Normal 4 8 4 2 4 3" xfId="20975"/>
    <cellStyle name="Normal 4 8 4 2 4 3 2" xfId="43426"/>
    <cellStyle name="Normal 4 8 4 2 4 4" xfId="31712"/>
    <cellStyle name="Normal 4 8 4 2 5" xfId="11605"/>
    <cellStyle name="Normal 4 8 4 2 5 2" xfId="21960"/>
    <cellStyle name="Normal 4 8 4 2 5 2 2" xfId="44392"/>
    <cellStyle name="Normal 4 8 4 2 5 3" xfId="35028"/>
    <cellStyle name="Normal 4 8 4 2 6" xfId="18820"/>
    <cellStyle name="Normal 4 8 4 2 6 2" xfId="41649"/>
    <cellStyle name="Normal 4 8 4 2 7" xfId="25958"/>
    <cellStyle name="Normal 4 8 4 2 7 2" xfId="48203"/>
    <cellStyle name="Normal 4 8 4 2 8" xfId="28396"/>
    <cellStyle name="Normal 4 8 4 3" xfId="2761"/>
    <cellStyle name="Normal 4 8 4 3 2" xfId="5853"/>
    <cellStyle name="Normal 4 8 4 3 2 2" xfId="7635"/>
    <cellStyle name="Normal 4 8 4 3 2 2 2" xfId="10964"/>
    <cellStyle name="Normal 4 8 4 3 2 2 2 2" xfId="17668"/>
    <cellStyle name="Normal 4 8 4 3 2 2 2 2 2" xfId="41089"/>
    <cellStyle name="Normal 4 8 4 3 2 2 2 3" xfId="34457"/>
    <cellStyle name="Normal 4 8 4 3 2 2 3" xfId="14352"/>
    <cellStyle name="Normal 4 8 4 3 2 2 3 2" xfId="37773"/>
    <cellStyle name="Normal 4 8 4 3 2 2 4" xfId="22991"/>
    <cellStyle name="Normal 4 8 4 3 2 2 4 2" xfId="45413"/>
    <cellStyle name="Normal 4 8 4 3 2 2 5" xfId="31141"/>
    <cellStyle name="Normal 4 8 4 3 2 3" xfId="9306"/>
    <cellStyle name="Normal 4 8 4 3 2 3 2" xfId="16010"/>
    <cellStyle name="Normal 4 8 4 3 2 3 2 2" xfId="39431"/>
    <cellStyle name="Normal 4 8 4 3 2 3 3" xfId="32799"/>
    <cellStyle name="Normal 4 8 4 3 2 4" xfId="12694"/>
    <cellStyle name="Normal 4 8 4 3 2 4 2" xfId="36115"/>
    <cellStyle name="Normal 4 8 4 3 2 5" xfId="20163"/>
    <cellStyle name="Normal 4 8 4 3 2 5 2" xfId="42698"/>
    <cellStyle name="Normal 4 8 4 3 2 6" xfId="29483"/>
    <cellStyle name="Normal 4 8 4 3 3" xfId="6736"/>
    <cellStyle name="Normal 4 8 4 3 3 2" xfId="10068"/>
    <cellStyle name="Normal 4 8 4 3 3 2 2" xfId="16772"/>
    <cellStyle name="Normal 4 8 4 3 3 2 2 2" xfId="40193"/>
    <cellStyle name="Normal 4 8 4 3 3 2 3" xfId="33561"/>
    <cellStyle name="Normal 4 8 4 3 3 3" xfId="13456"/>
    <cellStyle name="Normal 4 8 4 3 3 3 2" xfId="36877"/>
    <cellStyle name="Normal 4 8 4 3 3 4" xfId="21433"/>
    <cellStyle name="Normal 4 8 4 3 3 4 2" xfId="43884"/>
    <cellStyle name="Normal 4 8 4 3 3 5" xfId="30245"/>
    <cellStyle name="Normal 4 8 4 3 4" xfId="8402"/>
    <cellStyle name="Normal 4 8 4 3 4 2" xfId="15114"/>
    <cellStyle name="Normal 4 8 4 3 4 2 2" xfId="38535"/>
    <cellStyle name="Normal 4 8 4 3 4 3" xfId="22174"/>
    <cellStyle name="Normal 4 8 4 3 4 3 2" xfId="44598"/>
    <cellStyle name="Normal 4 8 4 3 4 4" xfId="31903"/>
    <cellStyle name="Normal 4 8 4 3 5" xfId="11796"/>
    <cellStyle name="Normal 4 8 4 3 5 2" xfId="35219"/>
    <cellStyle name="Normal 4 8 4 3 6" xfId="19313"/>
    <cellStyle name="Normal 4 8 4 3 6 2" xfId="41866"/>
    <cellStyle name="Normal 4 8 4 3 7" xfId="28587"/>
    <cellStyle name="Normal 4 8 4 4" xfId="4112"/>
    <cellStyle name="Normal 4 8 4 4 2" xfId="7111"/>
    <cellStyle name="Normal 4 8 4 4 2 2" xfId="10443"/>
    <cellStyle name="Normal 4 8 4 4 2 2 2" xfId="17147"/>
    <cellStyle name="Normal 4 8 4 4 2 2 2 2" xfId="40568"/>
    <cellStyle name="Normal 4 8 4 4 2 2 3" xfId="33936"/>
    <cellStyle name="Normal 4 8 4 4 2 3" xfId="13831"/>
    <cellStyle name="Normal 4 8 4 4 2 3 2" xfId="37252"/>
    <cellStyle name="Normal 4 8 4 4 2 4" xfId="22586"/>
    <cellStyle name="Normal 4 8 4 4 2 4 2" xfId="45008"/>
    <cellStyle name="Normal 4 8 4 4 2 5" xfId="30620"/>
    <cellStyle name="Normal 4 8 4 4 3" xfId="8778"/>
    <cellStyle name="Normal 4 8 4 4 3 2" xfId="15489"/>
    <cellStyle name="Normal 4 8 4 4 3 2 2" xfId="38910"/>
    <cellStyle name="Normal 4 8 4 4 3 3" xfId="32278"/>
    <cellStyle name="Normal 4 8 4 4 4" xfId="12171"/>
    <cellStyle name="Normal 4 8 4 4 4 2" xfId="35594"/>
    <cellStyle name="Normal 4 8 4 4 5" xfId="19745"/>
    <cellStyle name="Normal 4 8 4 4 5 2" xfId="42282"/>
    <cellStyle name="Normal 4 8 4 4 6" xfId="28962"/>
    <cellStyle name="Normal 4 8 4 5" xfId="6263"/>
    <cellStyle name="Normal 4 8 4 5 2" xfId="9597"/>
    <cellStyle name="Normal 4 8 4 5 2 2" xfId="16301"/>
    <cellStyle name="Normal 4 8 4 5 2 2 2" xfId="39722"/>
    <cellStyle name="Normal 4 8 4 5 2 3" xfId="33090"/>
    <cellStyle name="Normal 4 8 4 5 3" xfId="12985"/>
    <cellStyle name="Normal 4 8 4 5 3 2" xfId="36406"/>
    <cellStyle name="Normal 4 8 4 5 4" xfId="20974"/>
    <cellStyle name="Normal 4 8 4 5 4 2" xfId="43425"/>
    <cellStyle name="Normal 4 8 4 5 5" xfId="29774"/>
    <cellStyle name="Normal 4 8 4 6" xfId="7929"/>
    <cellStyle name="Normal 4 8 4 6 2" xfId="14643"/>
    <cellStyle name="Normal 4 8 4 6 2 2" xfId="38064"/>
    <cellStyle name="Normal 4 8 4 6 3" xfId="21736"/>
    <cellStyle name="Normal 4 8 4 6 3 2" xfId="44185"/>
    <cellStyle name="Normal 4 8 4 6 4" xfId="31432"/>
    <cellStyle name="Normal 4 8 4 7" xfId="11325"/>
    <cellStyle name="Normal 4 8 4 7 2" xfId="34748"/>
    <cellStyle name="Normal 4 8 4 8" xfId="18126"/>
    <cellStyle name="Normal 4 8 4 8 2" xfId="41414"/>
    <cellStyle name="Normal 4 8 4 9" xfId="23727"/>
    <cellStyle name="Normal 4 8 4 9 2" xfId="46016"/>
    <cellStyle name="Normal 4 8 5" xfId="2376"/>
    <cellStyle name="Normal 4 8 5 2" xfId="5615"/>
    <cellStyle name="Normal 4 8 5 2 2" xfId="7438"/>
    <cellStyle name="Normal 4 8 5 2 2 2" xfId="10769"/>
    <cellStyle name="Normal 4 8 5 2 2 2 2" xfId="17473"/>
    <cellStyle name="Normal 4 8 5 2 2 2 2 2" xfId="40894"/>
    <cellStyle name="Normal 4 8 5 2 2 2 3" xfId="23189"/>
    <cellStyle name="Normal 4 8 5 2 2 2 3 2" xfId="45611"/>
    <cellStyle name="Normal 4 8 5 2 2 2 4" xfId="34262"/>
    <cellStyle name="Normal 4 8 5 2 2 3" xfId="14157"/>
    <cellStyle name="Normal 4 8 5 2 2 3 2" xfId="37578"/>
    <cellStyle name="Normal 4 8 5 2 2 4" xfId="20364"/>
    <cellStyle name="Normal 4 8 5 2 2 4 2" xfId="42899"/>
    <cellStyle name="Normal 4 8 5 2 2 5" xfId="30946"/>
    <cellStyle name="Normal 4 8 5 2 3" xfId="9111"/>
    <cellStyle name="Normal 4 8 5 2 3 2" xfId="15815"/>
    <cellStyle name="Normal 4 8 5 2 3 2 2" xfId="39236"/>
    <cellStyle name="Normal 4 8 5 2 3 3" xfId="21435"/>
    <cellStyle name="Normal 4 8 5 2 3 3 2" xfId="43886"/>
    <cellStyle name="Normal 4 8 5 2 3 4" xfId="32604"/>
    <cellStyle name="Normal 4 8 5 2 4" xfId="12499"/>
    <cellStyle name="Normal 4 8 5 2 4 2" xfId="22377"/>
    <cellStyle name="Normal 4 8 5 2 4 2 2" xfId="44799"/>
    <cellStyle name="Normal 4 8 5 2 4 3" xfId="35920"/>
    <cellStyle name="Normal 4 8 5 2 5" xfId="19525"/>
    <cellStyle name="Normal 4 8 5 2 5 2" xfId="42067"/>
    <cellStyle name="Normal 4 8 5 2 6" xfId="29288"/>
    <cellStyle name="Normal 4 8 5 3" xfId="6536"/>
    <cellStyle name="Normal 4 8 5 3 2" xfId="9870"/>
    <cellStyle name="Normal 4 8 5 3 2 2" xfId="16574"/>
    <cellStyle name="Normal 4 8 5 3 2 2 2" xfId="39995"/>
    <cellStyle name="Normal 4 8 5 3 2 3" xfId="22784"/>
    <cellStyle name="Normal 4 8 5 3 2 3 2" xfId="45206"/>
    <cellStyle name="Normal 4 8 5 3 2 4" xfId="33363"/>
    <cellStyle name="Normal 4 8 5 3 3" xfId="13258"/>
    <cellStyle name="Normal 4 8 5 3 3 2" xfId="36679"/>
    <cellStyle name="Normal 4 8 5 3 4" xfId="19948"/>
    <cellStyle name="Normal 4 8 5 3 4 2" xfId="42483"/>
    <cellStyle name="Normal 4 8 5 3 5" xfId="30047"/>
    <cellStyle name="Normal 4 8 5 4" xfId="8203"/>
    <cellStyle name="Normal 4 8 5 4 2" xfId="14916"/>
    <cellStyle name="Normal 4 8 5 4 2 2" xfId="38337"/>
    <cellStyle name="Normal 4 8 5 4 3" xfId="20976"/>
    <cellStyle name="Normal 4 8 5 4 3 2" xfId="43427"/>
    <cellStyle name="Normal 4 8 5 4 4" xfId="31705"/>
    <cellStyle name="Normal 4 8 5 5" xfId="11598"/>
    <cellStyle name="Normal 4 8 5 5 2" xfId="21953"/>
    <cellStyle name="Normal 4 8 5 5 2 2" xfId="44385"/>
    <cellStyle name="Normal 4 8 5 5 3" xfId="35021"/>
    <cellStyle name="Normal 4 8 5 6" xfId="18813"/>
    <cellStyle name="Normal 4 8 5 6 2" xfId="41642"/>
    <cellStyle name="Normal 4 8 5 7" xfId="25951"/>
    <cellStyle name="Normal 4 8 5 7 2" xfId="48196"/>
    <cellStyle name="Normal 4 8 5 8" xfId="28389"/>
    <cellStyle name="Normal 4 8 6" xfId="2628"/>
    <cellStyle name="Normal 4 8 6 2" xfId="5722"/>
    <cellStyle name="Normal 4 8 6 2 2" xfId="7505"/>
    <cellStyle name="Normal 4 8 6 2 2 2" xfId="10834"/>
    <cellStyle name="Normal 4 8 6 2 2 2 2" xfId="17538"/>
    <cellStyle name="Normal 4 8 6 2 2 2 2 2" xfId="40959"/>
    <cellStyle name="Normal 4 8 6 2 2 2 3" xfId="34327"/>
    <cellStyle name="Normal 4 8 6 2 2 3" xfId="14222"/>
    <cellStyle name="Normal 4 8 6 2 2 3 2" xfId="37643"/>
    <cellStyle name="Normal 4 8 6 2 2 4" xfId="20648"/>
    <cellStyle name="Normal 4 8 6 2 2 4 2" xfId="43099"/>
    <cellStyle name="Normal 4 8 6 2 2 5" xfId="31011"/>
    <cellStyle name="Normal 4 8 6 2 3" xfId="9176"/>
    <cellStyle name="Normal 4 8 6 2 3 2" xfId="15880"/>
    <cellStyle name="Normal 4 8 6 2 3 2 2" xfId="39301"/>
    <cellStyle name="Normal 4 8 6 2 3 3" xfId="21566"/>
    <cellStyle name="Normal 4 8 6 2 3 3 2" xfId="44017"/>
    <cellStyle name="Normal 4 8 6 2 3 4" xfId="32669"/>
    <cellStyle name="Normal 4 8 6 2 4" xfId="12564"/>
    <cellStyle name="Normal 4 8 6 2 4 2" xfId="22984"/>
    <cellStyle name="Normal 4 8 6 2 4 2 2" xfId="45406"/>
    <cellStyle name="Normal 4 8 6 2 4 3" xfId="35985"/>
    <cellStyle name="Normal 4 8 6 2 5" xfId="20156"/>
    <cellStyle name="Normal 4 8 6 2 5 2" xfId="42691"/>
    <cellStyle name="Normal 4 8 6 2 6" xfId="29353"/>
    <cellStyle name="Normal 4 8 6 3" xfId="6605"/>
    <cellStyle name="Normal 4 8 6 3 2" xfId="9937"/>
    <cellStyle name="Normal 4 8 6 3 2 2" xfId="16641"/>
    <cellStyle name="Normal 4 8 6 3 2 2 2" xfId="40062"/>
    <cellStyle name="Normal 4 8 6 3 2 3" xfId="33430"/>
    <cellStyle name="Normal 4 8 6 3 3" xfId="13325"/>
    <cellStyle name="Normal 4 8 6 3 3 2" xfId="36746"/>
    <cellStyle name="Normal 4 8 6 3 4" xfId="20550"/>
    <cellStyle name="Normal 4 8 6 3 4 2" xfId="43003"/>
    <cellStyle name="Normal 4 8 6 3 5" xfId="30114"/>
    <cellStyle name="Normal 4 8 6 4" xfId="8271"/>
    <cellStyle name="Normal 4 8 6 4 2" xfId="14983"/>
    <cellStyle name="Normal 4 8 6 4 2 2" xfId="38404"/>
    <cellStyle name="Normal 4 8 6 4 3" xfId="21107"/>
    <cellStyle name="Normal 4 8 6 4 3 2" xfId="43558"/>
    <cellStyle name="Normal 4 8 6 4 4" xfId="31772"/>
    <cellStyle name="Normal 4 8 6 5" xfId="11665"/>
    <cellStyle name="Normal 4 8 6 5 2" xfId="22167"/>
    <cellStyle name="Normal 4 8 6 5 2 2" xfId="44591"/>
    <cellStyle name="Normal 4 8 6 5 3" xfId="35088"/>
    <cellStyle name="Normal 4 8 6 6" xfId="19306"/>
    <cellStyle name="Normal 4 8 6 6 2" xfId="41859"/>
    <cellStyle name="Normal 4 8 6 7" xfId="28456"/>
    <cellStyle name="Normal 4 8 7" xfId="4105"/>
    <cellStyle name="Normal 4 8 7 2" xfId="7104"/>
    <cellStyle name="Normal 4 8 7 2 2" xfId="10436"/>
    <cellStyle name="Normal 4 8 7 2 2 2" xfId="17140"/>
    <cellStyle name="Normal 4 8 7 2 2 2 2" xfId="40561"/>
    <cellStyle name="Normal 4 8 7 2 2 3" xfId="33929"/>
    <cellStyle name="Normal 4 8 7 2 3" xfId="13824"/>
    <cellStyle name="Normal 4 8 7 2 3 2" xfId="37245"/>
    <cellStyle name="Normal 4 8 7 2 4" xfId="20600"/>
    <cellStyle name="Normal 4 8 7 2 4 2" xfId="43051"/>
    <cellStyle name="Normal 4 8 7 2 5" xfId="30613"/>
    <cellStyle name="Normal 4 8 7 3" xfId="8771"/>
    <cellStyle name="Normal 4 8 7 3 2" xfId="15482"/>
    <cellStyle name="Normal 4 8 7 3 2 2" xfId="38903"/>
    <cellStyle name="Normal 4 8 7 3 3" xfId="21420"/>
    <cellStyle name="Normal 4 8 7 3 3 2" xfId="43871"/>
    <cellStyle name="Normal 4 8 7 3 4" xfId="32271"/>
    <cellStyle name="Normal 4 8 7 4" xfId="12164"/>
    <cellStyle name="Normal 4 8 7 4 2" xfId="22579"/>
    <cellStyle name="Normal 4 8 7 4 2 2" xfId="45001"/>
    <cellStyle name="Normal 4 8 7 4 3" xfId="35587"/>
    <cellStyle name="Normal 4 8 7 5" xfId="19738"/>
    <cellStyle name="Normal 4 8 7 5 2" xfId="42275"/>
    <cellStyle name="Normal 4 8 7 6" xfId="28955"/>
    <cellStyle name="Normal 4 8 8" xfId="6132"/>
    <cellStyle name="Normal 4 8 8 2" xfId="9466"/>
    <cellStyle name="Normal 4 8 8 2 2" xfId="16170"/>
    <cellStyle name="Normal 4 8 8 2 2 2" xfId="39591"/>
    <cellStyle name="Normal 4 8 8 2 3" xfId="32959"/>
    <cellStyle name="Normal 4 8 8 3" xfId="12854"/>
    <cellStyle name="Normal 4 8 8 3 2" xfId="36275"/>
    <cellStyle name="Normal 4 8 8 4" xfId="19139"/>
    <cellStyle name="Normal 4 8 8 4 2" xfId="41705"/>
    <cellStyle name="Normal 4 8 8 5" xfId="29643"/>
    <cellStyle name="Normal 4 8 9" xfId="7797"/>
    <cellStyle name="Normal 4 8 9 2" xfId="14512"/>
    <cellStyle name="Normal 4 8 9 2 2" xfId="37933"/>
    <cellStyle name="Normal 4 8 9 3" xfId="20961"/>
    <cellStyle name="Normal 4 8 9 3 2" xfId="43412"/>
    <cellStyle name="Normal 4 8 9 4" xfId="31301"/>
    <cellStyle name="Normal 4 9" xfId="1520"/>
    <cellStyle name="Normal 4 9 10" xfId="23728"/>
    <cellStyle name="Normal 4 9 10 2" xfId="46017"/>
    <cellStyle name="Normal 4 9 11" xfId="28050"/>
    <cellStyle name="Normal 4 9 2" xfId="1829"/>
    <cellStyle name="Normal 4 9 2 10" xfId="28181"/>
    <cellStyle name="Normal 4 9 2 2" xfId="2385"/>
    <cellStyle name="Normal 4 9 2 2 2" xfId="5624"/>
    <cellStyle name="Normal 4 9 2 2 2 2" xfId="7447"/>
    <cellStyle name="Normal 4 9 2 2 2 2 2" xfId="10778"/>
    <cellStyle name="Normal 4 9 2 2 2 2 2 2" xfId="17482"/>
    <cellStyle name="Normal 4 9 2 2 2 2 2 2 2" xfId="40903"/>
    <cellStyle name="Normal 4 9 2 2 2 2 2 3" xfId="23198"/>
    <cellStyle name="Normal 4 9 2 2 2 2 2 3 2" xfId="45620"/>
    <cellStyle name="Normal 4 9 2 2 2 2 2 4" xfId="34271"/>
    <cellStyle name="Normal 4 9 2 2 2 2 3" xfId="14166"/>
    <cellStyle name="Normal 4 9 2 2 2 2 3 2" xfId="37587"/>
    <cellStyle name="Normal 4 9 2 2 2 2 4" xfId="20373"/>
    <cellStyle name="Normal 4 9 2 2 2 2 4 2" xfId="42908"/>
    <cellStyle name="Normal 4 9 2 2 2 2 5" xfId="30955"/>
    <cellStyle name="Normal 4 9 2 2 2 3" xfId="9120"/>
    <cellStyle name="Normal 4 9 2 2 2 3 2" xfId="15824"/>
    <cellStyle name="Normal 4 9 2 2 2 3 2 2" xfId="39245"/>
    <cellStyle name="Normal 4 9 2 2 2 3 3" xfId="21438"/>
    <cellStyle name="Normal 4 9 2 2 2 3 3 2" xfId="43889"/>
    <cellStyle name="Normal 4 9 2 2 2 3 4" xfId="32613"/>
    <cellStyle name="Normal 4 9 2 2 2 4" xfId="12508"/>
    <cellStyle name="Normal 4 9 2 2 2 4 2" xfId="22386"/>
    <cellStyle name="Normal 4 9 2 2 2 4 2 2" xfId="44808"/>
    <cellStyle name="Normal 4 9 2 2 2 4 3" xfId="35929"/>
    <cellStyle name="Normal 4 9 2 2 2 5" xfId="19534"/>
    <cellStyle name="Normal 4 9 2 2 2 5 2" xfId="42076"/>
    <cellStyle name="Normal 4 9 2 2 2 6" xfId="29297"/>
    <cellStyle name="Normal 4 9 2 2 3" xfId="6545"/>
    <cellStyle name="Normal 4 9 2 2 3 2" xfId="9879"/>
    <cellStyle name="Normal 4 9 2 2 3 2 2" xfId="16583"/>
    <cellStyle name="Normal 4 9 2 2 3 2 2 2" xfId="40004"/>
    <cellStyle name="Normal 4 9 2 2 3 2 3" xfId="22793"/>
    <cellStyle name="Normal 4 9 2 2 3 2 3 2" xfId="45215"/>
    <cellStyle name="Normal 4 9 2 2 3 2 4" xfId="33372"/>
    <cellStyle name="Normal 4 9 2 2 3 3" xfId="13267"/>
    <cellStyle name="Normal 4 9 2 2 3 3 2" xfId="36688"/>
    <cellStyle name="Normal 4 9 2 2 3 4" xfId="19957"/>
    <cellStyle name="Normal 4 9 2 2 3 4 2" xfId="42492"/>
    <cellStyle name="Normal 4 9 2 2 3 5" xfId="30056"/>
    <cellStyle name="Normal 4 9 2 2 4" xfId="8212"/>
    <cellStyle name="Normal 4 9 2 2 4 2" xfId="14925"/>
    <cellStyle name="Normal 4 9 2 2 4 2 2" xfId="38346"/>
    <cellStyle name="Normal 4 9 2 2 4 3" xfId="20979"/>
    <cellStyle name="Normal 4 9 2 2 4 3 2" xfId="43430"/>
    <cellStyle name="Normal 4 9 2 2 4 4" xfId="31714"/>
    <cellStyle name="Normal 4 9 2 2 5" xfId="11607"/>
    <cellStyle name="Normal 4 9 2 2 5 2" xfId="21962"/>
    <cellStyle name="Normal 4 9 2 2 5 2 2" xfId="44394"/>
    <cellStyle name="Normal 4 9 2 2 5 3" xfId="35030"/>
    <cellStyle name="Normal 4 9 2 2 6" xfId="18822"/>
    <cellStyle name="Normal 4 9 2 2 6 2" xfId="41651"/>
    <cellStyle name="Normal 4 9 2 2 7" xfId="25960"/>
    <cellStyle name="Normal 4 9 2 2 7 2" xfId="48205"/>
    <cellStyle name="Normal 4 9 2 2 8" xfId="28398"/>
    <cellStyle name="Normal 4 9 2 3" xfId="2826"/>
    <cellStyle name="Normal 4 9 2 3 2" xfId="5918"/>
    <cellStyle name="Normal 4 9 2 3 2 2" xfId="7700"/>
    <cellStyle name="Normal 4 9 2 3 2 2 2" xfId="11029"/>
    <cellStyle name="Normal 4 9 2 3 2 2 2 2" xfId="17733"/>
    <cellStyle name="Normal 4 9 2 3 2 2 2 2 2" xfId="41154"/>
    <cellStyle name="Normal 4 9 2 3 2 2 2 3" xfId="34522"/>
    <cellStyle name="Normal 4 9 2 3 2 2 3" xfId="14417"/>
    <cellStyle name="Normal 4 9 2 3 2 2 3 2" xfId="37838"/>
    <cellStyle name="Normal 4 9 2 3 2 2 4" xfId="22993"/>
    <cellStyle name="Normal 4 9 2 3 2 2 4 2" xfId="45415"/>
    <cellStyle name="Normal 4 9 2 3 2 2 5" xfId="31206"/>
    <cellStyle name="Normal 4 9 2 3 2 3" xfId="9371"/>
    <cellStyle name="Normal 4 9 2 3 2 3 2" xfId="16075"/>
    <cellStyle name="Normal 4 9 2 3 2 3 2 2" xfId="39496"/>
    <cellStyle name="Normal 4 9 2 3 2 3 3" xfId="32864"/>
    <cellStyle name="Normal 4 9 2 3 2 4" xfId="12759"/>
    <cellStyle name="Normal 4 9 2 3 2 4 2" xfId="36180"/>
    <cellStyle name="Normal 4 9 2 3 2 5" xfId="20165"/>
    <cellStyle name="Normal 4 9 2 3 2 5 2" xfId="42700"/>
    <cellStyle name="Normal 4 9 2 3 2 6" xfId="29548"/>
    <cellStyle name="Normal 4 9 2 3 3" xfId="6801"/>
    <cellStyle name="Normal 4 9 2 3 3 2" xfId="10133"/>
    <cellStyle name="Normal 4 9 2 3 3 2 2" xfId="16837"/>
    <cellStyle name="Normal 4 9 2 3 3 2 2 2" xfId="40258"/>
    <cellStyle name="Normal 4 9 2 3 3 2 3" xfId="33626"/>
    <cellStyle name="Normal 4 9 2 3 3 3" xfId="13521"/>
    <cellStyle name="Normal 4 9 2 3 3 3 2" xfId="36942"/>
    <cellStyle name="Normal 4 9 2 3 3 4" xfId="21437"/>
    <cellStyle name="Normal 4 9 2 3 3 4 2" xfId="43888"/>
    <cellStyle name="Normal 4 9 2 3 3 5" xfId="30310"/>
    <cellStyle name="Normal 4 9 2 3 4" xfId="8467"/>
    <cellStyle name="Normal 4 9 2 3 4 2" xfId="15179"/>
    <cellStyle name="Normal 4 9 2 3 4 2 2" xfId="38600"/>
    <cellStyle name="Normal 4 9 2 3 4 3" xfId="22176"/>
    <cellStyle name="Normal 4 9 2 3 4 3 2" xfId="44600"/>
    <cellStyle name="Normal 4 9 2 3 4 4" xfId="31968"/>
    <cellStyle name="Normal 4 9 2 3 5" xfId="11861"/>
    <cellStyle name="Normal 4 9 2 3 5 2" xfId="35284"/>
    <cellStyle name="Normal 4 9 2 3 6" xfId="19315"/>
    <cellStyle name="Normal 4 9 2 3 6 2" xfId="41868"/>
    <cellStyle name="Normal 4 9 2 3 7" xfId="28652"/>
    <cellStyle name="Normal 4 9 2 4" xfId="4114"/>
    <cellStyle name="Normal 4 9 2 4 2" xfId="7113"/>
    <cellStyle name="Normal 4 9 2 4 2 2" xfId="10445"/>
    <cellStyle name="Normal 4 9 2 4 2 2 2" xfId="17149"/>
    <cellStyle name="Normal 4 9 2 4 2 2 2 2" xfId="40570"/>
    <cellStyle name="Normal 4 9 2 4 2 2 3" xfId="33938"/>
    <cellStyle name="Normal 4 9 2 4 2 3" xfId="13833"/>
    <cellStyle name="Normal 4 9 2 4 2 3 2" xfId="37254"/>
    <cellStyle name="Normal 4 9 2 4 2 4" xfId="22588"/>
    <cellStyle name="Normal 4 9 2 4 2 4 2" xfId="45010"/>
    <cellStyle name="Normal 4 9 2 4 2 5" xfId="30622"/>
    <cellStyle name="Normal 4 9 2 4 3" xfId="8780"/>
    <cellStyle name="Normal 4 9 2 4 3 2" xfId="15491"/>
    <cellStyle name="Normal 4 9 2 4 3 2 2" xfId="38912"/>
    <cellStyle name="Normal 4 9 2 4 3 3" xfId="32280"/>
    <cellStyle name="Normal 4 9 2 4 4" xfId="12173"/>
    <cellStyle name="Normal 4 9 2 4 4 2" xfId="35596"/>
    <cellStyle name="Normal 4 9 2 4 5" xfId="19747"/>
    <cellStyle name="Normal 4 9 2 4 5 2" xfId="42284"/>
    <cellStyle name="Normal 4 9 2 4 6" xfId="28964"/>
    <cellStyle name="Normal 4 9 2 5" xfId="6328"/>
    <cellStyle name="Normal 4 9 2 5 2" xfId="9662"/>
    <cellStyle name="Normal 4 9 2 5 2 2" xfId="16366"/>
    <cellStyle name="Normal 4 9 2 5 2 2 2" xfId="39787"/>
    <cellStyle name="Normal 4 9 2 5 2 3" xfId="33155"/>
    <cellStyle name="Normal 4 9 2 5 3" xfId="13050"/>
    <cellStyle name="Normal 4 9 2 5 3 2" xfId="36471"/>
    <cellStyle name="Normal 4 9 2 5 4" xfId="20978"/>
    <cellStyle name="Normal 4 9 2 5 4 2" xfId="43429"/>
    <cellStyle name="Normal 4 9 2 5 5" xfId="29839"/>
    <cellStyle name="Normal 4 9 2 6" xfId="7994"/>
    <cellStyle name="Normal 4 9 2 6 2" xfId="14708"/>
    <cellStyle name="Normal 4 9 2 6 2 2" xfId="38129"/>
    <cellStyle name="Normal 4 9 2 6 3" xfId="21738"/>
    <cellStyle name="Normal 4 9 2 6 3 2" xfId="44187"/>
    <cellStyle name="Normal 4 9 2 6 4" xfId="31497"/>
    <cellStyle name="Normal 4 9 2 7" xfId="11390"/>
    <cellStyle name="Normal 4 9 2 7 2" xfId="34813"/>
    <cellStyle name="Normal 4 9 2 8" xfId="18128"/>
    <cellStyle name="Normal 4 9 2 8 2" xfId="41416"/>
    <cellStyle name="Normal 4 9 2 9" xfId="23729"/>
    <cellStyle name="Normal 4 9 2 9 2" xfId="46018"/>
    <cellStyle name="Normal 4 9 3" xfId="2384"/>
    <cellStyle name="Normal 4 9 3 2" xfId="5623"/>
    <cellStyle name="Normal 4 9 3 2 2" xfId="7446"/>
    <cellStyle name="Normal 4 9 3 2 2 2" xfId="10777"/>
    <cellStyle name="Normal 4 9 3 2 2 2 2" xfId="17481"/>
    <cellStyle name="Normal 4 9 3 2 2 2 2 2" xfId="40902"/>
    <cellStyle name="Normal 4 9 3 2 2 2 3" xfId="23197"/>
    <cellStyle name="Normal 4 9 3 2 2 2 3 2" xfId="45619"/>
    <cellStyle name="Normal 4 9 3 2 2 2 4" xfId="34270"/>
    <cellStyle name="Normal 4 9 3 2 2 3" xfId="14165"/>
    <cellStyle name="Normal 4 9 3 2 2 3 2" xfId="37586"/>
    <cellStyle name="Normal 4 9 3 2 2 4" xfId="20372"/>
    <cellStyle name="Normal 4 9 3 2 2 4 2" xfId="42907"/>
    <cellStyle name="Normal 4 9 3 2 2 5" xfId="30954"/>
    <cellStyle name="Normal 4 9 3 2 3" xfId="9119"/>
    <cellStyle name="Normal 4 9 3 2 3 2" xfId="15823"/>
    <cellStyle name="Normal 4 9 3 2 3 2 2" xfId="39244"/>
    <cellStyle name="Normal 4 9 3 2 3 3" xfId="21439"/>
    <cellStyle name="Normal 4 9 3 2 3 3 2" xfId="43890"/>
    <cellStyle name="Normal 4 9 3 2 3 4" xfId="32612"/>
    <cellStyle name="Normal 4 9 3 2 4" xfId="12507"/>
    <cellStyle name="Normal 4 9 3 2 4 2" xfId="22385"/>
    <cellStyle name="Normal 4 9 3 2 4 2 2" xfId="44807"/>
    <cellStyle name="Normal 4 9 3 2 4 3" xfId="35928"/>
    <cellStyle name="Normal 4 9 3 2 5" xfId="19533"/>
    <cellStyle name="Normal 4 9 3 2 5 2" xfId="42075"/>
    <cellStyle name="Normal 4 9 3 2 6" xfId="29296"/>
    <cellStyle name="Normal 4 9 3 3" xfId="6544"/>
    <cellStyle name="Normal 4 9 3 3 2" xfId="9878"/>
    <cellStyle name="Normal 4 9 3 3 2 2" xfId="16582"/>
    <cellStyle name="Normal 4 9 3 3 2 2 2" xfId="40003"/>
    <cellStyle name="Normal 4 9 3 3 2 3" xfId="22792"/>
    <cellStyle name="Normal 4 9 3 3 2 3 2" xfId="45214"/>
    <cellStyle name="Normal 4 9 3 3 2 4" xfId="33371"/>
    <cellStyle name="Normal 4 9 3 3 3" xfId="13266"/>
    <cellStyle name="Normal 4 9 3 3 3 2" xfId="36687"/>
    <cellStyle name="Normal 4 9 3 3 4" xfId="19956"/>
    <cellStyle name="Normal 4 9 3 3 4 2" xfId="42491"/>
    <cellStyle name="Normal 4 9 3 3 5" xfId="30055"/>
    <cellStyle name="Normal 4 9 3 4" xfId="8211"/>
    <cellStyle name="Normal 4 9 3 4 2" xfId="14924"/>
    <cellStyle name="Normal 4 9 3 4 2 2" xfId="38345"/>
    <cellStyle name="Normal 4 9 3 4 3" xfId="20980"/>
    <cellStyle name="Normal 4 9 3 4 3 2" xfId="43431"/>
    <cellStyle name="Normal 4 9 3 4 4" xfId="31713"/>
    <cellStyle name="Normal 4 9 3 5" xfId="11606"/>
    <cellStyle name="Normal 4 9 3 5 2" xfId="21961"/>
    <cellStyle name="Normal 4 9 3 5 2 2" xfId="44393"/>
    <cellStyle name="Normal 4 9 3 5 3" xfId="35029"/>
    <cellStyle name="Normal 4 9 3 6" xfId="18821"/>
    <cellStyle name="Normal 4 9 3 6 2" xfId="41650"/>
    <cellStyle name="Normal 4 9 3 7" xfId="25959"/>
    <cellStyle name="Normal 4 9 3 7 2" xfId="48204"/>
    <cellStyle name="Normal 4 9 3 8" xfId="28397"/>
    <cellStyle name="Normal 4 9 4" xfId="2694"/>
    <cellStyle name="Normal 4 9 4 2" xfId="5787"/>
    <cellStyle name="Normal 4 9 4 2 2" xfId="7569"/>
    <cellStyle name="Normal 4 9 4 2 2 2" xfId="10898"/>
    <cellStyle name="Normal 4 9 4 2 2 2 2" xfId="17602"/>
    <cellStyle name="Normal 4 9 4 2 2 2 2 2" xfId="41023"/>
    <cellStyle name="Normal 4 9 4 2 2 2 3" xfId="34391"/>
    <cellStyle name="Normal 4 9 4 2 2 3" xfId="14286"/>
    <cellStyle name="Normal 4 9 4 2 2 3 2" xfId="37707"/>
    <cellStyle name="Normal 4 9 4 2 2 4" xfId="22992"/>
    <cellStyle name="Normal 4 9 4 2 2 4 2" xfId="45414"/>
    <cellStyle name="Normal 4 9 4 2 2 5" xfId="31075"/>
    <cellStyle name="Normal 4 9 4 2 3" xfId="9240"/>
    <cellStyle name="Normal 4 9 4 2 3 2" xfId="15944"/>
    <cellStyle name="Normal 4 9 4 2 3 2 2" xfId="39365"/>
    <cellStyle name="Normal 4 9 4 2 3 3" xfId="32733"/>
    <cellStyle name="Normal 4 9 4 2 4" xfId="12628"/>
    <cellStyle name="Normal 4 9 4 2 4 2" xfId="36049"/>
    <cellStyle name="Normal 4 9 4 2 5" xfId="20164"/>
    <cellStyle name="Normal 4 9 4 2 5 2" xfId="42699"/>
    <cellStyle name="Normal 4 9 4 2 6" xfId="29417"/>
    <cellStyle name="Normal 4 9 4 3" xfId="6670"/>
    <cellStyle name="Normal 4 9 4 3 2" xfId="10002"/>
    <cellStyle name="Normal 4 9 4 3 2 2" xfId="16706"/>
    <cellStyle name="Normal 4 9 4 3 2 2 2" xfId="40127"/>
    <cellStyle name="Normal 4 9 4 3 2 3" xfId="33495"/>
    <cellStyle name="Normal 4 9 4 3 3" xfId="13390"/>
    <cellStyle name="Normal 4 9 4 3 3 2" xfId="36811"/>
    <cellStyle name="Normal 4 9 4 3 4" xfId="21436"/>
    <cellStyle name="Normal 4 9 4 3 4 2" xfId="43887"/>
    <cellStyle name="Normal 4 9 4 3 5" xfId="30179"/>
    <cellStyle name="Normal 4 9 4 4" xfId="8336"/>
    <cellStyle name="Normal 4 9 4 4 2" xfId="15048"/>
    <cellStyle name="Normal 4 9 4 4 2 2" xfId="38469"/>
    <cellStyle name="Normal 4 9 4 4 3" xfId="22175"/>
    <cellStyle name="Normal 4 9 4 4 3 2" xfId="44599"/>
    <cellStyle name="Normal 4 9 4 4 4" xfId="31837"/>
    <cellStyle name="Normal 4 9 4 5" xfId="11730"/>
    <cellStyle name="Normal 4 9 4 5 2" xfId="35153"/>
    <cellStyle name="Normal 4 9 4 6" xfId="19314"/>
    <cellStyle name="Normal 4 9 4 6 2" xfId="41867"/>
    <cellStyle name="Normal 4 9 4 7" xfId="28521"/>
    <cellStyle name="Normal 4 9 5" xfId="4113"/>
    <cellStyle name="Normal 4 9 5 2" xfId="7112"/>
    <cellStyle name="Normal 4 9 5 2 2" xfId="10444"/>
    <cellStyle name="Normal 4 9 5 2 2 2" xfId="17148"/>
    <cellStyle name="Normal 4 9 5 2 2 2 2" xfId="40569"/>
    <cellStyle name="Normal 4 9 5 2 2 3" xfId="33937"/>
    <cellStyle name="Normal 4 9 5 2 3" xfId="13832"/>
    <cellStyle name="Normal 4 9 5 2 3 2" xfId="37253"/>
    <cellStyle name="Normal 4 9 5 2 4" xfId="22587"/>
    <cellStyle name="Normal 4 9 5 2 4 2" xfId="45009"/>
    <cellStyle name="Normal 4 9 5 2 5" xfId="30621"/>
    <cellStyle name="Normal 4 9 5 3" xfId="8779"/>
    <cellStyle name="Normal 4 9 5 3 2" xfId="15490"/>
    <cellStyle name="Normal 4 9 5 3 2 2" xfId="38911"/>
    <cellStyle name="Normal 4 9 5 3 3" xfId="32279"/>
    <cellStyle name="Normal 4 9 5 4" xfId="12172"/>
    <cellStyle name="Normal 4 9 5 4 2" xfId="35595"/>
    <cellStyle name="Normal 4 9 5 5" xfId="19746"/>
    <cellStyle name="Normal 4 9 5 5 2" xfId="42283"/>
    <cellStyle name="Normal 4 9 5 6" xfId="28963"/>
    <cellStyle name="Normal 4 9 6" xfId="6197"/>
    <cellStyle name="Normal 4 9 6 2" xfId="9531"/>
    <cellStyle name="Normal 4 9 6 2 2" xfId="16235"/>
    <cellStyle name="Normal 4 9 6 2 2 2" xfId="39656"/>
    <cellStyle name="Normal 4 9 6 2 3" xfId="33024"/>
    <cellStyle name="Normal 4 9 6 3" xfId="12919"/>
    <cellStyle name="Normal 4 9 6 3 2" xfId="36340"/>
    <cellStyle name="Normal 4 9 6 4" xfId="20977"/>
    <cellStyle name="Normal 4 9 6 4 2" xfId="43428"/>
    <cellStyle name="Normal 4 9 6 5" xfId="29708"/>
    <cellStyle name="Normal 4 9 7" xfId="7863"/>
    <cellStyle name="Normal 4 9 7 2" xfId="14577"/>
    <cellStyle name="Normal 4 9 7 2 2" xfId="37998"/>
    <cellStyle name="Normal 4 9 7 3" xfId="21737"/>
    <cellStyle name="Normal 4 9 7 3 2" xfId="44186"/>
    <cellStyle name="Normal 4 9 7 4" xfId="31366"/>
    <cellStyle name="Normal 4 9 8" xfId="11259"/>
    <cellStyle name="Normal 4 9 8 2" xfId="34682"/>
    <cellStyle name="Normal 4 9 9" xfId="18127"/>
    <cellStyle name="Normal 4 9 9 2" xfId="41415"/>
    <cellStyle name="Normal 40" xfId="781"/>
    <cellStyle name="Normal 40 2" xfId="855"/>
    <cellStyle name="Normal 40 2 2" xfId="4116"/>
    <cellStyle name="Normal 40 2 3" xfId="4115"/>
    <cellStyle name="Normal 40 3" xfId="4117"/>
    <cellStyle name="Normal 41" xfId="783"/>
    <cellStyle name="Normal 41 2" xfId="4118"/>
    <cellStyle name="Normal 42" xfId="784"/>
    <cellStyle name="Normal 42 2" xfId="4119"/>
    <cellStyle name="Normal 43" xfId="785"/>
    <cellStyle name="Normal 43 2" xfId="4120"/>
    <cellStyle name="Normal 44" xfId="786"/>
    <cellStyle name="Normal 44 2" xfId="4121"/>
    <cellStyle name="Normal 45" xfId="782"/>
    <cellStyle name="Normal 45 2" xfId="4122"/>
    <cellStyle name="Normal 45 2 2" xfId="18823"/>
    <cellStyle name="Normal 45 3" xfId="4123"/>
    <cellStyle name="Normal 46" xfId="787"/>
    <cellStyle name="Normal 46 2" xfId="4124"/>
    <cellStyle name="Normal 46 2 2" xfId="4125"/>
    <cellStyle name="Normal 46 3" xfId="4126"/>
    <cellStyle name="Normal 46 4" xfId="4127"/>
    <cellStyle name="Normal 47" xfId="809"/>
    <cellStyle name="Normal 47 2" xfId="4128"/>
    <cellStyle name="Normal 47 2 2" xfId="4129"/>
    <cellStyle name="Normal 47 3" xfId="4130"/>
    <cellStyle name="Normal 47 4" xfId="4131"/>
    <cellStyle name="Normal 48" xfId="811"/>
    <cellStyle name="Normal 48 2" xfId="4132"/>
    <cellStyle name="Normal 48 2 2" xfId="4133"/>
    <cellStyle name="Normal 48 3" xfId="4134"/>
    <cellStyle name="Normal 48 4" xfId="4135"/>
    <cellStyle name="Normal 49" xfId="808"/>
    <cellStyle name="Normal 49 2" xfId="4136"/>
    <cellStyle name="Normal 49 2 2" xfId="4137"/>
    <cellStyle name="Normal 49 3" xfId="4138"/>
    <cellStyle name="Normal 49 4" xfId="4139"/>
    <cellStyle name="Normal 5" xfId="570"/>
    <cellStyle name="Normal 5 2" xfId="571"/>
    <cellStyle name="Normal 5 2 10" xfId="20981"/>
    <cellStyle name="Normal 5 2 10 2" xfId="43432"/>
    <cellStyle name="Normal 5 2 11" xfId="21739"/>
    <cellStyle name="Normal 5 2 11 2" xfId="44188"/>
    <cellStyle name="Normal 5 2 2" xfId="1199"/>
    <cellStyle name="Normal 5 2 2 2" xfId="4141"/>
    <cellStyle name="Normal 5 2 2 3" xfId="4140"/>
    <cellStyle name="Normal 5 2 3" xfId="1136"/>
    <cellStyle name="Normal 5 2 3 2" xfId="18826"/>
    <cellStyle name="Normal 5 2 4" xfId="1674"/>
    <cellStyle name="Normal 5 2 4 2" xfId="18827"/>
    <cellStyle name="Normal 5 2 5" xfId="1673"/>
    <cellStyle name="Normal 5 2 5 10" xfId="23730"/>
    <cellStyle name="Normal 5 2 5 10 2" xfId="46019"/>
    <cellStyle name="Normal 5 2 5 11" xfId="28092"/>
    <cellStyle name="Normal 5 2 5 2" xfId="1871"/>
    <cellStyle name="Normal 5 2 5 2 10" xfId="28223"/>
    <cellStyle name="Normal 5 2 5 2 2" xfId="2388"/>
    <cellStyle name="Normal 5 2 5 2 2 2" xfId="5627"/>
    <cellStyle name="Normal 5 2 5 2 2 2 2" xfId="7450"/>
    <cellStyle name="Normal 5 2 5 2 2 2 2 2" xfId="10781"/>
    <cellStyle name="Normal 5 2 5 2 2 2 2 2 2" xfId="17485"/>
    <cellStyle name="Normal 5 2 5 2 2 2 2 2 2 2" xfId="40906"/>
    <cellStyle name="Normal 5 2 5 2 2 2 2 2 3" xfId="23201"/>
    <cellStyle name="Normal 5 2 5 2 2 2 2 2 3 2" xfId="45623"/>
    <cellStyle name="Normal 5 2 5 2 2 2 2 2 4" xfId="34274"/>
    <cellStyle name="Normal 5 2 5 2 2 2 2 3" xfId="14169"/>
    <cellStyle name="Normal 5 2 5 2 2 2 2 3 2" xfId="37590"/>
    <cellStyle name="Normal 5 2 5 2 2 2 2 4" xfId="20376"/>
    <cellStyle name="Normal 5 2 5 2 2 2 2 4 2" xfId="42911"/>
    <cellStyle name="Normal 5 2 5 2 2 2 2 5" xfId="30958"/>
    <cellStyle name="Normal 5 2 5 2 2 2 3" xfId="9123"/>
    <cellStyle name="Normal 5 2 5 2 2 2 3 2" xfId="15827"/>
    <cellStyle name="Normal 5 2 5 2 2 2 3 2 2" xfId="39248"/>
    <cellStyle name="Normal 5 2 5 2 2 2 3 3" xfId="21443"/>
    <cellStyle name="Normal 5 2 5 2 2 2 3 3 2" xfId="43894"/>
    <cellStyle name="Normal 5 2 5 2 2 2 3 4" xfId="32616"/>
    <cellStyle name="Normal 5 2 5 2 2 2 4" xfId="12511"/>
    <cellStyle name="Normal 5 2 5 2 2 2 4 2" xfId="22389"/>
    <cellStyle name="Normal 5 2 5 2 2 2 4 2 2" xfId="44811"/>
    <cellStyle name="Normal 5 2 5 2 2 2 4 3" xfId="35932"/>
    <cellStyle name="Normal 5 2 5 2 2 2 5" xfId="19537"/>
    <cellStyle name="Normal 5 2 5 2 2 2 5 2" xfId="42079"/>
    <cellStyle name="Normal 5 2 5 2 2 2 6" xfId="29300"/>
    <cellStyle name="Normal 5 2 5 2 2 3" xfId="6548"/>
    <cellStyle name="Normal 5 2 5 2 2 3 2" xfId="9882"/>
    <cellStyle name="Normal 5 2 5 2 2 3 2 2" xfId="16586"/>
    <cellStyle name="Normal 5 2 5 2 2 3 2 2 2" xfId="40007"/>
    <cellStyle name="Normal 5 2 5 2 2 3 2 3" xfId="22796"/>
    <cellStyle name="Normal 5 2 5 2 2 3 2 3 2" xfId="45218"/>
    <cellStyle name="Normal 5 2 5 2 2 3 2 4" xfId="33375"/>
    <cellStyle name="Normal 5 2 5 2 2 3 3" xfId="13270"/>
    <cellStyle name="Normal 5 2 5 2 2 3 3 2" xfId="36691"/>
    <cellStyle name="Normal 5 2 5 2 2 3 4" xfId="19960"/>
    <cellStyle name="Normal 5 2 5 2 2 3 4 2" xfId="42495"/>
    <cellStyle name="Normal 5 2 5 2 2 3 5" xfId="30059"/>
    <cellStyle name="Normal 5 2 5 2 2 4" xfId="8215"/>
    <cellStyle name="Normal 5 2 5 2 2 4 2" xfId="14928"/>
    <cellStyle name="Normal 5 2 5 2 2 4 2 2" xfId="38349"/>
    <cellStyle name="Normal 5 2 5 2 2 4 3" xfId="20984"/>
    <cellStyle name="Normal 5 2 5 2 2 4 3 2" xfId="43435"/>
    <cellStyle name="Normal 5 2 5 2 2 4 4" xfId="31717"/>
    <cellStyle name="Normal 5 2 5 2 2 5" xfId="11610"/>
    <cellStyle name="Normal 5 2 5 2 2 5 2" xfId="21965"/>
    <cellStyle name="Normal 5 2 5 2 2 5 2 2" xfId="44397"/>
    <cellStyle name="Normal 5 2 5 2 2 5 3" xfId="35033"/>
    <cellStyle name="Normal 5 2 5 2 2 6" xfId="18829"/>
    <cellStyle name="Normal 5 2 5 2 2 6 2" xfId="41654"/>
    <cellStyle name="Normal 5 2 5 2 2 7" xfId="25962"/>
    <cellStyle name="Normal 5 2 5 2 2 7 2" xfId="48207"/>
    <cellStyle name="Normal 5 2 5 2 2 8" xfId="28401"/>
    <cellStyle name="Normal 5 2 5 2 3" xfId="2868"/>
    <cellStyle name="Normal 5 2 5 2 3 2" xfId="5960"/>
    <cellStyle name="Normal 5 2 5 2 3 2 2" xfId="7742"/>
    <cellStyle name="Normal 5 2 5 2 3 2 2 2" xfId="11071"/>
    <cellStyle name="Normal 5 2 5 2 3 2 2 2 2" xfId="17775"/>
    <cellStyle name="Normal 5 2 5 2 3 2 2 2 2 2" xfId="41196"/>
    <cellStyle name="Normal 5 2 5 2 3 2 2 2 3" xfId="34564"/>
    <cellStyle name="Normal 5 2 5 2 3 2 2 3" xfId="14459"/>
    <cellStyle name="Normal 5 2 5 2 3 2 2 3 2" xfId="37880"/>
    <cellStyle name="Normal 5 2 5 2 3 2 2 4" xfId="22996"/>
    <cellStyle name="Normal 5 2 5 2 3 2 2 4 2" xfId="45418"/>
    <cellStyle name="Normal 5 2 5 2 3 2 2 5" xfId="31248"/>
    <cellStyle name="Normal 5 2 5 2 3 2 3" xfId="9413"/>
    <cellStyle name="Normal 5 2 5 2 3 2 3 2" xfId="16117"/>
    <cellStyle name="Normal 5 2 5 2 3 2 3 2 2" xfId="39538"/>
    <cellStyle name="Normal 5 2 5 2 3 2 3 3" xfId="32906"/>
    <cellStyle name="Normal 5 2 5 2 3 2 4" xfId="12801"/>
    <cellStyle name="Normal 5 2 5 2 3 2 4 2" xfId="36222"/>
    <cellStyle name="Normal 5 2 5 2 3 2 5" xfId="20168"/>
    <cellStyle name="Normal 5 2 5 2 3 2 5 2" xfId="42703"/>
    <cellStyle name="Normal 5 2 5 2 3 2 6" xfId="29590"/>
    <cellStyle name="Normal 5 2 5 2 3 3" xfId="6843"/>
    <cellStyle name="Normal 5 2 5 2 3 3 2" xfId="10175"/>
    <cellStyle name="Normal 5 2 5 2 3 3 2 2" xfId="16879"/>
    <cellStyle name="Normal 5 2 5 2 3 3 2 2 2" xfId="40300"/>
    <cellStyle name="Normal 5 2 5 2 3 3 2 3" xfId="33668"/>
    <cellStyle name="Normal 5 2 5 2 3 3 3" xfId="13563"/>
    <cellStyle name="Normal 5 2 5 2 3 3 3 2" xfId="36984"/>
    <cellStyle name="Normal 5 2 5 2 3 3 4" xfId="21442"/>
    <cellStyle name="Normal 5 2 5 2 3 3 4 2" xfId="43893"/>
    <cellStyle name="Normal 5 2 5 2 3 3 5" xfId="30352"/>
    <cellStyle name="Normal 5 2 5 2 3 4" xfId="8509"/>
    <cellStyle name="Normal 5 2 5 2 3 4 2" xfId="15221"/>
    <cellStyle name="Normal 5 2 5 2 3 4 2 2" xfId="38642"/>
    <cellStyle name="Normal 5 2 5 2 3 4 3" xfId="22179"/>
    <cellStyle name="Normal 5 2 5 2 3 4 3 2" xfId="44603"/>
    <cellStyle name="Normal 5 2 5 2 3 4 4" xfId="32010"/>
    <cellStyle name="Normal 5 2 5 2 3 5" xfId="11903"/>
    <cellStyle name="Normal 5 2 5 2 3 5 2" xfId="35326"/>
    <cellStyle name="Normal 5 2 5 2 3 6" xfId="19318"/>
    <cellStyle name="Normal 5 2 5 2 3 6 2" xfId="41871"/>
    <cellStyle name="Normal 5 2 5 2 3 7" xfId="28694"/>
    <cellStyle name="Normal 5 2 5 2 4" xfId="4143"/>
    <cellStyle name="Normal 5 2 5 2 4 2" xfId="7115"/>
    <cellStyle name="Normal 5 2 5 2 4 2 2" xfId="10447"/>
    <cellStyle name="Normal 5 2 5 2 4 2 2 2" xfId="17151"/>
    <cellStyle name="Normal 5 2 5 2 4 2 2 2 2" xfId="40572"/>
    <cellStyle name="Normal 5 2 5 2 4 2 2 3" xfId="33940"/>
    <cellStyle name="Normal 5 2 5 2 4 2 3" xfId="13835"/>
    <cellStyle name="Normal 5 2 5 2 4 2 3 2" xfId="37256"/>
    <cellStyle name="Normal 5 2 5 2 4 2 4" xfId="22591"/>
    <cellStyle name="Normal 5 2 5 2 4 2 4 2" xfId="45013"/>
    <cellStyle name="Normal 5 2 5 2 4 2 5" xfId="30624"/>
    <cellStyle name="Normal 5 2 5 2 4 3" xfId="8782"/>
    <cellStyle name="Normal 5 2 5 2 4 3 2" xfId="15493"/>
    <cellStyle name="Normal 5 2 5 2 4 3 2 2" xfId="38914"/>
    <cellStyle name="Normal 5 2 5 2 4 3 3" xfId="32282"/>
    <cellStyle name="Normal 5 2 5 2 4 4" xfId="12175"/>
    <cellStyle name="Normal 5 2 5 2 4 4 2" xfId="35598"/>
    <cellStyle name="Normal 5 2 5 2 4 5" xfId="19750"/>
    <cellStyle name="Normal 5 2 5 2 4 5 2" xfId="42287"/>
    <cellStyle name="Normal 5 2 5 2 4 6" xfId="28966"/>
    <cellStyle name="Normal 5 2 5 2 5" xfId="6370"/>
    <cellStyle name="Normal 5 2 5 2 5 2" xfId="9704"/>
    <cellStyle name="Normal 5 2 5 2 5 2 2" xfId="16408"/>
    <cellStyle name="Normal 5 2 5 2 5 2 2 2" xfId="39829"/>
    <cellStyle name="Normal 5 2 5 2 5 2 3" xfId="33197"/>
    <cellStyle name="Normal 5 2 5 2 5 3" xfId="13092"/>
    <cellStyle name="Normal 5 2 5 2 5 3 2" xfId="36513"/>
    <cellStyle name="Normal 5 2 5 2 5 4" xfId="20983"/>
    <cellStyle name="Normal 5 2 5 2 5 4 2" xfId="43434"/>
    <cellStyle name="Normal 5 2 5 2 5 5" xfId="29881"/>
    <cellStyle name="Normal 5 2 5 2 6" xfId="8036"/>
    <cellStyle name="Normal 5 2 5 2 6 2" xfId="14750"/>
    <cellStyle name="Normal 5 2 5 2 6 2 2" xfId="38171"/>
    <cellStyle name="Normal 5 2 5 2 6 3" xfId="21741"/>
    <cellStyle name="Normal 5 2 5 2 6 3 2" xfId="44190"/>
    <cellStyle name="Normal 5 2 5 2 6 4" xfId="31539"/>
    <cellStyle name="Normal 5 2 5 2 7" xfId="11432"/>
    <cellStyle name="Normal 5 2 5 2 7 2" xfId="34855"/>
    <cellStyle name="Normal 5 2 5 2 8" xfId="18131"/>
    <cellStyle name="Normal 5 2 5 2 8 2" xfId="41419"/>
    <cellStyle name="Normal 5 2 5 2 9" xfId="23731"/>
    <cellStyle name="Normal 5 2 5 2 9 2" xfId="46020"/>
    <cellStyle name="Normal 5 2 5 3" xfId="2387"/>
    <cellStyle name="Normal 5 2 5 3 2" xfId="5626"/>
    <cellStyle name="Normal 5 2 5 3 2 2" xfId="7449"/>
    <cellStyle name="Normal 5 2 5 3 2 2 2" xfId="10780"/>
    <cellStyle name="Normal 5 2 5 3 2 2 2 2" xfId="17484"/>
    <cellStyle name="Normal 5 2 5 3 2 2 2 2 2" xfId="40905"/>
    <cellStyle name="Normal 5 2 5 3 2 2 2 3" xfId="23200"/>
    <cellStyle name="Normal 5 2 5 3 2 2 2 3 2" xfId="45622"/>
    <cellStyle name="Normal 5 2 5 3 2 2 2 4" xfId="34273"/>
    <cellStyle name="Normal 5 2 5 3 2 2 3" xfId="14168"/>
    <cellStyle name="Normal 5 2 5 3 2 2 3 2" xfId="37589"/>
    <cellStyle name="Normal 5 2 5 3 2 2 4" xfId="20375"/>
    <cellStyle name="Normal 5 2 5 3 2 2 4 2" xfId="42910"/>
    <cellStyle name="Normal 5 2 5 3 2 2 5" xfId="30957"/>
    <cellStyle name="Normal 5 2 5 3 2 3" xfId="9122"/>
    <cellStyle name="Normal 5 2 5 3 2 3 2" xfId="15826"/>
    <cellStyle name="Normal 5 2 5 3 2 3 2 2" xfId="39247"/>
    <cellStyle name="Normal 5 2 5 3 2 3 3" xfId="21444"/>
    <cellStyle name="Normal 5 2 5 3 2 3 3 2" xfId="43895"/>
    <cellStyle name="Normal 5 2 5 3 2 3 4" xfId="32615"/>
    <cellStyle name="Normal 5 2 5 3 2 4" xfId="12510"/>
    <cellStyle name="Normal 5 2 5 3 2 4 2" xfId="22388"/>
    <cellStyle name="Normal 5 2 5 3 2 4 2 2" xfId="44810"/>
    <cellStyle name="Normal 5 2 5 3 2 4 3" xfId="35931"/>
    <cellStyle name="Normal 5 2 5 3 2 5" xfId="19536"/>
    <cellStyle name="Normal 5 2 5 3 2 5 2" xfId="42078"/>
    <cellStyle name="Normal 5 2 5 3 2 6" xfId="29299"/>
    <cellStyle name="Normal 5 2 5 3 3" xfId="6547"/>
    <cellStyle name="Normal 5 2 5 3 3 2" xfId="9881"/>
    <cellStyle name="Normal 5 2 5 3 3 2 2" xfId="16585"/>
    <cellStyle name="Normal 5 2 5 3 3 2 2 2" xfId="40006"/>
    <cellStyle name="Normal 5 2 5 3 3 2 3" xfId="22795"/>
    <cellStyle name="Normal 5 2 5 3 3 2 3 2" xfId="45217"/>
    <cellStyle name="Normal 5 2 5 3 3 2 4" xfId="33374"/>
    <cellStyle name="Normal 5 2 5 3 3 3" xfId="13269"/>
    <cellStyle name="Normal 5 2 5 3 3 3 2" xfId="36690"/>
    <cellStyle name="Normal 5 2 5 3 3 4" xfId="19959"/>
    <cellStyle name="Normal 5 2 5 3 3 4 2" xfId="42494"/>
    <cellStyle name="Normal 5 2 5 3 3 5" xfId="30058"/>
    <cellStyle name="Normal 5 2 5 3 4" xfId="8214"/>
    <cellStyle name="Normal 5 2 5 3 4 2" xfId="14927"/>
    <cellStyle name="Normal 5 2 5 3 4 2 2" xfId="38348"/>
    <cellStyle name="Normal 5 2 5 3 4 3" xfId="20985"/>
    <cellStyle name="Normal 5 2 5 3 4 3 2" xfId="43436"/>
    <cellStyle name="Normal 5 2 5 3 4 4" xfId="31716"/>
    <cellStyle name="Normal 5 2 5 3 5" xfId="11609"/>
    <cellStyle name="Normal 5 2 5 3 5 2" xfId="21964"/>
    <cellStyle name="Normal 5 2 5 3 5 2 2" xfId="44396"/>
    <cellStyle name="Normal 5 2 5 3 5 3" xfId="35032"/>
    <cellStyle name="Normal 5 2 5 3 6" xfId="18828"/>
    <cellStyle name="Normal 5 2 5 3 6 2" xfId="41653"/>
    <cellStyle name="Normal 5 2 5 3 7" xfId="25961"/>
    <cellStyle name="Normal 5 2 5 3 7 2" xfId="48206"/>
    <cellStyle name="Normal 5 2 5 3 8" xfId="28400"/>
    <cellStyle name="Normal 5 2 5 4" xfId="2736"/>
    <cellStyle name="Normal 5 2 5 4 2" xfId="5829"/>
    <cellStyle name="Normal 5 2 5 4 2 2" xfId="7611"/>
    <cellStyle name="Normal 5 2 5 4 2 2 2" xfId="10940"/>
    <cellStyle name="Normal 5 2 5 4 2 2 2 2" xfId="17644"/>
    <cellStyle name="Normal 5 2 5 4 2 2 2 2 2" xfId="41065"/>
    <cellStyle name="Normal 5 2 5 4 2 2 2 3" xfId="34433"/>
    <cellStyle name="Normal 5 2 5 4 2 2 3" xfId="14328"/>
    <cellStyle name="Normal 5 2 5 4 2 2 3 2" xfId="37749"/>
    <cellStyle name="Normal 5 2 5 4 2 2 4" xfId="22995"/>
    <cellStyle name="Normal 5 2 5 4 2 2 4 2" xfId="45417"/>
    <cellStyle name="Normal 5 2 5 4 2 2 5" xfId="31117"/>
    <cellStyle name="Normal 5 2 5 4 2 3" xfId="9282"/>
    <cellStyle name="Normal 5 2 5 4 2 3 2" xfId="15986"/>
    <cellStyle name="Normal 5 2 5 4 2 3 2 2" xfId="39407"/>
    <cellStyle name="Normal 5 2 5 4 2 3 3" xfId="32775"/>
    <cellStyle name="Normal 5 2 5 4 2 4" xfId="12670"/>
    <cellStyle name="Normal 5 2 5 4 2 4 2" xfId="36091"/>
    <cellStyle name="Normal 5 2 5 4 2 5" xfId="20167"/>
    <cellStyle name="Normal 5 2 5 4 2 5 2" xfId="42702"/>
    <cellStyle name="Normal 5 2 5 4 2 6" xfId="29459"/>
    <cellStyle name="Normal 5 2 5 4 3" xfId="6712"/>
    <cellStyle name="Normal 5 2 5 4 3 2" xfId="10044"/>
    <cellStyle name="Normal 5 2 5 4 3 2 2" xfId="16748"/>
    <cellStyle name="Normal 5 2 5 4 3 2 2 2" xfId="40169"/>
    <cellStyle name="Normal 5 2 5 4 3 2 3" xfId="33537"/>
    <cellStyle name="Normal 5 2 5 4 3 3" xfId="13432"/>
    <cellStyle name="Normal 5 2 5 4 3 3 2" xfId="36853"/>
    <cellStyle name="Normal 5 2 5 4 3 4" xfId="21441"/>
    <cellStyle name="Normal 5 2 5 4 3 4 2" xfId="43892"/>
    <cellStyle name="Normal 5 2 5 4 3 5" xfId="30221"/>
    <cellStyle name="Normal 5 2 5 4 4" xfId="8378"/>
    <cellStyle name="Normal 5 2 5 4 4 2" xfId="15090"/>
    <cellStyle name="Normal 5 2 5 4 4 2 2" xfId="38511"/>
    <cellStyle name="Normal 5 2 5 4 4 3" xfId="22178"/>
    <cellStyle name="Normal 5 2 5 4 4 3 2" xfId="44602"/>
    <cellStyle name="Normal 5 2 5 4 4 4" xfId="31879"/>
    <cellStyle name="Normal 5 2 5 4 5" xfId="11772"/>
    <cellStyle name="Normal 5 2 5 4 5 2" xfId="35195"/>
    <cellStyle name="Normal 5 2 5 4 6" xfId="19317"/>
    <cellStyle name="Normal 5 2 5 4 6 2" xfId="41870"/>
    <cellStyle name="Normal 5 2 5 4 7" xfId="28563"/>
    <cellStyle name="Normal 5 2 5 5" xfId="4142"/>
    <cellStyle name="Normal 5 2 5 5 2" xfId="7114"/>
    <cellStyle name="Normal 5 2 5 5 2 2" xfId="10446"/>
    <cellStyle name="Normal 5 2 5 5 2 2 2" xfId="17150"/>
    <cellStyle name="Normal 5 2 5 5 2 2 2 2" xfId="40571"/>
    <cellStyle name="Normal 5 2 5 5 2 2 3" xfId="33939"/>
    <cellStyle name="Normal 5 2 5 5 2 3" xfId="13834"/>
    <cellStyle name="Normal 5 2 5 5 2 3 2" xfId="37255"/>
    <cellStyle name="Normal 5 2 5 5 2 4" xfId="22590"/>
    <cellStyle name="Normal 5 2 5 5 2 4 2" xfId="45012"/>
    <cellStyle name="Normal 5 2 5 5 2 5" xfId="30623"/>
    <cellStyle name="Normal 5 2 5 5 3" xfId="8781"/>
    <cellStyle name="Normal 5 2 5 5 3 2" xfId="15492"/>
    <cellStyle name="Normal 5 2 5 5 3 2 2" xfId="38913"/>
    <cellStyle name="Normal 5 2 5 5 3 3" xfId="32281"/>
    <cellStyle name="Normal 5 2 5 5 4" xfId="12174"/>
    <cellStyle name="Normal 5 2 5 5 4 2" xfId="35597"/>
    <cellStyle name="Normal 5 2 5 5 5" xfId="19749"/>
    <cellStyle name="Normal 5 2 5 5 5 2" xfId="42286"/>
    <cellStyle name="Normal 5 2 5 5 6" xfId="28965"/>
    <cellStyle name="Normal 5 2 5 6" xfId="6239"/>
    <cellStyle name="Normal 5 2 5 6 2" xfId="9573"/>
    <cellStyle name="Normal 5 2 5 6 2 2" xfId="16277"/>
    <cellStyle name="Normal 5 2 5 6 2 2 2" xfId="39698"/>
    <cellStyle name="Normal 5 2 5 6 2 3" xfId="33066"/>
    <cellStyle name="Normal 5 2 5 6 3" xfId="12961"/>
    <cellStyle name="Normal 5 2 5 6 3 2" xfId="36382"/>
    <cellStyle name="Normal 5 2 5 6 4" xfId="20982"/>
    <cellStyle name="Normal 5 2 5 6 4 2" xfId="43433"/>
    <cellStyle name="Normal 5 2 5 6 5" xfId="29750"/>
    <cellStyle name="Normal 5 2 5 7" xfId="7905"/>
    <cellStyle name="Normal 5 2 5 7 2" xfId="14619"/>
    <cellStyle name="Normal 5 2 5 7 2 2" xfId="38040"/>
    <cellStyle name="Normal 5 2 5 7 3" xfId="21740"/>
    <cellStyle name="Normal 5 2 5 7 3 2" xfId="44189"/>
    <cellStyle name="Normal 5 2 5 7 4" xfId="31408"/>
    <cellStyle name="Normal 5 2 5 8" xfId="11301"/>
    <cellStyle name="Normal 5 2 5 8 2" xfId="34724"/>
    <cellStyle name="Normal 5 2 5 9" xfId="18130"/>
    <cellStyle name="Normal 5 2 5 9 2" xfId="41418"/>
    <cellStyle name="Normal 5 2 6" xfId="2386"/>
    <cellStyle name="Normal 5 2 6 2" xfId="5625"/>
    <cellStyle name="Normal 5 2 6 2 2" xfId="7448"/>
    <cellStyle name="Normal 5 2 6 2 2 2" xfId="10779"/>
    <cellStyle name="Normal 5 2 6 2 2 2 2" xfId="17483"/>
    <cellStyle name="Normal 5 2 6 2 2 2 2 2" xfId="40904"/>
    <cellStyle name="Normal 5 2 6 2 2 2 3" xfId="23199"/>
    <cellStyle name="Normal 5 2 6 2 2 2 3 2" xfId="45621"/>
    <cellStyle name="Normal 5 2 6 2 2 2 4" xfId="34272"/>
    <cellStyle name="Normal 5 2 6 2 2 3" xfId="14167"/>
    <cellStyle name="Normal 5 2 6 2 2 3 2" xfId="37588"/>
    <cellStyle name="Normal 5 2 6 2 2 4" xfId="20374"/>
    <cellStyle name="Normal 5 2 6 2 2 4 2" xfId="42909"/>
    <cellStyle name="Normal 5 2 6 2 2 5" xfId="30956"/>
    <cellStyle name="Normal 5 2 6 2 3" xfId="9121"/>
    <cellStyle name="Normal 5 2 6 2 3 2" xfId="15825"/>
    <cellStyle name="Normal 5 2 6 2 3 2 2" xfId="39246"/>
    <cellStyle name="Normal 5 2 6 2 3 3" xfId="21445"/>
    <cellStyle name="Normal 5 2 6 2 3 3 2" xfId="43896"/>
    <cellStyle name="Normal 5 2 6 2 3 4" xfId="32614"/>
    <cellStyle name="Normal 5 2 6 2 4" xfId="12509"/>
    <cellStyle name="Normal 5 2 6 2 4 2" xfId="22387"/>
    <cellStyle name="Normal 5 2 6 2 4 2 2" xfId="44809"/>
    <cellStyle name="Normal 5 2 6 2 4 3" xfId="35930"/>
    <cellStyle name="Normal 5 2 6 2 5" xfId="19535"/>
    <cellStyle name="Normal 5 2 6 2 5 2" xfId="42077"/>
    <cellStyle name="Normal 5 2 6 2 6" xfId="29298"/>
    <cellStyle name="Normal 5 2 6 3" xfId="6546"/>
    <cellStyle name="Normal 5 2 6 3 2" xfId="9880"/>
    <cellStyle name="Normal 5 2 6 3 2 2" xfId="16584"/>
    <cellStyle name="Normal 5 2 6 3 2 2 2" xfId="40005"/>
    <cellStyle name="Normal 5 2 6 3 2 3" xfId="22794"/>
    <cellStyle name="Normal 5 2 6 3 2 3 2" xfId="45216"/>
    <cellStyle name="Normal 5 2 6 3 2 4" xfId="33373"/>
    <cellStyle name="Normal 5 2 6 3 3" xfId="13268"/>
    <cellStyle name="Normal 5 2 6 3 3 2" xfId="36689"/>
    <cellStyle name="Normal 5 2 6 3 4" xfId="19958"/>
    <cellStyle name="Normal 5 2 6 3 4 2" xfId="42493"/>
    <cellStyle name="Normal 5 2 6 3 5" xfId="30057"/>
    <cellStyle name="Normal 5 2 6 4" xfId="8213"/>
    <cellStyle name="Normal 5 2 6 4 2" xfId="14926"/>
    <cellStyle name="Normal 5 2 6 4 2 2" xfId="38347"/>
    <cellStyle name="Normal 5 2 6 4 3" xfId="20986"/>
    <cellStyle name="Normal 5 2 6 4 3 2" xfId="43437"/>
    <cellStyle name="Normal 5 2 6 4 4" xfId="31715"/>
    <cellStyle name="Normal 5 2 6 5" xfId="11608"/>
    <cellStyle name="Normal 5 2 6 5 2" xfId="21963"/>
    <cellStyle name="Normal 5 2 6 5 2 2" xfId="44395"/>
    <cellStyle name="Normal 5 2 6 5 3" xfId="35031"/>
    <cellStyle name="Normal 5 2 6 6" xfId="18825"/>
    <cellStyle name="Normal 5 2 6 6 2" xfId="41652"/>
    <cellStyle name="Normal 5 2 6 7" xfId="28399"/>
    <cellStyle name="Normal 5 2 7" xfId="19316"/>
    <cellStyle name="Normal 5 2 7 2" xfId="20166"/>
    <cellStyle name="Normal 5 2 7 2 2" xfId="20650"/>
    <cellStyle name="Normal 5 2 7 2 2 2" xfId="43101"/>
    <cellStyle name="Normal 5 2 7 2 3" xfId="21568"/>
    <cellStyle name="Normal 5 2 7 2 3 2" xfId="44019"/>
    <cellStyle name="Normal 5 2 7 2 4" xfId="22994"/>
    <cellStyle name="Normal 5 2 7 2 4 2" xfId="45416"/>
    <cellStyle name="Normal 5 2 7 2 5" xfId="42701"/>
    <cellStyle name="Normal 5 2 7 3" xfId="20552"/>
    <cellStyle name="Normal 5 2 7 3 2" xfId="43005"/>
    <cellStyle name="Normal 5 2 7 4" xfId="21109"/>
    <cellStyle name="Normal 5 2 7 4 2" xfId="43560"/>
    <cellStyle name="Normal 5 2 7 5" xfId="22177"/>
    <cellStyle name="Normal 5 2 7 5 2" xfId="44601"/>
    <cellStyle name="Normal 5 2 7 6" xfId="41869"/>
    <cellStyle name="Normal 5 2 8" xfId="19748"/>
    <cellStyle name="Normal 5 2 8 2" xfId="20602"/>
    <cellStyle name="Normal 5 2 8 2 2" xfId="43053"/>
    <cellStyle name="Normal 5 2 8 3" xfId="21440"/>
    <cellStyle name="Normal 5 2 8 3 2" xfId="43891"/>
    <cellStyle name="Normal 5 2 8 4" xfId="22589"/>
    <cellStyle name="Normal 5 2 8 4 2" xfId="45011"/>
    <cellStyle name="Normal 5 2 8 5" xfId="42285"/>
    <cellStyle name="Normal 5 2 9" xfId="18129"/>
    <cellStyle name="Normal 5 2 9 2" xfId="41417"/>
    <cellStyle name="Normal 5 3" xfId="572"/>
    <cellStyle name="Normal 5 3 2" xfId="917"/>
    <cellStyle name="Normal 5 3 2 2" xfId="4145"/>
    <cellStyle name="Normal 5 3 2 3" xfId="4144"/>
    <cellStyle name="Normal 5 3 3" xfId="4146"/>
    <cellStyle name="Normal 5 3 3 2" xfId="23507"/>
    <cellStyle name="Normal 5 3 3 2 2" xfId="45843"/>
    <cellStyle name="Normal 5 3 4" xfId="5050"/>
    <cellStyle name="Normal 5 3 4 2" xfId="7207"/>
    <cellStyle name="Normal 5 3 4 2 2" xfId="10539"/>
    <cellStyle name="Normal 5 3 4 2 2 2" xfId="17243"/>
    <cellStyle name="Normal 5 3 4 2 2 2 2" xfId="40664"/>
    <cellStyle name="Normal 5 3 4 2 2 3" xfId="34032"/>
    <cellStyle name="Normal 5 3 4 2 3" xfId="13927"/>
    <cellStyle name="Normal 5 3 4 2 3 2" xfId="37348"/>
    <cellStyle name="Normal 5 3 4 2 4" xfId="26050"/>
    <cellStyle name="Normal 5 3 4 2 4 2" xfId="48295"/>
    <cellStyle name="Normal 5 3 4 2 5" xfId="30716"/>
    <cellStyle name="Normal 5 3 4 3" xfId="8877"/>
    <cellStyle name="Normal 5 3 4 3 2" xfId="15585"/>
    <cellStyle name="Normal 5 3 4 3 2 2" xfId="39006"/>
    <cellStyle name="Normal 5 3 4 3 3" xfId="32374"/>
    <cellStyle name="Normal 5 3 4 4" xfId="12267"/>
    <cellStyle name="Normal 5 3 4 4 2" xfId="35690"/>
    <cellStyle name="Normal 5 3 4 5" xfId="23839"/>
    <cellStyle name="Normal 5 3 4 5 2" xfId="46105"/>
    <cellStyle name="Normal 5 3 4 6" xfId="29058"/>
    <cellStyle name="Normal 5 3 5" xfId="23340"/>
    <cellStyle name="Normal 5 3 5 2" xfId="45711"/>
    <cellStyle name="Normal 5 4" xfId="918"/>
    <cellStyle name="Normal 5 4 2" xfId="4147"/>
    <cellStyle name="Normal 5 4 2 2" xfId="18830"/>
    <cellStyle name="Normal 5 4 3" xfId="4148"/>
    <cellStyle name="Normal 5 5" xfId="1198"/>
    <cellStyle name="Normal 5 5 2" xfId="4150"/>
    <cellStyle name="Normal 5 5 2 10" xfId="28967"/>
    <cellStyle name="Normal 5 5 2 2" xfId="4151"/>
    <cellStyle name="Normal 5 5 2 2 2" xfId="7117"/>
    <cellStyle name="Normal 5 5 2 2 2 2" xfId="10449"/>
    <cellStyle name="Normal 5 5 2 2 2 2 2" xfId="17153"/>
    <cellStyle name="Normal 5 5 2 2 2 2 2 2" xfId="27214"/>
    <cellStyle name="Normal 5 5 2 2 2 2 2 2 2" xfId="49459"/>
    <cellStyle name="Normal 5 5 2 2 2 2 2 3" xfId="25001"/>
    <cellStyle name="Normal 5 5 2 2 2 2 2 3 2" xfId="47246"/>
    <cellStyle name="Normal 5 5 2 2 2 2 2 4" xfId="40574"/>
    <cellStyle name="Normal 5 5 2 2 2 2 3" xfId="25581"/>
    <cellStyle name="Normal 5 5 2 2 2 2 3 2" xfId="27886"/>
    <cellStyle name="Normal 5 5 2 2 2 2 3 2 2" xfId="50131"/>
    <cellStyle name="Normal 5 5 2 2 2 2 3 3" xfId="47826"/>
    <cellStyle name="Normal 5 5 2 2 2 2 4" xfId="26540"/>
    <cellStyle name="Normal 5 5 2 2 2 2 4 2" xfId="48785"/>
    <cellStyle name="Normal 5 5 2 2 2 2 5" xfId="24336"/>
    <cellStyle name="Normal 5 5 2 2 2 2 5 2" xfId="46582"/>
    <cellStyle name="Normal 5 5 2 2 2 2 6" xfId="33942"/>
    <cellStyle name="Normal 5 5 2 2 2 3" xfId="13837"/>
    <cellStyle name="Normal 5 5 2 2 2 3 2" xfId="26882"/>
    <cellStyle name="Normal 5 5 2 2 2 3 2 2" xfId="49127"/>
    <cellStyle name="Normal 5 5 2 2 2 3 3" xfId="24669"/>
    <cellStyle name="Normal 5 5 2 2 2 3 3 2" xfId="46914"/>
    <cellStyle name="Normal 5 5 2 2 2 3 4" xfId="37258"/>
    <cellStyle name="Normal 5 5 2 2 2 4" xfId="25245"/>
    <cellStyle name="Normal 5 5 2 2 2 4 2" xfId="27550"/>
    <cellStyle name="Normal 5 5 2 2 2 4 2 2" xfId="49795"/>
    <cellStyle name="Normal 5 5 2 2 2 4 3" xfId="47490"/>
    <cellStyle name="Normal 5 5 2 2 2 5" xfId="26211"/>
    <cellStyle name="Normal 5 5 2 2 2 5 2" xfId="48456"/>
    <cellStyle name="Normal 5 5 2 2 2 6" xfId="24020"/>
    <cellStyle name="Normal 5 5 2 2 2 6 2" xfId="46266"/>
    <cellStyle name="Normal 5 5 2 2 2 7" xfId="30626"/>
    <cellStyle name="Normal 5 5 2 2 3" xfId="8784"/>
    <cellStyle name="Normal 5 5 2 2 3 2" xfId="15495"/>
    <cellStyle name="Normal 5 5 2 2 3 2 2" xfId="27048"/>
    <cellStyle name="Normal 5 5 2 2 3 2 2 2" xfId="49293"/>
    <cellStyle name="Normal 5 5 2 2 3 2 3" xfId="24835"/>
    <cellStyle name="Normal 5 5 2 2 3 2 3 2" xfId="47080"/>
    <cellStyle name="Normal 5 5 2 2 3 2 4" xfId="38916"/>
    <cellStyle name="Normal 5 5 2 2 3 3" xfId="25413"/>
    <cellStyle name="Normal 5 5 2 2 3 3 2" xfId="27718"/>
    <cellStyle name="Normal 5 5 2 2 3 3 2 2" xfId="49963"/>
    <cellStyle name="Normal 5 5 2 2 3 3 3" xfId="47658"/>
    <cellStyle name="Normal 5 5 2 2 3 4" xfId="26375"/>
    <cellStyle name="Normal 5 5 2 2 3 4 2" xfId="48620"/>
    <cellStyle name="Normal 5 5 2 2 3 5" xfId="24171"/>
    <cellStyle name="Normal 5 5 2 2 3 5 2" xfId="46417"/>
    <cellStyle name="Normal 5 5 2 2 3 6" xfId="32284"/>
    <cellStyle name="Normal 5 5 2 2 4" xfId="12177"/>
    <cellStyle name="Normal 5 5 2 2 4 2" xfId="26716"/>
    <cellStyle name="Normal 5 5 2 2 4 2 2" xfId="48961"/>
    <cellStyle name="Normal 5 5 2 2 4 3" xfId="24503"/>
    <cellStyle name="Normal 5 5 2 2 4 3 2" xfId="46748"/>
    <cellStyle name="Normal 5 5 2 2 4 4" xfId="35600"/>
    <cellStyle name="Normal 5 5 2 2 5" xfId="23733"/>
    <cellStyle name="Normal 5 5 2 2 5 2" xfId="27382"/>
    <cellStyle name="Normal 5 5 2 2 5 2 2" xfId="49627"/>
    <cellStyle name="Normal 5 5 2 2 5 3" xfId="46022"/>
    <cellStyle name="Normal 5 5 2 2 6" xfId="25964"/>
    <cellStyle name="Normal 5 5 2 2 6 2" xfId="48209"/>
    <cellStyle name="Normal 5 5 2 2 7" xfId="28968"/>
    <cellStyle name="Normal 5 5 2 3" xfId="4152"/>
    <cellStyle name="Normal 5 5 2 3 2" xfId="7118"/>
    <cellStyle name="Normal 5 5 2 3 2 2" xfId="10450"/>
    <cellStyle name="Normal 5 5 2 3 2 2 2" xfId="17154"/>
    <cellStyle name="Normal 5 5 2 3 2 2 2 2" xfId="27174"/>
    <cellStyle name="Normal 5 5 2 3 2 2 2 2 2" xfId="49419"/>
    <cellStyle name="Normal 5 5 2 3 2 2 2 3" xfId="24961"/>
    <cellStyle name="Normal 5 5 2 3 2 2 2 3 2" xfId="47206"/>
    <cellStyle name="Normal 5 5 2 3 2 2 2 4" xfId="40575"/>
    <cellStyle name="Normal 5 5 2 3 2 2 3" xfId="25539"/>
    <cellStyle name="Normal 5 5 2 3 2 2 3 2" xfId="27844"/>
    <cellStyle name="Normal 5 5 2 3 2 2 3 2 2" xfId="50089"/>
    <cellStyle name="Normal 5 5 2 3 2 2 3 3" xfId="47784"/>
    <cellStyle name="Normal 5 5 2 3 2 2 4" xfId="26500"/>
    <cellStyle name="Normal 5 5 2 3 2 2 4 2" xfId="48745"/>
    <cellStyle name="Normal 5 5 2 3 2 2 5" xfId="24296"/>
    <cellStyle name="Normal 5 5 2 3 2 2 5 2" xfId="46542"/>
    <cellStyle name="Normal 5 5 2 3 2 2 6" xfId="33943"/>
    <cellStyle name="Normal 5 5 2 3 2 3" xfId="13838"/>
    <cellStyle name="Normal 5 5 2 3 2 3 2" xfId="26842"/>
    <cellStyle name="Normal 5 5 2 3 2 3 2 2" xfId="49087"/>
    <cellStyle name="Normal 5 5 2 3 2 3 3" xfId="24629"/>
    <cellStyle name="Normal 5 5 2 3 2 3 3 2" xfId="46874"/>
    <cellStyle name="Normal 5 5 2 3 2 3 4" xfId="37259"/>
    <cellStyle name="Normal 5 5 2 3 2 4" xfId="25203"/>
    <cellStyle name="Normal 5 5 2 3 2 4 2" xfId="27508"/>
    <cellStyle name="Normal 5 5 2 3 2 4 2 2" xfId="49753"/>
    <cellStyle name="Normal 5 5 2 3 2 4 3" xfId="47448"/>
    <cellStyle name="Normal 5 5 2 3 2 5" xfId="26171"/>
    <cellStyle name="Normal 5 5 2 3 2 5 2" xfId="48416"/>
    <cellStyle name="Normal 5 5 2 3 2 6" xfId="23980"/>
    <cellStyle name="Normal 5 5 2 3 2 6 2" xfId="46226"/>
    <cellStyle name="Normal 5 5 2 3 2 7" xfId="30627"/>
    <cellStyle name="Normal 5 5 2 3 3" xfId="8785"/>
    <cellStyle name="Normal 5 5 2 3 3 2" xfId="15496"/>
    <cellStyle name="Normal 5 5 2 3 3 2 2" xfId="27008"/>
    <cellStyle name="Normal 5 5 2 3 3 2 2 2" xfId="49253"/>
    <cellStyle name="Normal 5 5 2 3 3 2 3" xfId="24795"/>
    <cellStyle name="Normal 5 5 2 3 3 2 3 2" xfId="47040"/>
    <cellStyle name="Normal 5 5 2 3 3 2 4" xfId="38917"/>
    <cellStyle name="Normal 5 5 2 3 3 3" xfId="25371"/>
    <cellStyle name="Normal 5 5 2 3 3 3 2" xfId="27676"/>
    <cellStyle name="Normal 5 5 2 3 3 3 2 2" xfId="49921"/>
    <cellStyle name="Normal 5 5 2 3 3 3 3" xfId="47616"/>
    <cellStyle name="Normal 5 5 2 3 3 4" xfId="26335"/>
    <cellStyle name="Normal 5 5 2 3 3 4 2" xfId="48580"/>
    <cellStyle name="Normal 5 5 2 3 3 5" xfId="24131"/>
    <cellStyle name="Normal 5 5 2 3 3 5 2" xfId="46377"/>
    <cellStyle name="Normal 5 5 2 3 3 6" xfId="32285"/>
    <cellStyle name="Normal 5 5 2 3 4" xfId="12178"/>
    <cellStyle name="Normal 5 5 2 3 4 2" xfId="26676"/>
    <cellStyle name="Normal 5 5 2 3 4 2 2" xfId="48921"/>
    <cellStyle name="Normal 5 5 2 3 4 3" xfId="24463"/>
    <cellStyle name="Normal 5 5 2 3 4 3 2" xfId="46708"/>
    <cellStyle name="Normal 5 5 2 3 4 4" xfId="35601"/>
    <cellStyle name="Normal 5 5 2 3 5" xfId="23734"/>
    <cellStyle name="Normal 5 5 2 3 5 2" xfId="27340"/>
    <cellStyle name="Normal 5 5 2 3 5 2 2" xfId="49585"/>
    <cellStyle name="Normal 5 5 2 3 5 3" xfId="46023"/>
    <cellStyle name="Normal 5 5 2 3 6" xfId="25965"/>
    <cellStyle name="Normal 5 5 2 3 6 2" xfId="48210"/>
    <cellStyle name="Normal 5 5 2 3 7" xfId="28969"/>
    <cellStyle name="Normal 5 5 2 4" xfId="7116"/>
    <cellStyle name="Normal 5 5 2 4 2" xfId="10448"/>
    <cellStyle name="Normal 5 5 2 4 2 2" xfId="17152"/>
    <cellStyle name="Normal 5 5 2 4 2 2 2" xfId="25043"/>
    <cellStyle name="Normal 5 5 2 4 2 2 2 2" xfId="27256"/>
    <cellStyle name="Normal 5 5 2 4 2 2 2 2 2" xfId="49501"/>
    <cellStyle name="Normal 5 5 2 4 2 2 2 3" xfId="47288"/>
    <cellStyle name="Normal 5 5 2 4 2 2 3" xfId="25623"/>
    <cellStyle name="Normal 5 5 2 4 2 2 3 2" xfId="27928"/>
    <cellStyle name="Normal 5 5 2 4 2 2 3 2 2" xfId="50173"/>
    <cellStyle name="Normal 5 5 2 4 2 2 3 3" xfId="47868"/>
    <cellStyle name="Normal 5 5 2 4 2 2 4" xfId="26582"/>
    <cellStyle name="Normal 5 5 2 4 2 2 4 2" xfId="48827"/>
    <cellStyle name="Normal 5 5 2 4 2 2 5" xfId="24378"/>
    <cellStyle name="Normal 5 5 2 4 2 2 5 2" xfId="46624"/>
    <cellStyle name="Normal 5 5 2 4 2 2 6" xfId="40573"/>
    <cellStyle name="Normal 5 5 2 4 2 3" xfId="24711"/>
    <cellStyle name="Normal 5 5 2 4 2 3 2" xfId="26924"/>
    <cellStyle name="Normal 5 5 2 4 2 3 2 2" xfId="49169"/>
    <cellStyle name="Normal 5 5 2 4 2 3 3" xfId="46956"/>
    <cellStyle name="Normal 5 5 2 4 2 4" xfId="25287"/>
    <cellStyle name="Normal 5 5 2 4 2 4 2" xfId="27592"/>
    <cellStyle name="Normal 5 5 2 4 2 4 2 2" xfId="49837"/>
    <cellStyle name="Normal 5 5 2 4 2 4 3" xfId="47532"/>
    <cellStyle name="Normal 5 5 2 4 2 5" xfId="26252"/>
    <cellStyle name="Normal 5 5 2 4 2 5 2" xfId="48497"/>
    <cellStyle name="Normal 5 5 2 4 2 6" xfId="24061"/>
    <cellStyle name="Normal 5 5 2 4 2 6 2" xfId="46307"/>
    <cellStyle name="Normal 5 5 2 4 2 7" xfId="33941"/>
    <cellStyle name="Normal 5 5 2 4 3" xfId="13836"/>
    <cellStyle name="Normal 5 5 2 4 3 2" xfId="24877"/>
    <cellStyle name="Normal 5 5 2 4 3 2 2" xfId="27090"/>
    <cellStyle name="Normal 5 5 2 4 3 2 2 2" xfId="49335"/>
    <cellStyle name="Normal 5 5 2 4 3 2 3" xfId="47122"/>
    <cellStyle name="Normal 5 5 2 4 3 3" xfId="25455"/>
    <cellStyle name="Normal 5 5 2 4 3 3 2" xfId="27760"/>
    <cellStyle name="Normal 5 5 2 4 3 3 2 2" xfId="50005"/>
    <cellStyle name="Normal 5 5 2 4 3 3 3" xfId="47700"/>
    <cellStyle name="Normal 5 5 2 4 3 4" xfId="26417"/>
    <cellStyle name="Normal 5 5 2 4 3 4 2" xfId="48662"/>
    <cellStyle name="Normal 5 5 2 4 3 5" xfId="24213"/>
    <cellStyle name="Normal 5 5 2 4 3 5 2" xfId="46459"/>
    <cellStyle name="Normal 5 5 2 4 3 6" xfId="37257"/>
    <cellStyle name="Normal 5 5 2 4 4" xfId="24545"/>
    <cellStyle name="Normal 5 5 2 4 4 2" xfId="26758"/>
    <cellStyle name="Normal 5 5 2 4 4 2 2" xfId="49003"/>
    <cellStyle name="Normal 5 5 2 4 4 3" xfId="46790"/>
    <cellStyle name="Normal 5 5 2 4 5" xfId="25119"/>
    <cellStyle name="Normal 5 5 2 4 5 2" xfId="27424"/>
    <cellStyle name="Normal 5 5 2 4 5 2 2" xfId="49669"/>
    <cellStyle name="Normal 5 5 2 4 5 3" xfId="47364"/>
    <cellStyle name="Normal 5 5 2 4 6" xfId="26099"/>
    <cellStyle name="Normal 5 5 2 4 6 2" xfId="48344"/>
    <cellStyle name="Normal 5 5 2 4 7" xfId="23908"/>
    <cellStyle name="Normal 5 5 2 4 7 2" xfId="46154"/>
    <cellStyle name="Normal 5 5 2 4 8" xfId="30625"/>
    <cellStyle name="Normal 5 5 2 5" xfId="8783"/>
    <cellStyle name="Normal 5 5 2 5 2" xfId="15494"/>
    <cellStyle name="Normal 5 5 2 5 2 2" xfId="24919"/>
    <cellStyle name="Normal 5 5 2 5 2 2 2" xfId="27132"/>
    <cellStyle name="Normal 5 5 2 5 2 2 2 2" xfId="49377"/>
    <cellStyle name="Normal 5 5 2 5 2 2 3" xfId="47164"/>
    <cellStyle name="Normal 5 5 2 5 2 3" xfId="25497"/>
    <cellStyle name="Normal 5 5 2 5 2 3 2" xfId="27802"/>
    <cellStyle name="Normal 5 5 2 5 2 3 2 2" xfId="50047"/>
    <cellStyle name="Normal 5 5 2 5 2 3 3" xfId="47742"/>
    <cellStyle name="Normal 5 5 2 5 2 4" xfId="26459"/>
    <cellStyle name="Normal 5 5 2 5 2 4 2" xfId="48704"/>
    <cellStyle name="Normal 5 5 2 5 2 5" xfId="24255"/>
    <cellStyle name="Normal 5 5 2 5 2 5 2" xfId="46501"/>
    <cellStyle name="Normal 5 5 2 5 2 6" xfId="38915"/>
    <cellStyle name="Normal 5 5 2 5 3" xfId="24587"/>
    <cellStyle name="Normal 5 5 2 5 3 2" xfId="26800"/>
    <cellStyle name="Normal 5 5 2 5 3 2 2" xfId="49045"/>
    <cellStyle name="Normal 5 5 2 5 3 3" xfId="46832"/>
    <cellStyle name="Normal 5 5 2 5 4" xfId="25161"/>
    <cellStyle name="Normal 5 5 2 5 4 2" xfId="27466"/>
    <cellStyle name="Normal 5 5 2 5 4 2 2" xfId="49711"/>
    <cellStyle name="Normal 5 5 2 5 4 3" xfId="47406"/>
    <cellStyle name="Normal 5 5 2 5 5" xfId="26131"/>
    <cellStyle name="Normal 5 5 2 5 5 2" xfId="48376"/>
    <cellStyle name="Normal 5 5 2 5 6" xfId="23940"/>
    <cellStyle name="Normal 5 5 2 5 6 2" xfId="46186"/>
    <cellStyle name="Normal 5 5 2 5 7" xfId="32283"/>
    <cellStyle name="Normal 5 5 2 6" xfId="12176"/>
    <cellStyle name="Normal 5 5 2 6 2" xfId="24753"/>
    <cellStyle name="Normal 5 5 2 6 2 2" xfId="26966"/>
    <cellStyle name="Normal 5 5 2 6 2 2 2" xfId="49211"/>
    <cellStyle name="Normal 5 5 2 6 2 3" xfId="46998"/>
    <cellStyle name="Normal 5 5 2 6 3" xfId="25329"/>
    <cellStyle name="Normal 5 5 2 6 3 2" xfId="27634"/>
    <cellStyle name="Normal 5 5 2 6 3 2 2" xfId="49879"/>
    <cellStyle name="Normal 5 5 2 6 3 3" xfId="47574"/>
    <cellStyle name="Normal 5 5 2 6 4" xfId="26294"/>
    <cellStyle name="Normal 5 5 2 6 4 2" xfId="48539"/>
    <cellStyle name="Normal 5 5 2 6 5" xfId="24090"/>
    <cellStyle name="Normal 5 5 2 6 5 2" xfId="46336"/>
    <cellStyle name="Normal 5 5 2 6 6" xfId="35599"/>
    <cellStyle name="Normal 5 5 2 7" xfId="18831"/>
    <cellStyle name="Normal 5 5 2 7 2" xfId="26634"/>
    <cellStyle name="Normal 5 5 2 7 2 2" xfId="48879"/>
    <cellStyle name="Normal 5 5 2 7 3" xfId="24421"/>
    <cellStyle name="Normal 5 5 2 7 3 2" xfId="46666"/>
    <cellStyle name="Normal 5 5 2 8" xfId="23732"/>
    <cellStyle name="Normal 5 5 2 8 2" xfId="27298"/>
    <cellStyle name="Normal 5 5 2 8 2 2" xfId="49543"/>
    <cellStyle name="Normal 5 5 2 8 3" xfId="46021"/>
    <cellStyle name="Normal 5 5 2 9" xfId="25963"/>
    <cellStyle name="Normal 5 5 2 9 2" xfId="48208"/>
    <cellStyle name="Normal 5 5 3" xfId="4153"/>
    <cellStyle name="Normal 5 5 3 2" xfId="7119"/>
    <cellStyle name="Normal 5 5 3 2 2" xfId="10451"/>
    <cellStyle name="Normal 5 5 3 2 2 2" xfId="17155"/>
    <cellStyle name="Normal 5 5 3 2 2 2 2" xfId="27194"/>
    <cellStyle name="Normal 5 5 3 2 2 2 2 2" xfId="49439"/>
    <cellStyle name="Normal 5 5 3 2 2 2 3" xfId="24981"/>
    <cellStyle name="Normal 5 5 3 2 2 2 3 2" xfId="47226"/>
    <cellStyle name="Normal 5 5 3 2 2 2 4" xfId="40576"/>
    <cellStyle name="Normal 5 5 3 2 2 3" xfId="25560"/>
    <cellStyle name="Normal 5 5 3 2 2 3 2" xfId="27865"/>
    <cellStyle name="Normal 5 5 3 2 2 3 2 2" xfId="50110"/>
    <cellStyle name="Normal 5 5 3 2 2 3 3" xfId="47805"/>
    <cellStyle name="Normal 5 5 3 2 2 4" xfId="26520"/>
    <cellStyle name="Normal 5 5 3 2 2 4 2" xfId="48765"/>
    <cellStyle name="Normal 5 5 3 2 2 5" xfId="24316"/>
    <cellStyle name="Normal 5 5 3 2 2 5 2" xfId="46562"/>
    <cellStyle name="Normal 5 5 3 2 2 6" xfId="33944"/>
    <cellStyle name="Normal 5 5 3 2 3" xfId="13839"/>
    <cellStyle name="Normal 5 5 3 2 3 2" xfId="26862"/>
    <cellStyle name="Normal 5 5 3 2 3 2 2" xfId="49107"/>
    <cellStyle name="Normal 5 5 3 2 3 3" xfId="24649"/>
    <cellStyle name="Normal 5 5 3 2 3 3 2" xfId="46894"/>
    <cellStyle name="Normal 5 5 3 2 3 4" xfId="37260"/>
    <cellStyle name="Normal 5 5 3 2 4" xfId="25224"/>
    <cellStyle name="Normal 5 5 3 2 4 2" xfId="27529"/>
    <cellStyle name="Normal 5 5 3 2 4 2 2" xfId="49774"/>
    <cellStyle name="Normal 5 5 3 2 4 3" xfId="47469"/>
    <cellStyle name="Normal 5 5 3 2 5" xfId="26191"/>
    <cellStyle name="Normal 5 5 3 2 5 2" xfId="48436"/>
    <cellStyle name="Normal 5 5 3 2 6" xfId="24000"/>
    <cellStyle name="Normal 5 5 3 2 6 2" xfId="46246"/>
    <cellStyle name="Normal 5 5 3 2 7" xfId="30628"/>
    <cellStyle name="Normal 5 5 3 3" xfId="8786"/>
    <cellStyle name="Normal 5 5 3 3 2" xfId="15497"/>
    <cellStyle name="Normal 5 5 3 3 2 2" xfId="27028"/>
    <cellStyle name="Normal 5 5 3 3 2 2 2" xfId="49273"/>
    <cellStyle name="Normal 5 5 3 3 2 3" xfId="24815"/>
    <cellStyle name="Normal 5 5 3 3 2 3 2" xfId="47060"/>
    <cellStyle name="Normal 5 5 3 3 2 4" xfId="38918"/>
    <cellStyle name="Normal 5 5 3 3 3" xfId="25392"/>
    <cellStyle name="Normal 5 5 3 3 3 2" xfId="27697"/>
    <cellStyle name="Normal 5 5 3 3 3 2 2" xfId="49942"/>
    <cellStyle name="Normal 5 5 3 3 3 3" xfId="47637"/>
    <cellStyle name="Normal 5 5 3 3 4" xfId="26355"/>
    <cellStyle name="Normal 5 5 3 3 4 2" xfId="48600"/>
    <cellStyle name="Normal 5 5 3 3 5" xfId="24151"/>
    <cellStyle name="Normal 5 5 3 3 5 2" xfId="46397"/>
    <cellStyle name="Normal 5 5 3 3 6" xfId="32286"/>
    <cellStyle name="Normal 5 5 3 4" xfId="12179"/>
    <cellStyle name="Normal 5 5 3 4 2" xfId="26696"/>
    <cellStyle name="Normal 5 5 3 4 2 2" xfId="48941"/>
    <cellStyle name="Normal 5 5 3 4 3" xfId="24483"/>
    <cellStyle name="Normal 5 5 3 4 3 2" xfId="46728"/>
    <cellStyle name="Normal 5 5 3 4 4" xfId="35602"/>
    <cellStyle name="Normal 5 5 3 5" xfId="23735"/>
    <cellStyle name="Normal 5 5 3 5 2" xfId="27361"/>
    <cellStyle name="Normal 5 5 3 5 2 2" xfId="49606"/>
    <cellStyle name="Normal 5 5 3 5 3" xfId="46024"/>
    <cellStyle name="Normal 5 5 3 6" xfId="25966"/>
    <cellStyle name="Normal 5 5 3 6 2" xfId="48211"/>
    <cellStyle name="Normal 5 5 3 7" xfId="28970"/>
    <cellStyle name="Normal 5 5 4" xfId="4154"/>
    <cellStyle name="Normal 5 5 4 2" xfId="7120"/>
    <cellStyle name="Normal 5 5 4 2 2" xfId="10452"/>
    <cellStyle name="Normal 5 5 4 2 2 2" xfId="17156"/>
    <cellStyle name="Normal 5 5 4 2 2 2 2" xfId="27153"/>
    <cellStyle name="Normal 5 5 4 2 2 2 2 2" xfId="49398"/>
    <cellStyle name="Normal 5 5 4 2 2 2 3" xfId="24940"/>
    <cellStyle name="Normal 5 5 4 2 2 2 3 2" xfId="47185"/>
    <cellStyle name="Normal 5 5 4 2 2 2 4" xfId="40577"/>
    <cellStyle name="Normal 5 5 4 2 2 3" xfId="25518"/>
    <cellStyle name="Normal 5 5 4 2 2 3 2" xfId="27823"/>
    <cellStyle name="Normal 5 5 4 2 2 3 2 2" xfId="50068"/>
    <cellStyle name="Normal 5 5 4 2 2 3 3" xfId="47763"/>
    <cellStyle name="Normal 5 5 4 2 2 4" xfId="26480"/>
    <cellStyle name="Normal 5 5 4 2 2 4 2" xfId="48725"/>
    <cellStyle name="Normal 5 5 4 2 2 5" xfId="24276"/>
    <cellStyle name="Normal 5 5 4 2 2 5 2" xfId="46522"/>
    <cellStyle name="Normal 5 5 4 2 2 6" xfId="33945"/>
    <cellStyle name="Normal 5 5 4 2 3" xfId="13840"/>
    <cellStyle name="Normal 5 5 4 2 3 2" xfId="26821"/>
    <cellStyle name="Normal 5 5 4 2 3 2 2" xfId="49066"/>
    <cellStyle name="Normal 5 5 4 2 3 3" xfId="24608"/>
    <cellStyle name="Normal 5 5 4 2 3 3 2" xfId="46853"/>
    <cellStyle name="Normal 5 5 4 2 3 4" xfId="37261"/>
    <cellStyle name="Normal 5 5 4 2 4" xfId="25182"/>
    <cellStyle name="Normal 5 5 4 2 4 2" xfId="27487"/>
    <cellStyle name="Normal 5 5 4 2 4 2 2" xfId="49732"/>
    <cellStyle name="Normal 5 5 4 2 4 3" xfId="47427"/>
    <cellStyle name="Normal 5 5 4 2 5" xfId="26151"/>
    <cellStyle name="Normal 5 5 4 2 5 2" xfId="48396"/>
    <cellStyle name="Normal 5 5 4 2 6" xfId="23960"/>
    <cellStyle name="Normal 5 5 4 2 6 2" xfId="46206"/>
    <cellStyle name="Normal 5 5 4 2 7" xfId="30629"/>
    <cellStyle name="Normal 5 5 4 3" xfId="8787"/>
    <cellStyle name="Normal 5 5 4 3 2" xfId="15498"/>
    <cellStyle name="Normal 5 5 4 3 2 2" xfId="26987"/>
    <cellStyle name="Normal 5 5 4 3 2 2 2" xfId="49232"/>
    <cellStyle name="Normal 5 5 4 3 2 3" xfId="24774"/>
    <cellStyle name="Normal 5 5 4 3 2 3 2" xfId="47019"/>
    <cellStyle name="Normal 5 5 4 3 2 4" xfId="38919"/>
    <cellStyle name="Normal 5 5 4 3 3" xfId="25350"/>
    <cellStyle name="Normal 5 5 4 3 3 2" xfId="27655"/>
    <cellStyle name="Normal 5 5 4 3 3 2 2" xfId="49900"/>
    <cellStyle name="Normal 5 5 4 3 3 3" xfId="47595"/>
    <cellStyle name="Normal 5 5 4 3 4" xfId="26315"/>
    <cellStyle name="Normal 5 5 4 3 4 2" xfId="48560"/>
    <cellStyle name="Normal 5 5 4 3 5" xfId="24111"/>
    <cellStyle name="Normal 5 5 4 3 5 2" xfId="46357"/>
    <cellStyle name="Normal 5 5 4 3 6" xfId="32287"/>
    <cellStyle name="Normal 5 5 4 4" xfId="12180"/>
    <cellStyle name="Normal 5 5 4 4 2" xfId="26655"/>
    <cellStyle name="Normal 5 5 4 4 2 2" xfId="48900"/>
    <cellStyle name="Normal 5 5 4 4 3" xfId="24442"/>
    <cellStyle name="Normal 5 5 4 4 3 2" xfId="46687"/>
    <cellStyle name="Normal 5 5 4 4 4" xfId="35603"/>
    <cellStyle name="Normal 5 5 4 5" xfId="23736"/>
    <cellStyle name="Normal 5 5 4 5 2" xfId="27319"/>
    <cellStyle name="Normal 5 5 4 5 2 2" xfId="49564"/>
    <cellStyle name="Normal 5 5 4 5 3" xfId="46025"/>
    <cellStyle name="Normal 5 5 4 6" xfId="25967"/>
    <cellStyle name="Normal 5 5 4 6 2" xfId="48212"/>
    <cellStyle name="Normal 5 5 4 7" xfId="28971"/>
    <cellStyle name="Normal 5 5 5" xfId="4155"/>
    <cellStyle name="Normal 5 5 5 2" xfId="7121"/>
    <cellStyle name="Normal 5 5 5 2 2" xfId="10453"/>
    <cellStyle name="Normal 5 5 5 2 2 2" xfId="17157"/>
    <cellStyle name="Normal 5 5 5 2 2 2 2" xfId="27235"/>
    <cellStyle name="Normal 5 5 5 2 2 2 2 2" xfId="49480"/>
    <cellStyle name="Normal 5 5 5 2 2 2 3" xfId="25022"/>
    <cellStyle name="Normal 5 5 5 2 2 2 3 2" xfId="47267"/>
    <cellStyle name="Normal 5 5 5 2 2 2 4" xfId="40578"/>
    <cellStyle name="Normal 5 5 5 2 2 3" xfId="25602"/>
    <cellStyle name="Normal 5 5 5 2 2 3 2" xfId="27907"/>
    <cellStyle name="Normal 5 5 5 2 2 3 2 2" xfId="50152"/>
    <cellStyle name="Normal 5 5 5 2 2 3 3" xfId="47847"/>
    <cellStyle name="Normal 5 5 5 2 2 4" xfId="26561"/>
    <cellStyle name="Normal 5 5 5 2 2 4 2" xfId="48806"/>
    <cellStyle name="Normal 5 5 5 2 2 5" xfId="24357"/>
    <cellStyle name="Normal 5 5 5 2 2 5 2" xfId="46603"/>
    <cellStyle name="Normal 5 5 5 2 2 6" xfId="33946"/>
    <cellStyle name="Normal 5 5 5 2 3" xfId="13841"/>
    <cellStyle name="Normal 5 5 5 2 3 2" xfId="26903"/>
    <cellStyle name="Normal 5 5 5 2 3 2 2" xfId="49148"/>
    <cellStyle name="Normal 5 5 5 2 3 3" xfId="24690"/>
    <cellStyle name="Normal 5 5 5 2 3 3 2" xfId="46935"/>
    <cellStyle name="Normal 5 5 5 2 3 4" xfId="37262"/>
    <cellStyle name="Normal 5 5 5 2 4" xfId="25266"/>
    <cellStyle name="Normal 5 5 5 2 4 2" xfId="27571"/>
    <cellStyle name="Normal 5 5 5 2 4 2 2" xfId="49816"/>
    <cellStyle name="Normal 5 5 5 2 4 3" xfId="47511"/>
    <cellStyle name="Normal 5 5 5 2 5" xfId="26232"/>
    <cellStyle name="Normal 5 5 5 2 5 2" xfId="48477"/>
    <cellStyle name="Normal 5 5 5 2 6" xfId="24041"/>
    <cellStyle name="Normal 5 5 5 2 6 2" xfId="46287"/>
    <cellStyle name="Normal 5 5 5 2 7" xfId="30630"/>
    <cellStyle name="Normal 5 5 5 3" xfId="8788"/>
    <cellStyle name="Normal 5 5 5 3 2" xfId="15499"/>
    <cellStyle name="Normal 5 5 5 3 2 2" xfId="27069"/>
    <cellStyle name="Normal 5 5 5 3 2 2 2" xfId="49314"/>
    <cellStyle name="Normal 5 5 5 3 2 3" xfId="24856"/>
    <cellStyle name="Normal 5 5 5 3 2 3 2" xfId="47101"/>
    <cellStyle name="Normal 5 5 5 3 2 4" xfId="38920"/>
    <cellStyle name="Normal 5 5 5 3 3" xfId="25434"/>
    <cellStyle name="Normal 5 5 5 3 3 2" xfId="27739"/>
    <cellStyle name="Normal 5 5 5 3 3 2 2" xfId="49984"/>
    <cellStyle name="Normal 5 5 5 3 3 3" xfId="47679"/>
    <cellStyle name="Normal 5 5 5 3 4" xfId="26396"/>
    <cellStyle name="Normal 5 5 5 3 4 2" xfId="48641"/>
    <cellStyle name="Normal 5 5 5 3 5" xfId="24192"/>
    <cellStyle name="Normal 5 5 5 3 5 2" xfId="46438"/>
    <cellStyle name="Normal 5 5 5 3 6" xfId="32288"/>
    <cellStyle name="Normal 5 5 5 4" xfId="12181"/>
    <cellStyle name="Normal 5 5 5 4 2" xfId="26737"/>
    <cellStyle name="Normal 5 5 5 4 2 2" xfId="48982"/>
    <cellStyle name="Normal 5 5 5 4 3" xfId="24524"/>
    <cellStyle name="Normal 5 5 5 4 3 2" xfId="46769"/>
    <cellStyle name="Normal 5 5 5 4 4" xfId="35604"/>
    <cellStyle name="Normal 5 5 5 5" xfId="23737"/>
    <cellStyle name="Normal 5 5 5 5 2" xfId="27403"/>
    <cellStyle name="Normal 5 5 5 5 2 2" xfId="49648"/>
    <cellStyle name="Normal 5 5 5 5 3" xfId="46026"/>
    <cellStyle name="Normal 5 5 5 6" xfId="25968"/>
    <cellStyle name="Normal 5 5 5 6 2" xfId="48213"/>
    <cellStyle name="Normal 5 5 5 7" xfId="28972"/>
    <cellStyle name="Normal 5 5 6" xfId="4156"/>
    <cellStyle name="Normal 5 5 6 2" xfId="24234"/>
    <cellStyle name="Normal 5 5 6 2 2" xfId="24898"/>
    <cellStyle name="Normal 5 5 6 2 2 2" xfId="27111"/>
    <cellStyle name="Normal 5 5 6 2 2 2 2" xfId="49356"/>
    <cellStyle name="Normal 5 5 6 2 2 3" xfId="47143"/>
    <cellStyle name="Normal 5 5 6 2 3" xfId="25476"/>
    <cellStyle name="Normal 5 5 6 2 3 2" xfId="27781"/>
    <cellStyle name="Normal 5 5 6 2 3 2 2" xfId="50026"/>
    <cellStyle name="Normal 5 5 6 2 3 3" xfId="47721"/>
    <cellStyle name="Normal 5 5 6 2 4" xfId="26438"/>
    <cellStyle name="Normal 5 5 6 2 4 2" xfId="48683"/>
    <cellStyle name="Normal 5 5 6 2 5" xfId="46480"/>
    <cellStyle name="Normal 5 5 6 3" xfId="24566"/>
    <cellStyle name="Normal 5 5 6 3 2" xfId="26779"/>
    <cellStyle name="Normal 5 5 6 3 2 2" xfId="49024"/>
    <cellStyle name="Normal 5 5 6 3 3" xfId="46811"/>
    <cellStyle name="Normal 5 5 6 4" xfId="25140"/>
    <cellStyle name="Normal 5 5 6 4 2" xfId="27445"/>
    <cellStyle name="Normal 5 5 6 4 2 2" xfId="49690"/>
    <cellStyle name="Normal 5 5 6 4 3" xfId="47385"/>
    <cellStyle name="Normal 5 5 6 5" xfId="23922"/>
    <cellStyle name="Normal 5 5 6 5 2" xfId="26113"/>
    <cellStyle name="Normal 5 5 6 5 2 2" xfId="48358"/>
    <cellStyle name="Normal 5 5 6 5 3" xfId="46168"/>
    <cellStyle name="Normal 5 5 7" xfId="5165"/>
    <cellStyle name="Normal 5 5 7 2" xfId="24732"/>
    <cellStyle name="Normal 5 5 7 2 2" xfId="26945"/>
    <cellStyle name="Normal 5 5 7 2 2 2" xfId="49190"/>
    <cellStyle name="Normal 5 5 7 2 3" xfId="46977"/>
    <cellStyle name="Normal 5 5 7 3" xfId="25308"/>
    <cellStyle name="Normal 5 5 7 3 2" xfId="27613"/>
    <cellStyle name="Normal 5 5 7 3 2 2" xfId="49858"/>
    <cellStyle name="Normal 5 5 7 3 3" xfId="47553"/>
    <cellStyle name="Normal 5 5 7 4" xfId="24071"/>
    <cellStyle name="Normal 5 5 7 4 2" xfId="26273"/>
    <cellStyle name="Normal 5 5 7 4 2 2" xfId="48518"/>
    <cellStyle name="Normal 5 5 7 4 3" xfId="46317"/>
    <cellStyle name="Normal 5 5 8" xfId="4149"/>
    <cellStyle name="Normal 5 5 8 2" xfId="26613"/>
    <cellStyle name="Normal 5 5 8 2 2" xfId="48858"/>
    <cellStyle name="Normal 5 5 8 3" xfId="24410"/>
    <cellStyle name="Normal 5 5 8 3 2" xfId="46655"/>
    <cellStyle name="Normal 5 5 9" xfId="25064"/>
    <cellStyle name="Normal 5 5 9 2" xfId="27277"/>
    <cellStyle name="Normal 5 5 9 2 2" xfId="49522"/>
    <cellStyle name="Normal 5 5 9 3" xfId="47309"/>
    <cellStyle name="Normal 5 6" xfId="1135"/>
    <cellStyle name="Normal 5 6 10" xfId="7791"/>
    <cellStyle name="Normal 5 6 10 2" xfId="14506"/>
    <cellStyle name="Normal 5 6 10 2 2" xfId="37927"/>
    <cellStyle name="Normal 5 6 10 3" xfId="20987"/>
    <cellStyle name="Normal 5 6 10 3 2" xfId="43438"/>
    <cellStyle name="Normal 5 6 10 4" xfId="31295"/>
    <cellStyle name="Normal 5 6 11" xfId="11188"/>
    <cellStyle name="Normal 5 6 11 2" xfId="21742"/>
    <cellStyle name="Normal 5 6 11 2 2" xfId="44191"/>
    <cellStyle name="Normal 5 6 11 3" xfId="34611"/>
    <cellStyle name="Normal 5 6 12" xfId="18132"/>
    <cellStyle name="Normal 5 6 12 2" xfId="41420"/>
    <cellStyle name="Normal 5 6 13" xfId="27979"/>
    <cellStyle name="Normal 5 6 2" xfId="1467"/>
    <cellStyle name="Normal 5 6 2 10" xfId="11216"/>
    <cellStyle name="Normal 5 6 2 10 2" xfId="21743"/>
    <cellStyle name="Normal 5 6 2 10 2 2" xfId="44192"/>
    <cellStyle name="Normal 5 6 2 10 3" xfId="34639"/>
    <cellStyle name="Normal 5 6 2 11" xfId="18133"/>
    <cellStyle name="Normal 5 6 2 11 2" xfId="41421"/>
    <cellStyle name="Normal 5 6 2 12" xfId="23738"/>
    <cellStyle name="Normal 5 6 2 12 2" xfId="46027"/>
    <cellStyle name="Normal 5 6 2 13" xfId="28007"/>
    <cellStyle name="Normal 5 6 2 2" xfId="1507"/>
    <cellStyle name="Normal 5 6 2 2 10" xfId="18134"/>
    <cellStyle name="Normal 5 6 2 2 10 2" xfId="41422"/>
    <cellStyle name="Normal 5 6 2 2 11" xfId="23739"/>
    <cellStyle name="Normal 5 6 2 2 11 2" xfId="46028"/>
    <cellStyle name="Normal 5 6 2 2 12" xfId="28043"/>
    <cellStyle name="Normal 5 6 2 2 2" xfId="1677"/>
    <cellStyle name="Normal 5 6 2 2 2 10" xfId="23740"/>
    <cellStyle name="Normal 5 6 2 2 2 10 2" xfId="46029"/>
    <cellStyle name="Normal 5 6 2 2 2 11" xfId="28095"/>
    <cellStyle name="Normal 5 6 2 2 2 2" xfId="1874"/>
    <cellStyle name="Normal 5 6 2 2 2 2 10" xfId="28226"/>
    <cellStyle name="Normal 5 6 2 2 2 2 2" xfId="2393"/>
    <cellStyle name="Normal 5 6 2 2 2 2 2 2" xfId="5631"/>
    <cellStyle name="Normal 5 6 2 2 2 2 2 2 2" xfId="7454"/>
    <cellStyle name="Normal 5 6 2 2 2 2 2 2 2 2" xfId="10785"/>
    <cellStyle name="Normal 5 6 2 2 2 2 2 2 2 2 2" xfId="17489"/>
    <cellStyle name="Normal 5 6 2 2 2 2 2 2 2 2 2 2" xfId="40910"/>
    <cellStyle name="Normal 5 6 2 2 2 2 2 2 2 2 3" xfId="23206"/>
    <cellStyle name="Normal 5 6 2 2 2 2 2 2 2 2 3 2" xfId="45628"/>
    <cellStyle name="Normal 5 6 2 2 2 2 2 2 2 2 4" xfId="34278"/>
    <cellStyle name="Normal 5 6 2 2 2 2 2 2 2 3" xfId="14173"/>
    <cellStyle name="Normal 5 6 2 2 2 2 2 2 2 3 2" xfId="37594"/>
    <cellStyle name="Normal 5 6 2 2 2 2 2 2 2 4" xfId="20381"/>
    <cellStyle name="Normal 5 6 2 2 2 2 2 2 2 4 2" xfId="42916"/>
    <cellStyle name="Normal 5 6 2 2 2 2 2 2 2 5" xfId="30962"/>
    <cellStyle name="Normal 5 6 2 2 2 2 2 2 3" xfId="9127"/>
    <cellStyle name="Normal 5 6 2 2 2 2 2 2 3 2" xfId="15831"/>
    <cellStyle name="Normal 5 6 2 2 2 2 2 2 3 2 2" xfId="39252"/>
    <cellStyle name="Normal 5 6 2 2 2 2 2 2 3 3" xfId="21451"/>
    <cellStyle name="Normal 5 6 2 2 2 2 2 2 3 3 2" xfId="43902"/>
    <cellStyle name="Normal 5 6 2 2 2 2 2 2 3 4" xfId="32620"/>
    <cellStyle name="Normal 5 6 2 2 2 2 2 2 4" xfId="12515"/>
    <cellStyle name="Normal 5 6 2 2 2 2 2 2 4 2" xfId="22394"/>
    <cellStyle name="Normal 5 6 2 2 2 2 2 2 4 2 2" xfId="44816"/>
    <cellStyle name="Normal 5 6 2 2 2 2 2 2 4 3" xfId="35936"/>
    <cellStyle name="Normal 5 6 2 2 2 2 2 2 5" xfId="19542"/>
    <cellStyle name="Normal 5 6 2 2 2 2 2 2 5 2" xfId="42084"/>
    <cellStyle name="Normal 5 6 2 2 2 2 2 2 6" xfId="29304"/>
    <cellStyle name="Normal 5 6 2 2 2 2 2 3" xfId="6553"/>
    <cellStyle name="Normal 5 6 2 2 2 2 2 3 2" xfId="9887"/>
    <cellStyle name="Normal 5 6 2 2 2 2 2 3 2 2" xfId="16591"/>
    <cellStyle name="Normal 5 6 2 2 2 2 2 3 2 2 2" xfId="40012"/>
    <cellStyle name="Normal 5 6 2 2 2 2 2 3 2 3" xfId="22801"/>
    <cellStyle name="Normal 5 6 2 2 2 2 2 3 2 3 2" xfId="45223"/>
    <cellStyle name="Normal 5 6 2 2 2 2 2 3 2 4" xfId="33380"/>
    <cellStyle name="Normal 5 6 2 2 2 2 2 3 3" xfId="13275"/>
    <cellStyle name="Normal 5 6 2 2 2 2 2 3 3 2" xfId="36696"/>
    <cellStyle name="Normal 5 6 2 2 2 2 2 3 4" xfId="19965"/>
    <cellStyle name="Normal 5 6 2 2 2 2 2 3 4 2" xfId="42500"/>
    <cellStyle name="Normal 5 6 2 2 2 2 2 3 5" xfId="30064"/>
    <cellStyle name="Normal 5 6 2 2 2 2 2 4" xfId="8220"/>
    <cellStyle name="Normal 5 6 2 2 2 2 2 4 2" xfId="14933"/>
    <cellStyle name="Normal 5 6 2 2 2 2 2 4 2 2" xfId="38354"/>
    <cellStyle name="Normal 5 6 2 2 2 2 2 4 3" xfId="20992"/>
    <cellStyle name="Normal 5 6 2 2 2 2 2 4 3 2" xfId="43443"/>
    <cellStyle name="Normal 5 6 2 2 2 2 2 4 4" xfId="31722"/>
    <cellStyle name="Normal 5 6 2 2 2 2 2 5" xfId="11615"/>
    <cellStyle name="Normal 5 6 2 2 2 2 2 5 2" xfId="21970"/>
    <cellStyle name="Normal 5 6 2 2 2 2 2 5 2 2" xfId="44402"/>
    <cellStyle name="Normal 5 6 2 2 2 2 2 5 3" xfId="35038"/>
    <cellStyle name="Normal 5 6 2 2 2 2 2 6" xfId="18836"/>
    <cellStyle name="Normal 5 6 2 2 2 2 2 6 2" xfId="41659"/>
    <cellStyle name="Normal 5 6 2 2 2 2 2 7" xfId="25972"/>
    <cellStyle name="Normal 5 6 2 2 2 2 2 7 2" xfId="48217"/>
    <cellStyle name="Normal 5 6 2 2 2 2 2 8" xfId="28406"/>
    <cellStyle name="Normal 5 6 2 2 2 2 3" xfId="2871"/>
    <cellStyle name="Normal 5 6 2 2 2 2 3 2" xfId="5963"/>
    <cellStyle name="Normal 5 6 2 2 2 2 3 2 2" xfId="7745"/>
    <cellStyle name="Normal 5 6 2 2 2 2 3 2 2 2" xfId="11074"/>
    <cellStyle name="Normal 5 6 2 2 2 2 3 2 2 2 2" xfId="17778"/>
    <cellStyle name="Normal 5 6 2 2 2 2 3 2 2 2 2 2" xfId="41199"/>
    <cellStyle name="Normal 5 6 2 2 2 2 3 2 2 2 3" xfId="34567"/>
    <cellStyle name="Normal 5 6 2 2 2 2 3 2 2 3" xfId="14462"/>
    <cellStyle name="Normal 5 6 2 2 2 2 3 2 2 3 2" xfId="37883"/>
    <cellStyle name="Normal 5 6 2 2 2 2 3 2 2 4" xfId="23001"/>
    <cellStyle name="Normal 5 6 2 2 2 2 3 2 2 4 2" xfId="45423"/>
    <cellStyle name="Normal 5 6 2 2 2 2 3 2 2 5" xfId="31251"/>
    <cellStyle name="Normal 5 6 2 2 2 2 3 2 3" xfId="9416"/>
    <cellStyle name="Normal 5 6 2 2 2 2 3 2 3 2" xfId="16120"/>
    <cellStyle name="Normal 5 6 2 2 2 2 3 2 3 2 2" xfId="39541"/>
    <cellStyle name="Normal 5 6 2 2 2 2 3 2 3 3" xfId="32909"/>
    <cellStyle name="Normal 5 6 2 2 2 2 3 2 4" xfId="12804"/>
    <cellStyle name="Normal 5 6 2 2 2 2 3 2 4 2" xfId="36225"/>
    <cellStyle name="Normal 5 6 2 2 2 2 3 2 5" xfId="20173"/>
    <cellStyle name="Normal 5 6 2 2 2 2 3 2 5 2" xfId="42708"/>
    <cellStyle name="Normal 5 6 2 2 2 2 3 2 6" xfId="29593"/>
    <cellStyle name="Normal 5 6 2 2 2 2 3 3" xfId="6846"/>
    <cellStyle name="Normal 5 6 2 2 2 2 3 3 2" xfId="10178"/>
    <cellStyle name="Normal 5 6 2 2 2 2 3 3 2 2" xfId="16882"/>
    <cellStyle name="Normal 5 6 2 2 2 2 3 3 2 2 2" xfId="40303"/>
    <cellStyle name="Normal 5 6 2 2 2 2 3 3 2 3" xfId="33671"/>
    <cellStyle name="Normal 5 6 2 2 2 2 3 3 3" xfId="13566"/>
    <cellStyle name="Normal 5 6 2 2 2 2 3 3 3 2" xfId="36987"/>
    <cellStyle name="Normal 5 6 2 2 2 2 3 3 4" xfId="21450"/>
    <cellStyle name="Normal 5 6 2 2 2 2 3 3 4 2" xfId="43901"/>
    <cellStyle name="Normal 5 6 2 2 2 2 3 3 5" xfId="30355"/>
    <cellStyle name="Normal 5 6 2 2 2 2 3 4" xfId="8512"/>
    <cellStyle name="Normal 5 6 2 2 2 2 3 4 2" xfId="15224"/>
    <cellStyle name="Normal 5 6 2 2 2 2 3 4 2 2" xfId="38645"/>
    <cellStyle name="Normal 5 6 2 2 2 2 3 4 3" xfId="22184"/>
    <cellStyle name="Normal 5 6 2 2 2 2 3 4 3 2" xfId="44608"/>
    <cellStyle name="Normal 5 6 2 2 2 2 3 4 4" xfId="32013"/>
    <cellStyle name="Normal 5 6 2 2 2 2 3 5" xfId="11906"/>
    <cellStyle name="Normal 5 6 2 2 2 2 3 5 2" xfId="35329"/>
    <cellStyle name="Normal 5 6 2 2 2 2 3 6" xfId="19323"/>
    <cellStyle name="Normal 5 6 2 2 2 2 3 6 2" xfId="41876"/>
    <cellStyle name="Normal 5 6 2 2 2 2 3 7" xfId="28697"/>
    <cellStyle name="Normal 5 6 2 2 2 2 4" xfId="4161"/>
    <cellStyle name="Normal 5 6 2 2 2 2 4 2" xfId="7125"/>
    <cellStyle name="Normal 5 6 2 2 2 2 4 2 2" xfId="10457"/>
    <cellStyle name="Normal 5 6 2 2 2 2 4 2 2 2" xfId="17161"/>
    <cellStyle name="Normal 5 6 2 2 2 2 4 2 2 2 2" xfId="40582"/>
    <cellStyle name="Normal 5 6 2 2 2 2 4 2 2 3" xfId="33950"/>
    <cellStyle name="Normal 5 6 2 2 2 2 4 2 3" xfId="13845"/>
    <cellStyle name="Normal 5 6 2 2 2 2 4 2 3 2" xfId="37266"/>
    <cellStyle name="Normal 5 6 2 2 2 2 4 2 4" xfId="22596"/>
    <cellStyle name="Normal 5 6 2 2 2 2 4 2 4 2" xfId="45018"/>
    <cellStyle name="Normal 5 6 2 2 2 2 4 2 5" xfId="30634"/>
    <cellStyle name="Normal 5 6 2 2 2 2 4 3" xfId="8792"/>
    <cellStyle name="Normal 5 6 2 2 2 2 4 3 2" xfId="15503"/>
    <cellStyle name="Normal 5 6 2 2 2 2 4 3 2 2" xfId="38924"/>
    <cellStyle name="Normal 5 6 2 2 2 2 4 3 3" xfId="32292"/>
    <cellStyle name="Normal 5 6 2 2 2 2 4 4" xfId="12185"/>
    <cellStyle name="Normal 5 6 2 2 2 2 4 4 2" xfId="35608"/>
    <cellStyle name="Normal 5 6 2 2 2 2 4 5" xfId="19755"/>
    <cellStyle name="Normal 5 6 2 2 2 2 4 5 2" xfId="42292"/>
    <cellStyle name="Normal 5 6 2 2 2 2 4 6" xfId="28976"/>
    <cellStyle name="Normal 5 6 2 2 2 2 5" xfId="6373"/>
    <cellStyle name="Normal 5 6 2 2 2 2 5 2" xfId="9707"/>
    <cellStyle name="Normal 5 6 2 2 2 2 5 2 2" xfId="16411"/>
    <cellStyle name="Normal 5 6 2 2 2 2 5 2 2 2" xfId="39832"/>
    <cellStyle name="Normal 5 6 2 2 2 2 5 2 3" xfId="33200"/>
    <cellStyle name="Normal 5 6 2 2 2 2 5 3" xfId="13095"/>
    <cellStyle name="Normal 5 6 2 2 2 2 5 3 2" xfId="36516"/>
    <cellStyle name="Normal 5 6 2 2 2 2 5 4" xfId="20991"/>
    <cellStyle name="Normal 5 6 2 2 2 2 5 4 2" xfId="43442"/>
    <cellStyle name="Normal 5 6 2 2 2 2 5 5" xfId="29884"/>
    <cellStyle name="Normal 5 6 2 2 2 2 6" xfId="8039"/>
    <cellStyle name="Normal 5 6 2 2 2 2 6 2" xfId="14753"/>
    <cellStyle name="Normal 5 6 2 2 2 2 6 2 2" xfId="38174"/>
    <cellStyle name="Normal 5 6 2 2 2 2 6 3" xfId="21746"/>
    <cellStyle name="Normal 5 6 2 2 2 2 6 3 2" xfId="44195"/>
    <cellStyle name="Normal 5 6 2 2 2 2 6 4" xfId="31542"/>
    <cellStyle name="Normal 5 6 2 2 2 2 7" xfId="11435"/>
    <cellStyle name="Normal 5 6 2 2 2 2 7 2" xfId="34858"/>
    <cellStyle name="Normal 5 6 2 2 2 2 8" xfId="18136"/>
    <cellStyle name="Normal 5 6 2 2 2 2 8 2" xfId="41424"/>
    <cellStyle name="Normal 5 6 2 2 2 2 9" xfId="23741"/>
    <cellStyle name="Normal 5 6 2 2 2 2 9 2" xfId="46030"/>
    <cellStyle name="Normal 5 6 2 2 2 3" xfId="2392"/>
    <cellStyle name="Normal 5 6 2 2 2 3 2" xfId="5630"/>
    <cellStyle name="Normal 5 6 2 2 2 3 2 2" xfId="7453"/>
    <cellStyle name="Normal 5 6 2 2 2 3 2 2 2" xfId="10784"/>
    <cellStyle name="Normal 5 6 2 2 2 3 2 2 2 2" xfId="17488"/>
    <cellStyle name="Normal 5 6 2 2 2 3 2 2 2 2 2" xfId="40909"/>
    <cellStyle name="Normal 5 6 2 2 2 3 2 2 2 3" xfId="23205"/>
    <cellStyle name="Normal 5 6 2 2 2 3 2 2 2 3 2" xfId="45627"/>
    <cellStyle name="Normal 5 6 2 2 2 3 2 2 2 4" xfId="34277"/>
    <cellStyle name="Normal 5 6 2 2 2 3 2 2 3" xfId="14172"/>
    <cellStyle name="Normal 5 6 2 2 2 3 2 2 3 2" xfId="37593"/>
    <cellStyle name="Normal 5 6 2 2 2 3 2 2 4" xfId="20380"/>
    <cellStyle name="Normal 5 6 2 2 2 3 2 2 4 2" xfId="42915"/>
    <cellStyle name="Normal 5 6 2 2 2 3 2 2 5" xfId="30961"/>
    <cellStyle name="Normal 5 6 2 2 2 3 2 3" xfId="9126"/>
    <cellStyle name="Normal 5 6 2 2 2 3 2 3 2" xfId="15830"/>
    <cellStyle name="Normal 5 6 2 2 2 3 2 3 2 2" xfId="39251"/>
    <cellStyle name="Normal 5 6 2 2 2 3 2 3 3" xfId="21452"/>
    <cellStyle name="Normal 5 6 2 2 2 3 2 3 3 2" xfId="43903"/>
    <cellStyle name="Normal 5 6 2 2 2 3 2 3 4" xfId="32619"/>
    <cellStyle name="Normal 5 6 2 2 2 3 2 4" xfId="12514"/>
    <cellStyle name="Normal 5 6 2 2 2 3 2 4 2" xfId="22393"/>
    <cellStyle name="Normal 5 6 2 2 2 3 2 4 2 2" xfId="44815"/>
    <cellStyle name="Normal 5 6 2 2 2 3 2 4 3" xfId="35935"/>
    <cellStyle name="Normal 5 6 2 2 2 3 2 5" xfId="19541"/>
    <cellStyle name="Normal 5 6 2 2 2 3 2 5 2" xfId="42083"/>
    <cellStyle name="Normal 5 6 2 2 2 3 2 6" xfId="29303"/>
    <cellStyle name="Normal 5 6 2 2 2 3 3" xfId="6552"/>
    <cellStyle name="Normal 5 6 2 2 2 3 3 2" xfId="9886"/>
    <cellStyle name="Normal 5 6 2 2 2 3 3 2 2" xfId="16590"/>
    <cellStyle name="Normal 5 6 2 2 2 3 3 2 2 2" xfId="40011"/>
    <cellStyle name="Normal 5 6 2 2 2 3 3 2 3" xfId="22800"/>
    <cellStyle name="Normal 5 6 2 2 2 3 3 2 3 2" xfId="45222"/>
    <cellStyle name="Normal 5 6 2 2 2 3 3 2 4" xfId="33379"/>
    <cellStyle name="Normal 5 6 2 2 2 3 3 3" xfId="13274"/>
    <cellStyle name="Normal 5 6 2 2 2 3 3 3 2" xfId="36695"/>
    <cellStyle name="Normal 5 6 2 2 2 3 3 4" xfId="19964"/>
    <cellStyle name="Normal 5 6 2 2 2 3 3 4 2" xfId="42499"/>
    <cellStyle name="Normal 5 6 2 2 2 3 3 5" xfId="30063"/>
    <cellStyle name="Normal 5 6 2 2 2 3 4" xfId="8219"/>
    <cellStyle name="Normal 5 6 2 2 2 3 4 2" xfId="14932"/>
    <cellStyle name="Normal 5 6 2 2 2 3 4 2 2" xfId="38353"/>
    <cellStyle name="Normal 5 6 2 2 2 3 4 3" xfId="20993"/>
    <cellStyle name="Normal 5 6 2 2 2 3 4 3 2" xfId="43444"/>
    <cellStyle name="Normal 5 6 2 2 2 3 4 4" xfId="31721"/>
    <cellStyle name="Normal 5 6 2 2 2 3 5" xfId="11614"/>
    <cellStyle name="Normal 5 6 2 2 2 3 5 2" xfId="21969"/>
    <cellStyle name="Normal 5 6 2 2 2 3 5 2 2" xfId="44401"/>
    <cellStyle name="Normal 5 6 2 2 2 3 5 3" xfId="35037"/>
    <cellStyle name="Normal 5 6 2 2 2 3 6" xfId="18835"/>
    <cellStyle name="Normal 5 6 2 2 2 3 6 2" xfId="41658"/>
    <cellStyle name="Normal 5 6 2 2 2 3 7" xfId="25971"/>
    <cellStyle name="Normal 5 6 2 2 2 3 7 2" xfId="48216"/>
    <cellStyle name="Normal 5 6 2 2 2 3 8" xfId="28405"/>
    <cellStyle name="Normal 5 6 2 2 2 4" xfId="2739"/>
    <cellStyle name="Normal 5 6 2 2 2 4 2" xfId="5832"/>
    <cellStyle name="Normal 5 6 2 2 2 4 2 2" xfId="7614"/>
    <cellStyle name="Normal 5 6 2 2 2 4 2 2 2" xfId="10943"/>
    <cellStyle name="Normal 5 6 2 2 2 4 2 2 2 2" xfId="17647"/>
    <cellStyle name="Normal 5 6 2 2 2 4 2 2 2 2 2" xfId="41068"/>
    <cellStyle name="Normal 5 6 2 2 2 4 2 2 2 3" xfId="34436"/>
    <cellStyle name="Normal 5 6 2 2 2 4 2 2 3" xfId="14331"/>
    <cellStyle name="Normal 5 6 2 2 2 4 2 2 3 2" xfId="37752"/>
    <cellStyle name="Normal 5 6 2 2 2 4 2 2 4" xfId="23000"/>
    <cellStyle name="Normal 5 6 2 2 2 4 2 2 4 2" xfId="45422"/>
    <cellStyle name="Normal 5 6 2 2 2 4 2 2 5" xfId="31120"/>
    <cellStyle name="Normal 5 6 2 2 2 4 2 3" xfId="9285"/>
    <cellStyle name="Normal 5 6 2 2 2 4 2 3 2" xfId="15989"/>
    <cellStyle name="Normal 5 6 2 2 2 4 2 3 2 2" xfId="39410"/>
    <cellStyle name="Normal 5 6 2 2 2 4 2 3 3" xfId="32778"/>
    <cellStyle name="Normal 5 6 2 2 2 4 2 4" xfId="12673"/>
    <cellStyle name="Normal 5 6 2 2 2 4 2 4 2" xfId="36094"/>
    <cellStyle name="Normal 5 6 2 2 2 4 2 5" xfId="20172"/>
    <cellStyle name="Normal 5 6 2 2 2 4 2 5 2" xfId="42707"/>
    <cellStyle name="Normal 5 6 2 2 2 4 2 6" xfId="29462"/>
    <cellStyle name="Normal 5 6 2 2 2 4 3" xfId="6715"/>
    <cellStyle name="Normal 5 6 2 2 2 4 3 2" xfId="10047"/>
    <cellStyle name="Normal 5 6 2 2 2 4 3 2 2" xfId="16751"/>
    <cellStyle name="Normal 5 6 2 2 2 4 3 2 2 2" xfId="40172"/>
    <cellStyle name="Normal 5 6 2 2 2 4 3 2 3" xfId="33540"/>
    <cellStyle name="Normal 5 6 2 2 2 4 3 3" xfId="13435"/>
    <cellStyle name="Normal 5 6 2 2 2 4 3 3 2" xfId="36856"/>
    <cellStyle name="Normal 5 6 2 2 2 4 3 4" xfId="21449"/>
    <cellStyle name="Normal 5 6 2 2 2 4 3 4 2" xfId="43900"/>
    <cellStyle name="Normal 5 6 2 2 2 4 3 5" xfId="30224"/>
    <cellStyle name="Normal 5 6 2 2 2 4 4" xfId="8381"/>
    <cellStyle name="Normal 5 6 2 2 2 4 4 2" xfId="15093"/>
    <cellStyle name="Normal 5 6 2 2 2 4 4 2 2" xfId="38514"/>
    <cellStyle name="Normal 5 6 2 2 2 4 4 3" xfId="22183"/>
    <cellStyle name="Normal 5 6 2 2 2 4 4 3 2" xfId="44607"/>
    <cellStyle name="Normal 5 6 2 2 2 4 4 4" xfId="31882"/>
    <cellStyle name="Normal 5 6 2 2 2 4 5" xfId="11775"/>
    <cellStyle name="Normal 5 6 2 2 2 4 5 2" xfId="35198"/>
    <cellStyle name="Normal 5 6 2 2 2 4 6" xfId="19322"/>
    <cellStyle name="Normal 5 6 2 2 2 4 6 2" xfId="41875"/>
    <cellStyle name="Normal 5 6 2 2 2 4 7" xfId="28566"/>
    <cellStyle name="Normal 5 6 2 2 2 5" xfId="4160"/>
    <cellStyle name="Normal 5 6 2 2 2 5 2" xfId="7124"/>
    <cellStyle name="Normal 5 6 2 2 2 5 2 2" xfId="10456"/>
    <cellStyle name="Normal 5 6 2 2 2 5 2 2 2" xfId="17160"/>
    <cellStyle name="Normal 5 6 2 2 2 5 2 2 2 2" xfId="40581"/>
    <cellStyle name="Normal 5 6 2 2 2 5 2 2 3" xfId="33949"/>
    <cellStyle name="Normal 5 6 2 2 2 5 2 3" xfId="13844"/>
    <cellStyle name="Normal 5 6 2 2 2 5 2 3 2" xfId="37265"/>
    <cellStyle name="Normal 5 6 2 2 2 5 2 4" xfId="22595"/>
    <cellStyle name="Normal 5 6 2 2 2 5 2 4 2" xfId="45017"/>
    <cellStyle name="Normal 5 6 2 2 2 5 2 5" xfId="30633"/>
    <cellStyle name="Normal 5 6 2 2 2 5 3" xfId="8791"/>
    <cellStyle name="Normal 5 6 2 2 2 5 3 2" xfId="15502"/>
    <cellStyle name="Normal 5 6 2 2 2 5 3 2 2" xfId="38923"/>
    <cellStyle name="Normal 5 6 2 2 2 5 3 3" xfId="32291"/>
    <cellStyle name="Normal 5 6 2 2 2 5 4" xfId="12184"/>
    <cellStyle name="Normal 5 6 2 2 2 5 4 2" xfId="35607"/>
    <cellStyle name="Normal 5 6 2 2 2 5 5" xfId="19754"/>
    <cellStyle name="Normal 5 6 2 2 2 5 5 2" xfId="42291"/>
    <cellStyle name="Normal 5 6 2 2 2 5 6" xfId="28975"/>
    <cellStyle name="Normal 5 6 2 2 2 6" xfId="6242"/>
    <cellStyle name="Normal 5 6 2 2 2 6 2" xfId="9576"/>
    <cellStyle name="Normal 5 6 2 2 2 6 2 2" xfId="16280"/>
    <cellStyle name="Normal 5 6 2 2 2 6 2 2 2" xfId="39701"/>
    <cellStyle name="Normal 5 6 2 2 2 6 2 3" xfId="33069"/>
    <cellStyle name="Normal 5 6 2 2 2 6 3" xfId="12964"/>
    <cellStyle name="Normal 5 6 2 2 2 6 3 2" xfId="36385"/>
    <cellStyle name="Normal 5 6 2 2 2 6 4" xfId="20990"/>
    <cellStyle name="Normal 5 6 2 2 2 6 4 2" xfId="43441"/>
    <cellStyle name="Normal 5 6 2 2 2 6 5" xfId="29753"/>
    <cellStyle name="Normal 5 6 2 2 2 7" xfId="7908"/>
    <cellStyle name="Normal 5 6 2 2 2 7 2" xfId="14622"/>
    <cellStyle name="Normal 5 6 2 2 2 7 2 2" xfId="38043"/>
    <cellStyle name="Normal 5 6 2 2 2 7 3" xfId="21745"/>
    <cellStyle name="Normal 5 6 2 2 2 7 3 2" xfId="44194"/>
    <cellStyle name="Normal 5 6 2 2 2 7 4" xfId="31411"/>
    <cellStyle name="Normal 5 6 2 2 2 8" xfId="11304"/>
    <cellStyle name="Normal 5 6 2 2 2 8 2" xfId="34727"/>
    <cellStyle name="Normal 5 6 2 2 2 9" xfId="18135"/>
    <cellStyle name="Normal 5 6 2 2 2 9 2" xfId="41423"/>
    <cellStyle name="Normal 5 6 2 2 3" xfId="1822"/>
    <cellStyle name="Normal 5 6 2 2 3 10" xfId="28174"/>
    <cellStyle name="Normal 5 6 2 2 3 2" xfId="2394"/>
    <cellStyle name="Normal 5 6 2 2 3 2 2" xfId="5632"/>
    <cellStyle name="Normal 5 6 2 2 3 2 2 2" xfId="7455"/>
    <cellStyle name="Normal 5 6 2 2 3 2 2 2 2" xfId="10786"/>
    <cellStyle name="Normal 5 6 2 2 3 2 2 2 2 2" xfId="17490"/>
    <cellStyle name="Normal 5 6 2 2 3 2 2 2 2 2 2" xfId="40911"/>
    <cellStyle name="Normal 5 6 2 2 3 2 2 2 2 3" xfId="23207"/>
    <cellStyle name="Normal 5 6 2 2 3 2 2 2 2 3 2" xfId="45629"/>
    <cellStyle name="Normal 5 6 2 2 3 2 2 2 2 4" xfId="34279"/>
    <cellStyle name="Normal 5 6 2 2 3 2 2 2 3" xfId="14174"/>
    <cellStyle name="Normal 5 6 2 2 3 2 2 2 3 2" xfId="37595"/>
    <cellStyle name="Normal 5 6 2 2 3 2 2 2 4" xfId="20382"/>
    <cellStyle name="Normal 5 6 2 2 3 2 2 2 4 2" xfId="42917"/>
    <cellStyle name="Normal 5 6 2 2 3 2 2 2 5" xfId="30963"/>
    <cellStyle name="Normal 5 6 2 2 3 2 2 3" xfId="9128"/>
    <cellStyle name="Normal 5 6 2 2 3 2 2 3 2" xfId="15832"/>
    <cellStyle name="Normal 5 6 2 2 3 2 2 3 2 2" xfId="39253"/>
    <cellStyle name="Normal 5 6 2 2 3 2 2 3 3" xfId="21454"/>
    <cellStyle name="Normal 5 6 2 2 3 2 2 3 3 2" xfId="43905"/>
    <cellStyle name="Normal 5 6 2 2 3 2 2 3 4" xfId="32621"/>
    <cellStyle name="Normal 5 6 2 2 3 2 2 4" xfId="12516"/>
    <cellStyle name="Normal 5 6 2 2 3 2 2 4 2" xfId="22395"/>
    <cellStyle name="Normal 5 6 2 2 3 2 2 4 2 2" xfId="44817"/>
    <cellStyle name="Normal 5 6 2 2 3 2 2 4 3" xfId="35937"/>
    <cellStyle name="Normal 5 6 2 2 3 2 2 5" xfId="19543"/>
    <cellStyle name="Normal 5 6 2 2 3 2 2 5 2" xfId="42085"/>
    <cellStyle name="Normal 5 6 2 2 3 2 2 6" xfId="29305"/>
    <cellStyle name="Normal 5 6 2 2 3 2 3" xfId="6554"/>
    <cellStyle name="Normal 5 6 2 2 3 2 3 2" xfId="9888"/>
    <cellStyle name="Normal 5 6 2 2 3 2 3 2 2" xfId="16592"/>
    <cellStyle name="Normal 5 6 2 2 3 2 3 2 2 2" xfId="40013"/>
    <cellStyle name="Normal 5 6 2 2 3 2 3 2 3" xfId="22802"/>
    <cellStyle name="Normal 5 6 2 2 3 2 3 2 3 2" xfId="45224"/>
    <cellStyle name="Normal 5 6 2 2 3 2 3 2 4" xfId="33381"/>
    <cellStyle name="Normal 5 6 2 2 3 2 3 3" xfId="13276"/>
    <cellStyle name="Normal 5 6 2 2 3 2 3 3 2" xfId="36697"/>
    <cellStyle name="Normal 5 6 2 2 3 2 3 4" xfId="19966"/>
    <cellStyle name="Normal 5 6 2 2 3 2 3 4 2" xfId="42501"/>
    <cellStyle name="Normal 5 6 2 2 3 2 3 5" xfId="30065"/>
    <cellStyle name="Normal 5 6 2 2 3 2 4" xfId="8221"/>
    <cellStyle name="Normal 5 6 2 2 3 2 4 2" xfId="14934"/>
    <cellStyle name="Normal 5 6 2 2 3 2 4 2 2" xfId="38355"/>
    <cellStyle name="Normal 5 6 2 2 3 2 4 3" xfId="20995"/>
    <cellStyle name="Normal 5 6 2 2 3 2 4 3 2" xfId="43446"/>
    <cellStyle name="Normal 5 6 2 2 3 2 4 4" xfId="31723"/>
    <cellStyle name="Normal 5 6 2 2 3 2 5" xfId="11616"/>
    <cellStyle name="Normal 5 6 2 2 3 2 5 2" xfId="21971"/>
    <cellStyle name="Normal 5 6 2 2 3 2 5 2 2" xfId="44403"/>
    <cellStyle name="Normal 5 6 2 2 3 2 5 3" xfId="35039"/>
    <cellStyle name="Normal 5 6 2 2 3 2 6" xfId="18837"/>
    <cellStyle name="Normal 5 6 2 2 3 2 6 2" xfId="41660"/>
    <cellStyle name="Normal 5 6 2 2 3 2 7" xfId="25973"/>
    <cellStyle name="Normal 5 6 2 2 3 2 7 2" xfId="48218"/>
    <cellStyle name="Normal 5 6 2 2 3 2 8" xfId="28407"/>
    <cellStyle name="Normal 5 6 2 2 3 3" xfId="2819"/>
    <cellStyle name="Normal 5 6 2 2 3 3 2" xfId="5911"/>
    <cellStyle name="Normal 5 6 2 2 3 3 2 2" xfId="7693"/>
    <cellStyle name="Normal 5 6 2 2 3 3 2 2 2" xfId="11022"/>
    <cellStyle name="Normal 5 6 2 2 3 3 2 2 2 2" xfId="17726"/>
    <cellStyle name="Normal 5 6 2 2 3 3 2 2 2 2 2" xfId="41147"/>
    <cellStyle name="Normal 5 6 2 2 3 3 2 2 2 3" xfId="34515"/>
    <cellStyle name="Normal 5 6 2 2 3 3 2 2 3" xfId="14410"/>
    <cellStyle name="Normal 5 6 2 2 3 3 2 2 3 2" xfId="37831"/>
    <cellStyle name="Normal 5 6 2 2 3 3 2 2 4" xfId="23002"/>
    <cellStyle name="Normal 5 6 2 2 3 3 2 2 4 2" xfId="45424"/>
    <cellStyle name="Normal 5 6 2 2 3 3 2 2 5" xfId="31199"/>
    <cellStyle name="Normal 5 6 2 2 3 3 2 3" xfId="9364"/>
    <cellStyle name="Normal 5 6 2 2 3 3 2 3 2" xfId="16068"/>
    <cellStyle name="Normal 5 6 2 2 3 3 2 3 2 2" xfId="39489"/>
    <cellStyle name="Normal 5 6 2 2 3 3 2 3 3" xfId="32857"/>
    <cellStyle name="Normal 5 6 2 2 3 3 2 4" xfId="12752"/>
    <cellStyle name="Normal 5 6 2 2 3 3 2 4 2" xfId="36173"/>
    <cellStyle name="Normal 5 6 2 2 3 3 2 5" xfId="20174"/>
    <cellStyle name="Normal 5 6 2 2 3 3 2 5 2" xfId="42709"/>
    <cellStyle name="Normal 5 6 2 2 3 3 2 6" xfId="29541"/>
    <cellStyle name="Normal 5 6 2 2 3 3 3" xfId="6794"/>
    <cellStyle name="Normal 5 6 2 2 3 3 3 2" xfId="10126"/>
    <cellStyle name="Normal 5 6 2 2 3 3 3 2 2" xfId="16830"/>
    <cellStyle name="Normal 5 6 2 2 3 3 3 2 2 2" xfId="40251"/>
    <cellStyle name="Normal 5 6 2 2 3 3 3 2 3" xfId="33619"/>
    <cellStyle name="Normal 5 6 2 2 3 3 3 3" xfId="13514"/>
    <cellStyle name="Normal 5 6 2 2 3 3 3 3 2" xfId="36935"/>
    <cellStyle name="Normal 5 6 2 2 3 3 3 4" xfId="21453"/>
    <cellStyle name="Normal 5 6 2 2 3 3 3 4 2" xfId="43904"/>
    <cellStyle name="Normal 5 6 2 2 3 3 3 5" xfId="30303"/>
    <cellStyle name="Normal 5 6 2 2 3 3 4" xfId="8460"/>
    <cellStyle name="Normal 5 6 2 2 3 3 4 2" xfId="15172"/>
    <cellStyle name="Normal 5 6 2 2 3 3 4 2 2" xfId="38593"/>
    <cellStyle name="Normal 5 6 2 2 3 3 4 3" xfId="22185"/>
    <cellStyle name="Normal 5 6 2 2 3 3 4 3 2" xfId="44609"/>
    <cellStyle name="Normal 5 6 2 2 3 3 4 4" xfId="31961"/>
    <cellStyle name="Normal 5 6 2 2 3 3 5" xfId="11854"/>
    <cellStyle name="Normal 5 6 2 2 3 3 5 2" xfId="35277"/>
    <cellStyle name="Normal 5 6 2 2 3 3 6" xfId="19324"/>
    <cellStyle name="Normal 5 6 2 2 3 3 6 2" xfId="41877"/>
    <cellStyle name="Normal 5 6 2 2 3 3 7" xfId="28645"/>
    <cellStyle name="Normal 5 6 2 2 3 4" xfId="4162"/>
    <cellStyle name="Normal 5 6 2 2 3 4 2" xfId="7126"/>
    <cellStyle name="Normal 5 6 2 2 3 4 2 2" xfId="10458"/>
    <cellStyle name="Normal 5 6 2 2 3 4 2 2 2" xfId="17162"/>
    <cellStyle name="Normal 5 6 2 2 3 4 2 2 2 2" xfId="40583"/>
    <cellStyle name="Normal 5 6 2 2 3 4 2 2 3" xfId="33951"/>
    <cellStyle name="Normal 5 6 2 2 3 4 2 3" xfId="13846"/>
    <cellStyle name="Normal 5 6 2 2 3 4 2 3 2" xfId="37267"/>
    <cellStyle name="Normal 5 6 2 2 3 4 2 4" xfId="22597"/>
    <cellStyle name="Normal 5 6 2 2 3 4 2 4 2" xfId="45019"/>
    <cellStyle name="Normal 5 6 2 2 3 4 2 5" xfId="30635"/>
    <cellStyle name="Normal 5 6 2 2 3 4 3" xfId="8793"/>
    <cellStyle name="Normal 5 6 2 2 3 4 3 2" xfId="15504"/>
    <cellStyle name="Normal 5 6 2 2 3 4 3 2 2" xfId="38925"/>
    <cellStyle name="Normal 5 6 2 2 3 4 3 3" xfId="32293"/>
    <cellStyle name="Normal 5 6 2 2 3 4 4" xfId="12186"/>
    <cellStyle name="Normal 5 6 2 2 3 4 4 2" xfId="35609"/>
    <cellStyle name="Normal 5 6 2 2 3 4 5" xfId="19756"/>
    <cellStyle name="Normal 5 6 2 2 3 4 5 2" xfId="42293"/>
    <cellStyle name="Normal 5 6 2 2 3 4 6" xfId="28977"/>
    <cellStyle name="Normal 5 6 2 2 3 5" xfId="6321"/>
    <cellStyle name="Normal 5 6 2 2 3 5 2" xfId="9655"/>
    <cellStyle name="Normal 5 6 2 2 3 5 2 2" xfId="16359"/>
    <cellStyle name="Normal 5 6 2 2 3 5 2 2 2" xfId="39780"/>
    <cellStyle name="Normal 5 6 2 2 3 5 2 3" xfId="33148"/>
    <cellStyle name="Normal 5 6 2 2 3 5 3" xfId="13043"/>
    <cellStyle name="Normal 5 6 2 2 3 5 3 2" xfId="36464"/>
    <cellStyle name="Normal 5 6 2 2 3 5 4" xfId="20994"/>
    <cellStyle name="Normal 5 6 2 2 3 5 4 2" xfId="43445"/>
    <cellStyle name="Normal 5 6 2 2 3 5 5" xfId="29832"/>
    <cellStyle name="Normal 5 6 2 2 3 6" xfId="7987"/>
    <cellStyle name="Normal 5 6 2 2 3 6 2" xfId="14701"/>
    <cellStyle name="Normal 5 6 2 2 3 6 2 2" xfId="38122"/>
    <cellStyle name="Normal 5 6 2 2 3 6 3" xfId="21747"/>
    <cellStyle name="Normal 5 6 2 2 3 6 3 2" xfId="44196"/>
    <cellStyle name="Normal 5 6 2 2 3 6 4" xfId="31490"/>
    <cellStyle name="Normal 5 6 2 2 3 7" xfId="11383"/>
    <cellStyle name="Normal 5 6 2 2 3 7 2" xfId="34806"/>
    <cellStyle name="Normal 5 6 2 2 3 8" xfId="18137"/>
    <cellStyle name="Normal 5 6 2 2 3 8 2" xfId="41425"/>
    <cellStyle name="Normal 5 6 2 2 3 9" xfId="23742"/>
    <cellStyle name="Normal 5 6 2 2 3 9 2" xfId="46031"/>
    <cellStyle name="Normal 5 6 2 2 4" xfId="2391"/>
    <cellStyle name="Normal 5 6 2 2 4 2" xfId="5629"/>
    <cellStyle name="Normal 5 6 2 2 4 2 2" xfId="7452"/>
    <cellStyle name="Normal 5 6 2 2 4 2 2 2" xfId="10783"/>
    <cellStyle name="Normal 5 6 2 2 4 2 2 2 2" xfId="17487"/>
    <cellStyle name="Normal 5 6 2 2 4 2 2 2 2 2" xfId="40908"/>
    <cellStyle name="Normal 5 6 2 2 4 2 2 2 3" xfId="23204"/>
    <cellStyle name="Normal 5 6 2 2 4 2 2 2 3 2" xfId="45626"/>
    <cellStyle name="Normal 5 6 2 2 4 2 2 2 4" xfId="34276"/>
    <cellStyle name="Normal 5 6 2 2 4 2 2 3" xfId="14171"/>
    <cellStyle name="Normal 5 6 2 2 4 2 2 3 2" xfId="37592"/>
    <cellStyle name="Normal 5 6 2 2 4 2 2 4" xfId="20379"/>
    <cellStyle name="Normal 5 6 2 2 4 2 2 4 2" xfId="42914"/>
    <cellStyle name="Normal 5 6 2 2 4 2 2 5" xfId="30960"/>
    <cellStyle name="Normal 5 6 2 2 4 2 3" xfId="9125"/>
    <cellStyle name="Normal 5 6 2 2 4 2 3 2" xfId="15829"/>
    <cellStyle name="Normal 5 6 2 2 4 2 3 2 2" xfId="39250"/>
    <cellStyle name="Normal 5 6 2 2 4 2 3 3" xfId="21455"/>
    <cellStyle name="Normal 5 6 2 2 4 2 3 3 2" xfId="43906"/>
    <cellStyle name="Normal 5 6 2 2 4 2 3 4" xfId="32618"/>
    <cellStyle name="Normal 5 6 2 2 4 2 4" xfId="12513"/>
    <cellStyle name="Normal 5 6 2 2 4 2 4 2" xfId="22392"/>
    <cellStyle name="Normal 5 6 2 2 4 2 4 2 2" xfId="44814"/>
    <cellStyle name="Normal 5 6 2 2 4 2 4 3" xfId="35934"/>
    <cellStyle name="Normal 5 6 2 2 4 2 5" xfId="19540"/>
    <cellStyle name="Normal 5 6 2 2 4 2 5 2" xfId="42082"/>
    <cellStyle name="Normal 5 6 2 2 4 2 6" xfId="29302"/>
    <cellStyle name="Normal 5 6 2 2 4 3" xfId="6551"/>
    <cellStyle name="Normal 5 6 2 2 4 3 2" xfId="9885"/>
    <cellStyle name="Normal 5 6 2 2 4 3 2 2" xfId="16589"/>
    <cellStyle name="Normal 5 6 2 2 4 3 2 2 2" xfId="40010"/>
    <cellStyle name="Normal 5 6 2 2 4 3 2 3" xfId="22799"/>
    <cellStyle name="Normal 5 6 2 2 4 3 2 3 2" xfId="45221"/>
    <cellStyle name="Normal 5 6 2 2 4 3 2 4" xfId="33378"/>
    <cellStyle name="Normal 5 6 2 2 4 3 3" xfId="13273"/>
    <cellStyle name="Normal 5 6 2 2 4 3 3 2" xfId="36694"/>
    <cellStyle name="Normal 5 6 2 2 4 3 4" xfId="19963"/>
    <cellStyle name="Normal 5 6 2 2 4 3 4 2" xfId="42498"/>
    <cellStyle name="Normal 5 6 2 2 4 3 5" xfId="30062"/>
    <cellStyle name="Normal 5 6 2 2 4 4" xfId="8218"/>
    <cellStyle name="Normal 5 6 2 2 4 4 2" xfId="14931"/>
    <cellStyle name="Normal 5 6 2 2 4 4 2 2" xfId="38352"/>
    <cellStyle name="Normal 5 6 2 2 4 4 3" xfId="20996"/>
    <cellStyle name="Normal 5 6 2 2 4 4 3 2" xfId="43447"/>
    <cellStyle name="Normal 5 6 2 2 4 4 4" xfId="31720"/>
    <cellStyle name="Normal 5 6 2 2 4 5" xfId="11613"/>
    <cellStyle name="Normal 5 6 2 2 4 5 2" xfId="21968"/>
    <cellStyle name="Normal 5 6 2 2 4 5 2 2" xfId="44400"/>
    <cellStyle name="Normal 5 6 2 2 4 5 3" xfId="35036"/>
    <cellStyle name="Normal 5 6 2 2 4 6" xfId="18834"/>
    <cellStyle name="Normal 5 6 2 2 4 6 2" xfId="41657"/>
    <cellStyle name="Normal 5 6 2 2 4 7" xfId="25970"/>
    <cellStyle name="Normal 5 6 2 2 4 7 2" xfId="48215"/>
    <cellStyle name="Normal 5 6 2 2 4 8" xfId="28404"/>
    <cellStyle name="Normal 5 6 2 2 5" xfId="2687"/>
    <cellStyle name="Normal 5 6 2 2 5 2" xfId="5780"/>
    <cellStyle name="Normal 5 6 2 2 5 2 2" xfId="7562"/>
    <cellStyle name="Normal 5 6 2 2 5 2 2 2" xfId="10891"/>
    <cellStyle name="Normal 5 6 2 2 5 2 2 2 2" xfId="17595"/>
    <cellStyle name="Normal 5 6 2 2 5 2 2 2 2 2" xfId="41016"/>
    <cellStyle name="Normal 5 6 2 2 5 2 2 2 3" xfId="34384"/>
    <cellStyle name="Normal 5 6 2 2 5 2 2 3" xfId="14279"/>
    <cellStyle name="Normal 5 6 2 2 5 2 2 3 2" xfId="37700"/>
    <cellStyle name="Normal 5 6 2 2 5 2 2 4" xfId="20653"/>
    <cellStyle name="Normal 5 6 2 2 5 2 2 4 2" xfId="43104"/>
    <cellStyle name="Normal 5 6 2 2 5 2 2 5" xfId="31068"/>
    <cellStyle name="Normal 5 6 2 2 5 2 3" xfId="9233"/>
    <cellStyle name="Normal 5 6 2 2 5 2 3 2" xfId="15937"/>
    <cellStyle name="Normal 5 6 2 2 5 2 3 2 2" xfId="39358"/>
    <cellStyle name="Normal 5 6 2 2 5 2 3 3" xfId="21571"/>
    <cellStyle name="Normal 5 6 2 2 5 2 3 3 2" xfId="44022"/>
    <cellStyle name="Normal 5 6 2 2 5 2 3 4" xfId="32726"/>
    <cellStyle name="Normal 5 6 2 2 5 2 4" xfId="12621"/>
    <cellStyle name="Normal 5 6 2 2 5 2 4 2" xfId="22999"/>
    <cellStyle name="Normal 5 6 2 2 5 2 4 2 2" xfId="45421"/>
    <cellStyle name="Normal 5 6 2 2 5 2 4 3" xfId="36042"/>
    <cellStyle name="Normal 5 6 2 2 5 2 5" xfId="20171"/>
    <cellStyle name="Normal 5 6 2 2 5 2 5 2" xfId="42706"/>
    <cellStyle name="Normal 5 6 2 2 5 2 6" xfId="29410"/>
    <cellStyle name="Normal 5 6 2 2 5 3" xfId="6663"/>
    <cellStyle name="Normal 5 6 2 2 5 3 2" xfId="9995"/>
    <cellStyle name="Normal 5 6 2 2 5 3 2 2" xfId="16699"/>
    <cellStyle name="Normal 5 6 2 2 5 3 2 2 2" xfId="40120"/>
    <cellStyle name="Normal 5 6 2 2 5 3 2 3" xfId="33488"/>
    <cellStyle name="Normal 5 6 2 2 5 3 3" xfId="13383"/>
    <cellStyle name="Normal 5 6 2 2 5 3 3 2" xfId="36804"/>
    <cellStyle name="Normal 5 6 2 2 5 3 4" xfId="20555"/>
    <cellStyle name="Normal 5 6 2 2 5 3 4 2" xfId="43008"/>
    <cellStyle name="Normal 5 6 2 2 5 3 5" xfId="30172"/>
    <cellStyle name="Normal 5 6 2 2 5 4" xfId="8329"/>
    <cellStyle name="Normal 5 6 2 2 5 4 2" xfId="15041"/>
    <cellStyle name="Normal 5 6 2 2 5 4 2 2" xfId="38462"/>
    <cellStyle name="Normal 5 6 2 2 5 4 3" xfId="21112"/>
    <cellStyle name="Normal 5 6 2 2 5 4 3 2" xfId="43563"/>
    <cellStyle name="Normal 5 6 2 2 5 4 4" xfId="31830"/>
    <cellStyle name="Normal 5 6 2 2 5 5" xfId="11723"/>
    <cellStyle name="Normal 5 6 2 2 5 5 2" xfId="22182"/>
    <cellStyle name="Normal 5 6 2 2 5 5 2 2" xfId="44606"/>
    <cellStyle name="Normal 5 6 2 2 5 5 3" xfId="35146"/>
    <cellStyle name="Normal 5 6 2 2 5 6" xfId="19321"/>
    <cellStyle name="Normal 5 6 2 2 5 6 2" xfId="41874"/>
    <cellStyle name="Normal 5 6 2 2 5 7" xfId="28514"/>
    <cellStyle name="Normal 5 6 2 2 6" xfId="4159"/>
    <cellStyle name="Normal 5 6 2 2 6 2" xfId="7123"/>
    <cellStyle name="Normal 5 6 2 2 6 2 2" xfId="10455"/>
    <cellStyle name="Normal 5 6 2 2 6 2 2 2" xfId="17159"/>
    <cellStyle name="Normal 5 6 2 2 6 2 2 2 2" xfId="40580"/>
    <cellStyle name="Normal 5 6 2 2 6 2 2 3" xfId="33948"/>
    <cellStyle name="Normal 5 6 2 2 6 2 3" xfId="13843"/>
    <cellStyle name="Normal 5 6 2 2 6 2 3 2" xfId="37264"/>
    <cellStyle name="Normal 5 6 2 2 6 2 4" xfId="20604"/>
    <cellStyle name="Normal 5 6 2 2 6 2 4 2" xfId="43055"/>
    <cellStyle name="Normal 5 6 2 2 6 2 5" xfId="30632"/>
    <cellStyle name="Normal 5 6 2 2 6 3" xfId="8790"/>
    <cellStyle name="Normal 5 6 2 2 6 3 2" xfId="15501"/>
    <cellStyle name="Normal 5 6 2 2 6 3 2 2" xfId="38922"/>
    <cellStyle name="Normal 5 6 2 2 6 3 3" xfId="21448"/>
    <cellStyle name="Normal 5 6 2 2 6 3 3 2" xfId="43899"/>
    <cellStyle name="Normal 5 6 2 2 6 3 4" xfId="32290"/>
    <cellStyle name="Normal 5 6 2 2 6 4" xfId="12183"/>
    <cellStyle name="Normal 5 6 2 2 6 4 2" xfId="22594"/>
    <cellStyle name="Normal 5 6 2 2 6 4 2 2" xfId="45016"/>
    <cellStyle name="Normal 5 6 2 2 6 4 3" xfId="35606"/>
    <cellStyle name="Normal 5 6 2 2 6 5" xfId="19753"/>
    <cellStyle name="Normal 5 6 2 2 6 5 2" xfId="42290"/>
    <cellStyle name="Normal 5 6 2 2 6 6" xfId="28974"/>
    <cellStyle name="Normal 5 6 2 2 7" xfId="6190"/>
    <cellStyle name="Normal 5 6 2 2 7 2" xfId="9524"/>
    <cellStyle name="Normal 5 6 2 2 7 2 2" xfId="16228"/>
    <cellStyle name="Normal 5 6 2 2 7 2 2 2" xfId="39649"/>
    <cellStyle name="Normal 5 6 2 2 7 2 3" xfId="33017"/>
    <cellStyle name="Normal 5 6 2 2 7 3" xfId="12912"/>
    <cellStyle name="Normal 5 6 2 2 7 3 2" xfId="36333"/>
    <cellStyle name="Normal 5 6 2 2 7 4" xfId="20506"/>
    <cellStyle name="Normal 5 6 2 2 7 4 2" xfId="42959"/>
    <cellStyle name="Normal 5 6 2 2 7 5" xfId="29701"/>
    <cellStyle name="Normal 5 6 2 2 8" xfId="7856"/>
    <cellStyle name="Normal 5 6 2 2 8 2" xfId="14570"/>
    <cellStyle name="Normal 5 6 2 2 8 2 2" xfId="37991"/>
    <cellStyle name="Normal 5 6 2 2 8 3" xfId="20989"/>
    <cellStyle name="Normal 5 6 2 2 8 3 2" xfId="43440"/>
    <cellStyle name="Normal 5 6 2 2 8 4" xfId="31359"/>
    <cellStyle name="Normal 5 6 2 2 9" xfId="11252"/>
    <cellStyle name="Normal 5 6 2 2 9 2" xfId="21744"/>
    <cellStyle name="Normal 5 6 2 2 9 2 2" xfId="44193"/>
    <cellStyle name="Normal 5 6 2 2 9 3" xfId="34675"/>
    <cellStyle name="Normal 5 6 2 3" xfId="1676"/>
    <cellStyle name="Normal 5 6 2 3 10" xfId="23743"/>
    <cellStyle name="Normal 5 6 2 3 10 2" xfId="46032"/>
    <cellStyle name="Normal 5 6 2 3 11" xfId="28094"/>
    <cellStyle name="Normal 5 6 2 3 2" xfId="1873"/>
    <cellStyle name="Normal 5 6 2 3 2 10" xfId="28225"/>
    <cellStyle name="Normal 5 6 2 3 2 2" xfId="2396"/>
    <cellStyle name="Normal 5 6 2 3 2 2 2" xfId="5634"/>
    <cellStyle name="Normal 5 6 2 3 2 2 2 2" xfId="7457"/>
    <cellStyle name="Normal 5 6 2 3 2 2 2 2 2" xfId="10788"/>
    <cellStyle name="Normal 5 6 2 3 2 2 2 2 2 2" xfId="17492"/>
    <cellStyle name="Normal 5 6 2 3 2 2 2 2 2 2 2" xfId="40913"/>
    <cellStyle name="Normal 5 6 2 3 2 2 2 2 2 3" xfId="23209"/>
    <cellStyle name="Normal 5 6 2 3 2 2 2 2 2 3 2" xfId="45631"/>
    <cellStyle name="Normal 5 6 2 3 2 2 2 2 2 4" xfId="34281"/>
    <cellStyle name="Normal 5 6 2 3 2 2 2 2 3" xfId="14176"/>
    <cellStyle name="Normal 5 6 2 3 2 2 2 2 3 2" xfId="37597"/>
    <cellStyle name="Normal 5 6 2 3 2 2 2 2 4" xfId="20384"/>
    <cellStyle name="Normal 5 6 2 3 2 2 2 2 4 2" xfId="42919"/>
    <cellStyle name="Normal 5 6 2 3 2 2 2 2 5" xfId="30965"/>
    <cellStyle name="Normal 5 6 2 3 2 2 2 3" xfId="9130"/>
    <cellStyle name="Normal 5 6 2 3 2 2 2 3 2" xfId="15834"/>
    <cellStyle name="Normal 5 6 2 3 2 2 2 3 2 2" xfId="39255"/>
    <cellStyle name="Normal 5 6 2 3 2 2 2 3 3" xfId="21458"/>
    <cellStyle name="Normal 5 6 2 3 2 2 2 3 3 2" xfId="43909"/>
    <cellStyle name="Normal 5 6 2 3 2 2 2 3 4" xfId="32623"/>
    <cellStyle name="Normal 5 6 2 3 2 2 2 4" xfId="12518"/>
    <cellStyle name="Normal 5 6 2 3 2 2 2 4 2" xfId="22397"/>
    <cellStyle name="Normal 5 6 2 3 2 2 2 4 2 2" xfId="44819"/>
    <cellStyle name="Normal 5 6 2 3 2 2 2 4 3" xfId="35939"/>
    <cellStyle name="Normal 5 6 2 3 2 2 2 5" xfId="19545"/>
    <cellStyle name="Normal 5 6 2 3 2 2 2 5 2" xfId="42087"/>
    <cellStyle name="Normal 5 6 2 3 2 2 2 6" xfId="29307"/>
    <cellStyle name="Normal 5 6 2 3 2 2 3" xfId="6556"/>
    <cellStyle name="Normal 5 6 2 3 2 2 3 2" xfId="9890"/>
    <cellStyle name="Normal 5 6 2 3 2 2 3 2 2" xfId="16594"/>
    <cellStyle name="Normal 5 6 2 3 2 2 3 2 2 2" xfId="40015"/>
    <cellStyle name="Normal 5 6 2 3 2 2 3 2 3" xfId="22804"/>
    <cellStyle name="Normal 5 6 2 3 2 2 3 2 3 2" xfId="45226"/>
    <cellStyle name="Normal 5 6 2 3 2 2 3 2 4" xfId="33383"/>
    <cellStyle name="Normal 5 6 2 3 2 2 3 3" xfId="13278"/>
    <cellStyle name="Normal 5 6 2 3 2 2 3 3 2" xfId="36699"/>
    <cellStyle name="Normal 5 6 2 3 2 2 3 4" xfId="19968"/>
    <cellStyle name="Normal 5 6 2 3 2 2 3 4 2" xfId="42503"/>
    <cellStyle name="Normal 5 6 2 3 2 2 3 5" xfId="30067"/>
    <cellStyle name="Normal 5 6 2 3 2 2 4" xfId="8223"/>
    <cellStyle name="Normal 5 6 2 3 2 2 4 2" xfId="14936"/>
    <cellStyle name="Normal 5 6 2 3 2 2 4 2 2" xfId="38357"/>
    <cellStyle name="Normal 5 6 2 3 2 2 4 3" xfId="20999"/>
    <cellStyle name="Normal 5 6 2 3 2 2 4 3 2" xfId="43450"/>
    <cellStyle name="Normal 5 6 2 3 2 2 4 4" xfId="31725"/>
    <cellStyle name="Normal 5 6 2 3 2 2 5" xfId="11618"/>
    <cellStyle name="Normal 5 6 2 3 2 2 5 2" xfId="21973"/>
    <cellStyle name="Normal 5 6 2 3 2 2 5 2 2" xfId="44405"/>
    <cellStyle name="Normal 5 6 2 3 2 2 5 3" xfId="35041"/>
    <cellStyle name="Normal 5 6 2 3 2 2 6" xfId="18839"/>
    <cellStyle name="Normal 5 6 2 3 2 2 6 2" xfId="41662"/>
    <cellStyle name="Normal 5 6 2 3 2 2 7" xfId="25975"/>
    <cellStyle name="Normal 5 6 2 3 2 2 7 2" xfId="48220"/>
    <cellStyle name="Normal 5 6 2 3 2 2 8" xfId="28409"/>
    <cellStyle name="Normal 5 6 2 3 2 3" xfId="2870"/>
    <cellStyle name="Normal 5 6 2 3 2 3 2" xfId="5962"/>
    <cellStyle name="Normal 5 6 2 3 2 3 2 2" xfId="7744"/>
    <cellStyle name="Normal 5 6 2 3 2 3 2 2 2" xfId="11073"/>
    <cellStyle name="Normal 5 6 2 3 2 3 2 2 2 2" xfId="17777"/>
    <cellStyle name="Normal 5 6 2 3 2 3 2 2 2 2 2" xfId="41198"/>
    <cellStyle name="Normal 5 6 2 3 2 3 2 2 2 3" xfId="34566"/>
    <cellStyle name="Normal 5 6 2 3 2 3 2 2 3" xfId="14461"/>
    <cellStyle name="Normal 5 6 2 3 2 3 2 2 3 2" xfId="37882"/>
    <cellStyle name="Normal 5 6 2 3 2 3 2 2 4" xfId="23004"/>
    <cellStyle name="Normal 5 6 2 3 2 3 2 2 4 2" xfId="45426"/>
    <cellStyle name="Normal 5 6 2 3 2 3 2 2 5" xfId="31250"/>
    <cellStyle name="Normal 5 6 2 3 2 3 2 3" xfId="9415"/>
    <cellStyle name="Normal 5 6 2 3 2 3 2 3 2" xfId="16119"/>
    <cellStyle name="Normal 5 6 2 3 2 3 2 3 2 2" xfId="39540"/>
    <cellStyle name="Normal 5 6 2 3 2 3 2 3 3" xfId="32908"/>
    <cellStyle name="Normal 5 6 2 3 2 3 2 4" xfId="12803"/>
    <cellStyle name="Normal 5 6 2 3 2 3 2 4 2" xfId="36224"/>
    <cellStyle name="Normal 5 6 2 3 2 3 2 5" xfId="20176"/>
    <cellStyle name="Normal 5 6 2 3 2 3 2 5 2" xfId="42711"/>
    <cellStyle name="Normal 5 6 2 3 2 3 2 6" xfId="29592"/>
    <cellStyle name="Normal 5 6 2 3 2 3 3" xfId="6845"/>
    <cellStyle name="Normal 5 6 2 3 2 3 3 2" xfId="10177"/>
    <cellStyle name="Normal 5 6 2 3 2 3 3 2 2" xfId="16881"/>
    <cellStyle name="Normal 5 6 2 3 2 3 3 2 2 2" xfId="40302"/>
    <cellStyle name="Normal 5 6 2 3 2 3 3 2 3" xfId="33670"/>
    <cellStyle name="Normal 5 6 2 3 2 3 3 3" xfId="13565"/>
    <cellStyle name="Normal 5 6 2 3 2 3 3 3 2" xfId="36986"/>
    <cellStyle name="Normal 5 6 2 3 2 3 3 4" xfId="21457"/>
    <cellStyle name="Normal 5 6 2 3 2 3 3 4 2" xfId="43908"/>
    <cellStyle name="Normal 5 6 2 3 2 3 3 5" xfId="30354"/>
    <cellStyle name="Normal 5 6 2 3 2 3 4" xfId="8511"/>
    <cellStyle name="Normal 5 6 2 3 2 3 4 2" xfId="15223"/>
    <cellStyle name="Normal 5 6 2 3 2 3 4 2 2" xfId="38644"/>
    <cellStyle name="Normal 5 6 2 3 2 3 4 3" xfId="22187"/>
    <cellStyle name="Normal 5 6 2 3 2 3 4 3 2" xfId="44611"/>
    <cellStyle name="Normal 5 6 2 3 2 3 4 4" xfId="32012"/>
    <cellStyle name="Normal 5 6 2 3 2 3 5" xfId="11905"/>
    <cellStyle name="Normal 5 6 2 3 2 3 5 2" xfId="35328"/>
    <cellStyle name="Normal 5 6 2 3 2 3 6" xfId="19326"/>
    <cellStyle name="Normal 5 6 2 3 2 3 6 2" xfId="41879"/>
    <cellStyle name="Normal 5 6 2 3 2 3 7" xfId="28696"/>
    <cellStyle name="Normal 5 6 2 3 2 4" xfId="4164"/>
    <cellStyle name="Normal 5 6 2 3 2 4 2" xfId="7128"/>
    <cellStyle name="Normal 5 6 2 3 2 4 2 2" xfId="10460"/>
    <cellStyle name="Normal 5 6 2 3 2 4 2 2 2" xfId="17164"/>
    <cellStyle name="Normal 5 6 2 3 2 4 2 2 2 2" xfId="40585"/>
    <cellStyle name="Normal 5 6 2 3 2 4 2 2 3" xfId="33953"/>
    <cellStyle name="Normal 5 6 2 3 2 4 2 3" xfId="13848"/>
    <cellStyle name="Normal 5 6 2 3 2 4 2 3 2" xfId="37269"/>
    <cellStyle name="Normal 5 6 2 3 2 4 2 4" xfId="22599"/>
    <cellStyle name="Normal 5 6 2 3 2 4 2 4 2" xfId="45021"/>
    <cellStyle name="Normal 5 6 2 3 2 4 2 5" xfId="30637"/>
    <cellStyle name="Normal 5 6 2 3 2 4 3" xfId="8795"/>
    <cellStyle name="Normal 5 6 2 3 2 4 3 2" xfId="15506"/>
    <cellStyle name="Normal 5 6 2 3 2 4 3 2 2" xfId="38927"/>
    <cellStyle name="Normal 5 6 2 3 2 4 3 3" xfId="32295"/>
    <cellStyle name="Normal 5 6 2 3 2 4 4" xfId="12188"/>
    <cellStyle name="Normal 5 6 2 3 2 4 4 2" xfId="35611"/>
    <cellStyle name="Normal 5 6 2 3 2 4 5" xfId="19758"/>
    <cellStyle name="Normal 5 6 2 3 2 4 5 2" xfId="42295"/>
    <cellStyle name="Normal 5 6 2 3 2 4 6" xfId="28979"/>
    <cellStyle name="Normal 5 6 2 3 2 5" xfId="6372"/>
    <cellStyle name="Normal 5 6 2 3 2 5 2" xfId="9706"/>
    <cellStyle name="Normal 5 6 2 3 2 5 2 2" xfId="16410"/>
    <cellStyle name="Normal 5 6 2 3 2 5 2 2 2" xfId="39831"/>
    <cellStyle name="Normal 5 6 2 3 2 5 2 3" xfId="33199"/>
    <cellStyle name="Normal 5 6 2 3 2 5 3" xfId="13094"/>
    <cellStyle name="Normal 5 6 2 3 2 5 3 2" xfId="36515"/>
    <cellStyle name="Normal 5 6 2 3 2 5 4" xfId="20998"/>
    <cellStyle name="Normal 5 6 2 3 2 5 4 2" xfId="43449"/>
    <cellStyle name="Normal 5 6 2 3 2 5 5" xfId="29883"/>
    <cellStyle name="Normal 5 6 2 3 2 6" xfId="8038"/>
    <cellStyle name="Normal 5 6 2 3 2 6 2" xfId="14752"/>
    <cellStyle name="Normal 5 6 2 3 2 6 2 2" xfId="38173"/>
    <cellStyle name="Normal 5 6 2 3 2 6 3" xfId="21749"/>
    <cellStyle name="Normal 5 6 2 3 2 6 3 2" xfId="44198"/>
    <cellStyle name="Normal 5 6 2 3 2 6 4" xfId="31541"/>
    <cellStyle name="Normal 5 6 2 3 2 7" xfId="11434"/>
    <cellStyle name="Normal 5 6 2 3 2 7 2" xfId="34857"/>
    <cellStyle name="Normal 5 6 2 3 2 8" xfId="18139"/>
    <cellStyle name="Normal 5 6 2 3 2 8 2" xfId="41427"/>
    <cellStyle name="Normal 5 6 2 3 2 9" xfId="23744"/>
    <cellStyle name="Normal 5 6 2 3 2 9 2" xfId="46033"/>
    <cellStyle name="Normal 5 6 2 3 3" xfId="2395"/>
    <cellStyle name="Normal 5 6 2 3 3 2" xfId="5633"/>
    <cellStyle name="Normal 5 6 2 3 3 2 2" xfId="7456"/>
    <cellStyle name="Normal 5 6 2 3 3 2 2 2" xfId="10787"/>
    <cellStyle name="Normal 5 6 2 3 3 2 2 2 2" xfId="17491"/>
    <cellStyle name="Normal 5 6 2 3 3 2 2 2 2 2" xfId="40912"/>
    <cellStyle name="Normal 5 6 2 3 3 2 2 2 3" xfId="23208"/>
    <cellStyle name="Normal 5 6 2 3 3 2 2 2 3 2" xfId="45630"/>
    <cellStyle name="Normal 5 6 2 3 3 2 2 2 4" xfId="34280"/>
    <cellStyle name="Normal 5 6 2 3 3 2 2 3" xfId="14175"/>
    <cellStyle name="Normal 5 6 2 3 3 2 2 3 2" xfId="37596"/>
    <cellStyle name="Normal 5 6 2 3 3 2 2 4" xfId="20383"/>
    <cellStyle name="Normal 5 6 2 3 3 2 2 4 2" xfId="42918"/>
    <cellStyle name="Normal 5 6 2 3 3 2 2 5" xfId="30964"/>
    <cellStyle name="Normal 5 6 2 3 3 2 3" xfId="9129"/>
    <cellStyle name="Normal 5 6 2 3 3 2 3 2" xfId="15833"/>
    <cellStyle name="Normal 5 6 2 3 3 2 3 2 2" xfId="39254"/>
    <cellStyle name="Normal 5 6 2 3 3 2 3 3" xfId="21459"/>
    <cellStyle name="Normal 5 6 2 3 3 2 3 3 2" xfId="43910"/>
    <cellStyle name="Normal 5 6 2 3 3 2 3 4" xfId="32622"/>
    <cellStyle name="Normal 5 6 2 3 3 2 4" xfId="12517"/>
    <cellStyle name="Normal 5 6 2 3 3 2 4 2" xfId="22396"/>
    <cellStyle name="Normal 5 6 2 3 3 2 4 2 2" xfId="44818"/>
    <cellStyle name="Normal 5 6 2 3 3 2 4 3" xfId="35938"/>
    <cellStyle name="Normal 5 6 2 3 3 2 5" xfId="19544"/>
    <cellStyle name="Normal 5 6 2 3 3 2 5 2" xfId="42086"/>
    <cellStyle name="Normal 5 6 2 3 3 2 6" xfId="29306"/>
    <cellStyle name="Normal 5 6 2 3 3 3" xfId="6555"/>
    <cellStyle name="Normal 5 6 2 3 3 3 2" xfId="9889"/>
    <cellStyle name="Normal 5 6 2 3 3 3 2 2" xfId="16593"/>
    <cellStyle name="Normal 5 6 2 3 3 3 2 2 2" xfId="40014"/>
    <cellStyle name="Normal 5 6 2 3 3 3 2 3" xfId="22803"/>
    <cellStyle name="Normal 5 6 2 3 3 3 2 3 2" xfId="45225"/>
    <cellStyle name="Normal 5 6 2 3 3 3 2 4" xfId="33382"/>
    <cellStyle name="Normal 5 6 2 3 3 3 3" xfId="13277"/>
    <cellStyle name="Normal 5 6 2 3 3 3 3 2" xfId="36698"/>
    <cellStyle name="Normal 5 6 2 3 3 3 4" xfId="19967"/>
    <cellStyle name="Normal 5 6 2 3 3 3 4 2" xfId="42502"/>
    <cellStyle name="Normal 5 6 2 3 3 3 5" xfId="30066"/>
    <cellStyle name="Normal 5 6 2 3 3 4" xfId="8222"/>
    <cellStyle name="Normal 5 6 2 3 3 4 2" xfId="14935"/>
    <cellStyle name="Normal 5 6 2 3 3 4 2 2" xfId="38356"/>
    <cellStyle name="Normal 5 6 2 3 3 4 3" xfId="21000"/>
    <cellStyle name="Normal 5 6 2 3 3 4 3 2" xfId="43451"/>
    <cellStyle name="Normal 5 6 2 3 3 4 4" xfId="31724"/>
    <cellStyle name="Normal 5 6 2 3 3 5" xfId="11617"/>
    <cellStyle name="Normal 5 6 2 3 3 5 2" xfId="21972"/>
    <cellStyle name="Normal 5 6 2 3 3 5 2 2" xfId="44404"/>
    <cellStyle name="Normal 5 6 2 3 3 5 3" xfId="35040"/>
    <cellStyle name="Normal 5 6 2 3 3 6" xfId="18838"/>
    <cellStyle name="Normal 5 6 2 3 3 6 2" xfId="41661"/>
    <cellStyle name="Normal 5 6 2 3 3 7" xfId="25974"/>
    <cellStyle name="Normal 5 6 2 3 3 7 2" xfId="48219"/>
    <cellStyle name="Normal 5 6 2 3 3 8" xfId="28408"/>
    <cellStyle name="Normal 5 6 2 3 4" xfId="2738"/>
    <cellStyle name="Normal 5 6 2 3 4 2" xfId="5831"/>
    <cellStyle name="Normal 5 6 2 3 4 2 2" xfId="7613"/>
    <cellStyle name="Normal 5 6 2 3 4 2 2 2" xfId="10942"/>
    <cellStyle name="Normal 5 6 2 3 4 2 2 2 2" xfId="17646"/>
    <cellStyle name="Normal 5 6 2 3 4 2 2 2 2 2" xfId="41067"/>
    <cellStyle name="Normal 5 6 2 3 4 2 2 2 3" xfId="34435"/>
    <cellStyle name="Normal 5 6 2 3 4 2 2 3" xfId="14330"/>
    <cellStyle name="Normal 5 6 2 3 4 2 2 3 2" xfId="37751"/>
    <cellStyle name="Normal 5 6 2 3 4 2 2 4" xfId="23003"/>
    <cellStyle name="Normal 5 6 2 3 4 2 2 4 2" xfId="45425"/>
    <cellStyle name="Normal 5 6 2 3 4 2 2 5" xfId="31119"/>
    <cellStyle name="Normal 5 6 2 3 4 2 3" xfId="9284"/>
    <cellStyle name="Normal 5 6 2 3 4 2 3 2" xfId="15988"/>
    <cellStyle name="Normal 5 6 2 3 4 2 3 2 2" xfId="39409"/>
    <cellStyle name="Normal 5 6 2 3 4 2 3 3" xfId="32777"/>
    <cellStyle name="Normal 5 6 2 3 4 2 4" xfId="12672"/>
    <cellStyle name="Normal 5 6 2 3 4 2 4 2" xfId="36093"/>
    <cellStyle name="Normal 5 6 2 3 4 2 5" xfId="20175"/>
    <cellStyle name="Normal 5 6 2 3 4 2 5 2" xfId="42710"/>
    <cellStyle name="Normal 5 6 2 3 4 2 6" xfId="29461"/>
    <cellStyle name="Normal 5 6 2 3 4 3" xfId="6714"/>
    <cellStyle name="Normal 5 6 2 3 4 3 2" xfId="10046"/>
    <cellStyle name="Normal 5 6 2 3 4 3 2 2" xfId="16750"/>
    <cellStyle name="Normal 5 6 2 3 4 3 2 2 2" xfId="40171"/>
    <cellStyle name="Normal 5 6 2 3 4 3 2 3" xfId="33539"/>
    <cellStyle name="Normal 5 6 2 3 4 3 3" xfId="13434"/>
    <cellStyle name="Normal 5 6 2 3 4 3 3 2" xfId="36855"/>
    <cellStyle name="Normal 5 6 2 3 4 3 4" xfId="21456"/>
    <cellStyle name="Normal 5 6 2 3 4 3 4 2" xfId="43907"/>
    <cellStyle name="Normal 5 6 2 3 4 3 5" xfId="30223"/>
    <cellStyle name="Normal 5 6 2 3 4 4" xfId="8380"/>
    <cellStyle name="Normal 5 6 2 3 4 4 2" xfId="15092"/>
    <cellStyle name="Normal 5 6 2 3 4 4 2 2" xfId="38513"/>
    <cellStyle name="Normal 5 6 2 3 4 4 3" xfId="22186"/>
    <cellStyle name="Normal 5 6 2 3 4 4 3 2" xfId="44610"/>
    <cellStyle name="Normal 5 6 2 3 4 4 4" xfId="31881"/>
    <cellStyle name="Normal 5 6 2 3 4 5" xfId="11774"/>
    <cellStyle name="Normal 5 6 2 3 4 5 2" xfId="35197"/>
    <cellStyle name="Normal 5 6 2 3 4 6" xfId="19325"/>
    <cellStyle name="Normal 5 6 2 3 4 6 2" xfId="41878"/>
    <cellStyle name="Normal 5 6 2 3 4 7" xfId="28565"/>
    <cellStyle name="Normal 5 6 2 3 5" xfId="4163"/>
    <cellStyle name="Normal 5 6 2 3 5 2" xfId="7127"/>
    <cellStyle name="Normal 5 6 2 3 5 2 2" xfId="10459"/>
    <cellStyle name="Normal 5 6 2 3 5 2 2 2" xfId="17163"/>
    <cellStyle name="Normal 5 6 2 3 5 2 2 2 2" xfId="40584"/>
    <cellStyle name="Normal 5 6 2 3 5 2 2 3" xfId="33952"/>
    <cellStyle name="Normal 5 6 2 3 5 2 3" xfId="13847"/>
    <cellStyle name="Normal 5 6 2 3 5 2 3 2" xfId="37268"/>
    <cellStyle name="Normal 5 6 2 3 5 2 4" xfId="22598"/>
    <cellStyle name="Normal 5 6 2 3 5 2 4 2" xfId="45020"/>
    <cellStyle name="Normal 5 6 2 3 5 2 5" xfId="30636"/>
    <cellStyle name="Normal 5 6 2 3 5 3" xfId="8794"/>
    <cellStyle name="Normal 5 6 2 3 5 3 2" xfId="15505"/>
    <cellStyle name="Normal 5 6 2 3 5 3 2 2" xfId="38926"/>
    <cellStyle name="Normal 5 6 2 3 5 3 3" xfId="32294"/>
    <cellStyle name="Normal 5 6 2 3 5 4" xfId="12187"/>
    <cellStyle name="Normal 5 6 2 3 5 4 2" xfId="35610"/>
    <cellStyle name="Normal 5 6 2 3 5 5" xfId="19757"/>
    <cellStyle name="Normal 5 6 2 3 5 5 2" xfId="42294"/>
    <cellStyle name="Normal 5 6 2 3 5 6" xfId="28978"/>
    <cellStyle name="Normal 5 6 2 3 6" xfId="6241"/>
    <cellStyle name="Normal 5 6 2 3 6 2" xfId="9575"/>
    <cellStyle name="Normal 5 6 2 3 6 2 2" xfId="16279"/>
    <cellStyle name="Normal 5 6 2 3 6 2 2 2" xfId="39700"/>
    <cellStyle name="Normal 5 6 2 3 6 2 3" xfId="33068"/>
    <cellStyle name="Normal 5 6 2 3 6 3" xfId="12963"/>
    <cellStyle name="Normal 5 6 2 3 6 3 2" xfId="36384"/>
    <cellStyle name="Normal 5 6 2 3 6 4" xfId="20997"/>
    <cellStyle name="Normal 5 6 2 3 6 4 2" xfId="43448"/>
    <cellStyle name="Normal 5 6 2 3 6 5" xfId="29752"/>
    <cellStyle name="Normal 5 6 2 3 7" xfId="7907"/>
    <cellStyle name="Normal 5 6 2 3 7 2" xfId="14621"/>
    <cellStyle name="Normal 5 6 2 3 7 2 2" xfId="38042"/>
    <cellStyle name="Normal 5 6 2 3 7 3" xfId="21748"/>
    <cellStyle name="Normal 5 6 2 3 7 3 2" xfId="44197"/>
    <cellStyle name="Normal 5 6 2 3 7 4" xfId="31410"/>
    <cellStyle name="Normal 5 6 2 3 8" xfId="11303"/>
    <cellStyle name="Normal 5 6 2 3 8 2" xfId="34726"/>
    <cellStyle name="Normal 5 6 2 3 9" xfId="18138"/>
    <cellStyle name="Normal 5 6 2 3 9 2" xfId="41426"/>
    <cellStyle name="Normal 5 6 2 4" xfId="1786"/>
    <cellStyle name="Normal 5 6 2 4 10" xfId="28138"/>
    <cellStyle name="Normal 5 6 2 4 2" xfId="2397"/>
    <cellStyle name="Normal 5 6 2 4 2 2" xfId="5635"/>
    <cellStyle name="Normal 5 6 2 4 2 2 2" xfId="7458"/>
    <cellStyle name="Normal 5 6 2 4 2 2 2 2" xfId="10789"/>
    <cellStyle name="Normal 5 6 2 4 2 2 2 2 2" xfId="17493"/>
    <cellStyle name="Normal 5 6 2 4 2 2 2 2 2 2" xfId="40914"/>
    <cellStyle name="Normal 5 6 2 4 2 2 2 2 3" xfId="23210"/>
    <cellStyle name="Normal 5 6 2 4 2 2 2 2 3 2" xfId="45632"/>
    <cellStyle name="Normal 5 6 2 4 2 2 2 2 4" xfId="34282"/>
    <cellStyle name="Normal 5 6 2 4 2 2 2 3" xfId="14177"/>
    <cellStyle name="Normal 5 6 2 4 2 2 2 3 2" xfId="37598"/>
    <cellStyle name="Normal 5 6 2 4 2 2 2 4" xfId="20385"/>
    <cellStyle name="Normal 5 6 2 4 2 2 2 4 2" xfId="42920"/>
    <cellStyle name="Normal 5 6 2 4 2 2 2 5" xfId="30966"/>
    <cellStyle name="Normal 5 6 2 4 2 2 3" xfId="9131"/>
    <cellStyle name="Normal 5 6 2 4 2 2 3 2" xfId="15835"/>
    <cellStyle name="Normal 5 6 2 4 2 2 3 2 2" xfId="39256"/>
    <cellStyle name="Normal 5 6 2 4 2 2 3 3" xfId="21461"/>
    <cellStyle name="Normal 5 6 2 4 2 2 3 3 2" xfId="43912"/>
    <cellStyle name="Normal 5 6 2 4 2 2 3 4" xfId="32624"/>
    <cellStyle name="Normal 5 6 2 4 2 2 4" xfId="12519"/>
    <cellStyle name="Normal 5 6 2 4 2 2 4 2" xfId="22398"/>
    <cellStyle name="Normal 5 6 2 4 2 2 4 2 2" xfId="44820"/>
    <cellStyle name="Normal 5 6 2 4 2 2 4 3" xfId="35940"/>
    <cellStyle name="Normal 5 6 2 4 2 2 5" xfId="19546"/>
    <cellStyle name="Normal 5 6 2 4 2 2 5 2" xfId="42088"/>
    <cellStyle name="Normal 5 6 2 4 2 2 6" xfId="29308"/>
    <cellStyle name="Normal 5 6 2 4 2 3" xfId="6557"/>
    <cellStyle name="Normal 5 6 2 4 2 3 2" xfId="9891"/>
    <cellStyle name="Normal 5 6 2 4 2 3 2 2" xfId="16595"/>
    <cellStyle name="Normal 5 6 2 4 2 3 2 2 2" xfId="40016"/>
    <cellStyle name="Normal 5 6 2 4 2 3 2 3" xfId="22805"/>
    <cellStyle name="Normal 5 6 2 4 2 3 2 3 2" xfId="45227"/>
    <cellStyle name="Normal 5 6 2 4 2 3 2 4" xfId="33384"/>
    <cellStyle name="Normal 5 6 2 4 2 3 3" xfId="13279"/>
    <cellStyle name="Normal 5 6 2 4 2 3 3 2" xfId="36700"/>
    <cellStyle name="Normal 5 6 2 4 2 3 4" xfId="19969"/>
    <cellStyle name="Normal 5 6 2 4 2 3 4 2" xfId="42504"/>
    <cellStyle name="Normal 5 6 2 4 2 3 5" xfId="30068"/>
    <cellStyle name="Normal 5 6 2 4 2 4" xfId="8224"/>
    <cellStyle name="Normal 5 6 2 4 2 4 2" xfId="14937"/>
    <cellStyle name="Normal 5 6 2 4 2 4 2 2" xfId="38358"/>
    <cellStyle name="Normal 5 6 2 4 2 4 3" xfId="21002"/>
    <cellStyle name="Normal 5 6 2 4 2 4 3 2" xfId="43453"/>
    <cellStyle name="Normal 5 6 2 4 2 4 4" xfId="31726"/>
    <cellStyle name="Normal 5 6 2 4 2 5" xfId="11619"/>
    <cellStyle name="Normal 5 6 2 4 2 5 2" xfId="21974"/>
    <cellStyle name="Normal 5 6 2 4 2 5 2 2" xfId="44406"/>
    <cellStyle name="Normal 5 6 2 4 2 5 3" xfId="35042"/>
    <cellStyle name="Normal 5 6 2 4 2 6" xfId="18840"/>
    <cellStyle name="Normal 5 6 2 4 2 6 2" xfId="41663"/>
    <cellStyle name="Normal 5 6 2 4 2 7" xfId="25976"/>
    <cellStyle name="Normal 5 6 2 4 2 7 2" xfId="48221"/>
    <cellStyle name="Normal 5 6 2 4 2 8" xfId="28410"/>
    <cellStyle name="Normal 5 6 2 4 3" xfId="2783"/>
    <cellStyle name="Normal 5 6 2 4 3 2" xfId="5875"/>
    <cellStyle name="Normal 5 6 2 4 3 2 2" xfId="7657"/>
    <cellStyle name="Normal 5 6 2 4 3 2 2 2" xfId="10986"/>
    <cellStyle name="Normal 5 6 2 4 3 2 2 2 2" xfId="17690"/>
    <cellStyle name="Normal 5 6 2 4 3 2 2 2 2 2" xfId="41111"/>
    <cellStyle name="Normal 5 6 2 4 3 2 2 2 3" xfId="34479"/>
    <cellStyle name="Normal 5 6 2 4 3 2 2 3" xfId="14374"/>
    <cellStyle name="Normal 5 6 2 4 3 2 2 3 2" xfId="37795"/>
    <cellStyle name="Normal 5 6 2 4 3 2 2 4" xfId="23005"/>
    <cellStyle name="Normal 5 6 2 4 3 2 2 4 2" xfId="45427"/>
    <cellStyle name="Normal 5 6 2 4 3 2 2 5" xfId="31163"/>
    <cellStyle name="Normal 5 6 2 4 3 2 3" xfId="9328"/>
    <cellStyle name="Normal 5 6 2 4 3 2 3 2" xfId="16032"/>
    <cellStyle name="Normal 5 6 2 4 3 2 3 2 2" xfId="39453"/>
    <cellStyle name="Normal 5 6 2 4 3 2 3 3" xfId="32821"/>
    <cellStyle name="Normal 5 6 2 4 3 2 4" xfId="12716"/>
    <cellStyle name="Normal 5 6 2 4 3 2 4 2" xfId="36137"/>
    <cellStyle name="Normal 5 6 2 4 3 2 5" xfId="20177"/>
    <cellStyle name="Normal 5 6 2 4 3 2 5 2" xfId="42712"/>
    <cellStyle name="Normal 5 6 2 4 3 2 6" xfId="29505"/>
    <cellStyle name="Normal 5 6 2 4 3 3" xfId="6758"/>
    <cellStyle name="Normal 5 6 2 4 3 3 2" xfId="10090"/>
    <cellStyle name="Normal 5 6 2 4 3 3 2 2" xfId="16794"/>
    <cellStyle name="Normal 5 6 2 4 3 3 2 2 2" xfId="40215"/>
    <cellStyle name="Normal 5 6 2 4 3 3 2 3" xfId="33583"/>
    <cellStyle name="Normal 5 6 2 4 3 3 3" xfId="13478"/>
    <cellStyle name="Normal 5 6 2 4 3 3 3 2" xfId="36899"/>
    <cellStyle name="Normal 5 6 2 4 3 3 4" xfId="21460"/>
    <cellStyle name="Normal 5 6 2 4 3 3 4 2" xfId="43911"/>
    <cellStyle name="Normal 5 6 2 4 3 3 5" xfId="30267"/>
    <cellStyle name="Normal 5 6 2 4 3 4" xfId="8424"/>
    <cellStyle name="Normal 5 6 2 4 3 4 2" xfId="15136"/>
    <cellStyle name="Normal 5 6 2 4 3 4 2 2" xfId="38557"/>
    <cellStyle name="Normal 5 6 2 4 3 4 3" xfId="22188"/>
    <cellStyle name="Normal 5 6 2 4 3 4 3 2" xfId="44612"/>
    <cellStyle name="Normal 5 6 2 4 3 4 4" xfId="31925"/>
    <cellStyle name="Normal 5 6 2 4 3 5" xfId="11818"/>
    <cellStyle name="Normal 5 6 2 4 3 5 2" xfId="35241"/>
    <cellStyle name="Normal 5 6 2 4 3 6" xfId="19327"/>
    <cellStyle name="Normal 5 6 2 4 3 6 2" xfId="41880"/>
    <cellStyle name="Normal 5 6 2 4 3 7" xfId="28609"/>
    <cellStyle name="Normal 5 6 2 4 4" xfId="4165"/>
    <cellStyle name="Normal 5 6 2 4 4 2" xfId="7129"/>
    <cellStyle name="Normal 5 6 2 4 4 2 2" xfId="10461"/>
    <cellStyle name="Normal 5 6 2 4 4 2 2 2" xfId="17165"/>
    <cellStyle name="Normal 5 6 2 4 4 2 2 2 2" xfId="40586"/>
    <cellStyle name="Normal 5 6 2 4 4 2 2 3" xfId="33954"/>
    <cellStyle name="Normal 5 6 2 4 4 2 3" xfId="13849"/>
    <cellStyle name="Normal 5 6 2 4 4 2 3 2" xfId="37270"/>
    <cellStyle name="Normal 5 6 2 4 4 2 4" xfId="22600"/>
    <cellStyle name="Normal 5 6 2 4 4 2 4 2" xfId="45022"/>
    <cellStyle name="Normal 5 6 2 4 4 2 5" xfId="30638"/>
    <cellStyle name="Normal 5 6 2 4 4 3" xfId="8796"/>
    <cellStyle name="Normal 5 6 2 4 4 3 2" xfId="15507"/>
    <cellStyle name="Normal 5 6 2 4 4 3 2 2" xfId="38928"/>
    <cellStyle name="Normal 5 6 2 4 4 3 3" xfId="32296"/>
    <cellStyle name="Normal 5 6 2 4 4 4" xfId="12189"/>
    <cellStyle name="Normal 5 6 2 4 4 4 2" xfId="35612"/>
    <cellStyle name="Normal 5 6 2 4 4 5" xfId="19759"/>
    <cellStyle name="Normal 5 6 2 4 4 5 2" xfId="42296"/>
    <cellStyle name="Normal 5 6 2 4 4 6" xfId="28980"/>
    <cellStyle name="Normal 5 6 2 4 5" xfId="6285"/>
    <cellStyle name="Normal 5 6 2 4 5 2" xfId="9619"/>
    <cellStyle name="Normal 5 6 2 4 5 2 2" xfId="16323"/>
    <cellStyle name="Normal 5 6 2 4 5 2 2 2" xfId="39744"/>
    <cellStyle name="Normal 5 6 2 4 5 2 3" xfId="33112"/>
    <cellStyle name="Normal 5 6 2 4 5 3" xfId="13007"/>
    <cellStyle name="Normal 5 6 2 4 5 3 2" xfId="36428"/>
    <cellStyle name="Normal 5 6 2 4 5 4" xfId="21001"/>
    <cellStyle name="Normal 5 6 2 4 5 4 2" xfId="43452"/>
    <cellStyle name="Normal 5 6 2 4 5 5" xfId="29796"/>
    <cellStyle name="Normal 5 6 2 4 6" xfId="7951"/>
    <cellStyle name="Normal 5 6 2 4 6 2" xfId="14665"/>
    <cellStyle name="Normal 5 6 2 4 6 2 2" xfId="38086"/>
    <cellStyle name="Normal 5 6 2 4 6 3" xfId="21750"/>
    <cellStyle name="Normal 5 6 2 4 6 3 2" xfId="44199"/>
    <cellStyle name="Normal 5 6 2 4 6 4" xfId="31454"/>
    <cellStyle name="Normal 5 6 2 4 7" xfId="11347"/>
    <cellStyle name="Normal 5 6 2 4 7 2" xfId="34770"/>
    <cellStyle name="Normal 5 6 2 4 8" xfId="18140"/>
    <cellStyle name="Normal 5 6 2 4 8 2" xfId="41428"/>
    <cellStyle name="Normal 5 6 2 4 9" xfId="23745"/>
    <cellStyle name="Normal 5 6 2 4 9 2" xfId="46034"/>
    <cellStyle name="Normal 5 6 2 5" xfId="2390"/>
    <cellStyle name="Normal 5 6 2 5 2" xfId="5628"/>
    <cellStyle name="Normal 5 6 2 5 2 2" xfId="7451"/>
    <cellStyle name="Normal 5 6 2 5 2 2 2" xfId="10782"/>
    <cellStyle name="Normal 5 6 2 5 2 2 2 2" xfId="17486"/>
    <cellStyle name="Normal 5 6 2 5 2 2 2 2 2" xfId="40907"/>
    <cellStyle name="Normal 5 6 2 5 2 2 2 3" xfId="23203"/>
    <cellStyle name="Normal 5 6 2 5 2 2 2 3 2" xfId="45625"/>
    <cellStyle name="Normal 5 6 2 5 2 2 2 4" xfId="34275"/>
    <cellStyle name="Normal 5 6 2 5 2 2 3" xfId="14170"/>
    <cellStyle name="Normal 5 6 2 5 2 2 3 2" xfId="37591"/>
    <cellStyle name="Normal 5 6 2 5 2 2 4" xfId="20378"/>
    <cellStyle name="Normal 5 6 2 5 2 2 4 2" xfId="42913"/>
    <cellStyle name="Normal 5 6 2 5 2 2 5" xfId="30959"/>
    <cellStyle name="Normal 5 6 2 5 2 3" xfId="9124"/>
    <cellStyle name="Normal 5 6 2 5 2 3 2" xfId="15828"/>
    <cellStyle name="Normal 5 6 2 5 2 3 2 2" xfId="39249"/>
    <cellStyle name="Normal 5 6 2 5 2 3 3" xfId="21462"/>
    <cellStyle name="Normal 5 6 2 5 2 3 3 2" xfId="43913"/>
    <cellStyle name="Normal 5 6 2 5 2 3 4" xfId="32617"/>
    <cellStyle name="Normal 5 6 2 5 2 4" xfId="12512"/>
    <cellStyle name="Normal 5 6 2 5 2 4 2" xfId="22391"/>
    <cellStyle name="Normal 5 6 2 5 2 4 2 2" xfId="44813"/>
    <cellStyle name="Normal 5 6 2 5 2 4 3" xfId="35933"/>
    <cellStyle name="Normal 5 6 2 5 2 5" xfId="19539"/>
    <cellStyle name="Normal 5 6 2 5 2 5 2" xfId="42081"/>
    <cellStyle name="Normal 5 6 2 5 2 6" xfId="29301"/>
    <cellStyle name="Normal 5 6 2 5 3" xfId="6550"/>
    <cellStyle name="Normal 5 6 2 5 3 2" xfId="9884"/>
    <cellStyle name="Normal 5 6 2 5 3 2 2" xfId="16588"/>
    <cellStyle name="Normal 5 6 2 5 3 2 2 2" xfId="40009"/>
    <cellStyle name="Normal 5 6 2 5 3 2 3" xfId="22798"/>
    <cellStyle name="Normal 5 6 2 5 3 2 3 2" xfId="45220"/>
    <cellStyle name="Normal 5 6 2 5 3 2 4" xfId="33377"/>
    <cellStyle name="Normal 5 6 2 5 3 3" xfId="13272"/>
    <cellStyle name="Normal 5 6 2 5 3 3 2" xfId="36693"/>
    <cellStyle name="Normal 5 6 2 5 3 4" xfId="19962"/>
    <cellStyle name="Normal 5 6 2 5 3 4 2" xfId="42497"/>
    <cellStyle name="Normal 5 6 2 5 3 5" xfId="30061"/>
    <cellStyle name="Normal 5 6 2 5 4" xfId="8217"/>
    <cellStyle name="Normal 5 6 2 5 4 2" xfId="14930"/>
    <cellStyle name="Normal 5 6 2 5 4 2 2" xfId="38351"/>
    <cellStyle name="Normal 5 6 2 5 4 3" xfId="21003"/>
    <cellStyle name="Normal 5 6 2 5 4 3 2" xfId="43454"/>
    <cellStyle name="Normal 5 6 2 5 4 4" xfId="31719"/>
    <cellStyle name="Normal 5 6 2 5 5" xfId="11612"/>
    <cellStyle name="Normal 5 6 2 5 5 2" xfId="21967"/>
    <cellStyle name="Normal 5 6 2 5 5 2 2" xfId="44399"/>
    <cellStyle name="Normal 5 6 2 5 5 3" xfId="35035"/>
    <cellStyle name="Normal 5 6 2 5 6" xfId="18833"/>
    <cellStyle name="Normal 5 6 2 5 6 2" xfId="41656"/>
    <cellStyle name="Normal 5 6 2 5 7" xfId="25969"/>
    <cellStyle name="Normal 5 6 2 5 7 2" xfId="48214"/>
    <cellStyle name="Normal 5 6 2 5 8" xfId="28403"/>
    <cellStyle name="Normal 5 6 2 6" xfId="2651"/>
    <cellStyle name="Normal 5 6 2 6 2" xfId="5744"/>
    <cellStyle name="Normal 5 6 2 6 2 2" xfId="7526"/>
    <cellStyle name="Normal 5 6 2 6 2 2 2" xfId="10855"/>
    <cellStyle name="Normal 5 6 2 6 2 2 2 2" xfId="17559"/>
    <cellStyle name="Normal 5 6 2 6 2 2 2 2 2" xfId="40980"/>
    <cellStyle name="Normal 5 6 2 6 2 2 2 3" xfId="34348"/>
    <cellStyle name="Normal 5 6 2 6 2 2 3" xfId="14243"/>
    <cellStyle name="Normal 5 6 2 6 2 2 3 2" xfId="37664"/>
    <cellStyle name="Normal 5 6 2 6 2 2 4" xfId="20652"/>
    <cellStyle name="Normal 5 6 2 6 2 2 4 2" xfId="43103"/>
    <cellStyle name="Normal 5 6 2 6 2 2 5" xfId="31032"/>
    <cellStyle name="Normal 5 6 2 6 2 3" xfId="9197"/>
    <cellStyle name="Normal 5 6 2 6 2 3 2" xfId="15901"/>
    <cellStyle name="Normal 5 6 2 6 2 3 2 2" xfId="39322"/>
    <cellStyle name="Normal 5 6 2 6 2 3 3" xfId="21570"/>
    <cellStyle name="Normal 5 6 2 6 2 3 3 2" xfId="44021"/>
    <cellStyle name="Normal 5 6 2 6 2 3 4" xfId="32690"/>
    <cellStyle name="Normal 5 6 2 6 2 4" xfId="12585"/>
    <cellStyle name="Normal 5 6 2 6 2 4 2" xfId="22998"/>
    <cellStyle name="Normal 5 6 2 6 2 4 2 2" xfId="45420"/>
    <cellStyle name="Normal 5 6 2 6 2 4 3" xfId="36006"/>
    <cellStyle name="Normal 5 6 2 6 2 5" xfId="20170"/>
    <cellStyle name="Normal 5 6 2 6 2 5 2" xfId="42705"/>
    <cellStyle name="Normal 5 6 2 6 2 6" xfId="29374"/>
    <cellStyle name="Normal 5 6 2 6 3" xfId="6627"/>
    <cellStyle name="Normal 5 6 2 6 3 2" xfId="9959"/>
    <cellStyle name="Normal 5 6 2 6 3 2 2" xfId="16663"/>
    <cellStyle name="Normal 5 6 2 6 3 2 2 2" xfId="40084"/>
    <cellStyle name="Normal 5 6 2 6 3 2 3" xfId="33452"/>
    <cellStyle name="Normal 5 6 2 6 3 3" xfId="13347"/>
    <cellStyle name="Normal 5 6 2 6 3 3 2" xfId="36768"/>
    <cellStyle name="Normal 5 6 2 6 3 4" xfId="20554"/>
    <cellStyle name="Normal 5 6 2 6 3 4 2" xfId="43007"/>
    <cellStyle name="Normal 5 6 2 6 3 5" xfId="30136"/>
    <cellStyle name="Normal 5 6 2 6 4" xfId="8293"/>
    <cellStyle name="Normal 5 6 2 6 4 2" xfId="15005"/>
    <cellStyle name="Normal 5 6 2 6 4 2 2" xfId="38426"/>
    <cellStyle name="Normal 5 6 2 6 4 3" xfId="21111"/>
    <cellStyle name="Normal 5 6 2 6 4 3 2" xfId="43562"/>
    <cellStyle name="Normal 5 6 2 6 4 4" xfId="31794"/>
    <cellStyle name="Normal 5 6 2 6 5" xfId="11687"/>
    <cellStyle name="Normal 5 6 2 6 5 2" xfId="22181"/>
    <cellStyle name="Normal 5 6 2 6 5 2 2" xfId="44605"/>
    <cellStyle name="Normal 5 6 2 6 5 3" xfId="35110"/>
    <cellStyle name="Normal 5 6 2 6 6" xfId="19320"/>
    <cellStyle name="Normal 5 6 2 6 6 2" xfId="41873"/>
    <cellStyle name="Normal 5 6 2 6 7" xfId="28478"/>
    <cellStyle name="Normal 5 6 2 7" xfId="4158"/>
    <cellStyle name="Normal 5 6 2 7 2" xfId="7122"/>
    <cellStyle name="Normal 5 6 2 7 2 2" xfId="10454"/>
    <cellStyle name="Normal 5 6 2 7 2 2 2" xfId="17158"/>
    <cellStyle name="Normal 5 6 2 7 2 2 2 2" xfId="40579"/>
    <cellStyle name="Normal 5 6 2 7 2 2 3" xfId="33947"/>
    <cellStyle name="Normal 5 6 2 7 2 3" xfId="13842"/>
    <cellStyle name="Normal 5 6 2 7 2 3 2" xfId="37263"/>
    <cellStyle name="Normal 5 6 2 7 2 4" xfId="20603"/>
    <cellStyle name="Normal 5 6 2 7 2 4 2" xfId="43054"/>
    <cellStyle name="Normal 5 6 2 7 2 5" xfId="30631"/>
    <cellStyle name="Normal 5 6 2 7 3" xfId="8789"/>
    <cellStyle name="Normal 5 6 2 7 3 2" xfId="15500"/>
    <cellStyle name="Normal 5 6 2 7 3 2 2" xfId="38921"/>
    <cellStyle name="Normal 5 6 2 7 3 3" xfId="21447"/>
    <cellStyle name="Normal 5 6 2 7 3 3 2" xfId="43898"/>
    <cellStyle name="Normal 5 6 2 7 3 4" xfId="32289"/>
    <cellStyle name="Normal 5 6 2 7 4" xfId="12182"/>
    <cellStyle name="Normal 5 6 2 7 4 2" xfId="22593"/>
    <cellStyle name="Normal 5 6 2 7 4 2 2" xfId="45015"/>
    <cellStyle name="Normal 5 6 2 7 4 3" xfId="35605"/>
    <cellStyle name="Normal 5 6 2 7 5" xfId="19752"/>
    <cellStyle name="Normal 5 6 2 7 5 2" xfId="42289"/>
    <cellStyle name="Normal 5 6 2 7 6" xfId="28973"/>
    <cellStyle name="Normal 5 6 2 8" xfId="6154"/>
    <cellStyle name="Normal 5 6 2 8 2" xfId="9488"/>
    <cellStyle name="Normal 5 6 2 8 2 2" xfId="16192"/>
    <cellStyle name="Normal 5 6 2 8 2 2 2" xfId="39613"/>
    <cellStyle name="Normal 5 6 2 8 2 3" xfId="32981"/>
    <cellStyle name="Normal 5 6 2 8 3" xfId="12876"/>
    <cellStyle name="Normal 5 6 2 8 3 2" xfId="36297"/>
    <cellStyle name="Normal 5 6 2 8 4" xfId="20505"/>
    <cellStyle name="Normal 5 6 2 8 4 2" xfId="42958"/>
    <cellStyle name="Normal 5 6 2 8 5" xfId="29665"/>
    <cellStyle name="Normal 5 6 2 9" xfId="7820"/>
    <cellStyle name="Normal 5 6 2 9 2" xfId="14534"/>
    <cellStyle name="Normal 5 6 2 9 2 2" xfId="37955"/>
    <cellStyle name="Normal 5 6 2 9 3" xfId="20988"/>
    <cellStyle name="Normal 5 6 2 9 3 2" xfId="43439"/>
    <cellStyle name="Normal 5 6 2 9 4" xfId="31323"/>
    <cellStyle name="Normal 5 6 3" xfId="1479"/>
    <cellStyle name="Normal 5 6 3 10" xfId="18141"/>
    <cellStyle name="Normal 5 6 3 10 2" xfId="41429"/>
    <cellStyle name="Normal 5 6 3 11" xfId="23746"/>
    <cellStyle name="Normal 5 6 3 11 2" xfId="46035"/>
    <cellStyle name="Normal 5 6 3 12" xfId="28015"/>
    <cellStyle name="Normal 5 6 3 2" xfId="1678"/>
    <cellStyle name="Normal 5 6 3 2 10" xfId="23747"/>
    <cellStyle name="Normal 5 6 3 2 10 2" xfId="46036"/>
    <cellStyle name="Normal 5 6 3 2 11" xfId="28096"/>
    <cellStyle name="Normal 5 6 3 2 2" xfId="1875"/>
    <cellStyle name="Normal 5 6 3 2 2 10" xfId="28227"/>
    <cellStyle name="Normal 5 6 3 2 2 2" xfId="2400"/>
    <cellStyle name="Normal 5 6 3 2 2 2 2" xfId="5638"/>
    <cellStyle name="Normal 5 6 3 2 2 2 2 2" xfId="7461"/>
    <cellStyle name="Normal 5 6 3 2 2 2 2 2 2" xfId="10792"/>
    <cellStyle name="Normal 5 6 3 2 2 2 2 2 2 2" xfId="17496"/>
    <cellStyle name="Normal 5 6 3 2 2 2 2 2 2 2 2" xfId="40917"/>
    <cellStyle name="Normal 5 6 3 2 2 2 2 2 2 3" xfId="23213"/>
    <cellStyle name="Normal 5 6 3 2 2 2 2 2 2 3 2" xfId="45635"/>
    <cellStyle name="Normal 5 6 3 2 2 2 2 2 2 4" xfId="34285"/>
    <cellStyle name="Normal 5 6 3 2 2 2 2 2 3" xfId="14180"/>
    <cellStyle name="Normal 5 6 3 2 2 2 2 2 3 2" xfId="37601"/>
    <cellStyle name="Normal 5 6 3 2 2 2 2 2 4" xfId="20388"/>
    <cellStyle name="Normal 5 6 3 2 2 2 2 2 4 2" xfId="42923"/>
    <cellStyle name="Normal 5 6 3 2 2 2 2 2 5" xfId="30969"/>
    <cellStyle name="Normal 5 6 3 2 2 2 2 3" xfId="9134"/>
    <cellStyle name="Normal 5 6 3 2 2 2 2 3 2" xfId="15838"/>
    <cellStyle name="Normal 5 6 3 2 2 2 2 3 2 2" xfId="39259"/>
    <cellStyle name="Normal 5 6 3 2 2 2 2 3 3" xfId="21466"/>
    <cellStyle name="Normal 5 6 3 2 2 2 2 3 3 2" xfId="43917"/>
    <cellStyle name="Normal 5 6 3 2 2 2 2 3 4" xfId="32627"/>
    <cellStyle name="Normal 5 6 3 2 2 2 2 4" xfId="12522"/>
    <cellStyle name="Normal 5 6 3 2 2 2 2 4 2" xfId="22401"/>
    <cellStyle name="Normal 5 6 3 2 2 2 2 4 2 2" xfId="44823"/>
    <cellStyle name="Normal 5 6 3 2 2 2 2 4 3" xfId="35943"/>
    <cellStyle name="Normal 5 6 3 2 2 2 2 5" xfId="19549"/>
    <cellStyle name="Normal 5 6 3 2 2 2 2 5 2" xfId="42091"/>
    <cellStyle name="Normal 5 6 3 2 2 2 2 6" xfId="29311"/>
    <cellStyle name="Normal 5 6 3 2 2 2 3" xfId="6560"/>
    <cellStyle name="Normal 5 6 3 2 2 2 3 2" xfId="9894"/>
    <cellStyle name="Normal 5 6 3 2 2 2 3 2 2" xfId="16598"/>
    <cellStyle name="Normal 5 6 3 2 2 2 3 2 2 2" xfId="40019"/>
    <cellStyle name="Normal 5 6 3 2 2 2 3 2 3" xfId="22808"/>
    <cellStyle name="Normal 5 6 3 2 2 2 3 2 3 2" xfId="45230"/>
    <cellStyle name="Normal 5 6 3 2 2 2 3 2 4" xfId="33387"/>
    <cellStyle name="Normal 5 6 3 2 2 2 3 3" xfId="13282"/>
    <cellStyle name="Normal 5 6 3 2 2 2 3 3 2" xfId="36703"/>
    <cellStyle name="Normal 5 6 3 2 2 2 3 4" xfId="19972"/>
    <cellStyle name="Normal 5 6 3 2 2 2 3 4 2" xfId="42507"/>
    <cellStyle name="Normal 5 6 3 2 2 2 3 5" xfId="30071"/>
    <cellStyle name="Normal 5 6 3 2 2 2 4" xfId="8227"/>
    <cellStyle name="Normal 5 6 3 2 2 2 4 2" xfId="14940"/>
    <cellStyle name="Normal 5 6 3 2 2 2 4 2 2" xfId="38361"/>
    <cellStyle name="Normal 5 6 3 2 2 2 4 3" xfId="21007"/>
    <cellStyle name="Normal 5 6 3 2 2 2 4 3 2" xfId="43458"/>
    <cellStyle name="Normal 5 6 3 2 2 2 4 4" xfId="31729"/>
    <cellStyle name="Normal 5 6 3 2 2 2 5" xfId="11622"/>
    <cellStyle name="Normal 5 6 3 2 2 2 5 2" xfId="21977"/>
    <cellStyle name="Normal 5 6 3 2 2 2 5 2 2" xfId="44409"/>
    <cellStyle name="Normal 5 6 3 2 2 2 5 3" xfId="35045"/>
    <cellStyle name="Normal 5 6 3 2 2 2 6" xfId="18843"/>
    <cellStyle name="Normal 5 6 3 2 2 2 6 2" xfId="41666"/>
    <cellStyle name="Normal 5 6 3 2 2 2 7" xfId="25979"/>
    <cellStyle name="Normal 5 6 3 2 2 2 7 2" xfId="48224"/>
    <cellStyle name="Normal 5 6 3 2 2 2 8" xfId="28413"/>
    <cellStyle name="Normal 5 6 3 2 2 3" xfId="2872"/>
    <cellStyle name="Normal 5 6 3 2 2 3 2" xfId="5964"/>
    <cellStyle name="Normal 5 6 3 2 2 3 2 2" xfId="7746"/>
    <cellStyle name="Normal 5 6 3 2 2 3 2 2 2" xfId="11075"/>
    <cellStyle name="Normal 5 6 3 2 2 3 2 2 2 2" xfId="17779"/>
    <cellStyle name="Normal 5 6 3 2 2 3 2 2 2 2 2" xfId="41200"/>
    <cellStyle name="Normal 5 6 3 2 2 3 2 2 2 3" xfId="34568"/>
    <cellStyle name="Normal 5 6 3 2 2 3 2 2 3" xfId="14463"/>
    <cellStyle name="Normal 5 6 3 2 2 3 2 2 3 2" xfId="37884"/>
    <cellStyle name="Normal 5 6 3 2 2 3 2 2 4" xfId="23008"/>
    <cellStyle name="Normal 5 6 3 2 2 3 2 2 4 2" xfId="45430"/>
    <cellStyle name="Normal 5 6 3 2 2 3 2 2 5" xfId="31252"/>
    <cellStyle name="Normal 5 6 3 2 2 3 2 3" xfId="9417"/>
    <cellStyle name="Normal 5 6 3 2 2 3 2 3 2" xfId="16121"/>
    <cellStyle name="Normal 5 6 3 2 2 3 2 3 2 2" xfId="39542"/>
    <cellStyle name="Normal 5 6 3 2 2 3 2 3 3" xfId="32910"/>
    <cellStyle name="Normal 5 6 3 2 2 3 2 4" xfId="12805"/>
    <cellStyle name="Normal 5 6 3 2 2 3 2 4 2" xfId="36226"/>
    <cellStyle name="Normal 5 6 3 2 2 3 2 5" xfId="20180"/>
    <cellStyle name="Normal 5 6 3 2 2 3 2 5 2" xfId="42715"/>
    <cellStyle name="Normal 5 6 3 2 2 3 2 6" xfId="29594"/>
    <cellStyle name="Normal 5 6 3 2 2 3 3" xfId="6847"/>
    <cellStyle name="Normal 5 6 3 2 2 3 3 2" xfId="10179"/>
    <cellStyle name="Normal 5 6 3 2 2 3 3 2 2" xfId="16883"/>
    <cellStyle name="Normal 5 6 3 2 2 3 3 2 2 2" xfId="40304"/>
    <cellStyle name="Normal 5 6 3 2 2 3 3 2 3" xfId="33672"/>
    <cellStyle name="Normal 5 6 3 2 2 3 3 3" xfId="13567"/>
    <cellStyle name="Normal 5 6 3 2 2 3 3 3 2" xfId="36988"/>
    <cellStyle name="Normal 5 6 3 2 2 3 3 4" xfId="21465"/>
    <cellStyle name="Normal 5 6 3 2 2 3 3 4 2" xfId="43916"/>
    <cellStyle name="Normal 5 6 3 2 2 3 3 5" xfId="30356"/>
    <cellStyle name="Normal 5 6 3 2 2 3 4" xfId="8513"/>
    <cellStyle name="Normal 5 6 3 2 2 3 4 2" xfId="15225"/>
    <cellStyle name="Normal 5 6 3 2 2 3 4 2 2" xfId="38646"/>
    <cellStyle name="Normal 5 6 3 2 2 3 4 3" xfId="22191"/>
    <cellStyle name="Normal 5 6 3 2 2 3 4 3 2" xfId="44615"/>
    <cellStyle name="Normal 5 6 3 2 2 3 4 4" xfId="32014"/>
    <cellStyle name="Normal 5 6 3 2 2 3 5" xfId="11907"/>
    <cellStyle name="Normal 5 6 3 2 2 3 5 2" xfId="35330"/>
    <cellStyle name="Normal 5 6 3 2 2 3 6" xfId="19330"/>
    <cellStyle name="Normal 5 6 3 2 2 3 6 2" xfId="41883"/>
    <cellStyle name="Normal 5 6 3 2 2 3 7" xfId="28698"/>
    <cellStyle name="Normal 5 6 3 2 2 4" xfId="4168"/>
    <cellStyle name="Normal 5 6 3 2 2 4 2" xfId="7132"/>
    <cellStyle name="Normal 5 6 3 2 2 4 2 2" xfId="10464"/>
    <cellStyle name="Normal 5 6 3 2 2 4 2 2 2" xfId="17168"/>
    <cellStyle name="Normal 5 6 3 2 2 4 2 2 2 2" xfId="40589"/>
    <cellStyle name="Normal 5 6 3 2 2 4 2 2 3" xfId="33957"/>
    <cellStyle name="Normal 5 6 3 2 2 4 2 3" xfId="13852"/>
    <cellStyle name="Normal 5 6 3 2 2 4 2 3 2" xfId="37273"/>
    <cellStyle name="Normal 5 6 3 2 2 4 2 4" xfId="22603"/>
    <cellStyle name="Normal 5 6 3 2 2 4 2 4 2" xfId="45025"/>
    <cellStyle name="Normal 5 6 3 2 2 4 2 5" xfId="30641"/>
    <cellStyle name="Normal 5 6 3 2 2 4 3" xfId="8799"/>
    <cellStyle name="Normal 5 6 3 2 2 4 3 2" xfId="15510"/>
    <cellStyle name="Normal 5 6 3 2 2 4 3 2 2" xfId="38931"/>
    <cellStyle name="Normal 5 6 3 2 2 4 3 3" xfId="32299"/>
    <cellStyle name="Normal 5 6 3 2 2 4 4" xfId="12192"/>
    <cellStyle name="Normal 5 6 3 2 2 4 4 2" xfId="35615"/>
    <cellStyle name="Normal 5 6 3 2 2 4 5" xfId="19762"/>
    <cellStyle name="Normal 5 6 3 2 2 4 5 2" xfId="42299"/>
    <cellStyle name="Normal 5 6 3 2 2 4 6" xfId="28983"/>
    <cellStyle name="Normal 5 6 3 2 2 5" xfId="6374"/>
    <cellStyle name="Normal 5 6 3 2 2 5 2" xfId="9708"/>
    <cellStyle name="Normal 5 6 3 2 2 5 2 2" xfId="16412"/>
    <cellStyle name="Normal 5 6 3 2 2 5 2 2 2" xfId="39833"/>
    <cellStyle name="Normal 5 6 3 2 2 5 2 3" xfId="33201"/>
    <cellStyle name="Normal 5 6 3 2 2 5 3" xfId="13096"/>
    <cellStyle name="Normal 5 6 3 2 2 5 3 2" xfId="36517"/>
    <cellStyle name="Normal 5 6 3 2 2 5 4" xfId="21006"/>
    <cellStyle name="Normal 5 6 3 2 2 5 4 2" xfId="43457"/>
    <cellStyle name="Normal 5 6 3 2 2 5 5" xfId="29885"/>
    <cellStyle name="Normal 5 6 3 2 2 6" xfId="8040"/>
    <cellStyle name="Normal 5 6 3 2 2 6 2" xfId="14754"/>
    <cellStyle name="Normal 5 6 3 2 2 6 2 2" xfId="38175"/>
    <cellStyle name="Normal 5 6 3 2 2 6 3" xfId="21753"/>
    <cellStyle name="Normal 5 6 3 2 2 6 3 2" xfId="44202"/>
    <cellStyle name="Normal 5 6 3 2 2 6 4" xfId="31543"/>
    <cellStyle name="Normal 5 6 3 2 2 7" xfId="11436"/>
    <cellStyle name="Normal 5 6 3 2 2 7 2" xfId="34859"/>
    <cellStyle name="Normal 5 6 3 2 2 8" xfId="18143"/>
    <cellStyle name="Normal 5 6 3 2 2 8 2" xfId="41431"/>
    <cellStyle name="Normal 5 6 3 2 2 9" xfId="23748"/>
    <cellStyle name="Normal 5 6 3 2 2 9 2" xfId="46037"/>
    <cellStyle name="Normal 5 6 3 2 3" xfId="2399"/>
    <cellStyle name="Normal 5 6 3 2 3 2" xfId="5637"/>
    <cellStyle name="Normal 5 6 3 2 3 2 2" xfId="7460"/>
    <cellStyle name="Normal 5 6 3 2 3 2 2 2" xfId="10791"/>
    <cellStyle name="Normal 5 6 3 2 3 2 2 2 2" xfId="17495"/>
    <cellStyle name="Normal 5 6 3 2 3 2 2 2 2 2" xfId="40916"/>
    <cellStyle name="Normal 5 6 3 2 3 2 2 2 3" xfId="23212"/>
    <cellStyle name="Normal 5 6 3 2 3 2 2 2 3 2" xfId="45634"/>
    <cellStyle name="Normal 5 6 3 2 3 2 2 2 4" xfId="34284"/>
    <cellStyle name="Normal 5 6 3 2 3 2 2 3" xfId="14179"/>
    <cellStyle name="Normal 5 6 3 2 3 2 2 3 2" xfId="37600"/>
    <cellStyle name="Normal 5 6 3 2 3 2 2 4" xfId="20387"/>
    <cellStyle name="Normal 5 6 3 2 3 2 2 4 2" xfId="42922"/>
    <cellStyle name="Normal 5 6 3 2 3 2 2 5" xfId="30968"/>
    <cellStyle name="Normal 5 6 3 2 3 2 3" xfId="9133"/>
    <cellStyle name="Normal 5 6 3 2 3 2 3 2" xfId="15837"/>
    <cellStyle name="Normal 5 6 3 2 3 2 3 2 2" xfId="39258"/>
    <cellStyle name="Normal 5 6 3 2 3 2 3 3" xfId="21467"/>
    <cellStyle name="Normal 5 6 3 2 3 2 3 3 2" xfId="43918"/>
    <cellStyle name="Normal 5 6 3 2 3 2 3 4" xfId="32626"/>
    <cellStyle name="Normal 5 6 3 2 3 2 4" xfId="12521"/>
    <cellStyle name="Normal 5 6 3 2 3 2 4 2" xfId="22400"/>
    <cellStyle name="Normal 5 6 3 2 3 2 4 2 2" xfId="44822"/>
    <cellStyle name="Normal 5 6 3 2 3 2 4 3" xfId="35942"/>
    <cellStyle name="Normal 5 6 3 2 3 2 5" xfId="19548"/>
    <cellStyle name="Normal 5 6 3 2 3 2 5 2" xfId="42090"/>
    <cellStyle name="Normal 5 6 3 2 3 2 6" xfId="29310"/>
    <cellStyle name="Normal 5 6 3 2 3 3" xfId="6559"/>
    <cellStyle name="Normal 5 6 3 2 3 3 2" xfId="9893"/>
    <cellStyle name="Normal 5 6 3 2 3 3 2 2" xfId="16597"/>
    <cellStyle name="Normal 5 6 3 2 3 3 2 2 2" xfId="40018"/>
    <cellStyle name="Normal 5 6 3 2 3 3 2 3" xfId="22807"/>
    <cellStyle name="Normal 5 6 3 2 3 3 2 3 2" xfId="45229"/>
    <cellStyle name="Normal 5 6 3 2 3 3 2 4" xfId="33386"/>
    <cellStyle name="Normal 5 6 3 2 3 3 3" xfId="13281"/>
    <cellStyle name="Normal 5 6 3 2 3 3 3 2" xfId="36702"/>
    <cellStyle name="Normal 5 6 3 2 3 3 4" xfId="19971"/>
    <cellStyle name="Normal 5 6 3 2 3 3 4 2" xfId="42506"/>
    <cellStyle name="Normal 5 6 3 2 3 3 5" xfId="30070"/>
    <cellStyle name="Normal 5 6 3 2 3 4" xfId="8226"/>
    <cellStyle name="Normal 5 6 3 2 3 4 2" xfId="14939"/>
    <cellStyle name="Normal 5 6 3 2 3 4 2 2" xfId="38360"/>
    <cellStyle name="Normal 5 6 3 2 3 4 3" xfId="21008"/>
    <cellStyle name="Normal 5 6 3 2 3 4 3 2" xfId="43459"/>
    <cellStyle name="Normal 5 6 3 2 3 4 4" xfId="31728"/>
    <cellStyle name="Normal 5 6 3 2 3 5" xfId="11621"/>
    <cellStyle name="Normal 5 6 3 2 3 5 2" xfId="21976"/>
    <cellStyle name="Normal 5 6 3 2 3 5 2 2" xfId="44408"/>
    <cellStyle name="Normal 5 6 3 2 3 5 3" xfId="35044"/>
    <cellStyle name="Normal 5 6 3 2 3 6" xfId="18842"/>
    <cellStyle name="Normal 5 6 3 2 3 6 2" xfId="41665"/>
    <cellStyle name="Normal 5 6 3 2 3 7" xfId="25978"/>
    <cellStyle name="Normal 5 6 3 2 3 7 2" xfId="48223"/>
    <cellStyle name="Normal 5 6 3 2 3 8" xfId="28412"/>
    <cellStyle name="Normal 5 6 3 2 4" xfId="2740"/>
    <cellStyle name="Normal 5 6 3 2 4 2" xfId="5833"/>
    <cellStyle name="Normal 5 6 3 2 4 2 2" xfId="7615"/>
    <cellStyle name="Normal 5 6 3 2 4 2 2 2" xfId="10944"/>
    <cellStyle name="Normal 5 6 3 2 4 2 2 2 2" xfId="17648"/>
    <cellStyle name="Normal 5 6 3 2 4 2 2 2 2 2" xfId="41069"/>
    <cellStyle name="Normal 5 6 3 2 4 2 2 2 3" xfId="34437"/>
    <cellStyle name="Normal 5 6 3 2 4 2 2 3" xfId="14332"/>
    <cellStyle name="Normal 5 6 3 2 4 2 2 3 2" xfId="37753"/>
    <cellStyle name="Normal 5 6 3 2 4 2 2 4" xfId="23007"/>
    <cellStyle name="Normal 5 6 3 2 4 2 2 4 2" xfId="45429"/>
    <cellStyle name="Normal 5 6 3 2 4 2 2 5" xfId="31121"/>
    <cellStyle name="Normal 5 6 3 2 4 2 3" xfId="9286"/>
    <cellStyle name="Normal 5 6 3 2 4 2 3 2" xfId="15990"/>
    <cellStyle name="Normal 5 6 3 2 4 2 3 2 2" xfId="39411"/>
    <cellStyle name="Normal 5 6 3 2 4 2 3 3" xfId="32779"/>
    <cellStyle name="Normal 5 6 3 2 4 2 4" xfId="12674"/>
    <cellStyle name="Normal 5 6 3 2 4 2 4 2" xfId="36095"/>
    <cellStyle name="Normal 5 6 3 2 4 2 5" xfId="20179"/>
    <cellStyle name="Normal 5 6 3 2 4 2 5 2" xfId="42714"/>
    <cellStyle name="Normal 5 6 3 2 4 2 6" xfId="29463"/>
    <cellStyle name="Normal 5 6 3 2 4 3" xfId="6716"/>
    <cellStyle name="Normal 5 6 3 2 4 3 2" xfId="10048"/>
    <cellStyle name="Normal 5 6 3 2 4 3 2 2" xfId="16752"/>
    <cellStyle name="Normal 5 6 3 2 4 3 2 2 2" xfId="40173"/>
    <cellStyle name="Normal 5 6 3 2 4 3 2 3" xfId="33541"/>
    <cellStyle name="Normal 5 6 3 2 4 3 3" xfId="13436"/>
    <cellStyle name="Normal 5 6 3 2 4 3 3 2" xfId="36857"/>
    <cellStyle name="Normal 5 6 3 2 4 3 4" xfId="21464"/>
    <cellStyle name="Normal 5 6 3 2 4 3 4 2" xfId="43915"/>
    <cellStyle name="Normal 5 6 3 2 4 3 5" xfId="30225"/>
    <cellStyle name="Normal 5 6 3 2 4 4" xfId="8382"/>
    <cellStyle name="Normal 5 6 3 2 4 4 2" xfId="15094"/>
    <cellStyle name="Normal 5 6 3 2 4 4 2 2" xfId="38515"/>
    <cellStyle name="Normal 5 6 3 2 4 4 3" xfId="22190"/>
    <cellStyle name="Normal 5 6 3 2 4 4 3 2" xfId="44614"/>
    <cellStyle name="Normal 5 6 3 2 4 4 4" xfId="31883"/>
    <cellStyle name="Normal 5 6 3 2 4 5" xfId="11776"/>
    <cellStyle name="Normal 5 6 3 2 4 5 2" xfId="35199"/>
    <cellStyle name="Normal 5 6 3 2 4 6" xfId="19329"/>
    <cellStyle name="Normal 5 6 3 2 4 6 2" xfId="41882"/>
    <cellStyle name="Normal 5 6 3 2 4 7" xfId="28567"/>
    <cellStyle name="Normal 5 6 3 2 5" xfId="4167"/>
    <cellStyle name="Normal 5 6 3 2 5 2" xfId="7131"/>
    <cellStyle name="Normal 5 6 3 2 5 2 2" xfId="10463"/>
    <cellStyle name="Normal 5 6 3 2 5 2 2 2" xfId="17167"/>
    <cellStyle name="Normal 5 6 3 2 5 2 2 2 2" xfId="40588"/>
    <cellStyle name="Normal 5 6 3 2 5 2 2 3" xfId="33956"/>
    <cellStyle name="Normal 5 6 3 2 5 2 3" xfId="13851"/>
    <cellStyle name="Normal 5 6 3 2 5 2 3 2" xfId="37272"/>
    <cellStyle name="Normal 5 6 3 2 5 2 4" xfId="22602"/>
    <cellStyle name="Normal 5 6 3 2 5 2 4 2" xfId="45024"/>
    <cellStyle name="Normal 5 6 3 2 5 2 5" xfId="30640"/>
    <cellStyle name="Normal 5 6 3 2 5 3" xfId="8798"/>
    <cellStyle name="Normal 5 6 3 2 5 3 2" xfId="15509"/>
    <cellStyle name="Normal 5 6 3 2 5 3 2 2" xfId="38930"/>
    <cellStyle name="Normal 5 6 3 2 5 3 3" xfId="32298"/>
    <cellStyle name="Normal 5 6 3 2 5 4" xfId="12191"/>
    <cellStyle name="Normal 5 6 3 2 5 4 2" xfId="35614"/>
    <cellStyle name="Normal 5 6 3 2 5 5" xfId="19761"/>
    <cellStyle name="Normal 5 6 3 2 5 5 2" xfId="42298"/>
    <cellStyle name="Normal 5 6 3 2 5 6" xfId="28982"/>
    <cellStyle name="Normal 5 6 3 2 6" xfId="6243"/>
    <cellStyle name="Normal 5 6 3 2 6 2" xfId="9577"/>
    <cellStyle name="Normal 5 6 3 2 6 2 2" xfId="16281"/>
    <cellStyle name="Normal 5 6 3 2 6 2 2 2" xfId="39702"/>
    <cellStyle name="Normal 5 6 3 2 6 2 3" xfId="33070"/>
    <cellStyle name="Normal 5 6 3 2 6 3" xfId="12965"/>
    <cellStyle name="Normal 5 6 3 2 6 3 2" xfId="36386"/>
    <cellStyle name="Normal 5 6 3 2 6 4" xfId="21005"/>
    <cellStyle name="Normal 5 6 3 2 6 4 2" xfId="43456"/>
    <cellStyle name="Normal 5 6 3 2 6 5" xfId="29754"/>
    <cellStyle name="Normal 5 6 3 2 7" xfId="7909"/>
    <cellStyle name="Normal 5 6 3 2 7 2" xfId="14623"/>
    <cellStyle name="Normal 5 6 3 2 7 2 2" xfId="38044"/>
    <cellStyle name="Normal 5 6 3 2 7 3" xfId="21752"/>
    <cellStyle name="Normal 5 6 3 2 7 3 2" xfId="44201"/>
    <cellStyle name="Normal 5 6 3 2 7 4" xfId="31412"/>
    <cellStyle name="Normal 5 6 3 2 8" xfId="11305"/>
    <cellStyle name="Normal 5 6 3 2 8 2" xfId="34728"/>
    <cellStyle name="Normal 5 6 3 2 9" xfId="18142"/>
    <cellStyle name="Normal 5 6 3 2 9 2" xfId="41430"/>
    <cellStyle name="Normal 5 6 3 3" xfId="1794"/>
    <cellStyle name="Normal 5 6 3 3 10" xfId="28146"/>
    <cellStyle name="Normal 5 6 3 3 2" xfId="2401"/>
    <cellStyle name="Normal 5 6 3 3 2 2" xfId="5639"/>
    <cellStyle name="Normal 5 6 3 3 2 2 2" xfId="7462"/>
    <cellStyle name="Normal 5 6 3 3 2 2 2 2" xfId="10793"/>
    <cellStyle name="Normal 5 6 3 3 2 2 2 2 2" xfId="17497"/>
    <cellStyle name="Normal 5 6 3 3 2 2 2 2 2 2" xfId="40918"/>
    <cellStyle name="Normal 5 6 3 3 2 2 2 2 3" xfId="23214"/>
    <cellStyle name="Normal 5 6 3 3 2 2 2 2 3 2" xfId="45636"/>
    <cellStyle name="Normal 5 6 3 3 2 2 2 2 4" xfId="34286"/>
    <cellStyle name="Normal 5 6 3 3 2 2 2 3" xfId="14181"/>
    <cellStyle name="Normal 5 6 3 3 2 2 2 3 2" xfId="37602"/>
    <cellStyle name="Normal 5 6 3 3 2 2 2 4" xfId="20389"/>
    <cellStyle name="Normal 5 6 3 3 2 2 2 4 2" xfId="42924"/>
    <cellStyle name="Normal 5 6 3 3 2 2 2 5" xfId="30970"/>
    <cellStyle name="Normal 5 6 3 3 2 2 3" xfId="9135"/>
    <cellStyle name="Normal 5 6 3 3 2 2 3 2" xfId="15839"/>
    <cellStyle name="Normal 5 6 3 3 2 2 3 2 2" xfId="39260"/>
    <cellStyle name="Normal 5 6 3 3 2 2 3 3" xfId="21469"/>
    <cellStyle name="Normal 5 6 3 3 2 2 3 3 2" xfId="43920"/>
    <cellStyle name="Normal 5 6 3 3 2 2 3 4" xfId="32628"/>
    <cellStyle name="Normal 5 6 3 3 2 2 4" xfId="12523"/>
    <cellStyle name="Normal 5 6 3 3 2 2 4 2" xfId="22402"/>
    <cellStyle name="Normal 5 6 3 3 2 2 4 2 2" xfId="44824"/>
    <cellStyle name="Normal 5 6 3 3 2 2 4 3" xfId="35944"/>
    <cellStyle name="Normal 5 6 3 3 2 2 5" xfId="19550"/>
    <cellStyle name="Normal 5 6 3 3 2 2 5 2" xfId="42092"/>
    <cellStyle name="Normal 5 6 3 3 2 2 6" xfId="29312"/>
    <cellStyle name="Normal 5 6 3 3 2 3" xfId="6561"/>
    <cellStyle name="Normal 5 6 3 3 2 3 2" xfId="9895"/>
    <cellStyle name="Normal 5 6 3 3 2 3 2 2" xfId="16599"/>
    <cellStyle name="Normal 5 6 3 3 2 3 2 2 2" xfId="40020"/>
    <cellStyle name="Normal 5 6 3 3 2 3 2 3" xfId="22809"/>
    <cellStyle name="Normal 5 6 3 3 2 3 2 3 2" xfId="45231"/>
    <cellStyle name="Normal 5 6 3 3 2 3 2 4" xfId="33388"/>
    <cellStyle name="Normal 5 6 3 3 2 3 3" xfId="13283"/>
    <cellStyle name="Normal 5 6 3 3 2 3 3 2" xfId="36704"/>
    <cellStyle name="Normal 5 6 3 3 2 3 4" xfId="19973"/>
    <cellStyle name="Normal 5 6 3 3 2 3 4 2" xfId="42508"/>
    <cellStyle name="Normal 5 6 3 3 2 3 5" xfId="30072"/>
    <cellStyle name="Normal 5 6 3 3 2 4" xfId="8228"/>
    <cellStyle name="Normal 5 6 3 3 2 4 2" xfId="14941"/>
    <cellStyle name="Normal 5 6 3 3 2 4 2 2" xfId="38362"/>
    <cellStyle name="Normal 5 6 3 3 2 4 3" xfId="21010"/>
    <cellStyle name="Normal 5 6 3 3 2 4 3 2" xfId="43461"/>
    <cellStyle name="Normal 5 6 3 3 2 4 4" xfId="31730"/>
    <cellStyle name="Normal 5 6 3 3 2 5" xfId="11623"/>
    <cellStyle name="Normal 5 6 3 3 2 5 2" xfId="21978"/>
    <cellStyle name="Normal 5 6 3 3 2 5 2 2" xfId="44410"/>
    <cellStyle name="Normal 5 6 3 3 2 5 3" xfId="35046"/>
    <cellStyle name="Normal 5 6 3 3 2 6" xfId="18844"/>
    <cellStyle name="Normal 5 6 3 3 2 6 2" xfId="41667"/>
    <cellStyle name="Normal 5 6 3 3 2 7" xfId="25980"/>
    <cellStyle name="Normal 5 6 3 3 2 7 2" xfId="48225"/>
    <cellStyle name="Normal 5 6 3 3 2 8" xfId="28414"/>
    <cellStyle name="Normal 5 6 3 3 3" xfId="2791"/>
    <cellStyle name="Normal 5 6 3 3 3 2" xfId="5883"/>
    <cellStyle name="Normal 5 6 3 3 3 2 2" xfId="7665"/>
    <cellStyle name="Normal 5 6 3 3 3 2 2 2" xfId="10994"/>
    <cellStyle name="Normal 5 6 3 3 3 2 2 2 2" xfId="17698"/>
    <cellStyle name="Normal 5 6 3 3 3 2 2 2 2 2" xfId="41119"/>
    <cellStyle name="Normal 5 6 3 3 3 2 2 2 3" xfId="34487"/>
    <cellStyle name="Normal 5 6 3 3 3 2 2 3" xfId="14382"/>
    <cellStyle name="Normal 5 6 3 3 3 2 2 3 2" xfId="37803"/>
    <cellStyle name="Normal 5 6 3 3 3 2 2 4" xfId="23009"/>
    <cellStyle name="Normal 5 6 3 3 3 2 2 4 2" xfId="45431"/>
    <cellStyle name="Normal 5 6 3 3 3 2 2 5" xfId="31171"/>
    <cellStyle name="Normal 5 6 3 3 3 2 3" xfId="9336"/>
    <cellStyle name="Normal 5 6 3 3 3 2 3 2" xfId="16040"/>
    <cellStyle name="Normal 5 6 3 3 3 2 3 2 2" xfId="39461"/>
    <cellStyle name="Normal 5 6 3 3 3 2 3 3" xfId="32829"/>
    <cellStyle name="Normal 5 6 3 3 3 2 4" xfId="12724"/>
    <cellStyle name="Normal 5 6 3 3 3 2 4 2" xfId="36145"/>
    <cellStyle name="Normal 5 6 3 3 3 2 5" xfId="20181"/>
    <cellStyle name="Normal 5 6 3 3 3 2 5 2" xfId="42716"/>
    <cellStyle name="Normal 5 6 3 3 3 2 6" xfId="29513"/>
    <cellStyle name="Normal 5 6 3 3 3 3" xfId="6766"/>
    <cellStyle name="Normal 5 6 3 3 3 3 2" xfId="10098"/>
    <cellStyle name="Normal 5 6 3 3 3 3 2 2" xfId="16802"/>
    <cellStyle name="Normal 5 6 3 3 3 3 2 2 2" xfId="40223"/>
    <cellStyle name="Normal 5 6 3 3 3 3 2 3" xfId="33591"/>
    <cellStyle name="Normal 5 6 3 3 3 3 3" xfId="13486"/>
    <cellStyle name="Normal 5 6 3 3 3 3 3 2" xfId="36907"/>
    <cellStyle name="Normal 5 6 3 3 3 3 4" xfId="21468"/>
    <cellStyle name="Normal 5 6 3 3 3 3 4 2" xfId="43919"/>
    <cellStyle name="Normal 5 6 3 3 3 3 5" xfId="30275"/>
    <cellStyle name="Normal 5 6 3 3 3 4" xfId="8432"/>
    <cellStyle name="Normal 5 6 3 3 3 4 2" xfId="15144"/>
    <cellStyle name="Normal 5 6 3 3 3 4 2 2" xfId="38565"/>
    <cellStyle name="Normal 5 6 3 3 3 4 3" xfId="22192"/>
    <cellStyle name="Normal 5 6 3 3 3 4 3 2" xfId="44616"/>
    <cellStyle name="Normal 5 6 3 3 3 4 4" xfId="31933"/>
    <cellStyle name="Normal 5 6 3 3 3 5" xfId="11826"/>
    <cellStyle name="Normal 5 6 3 3 3 5 2" xfId="35249"/>
    <cellStyle name="Normal 5 6 3 3 3 6" xfId="19331"/>
    <cellStyle name="Normal 5 6 3 3 3 6 2" xfId="41884"/>
    <cellStyle name="Normal 5 6 3 3 3 7" xfId="28617"/>
    <cellStyle name="Normal 5 6 3 3 4" xfId="4169"/>
    <cellStyle name="Normal 5 6 3 3 4 2" xfId="7133"/>
    <cellStyle name="Normal 5 6 3 3 4 2 2" xfId="10465"/>
    <cellStyle name="Normal 5 6 3 3 4 2 2 2" xfId="17169"/>
    <cellStyle name="Normal 5 6 3 3 4 2 2 2 2" xfId="40590"/>
    <cellStyle name="Normal 5 6 3 3 4 2 2 3" xfId="33958"/>
    <cellStyle name="Normal 5 6 3 3 4 2 3" xfId="13853"/>
    <cellStyle name="Normal 5 6 3 3 4 2 3 2" xfId="37274"/>
    <cellStyle name="Normal 5 6 3 3 4 2 4" xfId="22604"/>
    <cellStyle name="Normal 5 6 3 3 4 2 4 2" xfId="45026"/>
    <cellStyle name="Normal 5 6 3 3 4 2 5" xfId="30642"/>
    <cellStyle name="Normal 5 6 3 3 4 3" xfId="8800"/>
    <cellStyle name="Normal 5 6 3 3 4 3 2" xfId="15511"/>
    <cellStyle name="Normal 5 6 3 3 4 3 2 2" xfId="38932"/>
    <cellStyle name="Normal 5 6 3 3 4 3 3" xfId="32300"/>
    <cellStyle name="Normal 5 6 3 3 4 4" xfId="12193"/>
    <cellStyle name="Normal 5 6 3 3 4 4 2" xfId="35616"/>
    <cellStyle name="Normal 5 6 3 3 4 5" xfId="19763"/>
    <cellStyle name="Normal 5 6 3 3 4 5 2" xfId="42300"/>
    <cellStyle name="Normal 5 6 3 3 4 6" xfId="28984"/>
    <cellStyle name="Normal 5 6 3 3 5" xfId="6293"/>
    <cellStyle name="Normal 5 6 3 3 5 2" xfId="9627"/>
    <cellStyle name="Normal 5 6 3 3 5 2 2" xfId="16331"/>
    <cellStyle name="Normal 5 6 3 3 5 2 2 2" xfId="39752"/>
    <cellStyle name="Normal 5 6 3 3 5 2 3" xfId="33120"/>
    <cellStyle name="Normal 5 6 3 3 5 3" xfId="13015"/>
    <cellStyle name="Normal 5 6 3 3 5 3 2" xfId="36436"/>
    <cellStyle name="Normal 5 6 3 3 5 4" xfId="21009"/>
    <cellStyle name="Normal 5 6 3 3 5 4 2" xfId="43460"/>
    <cellStyle name="Normal 5 6 3 3 5 5" xfId="29804"/>
    <cellStyle name="Normal 5 6 3 3 6" xfId="7959"/>
    <cellStyle name="Normal 5 6 3 3 6 2" xfId="14673"/>
    <cellStyle name="Normal 5 6 3 3 6 2 2" xfId="38094"/>
    <cellStyle name="Normal 5 6 3 3 6 3" xfId="21754"/>
    <cellStyle name="Normal 5 6 3 3 6 3 2" xfId="44203"/>
    <cellStyle name="Normal 5 6 3 3 6 4" xfId="31462"/>
    <cellStyle name="Normal 5 6 3 3 7" xfId="11355"/>
    <cellStyle name="Normal 5 6 3 3 7 2" xfId="34778"/>
    <cellStyle name="Normal 5 6 3 3 8" xfId="18144"/>
    <cellStyle name="Normal 5 6 3 3 8 2" xfId="41432"/>
    <cellStyle name="Normal 5 6 3 3 9" xfId="23749"/>
    <cellStyle name="Normal 5 6 3 3 9 2" xfId="46038"/>
    <cellStyle name="Normal 5 6 3 4" xfId="2398"/>
    <cellStyle name="Normal 5 6 3 4 2" xfId="5636"/>
    <cellStyle name="Normal 5 6 3 4 2 2" xfId="7459"/>
    <cellStyle name="Normal 5 6 3 4 2 2 2" xfId="10790"/>
    <cellStyle name="Normal 5 6 3 4 2 2 2 2" xfId="17494"/>
    <cellStyle name="Normal 5 6 3 4 2 2 2 2 2" xfId="40915"/>
    <cellStyle name="Normal 5 6 3 4 2 2 2 3" xfId="23211"/>
    <cellStyle name="Normal 5 6 3 4 2 2 2 3 2" xfId="45633"/>
    <cellStyle name="Normal 5 6 3 4 2 2 2 4" xfId="34283"/>
    <cellStyle name="Normal 5 6 3 4 2 2 3" xfId="14178"/>
    <cellStyle name="Normal 5 6 3 4 2 2 3 2" xfId="37599"/>
    <cellStyle name="Normal 5 6 3 4 2 2 4" xfId="20386"/>
    <cellStyle name="Normal 5 6 3 4 2 2 4 2" xfId="42921"/>
    <cellStyle name="Normal 5 6 3 4 2 2 5" xfId="30967"/>
    <cellStyle name="Normal 5 6 3 4 2 3" xfId="9132"/>
    <cellStyle name="Normal 5 6 3 4 2 3 2" xfId="15836"/>
    <cellStyle name="Normal 5 6 3 4 2 3 2 2" xfId="39257"/>
    <cellStyle name="Normal 5 6 3 4 2 3 3" xfId="21470"/>
    <cellStyle name="Normal 5 6 3 4 2 3 3 2" xfId="43921"/>
    <cellStyle name="Normal 5 6 3 4 2 3 4" xfId="32625"/>
    <cellStyle name="Normal 5 6 3 4 2 4" xfId="12520"/>
    <cellStyle name="Normal 5 6 3 4 2 4 2" xfId="22399"/>
    <cellStyle name="Normal 5 6 3 4 2 4 2 2" xfId="44821"/>
    <cellStyle name="Normal 5 6 3 4 2 4 3" xfId="35941"/>
    <cellStyle name="Normal 5 6 3 4 2 5" xfId="19547"/>
    <cellStyle name="Normal 5 6 3 4 2 5 2" xfId="42089"/>
    <cellStyle name="Normal 5 6 3 4 2 6" xfId="29309"/>
    <cellStyle name="Normal 5 6 3 4 3" xfId="6558"/>
    <cellStyle name="Normal 5 6 3 4 3 2" xfId="9892"/>
    <cellStyle name="Normal 5 6 3 4 3 2 2" xfId="16596"/>
    <cellStyle name="Normal 5 6 3 4 3 2 2 2" xfId="40017"/>
    <cellStyle name="Normal 5 6 3 4 3 2 3" xfId="22806"/>
    <cellStyle name="Normal 5 6 3 4 3 2 3 2" xfId="45228"/>
    <cellStyle name="Normal 5 6 3 4 3 2 4" xfId="33385"/>
    <cellStyle name="Normal 5 6 3 4 3 3" xfId="13280"/>
    <cellStyle name="Normal 5 6 3 4 3 3 2" xfId="36701"/>
    <cellStyle name="Normal 5 6 3 4 3 4" xfId="19970"/>
    <cellStyle name="Normal 5 6 3 4 3 4 2" xfId="42505"/>
    <cellStyle name="Normal 5 6 3 4 3 5" xfId="30069"/>
    <cellStyle name="Normal 5 6 3 4 4" xfId="8225"/>
    <cellStyle name="Normal 5 6 3 4 4 2" xfId="14938"/>
    <cellStyle name="Normal 5 6 3 4 4 2 2" xfId="38359"/>
    <cellStyle name="Normal 5 6 3 4 4 3" xfId="21011"/>
    <cellStyle name="Normal 5 6 3 4 4 3 2" xfId="43462"/>
    <cellStyle name="Normal 5 6 3 4 4 4" xfId="31727"/>
    <cellStyle name="Normal 5 6 3 4 5" xfId="11620"/>
    <cellStyle name="Normal 5 6 3 4 5 2" xfId="21975"/>
    <cellStyle name="Normal 5 6 3 4 5 2 2" xfId="44407"/>
    <cellStyle name="Normal 5 6 3 4 5 3" xfId="35043"/>
    <cellStyle name="Normal 5 6 3 4 6" xfId="18841"/>
    <cellStyle name="Normal 5 6 3 4 6 2" xfId="41664"/>
    <cellStyle name="Normal 5 6 3 4 7" xfId="25977"/>
    <cellStyle name="Normal 5 6 3 4 7 2" xfId="48222"/>
    <cellStyle name="Normal 5 6 3 4 8" xfId="28411"/>
    <cellStyle name="Normal 5 6 3 5" xfId="2659"/>
    <cellStyle name="Normal 5 6 3 5 2" xfId="5752"/>
    <cellStyle name="Normal 5 6 3 5 2 2" xfId="7534"/>
    <cellStyle name="Normal 5 6 3 5 2 2 2" xfId="10863"/>
    <cellStyle name="Normal 5 6 3 5 2 2 2 2" xfId="17567"/>
    <cellStyle name="Normal 5 6 3 5 2 2 2 2 2" xfId="40988"/>
    <cellStyle name="Normal 5 6 3 5 2 2 2 3" xfId="34356"/>
    <cellStyle name="Normal 5 6 3 5 2 2 3" xfId="14251"/>
    <cellStyle name="Normal 5 6 3 5 2 2 3 2" xfId="37672"/>
    <cellStyle name="Normal 5 6 3 5 2 2 4" xfId="20654"/>
    <cellStyle name="Normal 5 6 3 5 2 2 4 2" xfId="43105"/>
    <cellStyle name="Normal 5 6 3 5 2 2 5" xfId="31040"/>
    <cellStyle name="Normal 5 6 3 5 2 3" xfId="9205"/>
    <cellStyle name="Normal 5 6 3 5 2 3 2" xfId="15909"/>
    <cellStyle name="Normal 5 6 3 5 2 3 2 2" xfId="39330"/>
    <cellStyle name="Normal 5 6 3 5 2 3 3" xfId="21572"/>
    <cellStyle name="Normal 5 6 3 5 2 3 3 2" xfId="44023"/>
    <cellStyle name="Normal 5 6 3 5 2 3 4" xfId="32698"/>
    <cellStyle name="Normal 5 6 3 5 2 4" xfId="12593"/>
    <cellStyle name="Normal 5 6 3 5 2 4 2" xfId="23006"/>
    <cellStyle name="Normal 5 6 3 5 2 4 2 2" xfId="45428"/>
    <cellStyle name="Normal 5 6 3 5 2 4 3" xfId="36014"/>
    <cellStyle name="Normal 5 6 3 5 2 5" xfId="20178"/>
    <cellStyle name="Normal 5 6 3 5 2 5 2" xfId="42713"/>
    <cellStyle name="Normal 5 6 3 5 2 6" xfId="29382"/>
    <cellStyle name="Normal 5 6 3 5 3" xfId="6635"/>
    <cellStyle name="Normal 5 6 3 5 3 2" xfId="9967"/>
    <cellStyle name="Normal 5 6 3 5 3 2 2" xfId="16671"/>
    <cellStyle name="Normal 5 6 3 5 3 2 2 2" xfId="40092"/>
    <cellStyle name="Normal 5 6 3 5 3 2 3" xfId="33460"/>
    <cellStyle name="Normal 5 6 3 5 3 3" xfId="13355"/>
    <cellStyle name="Normal 5 6 3 5 3 3 2" xfId="36776"/>
    <cellStyle name="Normal 5 6 3 5 3 4" xfId="20556"/>
    <cellStyle name="Normal 5 6 3 5 3 4 2" xfId="43009"/>
    <cellStyle name="Normal 5 6 3 5 3 5" xfId="30144"/>
    <cellStyle name="Normal 5 6 3 5 4" xfId="8301"/>
    <cellStyle name="Normal 5 6 3 5 4 2" xfId="15013"/>
    <cellStyle name="Normal 5 6 3 5 4 2 2" xfId="38434"/>
    <cellStyle name="Normal 5 6 3 5 4 3" xfId="21113"/>
    <cellStyle name="Normal 5 6 3 5 4 3 2" xfId="43564"/>
    <cellStyle name="Normal 5 6 3 5 4 4" xfId="31802"/>
    <cellStyle name="Normal 5 6 3 5 5" xfId="11695"/>
    <cellStyle name="Normal 5 6 3 5 5 2" xfId="22189"/>
    <cellStyle name="Normal 5 6 3 5 5 2 2" xfId="44613"/>
    <cellStyle name="Normal 5 6 3 5 5 3" xfId="35118"/>
    <cellStyle name="Normal 5 6 3 5 6" xfId="19328"/>
    <cellStyle name="Normal 5 6 3 5 6 2" xfId="41881"/>
    <cellStyle name="Normal 5 6 3 5 7" xfId="28486"/>
    <cellStyle name="Normal 5 6 3 6" xfId="4166"/>
    <cellStyle name="Normal 5 6 3 6 2" xfId="7130"/>
    <cellStyle name="Normal 5 6 3 6 2 2" xfId="10462"/>
    <cellStyle name="Normal 5 6 3 6 2 2 2" xfId="17166"/>
    <cellStyle name="Normal 5 6 3 6 2 2 2 2" xfId="40587"/>
    <cellStyle name="Normal 5 6 3 6 2 2 3" xfId="33955"/>
    <cellStyle name="Normal 5 6 3 6 2 3" xfId="13850"/>
    <cellStyle name="Normal 5 6 3 6 2 3 2" xfId="37271"/>
    <cellStyle name="Normal 5 6 3 6 2 4" xfId="20605"/>
    <cellStyle name="Normal 5 6 3 6 2 4 2" xfId="43056"/>
    <cellStyle name="Normal 5 6 3 6 2 5" xfId="30639"/>
    <cellStyle name="Normal 5 6 3 6 3" xfId="8797"/>
    <cellStyle name="Normal 5 6 3 6 3 2" xfId="15508"/>
    <cellStyle name="Normal 5 6 3 6 3 2 2" xfId="38929"/>
    <cellStyle name="Normal 5 6 3 6 3 3" xfId="21463"/>
    <cellStyle name="Normal 5 6 3 6 3 3 2" xfId="43914"/>
    <cellStyle name="Normal 5 6 3 6 3 4" xfId="32297"/>
    <cellStyle name="Normal 5 6 3 6 4" xfId="12190"/>
    <cellStyle name="Normal 5 6 3 6 4 2" xfId="22601"/>
    <cellStyle name="Normal 5 6 3 6 4 2 2" xfId="45023"/>
    <cellStyle name="Normal 5 6 3 6 4 3" xfId="35613"/>
    <cellStyle name="Normal 5 6 3 6 5" xfId="19760"/>
    <cellStyle name="Normal 5 6 3 6 5 2" xfId="42297"/>
    <cellStyle name="Normal 5 6 3 6 6" xfId="28981"/>
    <cellStyle name="Normal 5 6 3 7" xfId="6162"/>
    <cellStyle name="Normal 5 6 3 7 2" xfId="9496"/>
    <cellStyle name="Normal 5 6 3 7 2 2" xfId="16200"/>
    <cellStyle name="Normal 5 6 3 7 2 2 2" xfId="39621"/>
    <cellStyle name="Normal 5 6 3 7 2 3" xfId="32989"/>
    <cellStyle name="Normal 5 6 3 7 3" xfId="12884"/>
    <cellStyle name="Normal 5 6 3 7 3 2" xfId="36305"/>
    <cellStyle name="Normal 5 6 3 7 4" xfId="20507"/>
    <cellStyle name="Normal 5 6 3 7 4 2" xfId="42960"/>
    <cellStyle name="Normal 5 6 3 7 5" xfId="29673"/>
    <cellStyle name="Normal 5 6 3 8" xfId="7828"/>
    <cellStyle name="Normal 5 6 3 8 2" xfId="14542"/>
    <cellStyle name="Normal 5 6 3 8 2 2" xfId="37963"/>
    <cellStyle name="Normal 5 6 3 8 3" xfId="21004"/>
    <cellStyle name="Normal 5 6 3 8 3 2" xfId="43455"/>
    <cellStyle name="Normal 5 6 3 8 4" xfId="31331"/>
    <cellStyle name="Normal 5 6 3 9" xfId="11224"/>
    <cellStyle name="Normal 5 6 3 9 2" xfId="21751"/>
    <cellStyle name="Normal 5 6 3 9 2 2" xfId="44200"/>
    <cellStyle name="Normal 5 6 3 9 3" xfId="34647"/>
    <cellStyle name="Normal 5 6 4" xfId="1675"/>
    <cellStyle name="Normal 5 6 4 10" xfId="23750"/>
    <cellStyle name="Normal 5 6 4 10 2" xfId="46039"/>
    <cellStyle name="Normal 5 6 4 11" xfId="28093"/>
    <cellStyle name="Normal 5 6 4 2" xfId="1872"/>
    <cellStyle name="Normal 5 6 4 2 10" xfId="28224"/>
    <cellStyle name="Normal 5 6 4 2 2" xfId="2403"/>
    <cellStyle name="Normal 5 6 4 2 2 2" xfId="5641"/>
    <cellStyle name="Normal 5 6 4 2 2 2 2" xfId="7464"/>
    <cellStyle name="Normal 5 6 4 2 2 2 2 2" xfId="10795"/>
    <cellStyle name="Normal 5 6 4 2 2 2 2 2 2" xfId="17499"/>
    <cellStyle name="Normal 5 6 4 2 2 2 2 2 2 2" xfId="40920"/>
    <cellStyle name="Normal 5 6 4 2 2 2 2 2 3" xfId="23216"/>
    <cellStyle name="Normal 5 6 4 2 2 2 2 2 3 2" xfId="45638"/>
    <cellStyle name="Normal 5 6 4 2 2 2 2 2 4" xfId="34288"/>
    <cellStyle name="Normal 5 6 4 2 2 2 2 3" xfId="14183"/>
    <cellStyle name="Normal 5 6 4 2 2 2 2 3 2" xfId="37604"/>
    <cellStyle name="Normal 5 6 4 2 2 2 2 4" xfId="20391"/>
    <cellStyle name="Normal 5 6 4 2 2 2 2 4 2" xfId="42926"/>
    <cellStyle name="Normal 5 6 4 2 2 2 2 5" xfId="30972"/>
    <cellStyle name="Normal 5 6 4 2 2 2 3" xfId="9137"/>
    <cellStyle name="Normal 5 6 4 2 2 2 3 2" xfId="15841"/>
    <cellStyle name="Normal 5 6 4 2 2 2 3 2 2" xfId="39262"/>
    <cellStyle name="Normal 5 6 4 2 2 2 3 3" xfId="21473"/>
    <cellStyle name="Normal 5 6 4 2 2 2 3 3 2" xfId="43924"/>
    <cellStyle name="Normal 5 6 4 2 2 2 3 4" xfId="32630"/>
    <cellStyle name="Normal 5 6 4 2 2 2 4" xfId="12525"/>
    <cellStyle name="Normal 5 6 4 2 2 2 4 2" xfId="22404"/>
    <cellStyle name="Normal 5 6 4 2 2 2 4 2 2" xfId="44826"/>
    <cellStyle name="Normal 5 6 4 2 2 2 4 3" xfId="35946"/>
    <cellStyle name="Normal 5 6 4 2 2 2 5" xfId="19552"/>
    <cellStyle name="Normal 5 6 4 2 2 2 5 2" xfId="42094"/>
    <cellStyle name="Normal 5 6 4 2 2 2 6" xfId="29314"/>
    <cellStyle name="Normal 5 6 4 2 2 3" xfId="6563"/>
    <cellStyle name="Normal 5 6 4 2 2 3 2" xfId="9897"/>
    <cellStyle name="Normal 5 6 4 2 2 3 2 2" xfId="16601"/>
    <cellStyle name="Normal 5 6 4 2 2 3 2 2 2" xfId="40022"/>
    <cellStyle name="Normal 5 6 4 2 2 3 2 3" xfId="22811"/>
    <cellStyle name="Normal 5 6 4 2 2 3 2 3 2" xfId="45233"/>
    <cellStyle name="Normal 5 6 4 2 2 3 2 4" xfId="33390"/>
    <cellStyle name="Normal 5 6 4 2 2 3 3" xfId="13285"/>
    <cellStyle name="Normal 5 6 4 2 2 3 3 2" xfId="36706"/>
    <cellStyle name="Normal 5 6 4 2 2 3 4" xfId="19975"/>
    <cellStyle name="Normal 5 6 4 2 2 3 4 2" xfId="42510"/>
    <cellStyle name="Normal 5 6 4 2 2 3 5" xfId="30074"/>
    <cellStyle name="Normal 5 6 4 2 2 4" xfId="8230"/>
    <cellStyle name="Normal 5 6 4 2 2 4 2" xfId="14943"/>
    <cellStyle name="Normal 5 6 4 2 2 4 2 2" xfId="38364"/>
    <cellStyle name="Normal 5 6 4 2 2 4 3" xfId="21014"/>
    <cellStyle name="Normal 5 6 4 2 2 4 3 2" xfId="43465"/>
    <cellStyle name="Normal 5 6 4 2 2 4 4" xfId="31732"/>
    <cellStyle name="Normal 5 6 4 2 2 5" xfId="11625"/>
    <cellStyle name="Normal 5 6 4 2 2 5 2" xfId="21980"/>
    <cellStyle name="Normal 5 6 4 2 2 5 2 2" xfId="44412"/>
    <cellStyle name="Normal 5 6 4 2 2 5 3" xfId="35048"/>
    <cellStyle name="Normal 5 6 4 2 2 6" xfId="18846"/>
    <cellStyle name="Normal 5 6 4 2 2 6 2" xfId="41669"/>
    <cellStyle name="Normal 5 6 4 2 2 7" xfId="25982"/>
    <cellStyle name="Normal 5 6 4 2 2 7 2" xfId="48227"/>
    <cellStyle name="Normal 5 6 4 2 2 8" xfId="28416"/>
    <cellStyle name="Normal 5 6 4 2 3" xfId="2869"/>
    <cellStyle name="Normal 5 6 4 2 3 2" xfId="5961"/>
    <cellStyle name="Normal 5 6 4 2 3 2 2" xfId="7743"/>
    <cellStyle name="Normal 5 6 4 2 3 2 2 2" xfId="11072"/>
    <cellStyle name="Normal 5 6 4 2 3 2 2 2 2" xfId="17776"/>
    <cellStyle name="Normal 5 6 4 2 3 2 2 2 2 2" xfId="41197"/>
    <cellStyle name="Normal 5 6 4 2 3 2 2 2 3" xfId="34565"/>
    <cellStyle name="Normal 5 6 4 2 3 2 2 3" xfId="14460"/>
    <cellStyle name="Normal 5 6 4 2 3 2 2 3 2" xfId="37881"/>
    <cellStyle name="Normal 5 6 4 2 3 2 2 4" xfId="23011"/>
    <cellStyle name="Normal 5 6 4 2 3 2 2 4 2" xfId="45433"/>
    <cellStyle name="Normal 5 6 4 2 3 2 2 5" xfId="31249"/>
    <cellStyle name="Normal 5 6 4 2 3 2 3" xfId="9414"/>
    <cellStyle name="Normal 5 6 4 2 3 2 3 2" xfId="16118"/>
    <cellStyle name="Normal 5 6 4 2 3 2 3 2 2" xfId="39539"/>
    <cellStyle name="Normal 5 6 4 2 3 2 3 3" xfId="32907"/>
    <cellStyle name="Normal 5 6 4 2 3 2 4" xfId="12802"/>
    <cellStyle name="Normal 5 6 4 2 3 2 4 2" xfId="36223"/>
    <cellStyle name="Normal 5 6 4 2 3 2 5" xfId="20183"/>
    <cellStyle name="Normal 5 6 4 2 3 2 5 2" xfId="42718"/>
    <cellStyle name="Normal 5 6 4 2 3 2 6" xfId="29591"/>
    <cellStyle name="Normal 5 6 4 2 3 3" xfId="6844"/>
    <cellStyle name="Normal 5 6 4 2 3 3 2" xfId="10176"/>
    <cellStyle name="Normal 5 6 4 2 3 3 2 2" xfId="16880"/>
    <cellStyle name="Normal 5 6 4 2 3 3 2 2 2" xfId="40301"/>
    <cellStyle name="Normal 5 6 4 2 3 3 2 3" xfId="33669"/>
    <cellStyle name="Normal 5 6 4 2 3 3 3" xfId="13564"/>
    <cellStyle name="Normal 5 6 4 2 3 3 3 2" xfId="36985"/>
    <cellStyle name="Normal 5 6 4 2 3 3 4" xfId="21472"/>
    <cellStyle name="Normal 5 6 4 2 3 3 4 2" xfId="43923"/>
    <cellStyle name="Normal 5 6 4 2 3 3 5" xfId="30353"/>
    <cellStyle name="Normal 5 6 4 2 3 4" xfId="8510"/>
    <cellStyle name="Normal 5 6 4 2 3 4 2" xfId="15222"/>
    <cellStyle name="Normal 5 6 4 2 3 4 2 2" xfId="38643"/>
    <cellStyle name="Normal 5 6 4 2 3 4 3" xfId="22194"/>
    <cellStyle name="Normal 5 6 4 2 3 4 3 2" xfId="44618"/>
    <cellStyle name="Normal 5 6 4 2 3 4 4" xfId="32011"/>
    <cellStyle name="Normal 5 6 4 2 3 5" xfId="11904"/>
    <cellStyle name="Normal 5 6 4 2 3 5 2" xfId="35327"/>
    <cellStyle name="Normal 5 6 4 2 3 6" xfId="19333"/>
    <cellStyle name="Normal 5 6 4 2 3 6 2" xfId="41886"/>
    <cellStyle name="Normal 5 6 4 2 3 7" xfId="28695"/>
    <cellStyle name="Normal 5 6 4 2 4" xfId="4171"/>
    <cellStyle name="Normal 5 6 4 2 4 2" xfId="7135"/>
    <cellStyle name="Normal 5 6 4 2 4 2 2" xfId="10467"/>
    <cellStyle name="Normal 5 6 4 2 4 2 2 2" xfId="17171"/>
    <cellStyle name="Normal 5 6 4 2 4 2 2 2 2" xfId="40592"/>
    <cellStyle name="Normal 5 6 4 2 4 2 2 3" xfId="33960"/>
    <cellStyle name="Normal 5 6 4 2 4 2 3" xfId="13855"/>
    <cellStyle name="Normal 5 6 4 2 4 2 3 2" xfId="37276"/>
    <cellStyle name="Normal 5 6 4 2 4 2 4" xfId="22606"/>
    <cellStyle name="Normal 5 6 4 2 4 2 4 2" xfId="45028"/>
    <cellStyle name="Normal 5 6 4 2 4 2 5" xfId="30644"/>
    <cellStyle name="Normal 5 6 4 2 4 3" xfId="8802"/>
    <cellStyle name="Normal 5 6 4 2 4 3 2" xfId="15513"/>
    <cellStyle name="Normal 5 6 4 2 4 3 2 2" xfId="38934"/>
    <cellStyle name="Normal 5 6 4 2 4 3 3" xfId="32302"/>
    <cellStyle name="Normal 5 6 4 2 4 4" xfId="12195"/>
    <cellStyle name="Normal 5 6 4 2 4 4 2" xfId="35618"/>
    <cellStyle name="Normal 5 6 4 2 4 5" xfId="19765"/>
    <cellStyle name="Normal 5 6 4 2 4 5 2" xfId="42302"/>
    <cellStyle name="Normal 5 6 4 2 4 6" xfId="28986"/>
    <cellStyle name="Normal 5 6 4 2 5" xfId="6371"/>
    <cellStyle name="Normal 5 6 4 2 5 2" xfId="9705"/>
    <cellStyle name="Normal 5 6 4 2 5 2 2" xfId="16409"/>
    <cellStyle name="Normal 5 6 4 2 5 2 2 2" xfId="39830"/>
    <cellStyle name="Normal 5 6 4 2 5 2 3" xfId="33198"/>
    <cellStyle name="Normal 5 6 4 2 5 3" xfId="13093"/>
    <cellStyle name="Normal 5 6 4 2 5 3 2" xfId="36514"/>
    <cellStyle name="Normal 5 6 4 2 5 4" xfId="21013"/>
    <cellStyle name="Normal 5 6 4 2 5 4 2" xfId="43464"/>
    <cellStyle name="Normal 5 6 4 2 5 5" xfId="29882"/>
    <cellStyle name="Normal 5 6 4 2 6" xfId="8037"/>
    <cellStyle name="Normal 5 6 4 2 6 2" xfId="14751"/>
    <cellStyle name="Normal 5 6 4 2 6 2 2" xfId="38172"/>
    <cellStyle name="Normal 5 6 4 2 6 3" xfId="21756"/>
    <cellStyle name="Normal 5 6 4 2 6 3 2" xfId="44205"/>
    <cellStyle name="Normal 5 6 4 2 6 4" xfId="31540"/>
    <cellStyle name="Normal 5 6 4 2 7" xfId="11433"/>
    <cellStyle name="Normal 5 6 4 2 7 2" xfId="34856"/>
    <cellStyle name="Normal 5 6 4 2 8" xfId="18146"/>
    <cellStyle name="Normal 5 6 4 2 8 2" xfId="41434"/>
    <cellStyle name="Normal 5 6 4 2 9" xfId="23751"/>
    <cellStyle name="Normal 5 6 4 2 9 2" xfId="46040"/>
    <cellStyle name="Normal 5 6 4 3" xfId="2402"/>
    <cellStyle name="Normal 5 6 4 3 2" xfId="5640"/>
    <cellStyle name="Normal 5 6 4 3 2 2" xfId="7463"/>
    <cellStyle name="Normal 5 6 4 3 2 2 2" xfId="10794"/>
    <cellStyle name="Normal 5 6 4 3 2 2 2 2" xfId="17498"/>
    <cellStyle name="Normal 5 6 4 3 2 2 2 2 2" xfId="40919"/>
    <cellStyle name="Normal 5 6 4 3 2 2 2 3" xfId="23215"/>
    <cellStyle name="Normal 5 6 4 3 2 2 2 3 2" xfId="45637"/>
    <cellStyle name="Normal 5 6 4 3 2 2 2 4" xfId="34287"/>
    <cellStyle name="Normal 5 6 4 3 2 2 3" xfId="14182"/>
    <cellStyle name="Normal 5 6 4 3 2 2 3 2" xfId="37603"/>
    <cellStyle name="Normal 5 6 4 3 2 2 4" xfId="20390"/>
    <cellStyle name="Normal 5 6 4 3 2 2 4 2" xfId="42925"/>
    <cellStyle name="Normal 5 6 4 3 2 2 5" xfId="30971"/>
    <cellStyle name="Normal 5 6 4 3 2 3" xfId="9136"/>
    <cellStyle name="Normal 5 6 4 3 2 3 2" xfId="15840"/>
    <cellStyle name="Normal 5 6 4 3 2 3 2 2" xfId="39261"/>
    <cellStyle name="Normal 5 6 4 3 2 3 3" xfId="21474"/>
    <cellStyle name="Normal 5 6 4 3 2 3 3 2" xfId="43925"/>
    <cellStyle name="Normal 5 6 4 3 2 3 4" xfId="32629"/>
    <cellStyle name="Normal 5 6 4 3 2 4" xfId="12524"/>
    <cellStyle name="Normal 5 6 4 3 2 4 2" xfId="22403"/>
    <cellStyle name="Normal 5 6 4 3 2 4 2 2" xfId="44825"/>
    <cellStyle name="Normal 5 6 4 3 2 4 3" xfId="35945"/>
    <cellStyle name="Normal 5 6 4 3 2 5" xfId="19551"/>
    <cellStyle name="Normal 5 6 4 3 2 5 2" xfId="42093"/>
    <cellStyle name="Normal 5 6 4 3 2 6" xfId="29313"/>
    <cellStyle name="Normal 5 6 4 3 3" xfId="6562"/>
    <cellStyle name="Normal 5 6 4 3 3 2" xfId="9896"/>
    <cellStyle name="Normal 5 6 4 3 3 2 2" xfId="16600"/>
    <cellStyle name="Normal 5 6 4 3 3 2 2 2" xfId="40021"/>
    <cellStyle name="Normal 5 6 4 3 3 2 3" xfId="22810"/>
    <cellStyle name="Normal 5 6 4 3 3 2 3 2" xfId="45232"/>
    <cellStyle name="Normal 5 6 4 3 3 2 4" xfId="33389"/>
    <cellStyle name="Normal 5 6 4 3 3 3" xfId="13284"/>
    <cellStyle name="Normal 5 6 4 3 3 3 2" xfId="36705"/>
    <cellStyle name="Normal 5 6 4 3 3 4" xfId="19974"/>
    <cellStyle name="Normal 5 6 4 3 3 4 2" xfId="42509"/>
    <cellStyle name="Normal 5 6 4 3 3 5" xfId="30073"/>
    <cellStyle name="Normal 5 6 4 3 4" xfId="8229"/>
    <cellStyle name="Normal 5 6 4 3 4 2" xfId="14942"/>
    <cellStyle name="Normal 5 6 4 3 4 2 2" xfId="38363"/>
    <cellStyle name="Normal 5 6 4 3 4 3" xfId="21015"/>
    <cellStyle name="Normal 5 6 4 3 4 3 2" xfId="43466"/>
    <cellStyle name="Normal 5 6 4 3 4 4" xfId="31731"/>
    <cellStyle name="Normal 5 6 4 3 5" xfId="11624"/>
    <cellStyle name="Normal 5 6 4 3 5 2" xfId="21979"/>
    <cellStyle name="Normal 5 6 4 3 5 2 2" xfId="44411"/>
    <cellStyle name="Normal 5 6 4 3 5 3" xfId="35047"/>
    <cellStyle name="Normal 5 6 4 3 6" xfId="18845"/>
    <cellStyle name="Normal 5 6 4 3 6 2" xfId="41668"/>
    <cellStyle name="Normal 5 6 4 3 7" xfId="25981"/>
    <cellStyle name="Normal 5 6 4 3 7 2" xfId="48226"/>
    <cellStyle name="Normal 5 6 4 3 8" xfId="28415"/>
    <cellStyle name="Normal 5 6 4 4" xfId="2737"/>
    <cellStyle name="Normal 5 6 4 4 2" xfId="5830"/>
    <cellStyle name="Normal 5 6 4 4 2 2" xfId="7612"/>
    <cellStyle name="Normal 5 6 4 4 2 2 2" xfId="10941"/>
    <cellStyle name="Normal 5 6 4 4 2 2 2 2" xfId="17645"/>
    <cellStyle name="Normal 5 6 4 4 2 2 2 2 2" xfId="41066"/>
    <cellStyle name="Normal 5 6 4 4 2 2 2 3" xfId="34434"/>
    <cellStyle name="Normal 5 6 4 4 2 2 3" xfId="14329"/>
    <cellStyle name="Normal 5 6 4 4 2 2 3 2" xfId="37750"/>
    <cellStyle name="Normal 5 6 4 4 2 2 4" xfId="23010"/>
    <cellStyle name="Normal 5 6 4 4 2 2 4 2" xfId="45432"/>
    <cellStyle name="Normal 5 6 4 4 2 2 5" xfId="31118"/>
    <cellStyle name="Normal 5 6 4 4 2 3" xfId="9283"/>
    <cellStyle name="Normal 5 6 4 4 2 3 2" xfId="15987"/>
    <cellStyle name="Normal 5 6 4 4 2 3 2 2" xfId="39408"/>
    <cellStyle name="Normal 5 6 4 4 2 3 3" xfId="32776"/>
    <cellStyle name="Normal 5 6 4 4 2 4" xfId="12671"/>
    <cellStyle name="Normal 5 6 4 4 2 4 2" xfId="36092"/>
    <cellStyle name="Normal 5 6 4 4 2 5" xfId="20182"/>
    <cellStyle name="Normal 5 6 4 4 2 5 2" xfId="42717"/>
    <cellStyle name="Normal 5 6 4 4 2 6" xfId="29460"/>
    <cellStyle name="Normal 5 6 4 4 3" xfId="6713"/>
    <cellStyle name="Normal 5 6 4 4 3 2" xfId="10045"/>
    <cellStyle name="Normal 5 6 4 4 3 2 2" xfId="16749"/>
    <cellStyle name="Normal 5 6 4 4 3 2 2 2" xfId="40170"/>
    <cellStyle name="Normal 5 6 4 4 3 2 3" xfId="33538"/>
    <cellStyle name="Normal 5 6 4 4 3 3" xfId="13433"/>
    <cellStyle name="Normal 5 6 4 4 3 3 2" xfId="36854"/>
    <cellStyle name="Normal 5 6 4 4 3 4" xfId="21471"/>
    <cellStyle name="Normal 5 6 4 4 3 4 2" xfId="43922"/>
    <cellStyle name="Normal 5 6 4 4 3 5" xfId="30222"/>
    <cellStyle name="Normal 5 6 4 4 4" xfId="8379"/>
    <cellStyle name="Normal 5 6 4 4 4 2" xfId="15091"/>
    <cellStyle name="Normal 5 6 4 4 4 2 2" xfId="38512"/>
    <cellStyle name="Normal 5 6 4 4 4 3" xfId="22193"/>
    <cellStyle name="Normal 5 6 4 4 4 3 2" xfId="44617"/>
    <cellStyle name="Normal 5 6 4 4 4 4" xfId="31880"/>
    <cellStyle name="Normal 5 6 4 4 5" xfId="11773"/>
    <cellStyle name="Normal 5 6 4 4 5 2" xfId="35196"/>
    <cellStyle name="Normal 5 6 4 4 6" xfId="19332"/>
    <cellStyle name="Normal 5 6 4 4 6 2" xfId="41885"/>
    <cellStyle name="Normal 5 6 4 4 7" xfId="28564"/>
    <cellStyle name="Normal 5 6 4 5" xfId="4170"/>
    <cellStyle name="Normal 5 6 4 5 2" xfId="7134"/>
    <cellStyle name="Normal 5 6 4 5 2 2" xfId="10466"/>
    <cellStyle name="Normal 5 6 4 5 2 2 2" xfId="17170"/>
    <cellStyle name="Normal 5 6 4 5 2 2 2 2" xfId="40591"/>
    <cellStyle name="Normal 5 6 4 5 2 2 3" xfId="33959"/>
    <cellStyle name="Normal 5 6 4 5 2 3" xfId="13854"/>
    <cellStyle name="Normal 5 6 4 5 2 3 2" xfId="37275"/>
    <cellStyle name="Normal 5 6 4 5 2 4" xfId="22605"/>
    <cellStyle name="Normal 5 6 4 5 2 4 2" xfId="45027"/>
    <cellStyle name="Normal 5 6 4 5 2 5" xfId="30643"/>
    <cellStyle name="Normal 5 6 4 5 3" xfId="8801"/>
    <cellStyle name="Normal 5 6 4 5 3 2" xfId="15512"/>
    <cellStyle name="Normal 5 6 4 5 3 2 2" xfId="38933"/>
    <cellStyle name="Normal 5 6 4 5 3 3" xfId="32301"/>
    <cellStyle name="Normal 5 6 4 5 4" xfId="12194"/>
    <cellStyle name="Normal 5 6 4 5 4 2" xfId="35617"/>
    <cellStyle name="Normal 5 6 4 5 5" xfId="19764"/>
    <cellStyle name="Normal 5 6 4 5 5 2" xfId="42301"/>
    <cellStyle name="Normal 5 6 4 5 6" xfId="28985"/>
    <cellStyle name="Normal 5 6 4 6" xfId="6240"/>
    <cellStyle name="Normal 5 6 4 6 2" xfId="9574"/>
    <cellStyle name="Normal 5 6 4 6 2 2" xfId="16278"/>
    <cellStyle name="Normal 5 6 4 6 2 2 2" xfId="39699"/>
    <cellStyle name="Normal 5 6 4 6 2 3" xfId="33067"/>
    <cellStyle name="Normal 5 6 4 6 3" xfId="12962"/>
    <cellStyle name="Normal 5 6 4 6 3 2" xfId="36383"/>
    <cellStyle name="Normal 5 6 4 6 4" xfId="21012"/>
    <cellStyle name="Normal 5 6 4 6 4 2" xfId="43463"/>
    <cellStyle name="Normal 5 6 4 6 5" xfId="29751"/>
    <cellStyle name="Normal 5 6 4 7" xfId="7906"/>
    <cellStyle name="Normal 5 6 4 7 2" xfId="14620"/>
    <cellStyle name="Normal 5 6 4 7 2 2" xfId="38041"/>
    <cellStyle name="Normal 5 6 4 7 3" xfId="21755"/>
    <cellStyle name="Normal 5 6 4 7 3 2" xfId="44204"/>
    <cellStyle name="Normal 5 6 4 7 4" xfId="31409"/>
    <cellStyle name="Normal 5 6 4 8" xfId="11302"/>
    <cellStyle name="Normal 5 6 4 8 2" xfId="34725"/>
    <cellStyle name="Normal 5 6 4 9" xfId="18145"/>
    <cellStyle name="Normal 5 6 4 9 2" xfId="41433"/>
    <cellStyle name="Normal 5 6 5" xfId="1757"/>
    <cellStyle name="Normal 5 6 5 10" xfId="28110"/>
    <cellStyle name="Normal 5 6 5 2" xfId="2404"/>
    <cellStyle name="Normal 5 6 5 2 2" xfId="5642"/>
    <cellStyle name="Normal 5 6 5 2 2 2" xfId="7465"/>
    <cellStyle name="Normal 5 6 5 2 2 2 2" xfId="10796"/>
    <cellStyle name="Normal 5 6 5 2 2 2 2 2" xfId="17500"/>
    <cellStyle name="Normal 5 6 5 2 2 2 2 2 2" xfId="40921"/>
    <cellStyle name="Normal 5 6 5 2 2 2 2 3" xfId="23217"/>
    <cellStyle name="Normal 5 6 5 2 2 2 2 3 2" xfId="45639"/>
    <cellStyle name="Normal 5 6 5 2 2 2 2 4" xfId="34289"/>
    <cellStyle name="Normal 5 6 5 2 2 2 3" xfId="14184"/>
    <cellStyle name="Normal 5 6 5 2 2 2 3 2" xfId="37605"/>
    <cellStyle name="Normal 5 6 5 2 2 2 4" xfId="20392"/>
    <cellStyle name="Normal 5 6 5 2 2 2 4 2" xfId="42927"/>
    <cellStyle name="Normal 5 6 5 2 2 2 5" xfId="30973"/>
    <cellStyle name="Normal 5 6 5 2 2 3" xfId="9138"/>
    <cellStyle name="Normal 5 6 5 2 2 3 2" xfId="15842"/>
    <cellStyle name="Normal 5 6 5 2 2 3 2 2" xfId="39263"/>
    <cellStyle name="Normal 5 6 5 2 2 3 3" xfId="21476"/>
    <cellStyle name="Normal 5 6 5 2 2 3 3 2" xfId="43927"/>
    <cellStyle name="Normal 5 6 5 2 2 3 4" xfId="32631"/>
    <cellStyle name="Normal 5 6 5 2 2 4" xfId="12526"/>
    <cellStyle name="Normal 5 6 5 2 2 4 2" xfId="22405"/>
    <cellStyle name="Normal 5 6 5 2 2 4 2 2" xfId="44827"/>
    <cellStyle name="Normal 5 6 5 2 2 4 3" xfId="35947"/>
    <cellStyle name="Normal 5 6 5 2 2 5" xfId="19553"/>
    <cellStyle name="Normal 5 6 5 2 2 5 2" xfId="42095"/>
    <cellStyle name="Normal 5 6 5 2 2 6" xfId="29315"/>
    <cellStyle name="Normal 5 6 5 2 3" xfId="6564"/>
    <cellStyle name="Normal 5 6 5 2 3 2" xfId="9898"/>
    <cellStyle name="Normal 5 6 5 2 3 2 2" xfId="16602"/>
    <cellStyle name="Normal 5 6 5 2 3 2 2 2" xfId="40023"/>
    <cellStyle name="Normal 5 6 5 2 3 2 3" xfId="22812"/>
    <cellStyle name="Normal 5 6 5 2 3 2 3 2" xfId="45234"/>
    <cellStyle name="Normal 5 6 5 2 3 2 4" xfId="33391"/>
    <cellStyle name="Normal 5 6 5 2 3 3" xfId="13286"/>
    <cellStyle name="Normal 5 6 5 2 3 3 2" xfId="36707"/>
    <cellStyle name="Normal 5 6 5 2 3 4" xfId="19976"/>
    <cellStyle name="Normal 5 6 5 2 3 4 2" xfId="42511"/>
    <cellStyle name="Normal 5 6 5 2 3 5" xfId="30075"/>
    <cellStyle name="Normal 5 6 5 2 4" xfId="8231"/>
    <cellStyle name="Normal 5 6 5 2 4 2" xfId="14944"/>
    <cellStyle name="Normal 5 6 5 2 4 2 2" xfId="38365"/>
    <cellStyle name="Normal 5 6 5 2 4 3" xfId="21017"/>
    <cellStyle name="Normal 5 6 5 2 4 3 2" xfId="43468"/>
    <cellStyle name="Normal 5 6 5 2 4 4" xfId="31733"/>
    <cellStyle name="Normal 5 6 5 2 5" xfId="11626"/>
    <cellStyle name="Normal 5 6 5 2 5 2" xfId="21981"/>
    <cellStyle name="Normal 5 6 5 2 5 2 2" xfId="44413"/>
    <cellStyle name="Normal 5 6 5 2 5 3" xfId="35049"/>
    <cellStyle name="Normal 5 6 5 2 6" xfId="18847"/>
    <cellStyle name="Normal 5 6 5 2 6 2" xfId="41670"/>
    <cellStyle name="Normal 5 6 5 2 7" xfId="25983"/>
    <cellStyle name="Normal 5 6 5 2 7 2" xfId="48228"/>
    <cellStyle name="Normal 5 6 5 2 8" xfId="28417"/>
    <cellStyle name="Normal 5 6 5 3" xfId="2755"/>
    <cellStyle name="Normal 5 6 5 3 2" xfId="5847"/>
    <cellStyle name="Normal 5 6 5 3 2 2" xfId="7629"/>
    <cellStyle name="Normal 5 6 5 3 2 2 2" xfId="10958"/>
    <cellStyle name="Normal 5 6 5 3 2 2 2 2" xfId="17662"/>
    <cellStyle name="Normal 5 6 5 3 2 2 2 2 2" xfId="41083"/>
    <cellStyle name="Normal 5 6 5 3 2 2 2 3" xfId="34451"/>
    <cellStyle name="Normal 5 6 5 3 2 2 3" xfId="14346"/>
    <cellStyle name="Normal 5 6 5 3 2 2 3 2" xfId="37767"/>
    <cellStyle name="Normal 5 6 5 3 2 2 4" xfId="23012"/>
    <cellStyle name="Normal 5 6 5 3 2 2 4 2" xfId="45434"/>
    <cellStyle name="Normal 5 6 5 3 2 2 5" xfId="31135"/>
    <cellStyle name="Normal 5 6 5 3 2 3" xfId="9300"/>
    <cellStyle name="Normal 5 6 5 3 2 3 2" xfId="16004"/>
    <cellStyle name="Normal 5 6 5 3 2 3 2 2" xfId="39425"/>
    <cellStyle name="Normal 5 6 5 3 2 3 3" xfId="32793"/>
    <cellStyle name="Normal 5 6 5 3 2 4" xfId="12688"/>
    <cellStyle name="Normal 5 6 5 3 2 4 2" xfId="36109"/>
    <cellStyle name="Normal 5 6 5 3 2 5" xfId="20184"/>
    <cellStyle name="Normal 5 6 5 3 2 5 2" xfId="42719"/>
    <cellStyle name="Normal 5 6 5 3 2 6" xfId="29477"/>
    <cellStyle name="Normal 5 6 5 3 3" xfId="6730"/>
    <cellStyle name="Normal 5 6 5 3 3 2" xfId="10062"/>
    <cellStyle name="Normal 5 6 5 3 3 2 2" xfId="16766"/>
    <cellStyle name="Normal 5 6 5 3 3 2 2 2" xfId="40187"/>
    <cellStyle name="Normal 5 6 5 3 3 2 3" xfId="33555"/>
    <cellStyle name="Normal 5 6 5 3 3 3" xfId="13450"/>
    <cellStyle name="Normal 5 6 5 3 3 3 2" xfId="36871"/>
    <cellStyle name="Normal 5 6 5 3 3 4" xfId="21475"/>
    <cellStyle name="Normal 5 6 5 3 3 4 2" xfId="43926"/>
    <cellStyle name="Normal 5 6 5 3 3 5" xfId="30239"/>
    <cellStyle name="Normal 5 6 5 3 4" xfId="8396"/>
    <cellStyle name="Normal 5 6 5 3 4 2" xfId="15108"/>
    <cellStyle name="Normal 5 6 5 3 4 2 2" xfId="38529"/>
    <cellStyle name="Normal 5 6 5 3 4 3" xfId="22195"/>
    <cellStyle name="Normal 5 6 5 3 4 3 2" xfId="44619"/>
    <cellStyle name="Normal 5 6 5 3 4 4" xfId="31897"/>
    <cellStyle name="Normal 5 6 5 3 5" xfId="11790"/>
    <cellStyle name="Normal 5 6 5 3 5 2" xfId="35213"/>
    <cellStyle name="Normal 5 6 5 3 6" xfId="19334"/>
    <cellStyle name="Normal 5 6 5 3 6 2" xfId="41887"/>
    <cellStyle name="Normal 5 6 5 3 7" xfId="28581"/>
    <cellStyle name="Normal 5 6 5 4" xfId="4172"/>
    <cellStyle name="Normal 5 6 5 4 2" xfId="7136"/>
    <cellStyle name="Normal 5 6 5 4 2 2" xfId="10468"/>
    <cellStyle name="Normal 5 6 5 4 2 2 2" xfId="17172"/>
    <cellStyle name="Normal 5 6 5 4 2 2 2 2" xfId="40593"/>
    <cellStyle name="Normal 5 6 5 4 2 2 3" xfId="33961"/>
    <cellStyle name="Normal 5 6 5 4 2 3" xfId="13856"/>
    <cellStyle name="Normal 5 6 5 4 2 3 2" xfId="37277"/>
    <cellStyle name="Normal 5 6 5 4 2 4" xfId="22607"/>
    <cellStyle name="Normal 5 6 5 4 2 4 2" xfId="45029"/>
    <cellStyle name="Normal 5 6 5 4 2 5" xfId="30645"/>
    <cellStyle name="Normal 5 6 5 4 3" xfId="8803"/>
    <cellStyle name="Normal 5 6 5 4 3 2" xfId="15514"/>
    <cellStyle name="Normal 5 6 5 4 3 2 2" xfId="38935"/>
    <cellStyle name="Normal 5 6 5 4 3 3" xfId="32303"/>
    <cellStyle name="Normal 5 6 5 4 4" xfId="12196"/>
    <cellStyle name="Normal 5 6 5 4 4 2" xfId="35619"/>
    <cellStyle name="Normal 5 6 5 4 5" xfId="19766"/>
    <cellStyle name="Normal 5 6 5 4 5 2" xfId="42303"/>
    <cellStyle name="Normal 5 6 5 4 6" xfId="28987"/>
    <cellStyle name="Normal 5 6 5 5" xfId="6257"/>
    <cellStyle name="Normal 5 6 5 5 2" xfId="9591"/>
    <cellStyle name="Normal 5 6 5 5 2 2" xfId="16295"/>
    <cellStyle name="Normal 5 6 5 5 2 2 2" xfId="39716"/>
    <cellStyle name="Normal 5 6 5 5 2 3" xfId="33084"/>
    <cellStyle name="Normal 5 6 5 5 3" xfId="12979"/>
    <cellStyle name="Normal 5 6 5 5 3 2" xfId="36400"/>
    <cellStyle name="Normal 5 6 5 5 4" xfId="21016"/>
    <cellStyle name="Normal 5 6 5 5 4 2" xfId="43467"/>
    <cellStyle name="Normal 5 6 5 5 5" xfId="29768"/>
    <cellStyle name="Normal 5 6 5 6" xfId="7923"/>
    <cellStyle name="Normal 5 6 5 6 2" xfId="14637"/>
    <cellStyle name="Normal 5 6 5 6 2 2" xfId="38058"/>
    <cellStyle name="Normal 5 6 5 6 3" xfId="21757"/>
    <cellStyle name="Normal 5 6 5 6 3 2" xfId="44206"/>
    <cellStyle name="Normal 5 6 5 6 4" xfId="31426"/>
    <cellStyle name="Normal 5 6 5 7" xfId="11319"/>
    <cellStyle name="Normal 5 6 5 7 2" xfId="34742"/>
    <cellStyle name="Normal 5 6 5 8" xfId="18147"/>
    <cellStyle name="Normal 5 6 5 8 2" xfId="41435"/>
    <cellStyle name="Normal 5 6 5 9" xfId="23752"/>
    <cellStyle name="Normal 5 6 5 9 2" xfId="46041"/>
    <cellStyle name="Normal 5 6 6" xfId="2389"/>
    <cellStyle name="Normal 5 6 6 2" xfId="4173"/>
    <cellStyle name="Normal 5 6 6 2 2" xfId="7137"/>
    <cellStyle name="Normal 5 6 6 2 2 2" xfId="10469"/>
    <cellStyle name="Normal 5 6 6 2 2 2 2" xfId="17173"/>
    <cellStyle name="Normal 5 6 6 2 2 2 2 2" xfId="40594"/>
    <cellStyle name="Normal 5 6 6 2 2 2 3" xfId="23202"/>
    <cellStyle name="Normal 5 6 6 2 2 2 3 2" xfId="45624"/>
    <cellStyle name="Normal 5 6 6 2 2 2 4" xfId="33962"/>
    <cellStyle name="Normal 5 6 6 2 2 3" xfId="13857"/>
    <cellStyle name="Normal 5 6 6 2 2 3 2" xfId="37278"/>
    <cellStyle name="Normal 5 6 6 2 2 4" xfId="20377"/>
    <cellStyle name="Normal 5 6 6 2 2 4 2" xfId="42912"/>
    <cellStyle name="Normal 5 6 6 2 2 5" xfId="30646"/>
    <cellStyle name="Normal 5 6 6 2 3" xfId="8804"/>
    <cellStyle name="Normal 5 6 6 2 3 2" xfId="15515"/>
    <cellStyle name="Normal 5 6 6 2 3 2 2" xfId="38936"/>
    <cellStyle name="Normal 5 6 6 2 3 3" xfId="21477"/>
    <cellStyle name="Normal 5 6 6 2 3 3 2" xfId="43928"/>
    <cellStyle name="Normal 5 6 6 2 3 4" xfId="32304"/>
    <cellStyle name="Normal 5 6 6 2 4" xfId="12197"/>
    <cellStyle name="Normal 5 6 6 2 4 2" xfId="22390"/>
    <cellStyle name="Normal 5 6 6 2 4 2 2" xfId="44812"/>
    <cellStyle name="Normal 5 6 6 2 4 3" xfId="35620"/>
    <cellStyle name="Normal 5 6 6 2 5" xfId="19538"/>
    <cellStyle name="Normal 5 6 6 2 5 2" xfId="42080"/>
    <cellStyle name="Normal 5 6 6 2 6" xfId="25984"/>
    <cellStyle name="Normal 5 6 6 2 6 2" xfId="48229"/>
    <cellStyle name="Normal 5 6 6 2 7" xfId="28988"/>
    <cellStyle name="Normal 5 6 6 3" xfId="6549"/>
    <cellStyle name="Normal 5 6 6 3 2" xfId="9883"/>
    <cellStyle name="Normal 5 6 6 3 2 2" xfId="16587"/>
    <cellStyle name="Normal 5 6 6 3 2 2 2" xfId="40008"/>
    <cellStyle name="Normal 5 6 6 3 2 3" xfId="22797"/>
    <cellStyle name="Normal 5 6 6 3 2 3 2" xfId="45219"/>
    <cellStyle name="Normal 5 6 6 3 2 4" xfId="33376"/>
    <cellStyle name="Normal 5 6 6 3 3" xfId="13271"/>
    <cellStyle name="Normal 5 6 6 3 3 2" xfId="36692"/>
    <cellStyle name="Normal 5 6 6 3 4" xfId="19961"/>
    <cellStyle name="Normal 5 6 6 3 4 2" xfId="42496"/>
    <cellStyle name="Normal 5 6 6 3 5" xfId="30060"/>
    <cellStyle name="Normal 5 6 6 4" xfId="8216"/>
    <cellStyle name="Normal 5 6 6 4 2" xfId="14929"/>
    <cellStyle name="Normal 5 6 6 4 2 2" xfId="38350"/>
    <cellStyle name="Normal 5 6 6 4 3" xfId="21018"/>
    <cellStyle name="Normal 5 6 6 4 3 2" xfId="43469"/>
    <cellStyle name="Normal 5 6 6 4 4" xfId="31718"/>
    <cellStyle name="Normal 5 6 6 5" xfId="11611"/>
    <cellStyle name="Normal 5 6 6 5 2" xfId="21966"/>
    <cellStyle name="Normal 5 6 6 5 2 2" xfId="44398"/>
    <cellStyle name="Normal 5 6 6 5 3" xfId="35034"/>
    <cellStyle name="Normal 5 6 6 6" xfId="18832"/>
    <cellStyle name="Normal 5 6 6 6 2" xfId="41655"/>
    <cellStyle name="Normal 5 6 6 7" xfId="23753"/>
    <cellStyle name="Normal 5 6 6 7 2" xfId="46042"/>
    <cellStyle name="Normal 5 6 6 8" xfId="28402"/>
    <cellStyle name="Normal 5 6 7" xfId="2622"/>
    <cellStyle name="Normal 5 6 7 2" xfId="5716"/>
    <cellStyle name="Normal 5 6 7 2 2" xfId="7499"/>
    <cellStyle name="Normal 5 6 7 2 2 2" xfId="10828"/>
    <cellStyle name="Normal 5 6 7 2 2 2 2" xfId="17532"/>
    <cellStyle name="Normal 5 6 7 2 2 2 2 2" xfId="40953"/>
    <cellStyle name="Normal 5 6 7 2 2 2 3" xfId="34321"/>
    <cellStyle name="Normal 5 6 7 2 2 3" xfId="14216"/>
    <cellStyle name="Normal 5 6 7 2 2 3 2" xfId="37637"/>
    <cellStyle name="Normal 5 6 7 2 2 4" xfId="20651"/>
    <cellStyle name="Normal 5 6 7 2 2 4 2" xfId="43102"/>
    <cellStyle name="Normal 5 6 7 2 2 5" xfId="31005"/>
    <cellStyle name="Normal 5 6 7 2 3" xfId="9170"/>
    <cellStyle name="Normal 5 6 7 2 3 2" xfId="15874"/>
    <cellStyle name="Normal 5 6 7 2 3 2 2" xfId="39295"/>
    <cellStyle name="Normal 5 6 7 2 3 3" xfId="21569"/>
    <cellStyle name="Normal 5 6 7 2 3 3 2" xfId="44020"/>
    <cellStyle name="Normal 5 6 7 2 3 4" xfId="32663"/>
    <cellStyle name="Normal 5 6 7 2 4" xfId="12558"/>
    <cellStyle name="Normal 5 6 7 2 4 2" xfId="22997"/>
    <cellStyle name="Normal 5 6 7 2 4 2 2" xfId="45419"/>
    <cellStyle name="Normal 5 6 7 2 4 3" xfId="35979"/>
    <cellStyle name="Normal 5 6 7 2 5" xfId="20169"/>
    <cellStyle name="Normal 5 6 7 2 5 2" xfId="42704"/>
    <cellStyle name="Normal 5 6 7 2 6" xfId="29347"/>
    <cellStyle name="Normal 5 6 7 3" xfId="6599"/>
    <cellStyle name="Normal 5 6 7 3 2" xfId="9931"/>
    <cellStyle name="Normal 5 6 7 3 2 2" xfId="16635"/>
    <cellStyle name="Normal 5 6 7 3 2 2 2" xfId="40056"/>
    <cellStyle name="Normal 5 6 7 3 2 3" xfId="33424"/>
    <cellStyle name="Normal 5 6 7 3 3" xfId="13319"/>
    <cellStyle name="Normal 5 6 7 3 3 2" xfId="36740"/>
    <cellStyle name="Normal 5 6 7 3 4" xfId="20553"/>
    <cellStyle name="Normal 5 6 7 3 4 2" xfId="43006"/>
    <cellStyle name="Normal 5 6 7 3 5" xfId="30108"/>
    <cellStyle name="Normal 5 6 7 4" xfId="8265"/>
    <cellStyle name="Normal 5 6 7 4 2" xfId="14977"/>
    <cellStyle name="Normal 5 6 7 4 2 2" xfId="38398"/>
    <cellStyle name="Normal 5 6 7 4 3" xfId="21110"/>
    <cellStyle name="Normal 5 6 7 4 3 2" xfId="43561"/>
    <cellStyle name="Normal 5 6 7 4 4" xfId="31766"/>
    <cellStyle name="Normal 5 6 7 5" xfId="11659"/>
    <cellStyle name="Normal 5 6 7 5 2" xfId="22180"/>
    <cellStyle name="Normal 5 6 7 5 2 2" xfId="44604"/>
    <cellStyle name="Normal 5 6 7 5 3" xfId="35082"/>
    <cellStyle name="Normal 5 6 7 6" xfId="19319"/>
    <cellStyle name="Normal 5 6 7 6 2" xfId="41872"/>
    <cellStyle name="Normal 5 6 7 7" xfId="28450"/>
    <cellStyle name="Normal 5 6 8" xfId="4157"/>
    <cellStyle name="Normal 5 6 8 2" xfId="19751"/>
    <cellStyle name="Normal 5 6 8 2 2" xfId="42288"/>
    <cellStyle name="Normal 5 6 8 3" xfId="21446"/>
    <cellStyle name="Normal 5 6 8 3 2" xfId="43897"/>
    <cellStyle name="Normal 5 6 8 4" xfId="22592"/>
    <cellStyle name="Normal 5 6 8 4 2" xfId="45014"/>
    <cellStyle name="Normal 5 6 9" xfId="6126"/>
    <cellStyle name="Normal 5 6 9 2" xfId="9460"/>
    <cellStyle name="Normal 5 6 9 2 2" xfId="16164"/>
    <cellStyle name="Normal 5 6 9 2 2 2" xfId="39585"/>
    <cellStyle name="Normal 5 6 9 2 3" xfId="32953"/>
    <cellStyle name="Normal 5 6 9 3" xfId="12848"/>
    <cellStyle name="Normal 5 6 9 3 2" xfId="36269"/>
    <cellStyle name="Normal 5 6 9 4" xfId="20504"/>
    <cellStyle name="Normal 5 6 9 4 2" xfId="42957"/>
    <cellStyle name="Normal 5 6 9 5" xfId="29637"/>
    <cellStyle name="Normal 5 7" xfId="1295"/>
    <cellStyle name="Normal 5 7 10" xfId="11195"/>
    <cellStyle name="Normal 5 7 10 2" xfId="21758"/>
    <cellStyle name="Normal 5 7 10 2 2" xfId="44207"/>
    <cellStyle name="Normal 5 7 10 3" xfId="34618"/>
    <cellStyle name="Normal 5 7 11" xfId="18148"/>
    <cellStyle name="Normal 5 7 11 2" xfId="41436"/>
    <cellStyle name="Normal 5 7 12" xfId="23754"/>
    <cellStyle name="Normal 5 7 12 2" xfId="46043"/>
    <cellStyle name="Normal 5 7 13" xfId="27986"/>
    <cellStyle name="Normal 5 7 2" xfId="1486"/>
    <cellStyle name="Normal 5 7 2 10" xfId="18149"/>
    <cellStyle name="Normal 5 7 2 10 2" xfId="41437"/>
    <cellStyle name="Normal 5 7 2 11" xfId="23755"/>
    <cellStyle name="Normal 5 7 2 11 2" xfId="46044"/>
    <cellStyle name="Normal 5 7 2 12" xfId="28022"/>
    <cellStyle name="Normal 5 7 2 2" xfId="1680"/>
    <cellStyle name="Normal 5 7 2 2 10" xfId="23756"/>
    <cellStyle name="Normal 5 7 2 2 10 2" xfId="46045"/>
    <cellStyle name="Normal 5 7 2 2 11" xfId="28098"/>
    <cellStyle name="Normal 5 7 2 2 2" xfId="1877"/>
    <cellStyle name="Normal 5 7 2 2 2 10" xfId="28229"/>
    <cellStyle name="Normal 5 7 2 2 2 2" xfId="2408"/>
    <cellStyle name="Normal 5 7 2 2 2 2 2" xfId="5646"/>
    <cellStyle name="Normal 5 7 2 2 2 2 2 2" xfId="7469"/>
    <cellStyle name="Normal 5 7 2 2 2 2 2 2 2" xfId="10800"/>
    <cellStyle name="Normal 5 7 2 2 2 2 2 2 2 2" xfId="17504"/>
    <cellStyle name="Normal 5 7 2 2 2 2 2 2 2 2 2" xfId="40925"/>
    <cellStyle name="Normal 5 7 2 2 2 2 2 2 2 3" xfId="23221"/>
    <cellStyle name="Normal 5 7 2 2 2 2 2 2 2 3 2" xfId="45643"/>
    <cellStyle name="Normal 5 7 2 2 2 2 2 2 2 4" xfId="34293"/>
    <cellStyle name="Normal 5 7 2 2 2 2 2 2 3" xfId="14188"/>
    <cellStyle name="Normal 5 7 2 2 2 2 2 2 3 2" xfId="37609"/>
    <cellStyle name="Normal 5 7 2 2 2 2 2 2 4" xfId="20396"/>
    <cellStyle name="Normal 5 7 2 2 2 2 2 2 4 2" xfId="42931"/>
    <cellStyle name="Normal 5 7 2 2 2 2 2 2 5" xfId="30977"/>
    <cellStyle name="Normal 5 7 2 2 2 2 2 3" xfId="9142"/>
    <cellStyle name="Normal 5 7 2 2 2 2 2 3 2" xfId="15846"/>
    <cellStyle name="Normal 5 7 2 2 2 2 2 3 2 2" xfId="39267"/>
    <cellStyle name="Normal 5 7 2 2 2 2 2 3 3" xfId="21482"/>
    <cellStyle name="Normal 5 7 2 2 2 2 2 3 3 2" xfId="43933"/>
    <cellStyle name="Normal 5 7 2 2 2 2 2 3 4" xfId="32635"/>
    <cellStyle name="Normal 5 7 2 2 2 2 2 4" xfId="12530"/>
    <cellStyle name="Normal 5 7 2 2 2 2 2 4 2" xfId="22409"/>
    <cellStyle name="Normal 5 7 2 2 2 2 2 4 2 2" xfId="44831"/>
    <cellStyle name="Normal 5 7 2 2 2 2 2 4 3" xfId="35951"/>
    <cellStyle name="Normal 5 7 2 2 2 2 2 5" xfId="19557"/>
    <cellStyle name="Normal 5 7 2 2 2 2 2 5 2" xfId="42099"/>
    <cellStyle name="Normal 5 7 2 2 2 2 2 6" xfId="29319"/>
    <cellStyle name="Normal 5 7 2 2 2 2 3" xfId="6568"/>
    <cellStyle name="Normal 5 7 2 2 2 2 3 2" xfId="9902"/>
    <cellStyle name="Normal 5 7 2 2 2 2 3 2 2" xfId="16606"/>
    <cellStyle name="Normal 5 7 2 2 2 2 3 2 2 2" xfId="40027"/>
    <cellStyle name="Normal 5 7 2 2 2 2 3 2 3" xfId="22816"/>
    <cellStyle name="Normal 5 7 2 2 2 2 3 2 3 2" xfId="45238"/>
    <cellStyle name="Normal 5 7 2 2 2 2 3 2 4" xfId="33395"/>
    <cellStyle name="Normal 5 7 2 2 2 2 3 3" xfId="13290"/>
    <cellStyle name="Normal 5 7 2 2 2 2 3 3 2" xfId="36711"/>
    <cellStyle name="Normal 5 7 2 2 2 2 3 4" xfId="19980"/>
    <cellStyle name="Normal 5 7 2 2 2 2 3 4 2" xfId="42515"/>
    <cellStyle name="Normal 5 7 2 2 2 2 3 5" xfId="30079"/>
    <cellStyle name="Normal 5 7 2 2 2 2 4" xfId="8235"/>
    <cellStyle name="Normal 5 7 2 2 2 2 4 2" xfId="14948"/>
    <cellStyle name="Normal 5 7 2 2 2 2 4 2 2" xfId="38369"/>
    <cellStyle name="Normal 5 7 2 2 2 2 4 3" xfId="21023"/>
    <cellStyle name="Normal 5 7 2 2 2 2 4 3 2" xfId="43474"/>
    <cellStyle name="Normal 5 7 2 2 2 2 4 4" xfId="31737"/>
    <cellStyle name="Normal 5 7 2 2 2 2 5" xfId="11630"/>
    <cellStyle name="Normal 5 7 2 2 2 2 5 2" xfId="21985"/>
    <cellStyle name="Normal 5 7 2 2 2 2 5 2 2" xfId="44417"/>
    <cellStyle name="Normal 5 7 2 2 2 2 5 3" xfId="35053"/>
    <cellStyle name="Normal 5 7 2 2 2 2 6" xfId="18851"/>
    <cellStyle name="Normal 5 7 2 2 2 2 6 2" xfId="41674"/>
    <cellStyle name="Normal 5 7 2 2 2 2 7" xfId="25988"/>
    <cellStyle name="Normal 5 7 2 2 2 2 7 2" xfId="48233"/>
    <cellStyle name="Normal 5 7 2 2 2 2 8" xfId="28421"/>
    <cellStyle name="Normal 5 7 2 2 2 3" xfId="2874"/>
    <cellStyle name="Normal 5 7 2 2 2 3 2" xfId="5966"/>
    <cellStyle name="Normal 5 7 2 2 2 3 2 2" xfId="7748"/>
    <cellStyle name="Normal 5 7 2 2 2 3 2 2 2" xfId="11077"/>
    <cellStyle name="Normal 5 7 2 2 2 3 2 2 2 2" xfId="17781"/>
    <cellStyle name="Normal 5 7 2 2 2 3 2 2 2 2 2" xfId="41202"/>
    <cellStyle name="Normal 5 7 2 2 2 3 2 2 2 3" xfId="34570"/>
    <cellStyle name="Normal 5 7 2 2 2 3 2 2 3" xfId="14465"/>
    <cellStyle name="Normal 5 7 2 2 2 3 2 2 3 2" xfId="37886"/>
    <cellStyle name="Normal 5 7 2 2 2 3 2 2 4" xfId="23016"/>
    <cellStyle name="Normal 5 7 2 2 2 3 2 2 4 2" xfId="45438"/>
    <cellStyle name="Normal 5 7 2 2 2 3 2 2 5" xfId="31254"/>
    <cellStyle name="Normal 5 7 2 2 2 3 2 3" xfId="9419"/>
    <cellStyle name="Normal 5 7 2 2 2 3 2 3 2" xfId="16123"/>
    <cellStyle name="Normal 5 7 2 2 2 3 2 3 2 2" xfId="39544"/>
    <cellStyle name="Normal 5 7 2 2 2 3 2 3 3" xfId="32912"/>
    <cellStyle name="Normal 5 7 2 2 2 3 2 4" xfId="12807"/>
    <cellStyle name="Normal 5 7 2 2 2 3 2 4 2" xfId="36228"/>
    <cellStyle name="Normal 5 7 2 2 2 3 2 5" xfId="20188"/>
    <cellStyle name="Normal 5 7 2 2 2 3 2 5 2" xfId="42723"/>
    <cellStyle name="Normal 5 7 2 2 2 3 2 6" xfId="29596"/>
    <cellStyle name="Normal 5 7 2 2 2 3 3" xfId="6849"/>
    <cellStyle name="Normal 5 7 2 2 2 3 3 2" xfId="10181"/>
    <cellStyle name="Normal 5 7 2 2 2 3 3 2 2" xfId="16885"/>
    <cellStyle name="Normal 5 7 2 2 2 3 3 2 2 2" xfId="40306"/>
    <cellStyle name="Normal 5 7 2 2 2 3 3 2 3" xfId="33674"/>
    <cellStyle name="Normal 5 7 2 2 2 3 3 3" xfId="13569"/>
    <cellStyle name="Normal 5 7 2 2 2 3 3 3 2" xfId="36990"/>
    <cellStyle name="Normal 5 7 2 2 2 3 3 4" xfId="21481"/>
    <cellStyle name="Normal 5 7 2 2 2 3 3 4 2" xfId="43932"/>
    <cellStyle name="Normal 5 7 2 2 2 3 3 5" xfId="30358"/>
    <cellStyle name="Normal 5 7 2 2 2 3 4" xfId="8515"/>
    <cellStyle name="Normal 5 7 2 2 2 3 4 2" xfId="15227"/>
    <cellStyle name="Normal 5 7 2 2 2 3 4 2 2" xfId="38648"/>
    <cellStyle name="Normal 5 7 2 2 2 3 4 3" xfId="22199"/>
    <cellStyle name="Normal 5 7 2 2 2 3 4 3 2" xfId="44623"/>
    <cellStyle name="Normal 5 7 2 2 2 3 4 4" xfId="32016"/>
    <cellStyle name="Normal 5 7 2 2 2 3 5" xfId="11909"/>
    <cellStyle name="Normal 5 7 2 2 2 3 5 2" xfId="35332"/>
    <cellStyle name="Normal 5 7 2 2 2 3 6" xfId="19338"/>
    <cellStyle name="Normal 5 7 2 2 2 3 6 2" xfId="41891"/>
    <cellStyle name="Normal 5 7 2 2 2 3 7" xfId="28700"/>
    <cellStyle name="Normal 5 7 2 2 2 4" xfId="4177"/>
    <cellStyle name="Normal 5 7 2 2 2 4 2" xfId="7141"/>
    <cellStyle name="Normal 5 7 2 2 2 4 2 2" xfId="10473"/>
    <cellStyle name="Normal 5 7 2 2 2 4 2 2 2" xfId="17177"/>
    <cellStyle name="Normal 5 7 2 2 2 4 2 2 2 2" xfId="40598"/>
    <cellStyle name="Normal 5 7 2 2 2 4 2 2 3" xfId="33966"/>
    <cellStyle name="Normal 5 7 2 2 2 4 2 3" xfId="13861"/>
    <cellStyle name="Normal 5 7 2 2 2 4 2 3 2" xfId="37282"/>
    <cellStyle name="Normal 5 7 2 2 2 4 2 4" xfId="22611"/>
    <cellStyle name="Normal 5 7 2 2 2 4 2 4 2" xfId="45033"/>
    <cellStyle name="Normal 5 7 2 2 2 4 2 5" xfId="30650"/>
    <cellStyle name="Normal 5 7 2 2 2 4 3" xfId="8808"/>
    <cellStyle name="Normal 5 7 2 2 2 4 3 2" xfId="15519"/>
    <cellStyle name="Normal 5 7 2 2 2 4 3 2 2" xfId="38940"/>
    <cellStyle name="Normal 5 7 2 2 2 4 3 3" xfId="32308"/>
    <cellStyle name="Normal 5 7 2 2 2 4 4" xfId="12201"/>
    <cellStyle name="Normal 5 7 2 2 2 4 4 2" xfId="35624"/>
    <cellStyle name="Normal 5 7 2 2 2 4 5" xfId="19770"/>
    <cellStyle name="Normal 5 7 2 2 2 4 5 2" xfId="42307"/>
    <cellStyle name="Normal 5 7 2 2 2 4 6" xfId="28992"/>
    <cellStyle name="Normal 5 7 2 2 2 5" xfId="6376"/>
    <cellStyle name="Normal 5 7 2 2 2 5 2" xfId="9710"/>
    <cellStyle name="Normal 5 7 2 2 2 5 2 2" xfId="16414"/>
    <cellStyle name="Normal 5 7 2 2 2 5 2 2 2" xfId="39835"/>
    <cellStyle name="Normal 5 7 2 2 2 5 2 3" xfId="33203"/>
    <cellStyle name="Normal 5 7 2 2 2 5 3" xfId="13098"/>
    <cellStyle name="Normal 5 7 2 2 2 5 3 2" xfId="36519"/>
    <cellStyle name="Normal 5 7 2 2 2 5 4" xfId="21022"/>
    <cellStyle name="Normal 5 7 2 2 2 5 4 2" xfId="43473"/>
    <cellStyle name="Normal 5 7 2 2 2 5 5" xfId="29887"/>
    <cellStyle name="Normal 5 7 2 2 2 6" xfId="8042"/>
    <cellStyle name="Normal 5 7 2 2 2 6 2" xfId="14756"/>
    <cellStyle name="Normal 5 7 2 2 2 6 2 2" xfId="38177"/>
    <cellStyle name="Normal 5 7 2 2 2 6 3" xfId="21761"/>
    <cellStyle name="Normal 5 7 2 2 2 6 3 2" xfId="44210"/>
    <cellStyle name="Normal 5 7 2 2 2 6 4" xfId="31545"/>
    <cellStyle name="Normal 5 7 2 2 2 7" xfId="11438"/>
    <cellStyle name="Normal 5 7 2 2 2 7 2" xfId="34861"/>
    <cellStyle name="Normal 5 7 2 2 2 8" xfId="18151"/>
    <cellStyle name="Normal 5 7 2 2 2 8 2" xfId="41439"/>
    <cellStyle name="Normal 5 7 2 2 2 9" xfId="23757"/>
    <cellStyle name="Normal 5 7 2 2 2 9 2" xfId="46046"/>
    <cellStyle name="Normal 5 7 2 2 3" xfId="2407"/>
    <cellStyle name="Normal 5 7 2 2 3 2" xfId="5645"/>
    <cellStyle name="Normal 5 7 2 2 3 2 2" xfId="7468"/>
    <cellStyle name="Normal 5 7 2 2 3 2 2 2" xfId="10799"/>
    <cellStyle name="Normal 5 7 2 2 3 2 2 2 2" xfId="17503"/>
    <cellStyle name="Normal 5 7 2 2 3 2 2 2 2 2" xfId="40924"/>
    <cellStyle name="Normal 5 7 2 2 3 2 2 2 3" xfId="23220"/>
    <cellStyle name="Normal 5 7 2 2 3 2 2 2 3 2" xfId="45642"/>
    <cellStyle name="Normal 5 7 2 2 3 2 2 2 4" xfId="34292"/>
    <cellStyle name="Normal 5 7 2 2 3 2 2 3" xfId="14187"/>
    <cellStyle name="Normal 5 7 2 2 3 2 2 3 2" xfId="37608"/>
    <cellStyle name="Normal 5 7 2 2 3 2 2 4" xfId="20395"/>
    <cellStyle name="Normal 5 7 2 2 3 2 2 4 2" xfId="42930"/>
    <cellStyle name="Normal 5 7 2 2 3 2 2 5" xfId="30976"/>
    <cellStyle name="Normal 5 7 2 2 3 2 3" xfId="9141"/>
    <cellStyle name="Normal 5 7 2 2 3 2 3 2" xfId="15845"/>
    <cellStyle name="Normal 5 7 2 2 3 2 3 2 2" xfId="39266"/>
    <cellStyle name="Normal 5 7 2 2 3 2 3 3" xfId="21483"/>
    <cellStyle name="Normal 5 7 2 2 3 2 3 3 2" xfId="43934"/>
    <cellStyle name="Normal 5 7 2 2 3 2 3 4" xfId="32634"/>
    <cellStyle name="Normal 5 7 2 2 3 2 4" xfId="12529"/>
    <cellStyle name="Normal 5 7 2 2 3 2 4 2" xfId="22408"/>
    <cellStyle name="Normal 5 7 2 2 3 2 4 2 2" xfId="44830"/>
    <cellStyle name="Normal 5 7 2 2 3 2 4 3" xfId="35950"/>
    <cellStyle name="Normal 5 7 2 2 3 2 5" xfId="19556"/>
    <cellStyle name="Normal 5 7 2 2 3 2 5 2" xfId="42098"/>
    <cellStyle name="Normal 5 7 2 2 3 2 6" xfId="29318"/>
    <cellStyle name="Normal 5 7 2 2 3 3" xfId="6567"/>
    <cellStyle name="Normal 5 7 2 2 3 3 2" xfId="9901"/>
    <cellStyle name="Normal 5 7 2 2 3 3 2 2" xfId="16605"/>
    <cellStyle name="Normal 5 7 2 2 3 3 2 2 2" xfId="40026"/>
    <cellStyle name="Normal 5 7 2 2 3 3 2 3" xfId="22815"/>
    <cellStyle name="Normal 5 7 2 2 3 3 2 3 2" xfId="45237"/>
    <cellStyle name="Normal 5 7 2 2 3 3 2 4" xfId="33394"/>
    <cellStyle name="Normal 5 7 2 2 3 3 3" xfId="13289"/>
    <cellStyle name="Normal 5 7 2 2 3 3 3 2" xfId="36710"/>
    <cellStyle name="Normal 5 7 2 2 3 3 4" xfId="19979"/>
    <cellStyle name="Normal 5 7 2 2 3 3 4 2" xfId="42514"/>
    <cellStyle name="Normal 5 7 2 2 3 3 5" xfId="30078"/>
    <cellStyle name="Normal 5 7 2 2 3 4" xfId="8234"/>
    <cellStyle name="Normal 5 7 2 2 3 4 2" xfId="14947"/>
    <cellStyle name="Normal 5 7 2 2 3 4 2 2" xfId="38368"/>
    <cellStyle name="Normal 5 7 2 2 3 4 3" xfId="21024"/>
    <cellStyle name="Normal 5 7 2 2 3 4 3 2" xfId="43475"/>
    <cellStyle name="Normal 5 7 2 2 3 4 4" xfId="31736"/>
    <cellStyle name="Normal 5 7 2 2 3 5" xfId="11629"/>
    <cellStyle name="Normal 5 7 2 2 3 5 2" xfId="21984"/>
    <cellStyle name="Normal 5 7 2 2 3 5 2 2" xfId="44416"/>
    <cellStyle name="Normal 5 7 2 2 3 5 3" xfId="35052"/>
    <cellStyle name="Normal 5 7 2 2 3 6" xfId="18850"/>
    <cellStyle name="Normal 5 7 2 2 3 6 2" xfId="41673"/>
    <cellStyle name="Normal 5 7 2 2 3 7" xfId="25987"/>
    <cellStyle name="Normal 5 7 2 2 3 7 2" xfId="48232"/>
    <cellStyle name="Normal 5 7 2 2 3 8" xfId="28420"/>
    <cellStyle name="Normal 5 7 2 2 4" xfId="2742"/>
    <cellStyle name="Normal 5 7 2 2 4 2" xfId="5835"/>
    <cellStyle name="Normal 5 7 2 2 4 2 2" xfId="7617"/>
    <cellStyle name="Normal 5 7 2 2 4 2 2 2" xfId="10946"/>
    <cellStyle name="Normal 5 7 2 2 4 2 2 2 2" xfId="17650"/>
    <cellStyle name="Normal 5 7 2 2 4 2 2 2 2 2" xfId="41071"/>
    <cellStyle name="Normal 5 7 2 2 4 2 2 2 3" xfId="34439"/>
    <cellStyle name="Normal 5 7 2 2 4 2 2 3" xfId="14334"/>
    <cellStyle name="Normal 5 7 2 2 4 2 2 3 2" xfId="37755"/>
    <cellStyle name="Normal 5 7 2 2 4 2 2 4" xfId="23015"/>
    <cellStyle name="Normal 5 7 2 2 4 2 2 4 2" xfId="45437"/>
    <cellStyle name="Normal 5 7 2 2 4 2 2 5" xfId="31123"/>
    <cellStyle name="Normal 5 7 2 2 4 2 3" xfId="9288"/>
    <cellStyle name="Normal 5 7 2 2 4 2 3 2" xfId="15992"/>
    <cellStyle name="Normal 5 7 2 2 4 2 3 2 2" xfId="39413"/>
    <cellStyle name="Normal 5 7 2 2 4 2 3 3" xfId="32781"/>
    <cellStyle name="Normal 5 7 2 2 4 2 4" xfId="12676"/>
    <cellStyle name="Normal 5 7 2 2 4 2 4 2" xfId="36097"/>
    <cellStyle name="Normal 5 7 2 2 4 2 5" xfId="20187"/>
    <cellStyle name="Normal 5 7 2 2 4 2 5 2" xfId="42722"/>
    <cellStyle name="Normal 5 7 2 2 4 2 6" xfId="29465"/>
    <cellStyle name="Normal 5 7 2 2 4 3" xfId="6718"/>
    <cellStyle name="Normal 5 7 2 2 4 3 2" xfId="10050"/>
    <cellStyle name="Normal 5 7 2 2 4 3 2 2" xfId="16754"/>
    <cellStyle name="Normal 5 7 2 2 4 3 2 2 2" xfId="40175"/>
    <cellStyle name="Normal 5 7 2 2 4 3 2 3" xfId="33543"/>
    <cellStyle name="Normal 5 7 2 2 4 3 3" xfId="13438"/>
    <cellStyle name="Normal 5 7 2 2 4 3 3 2" xfId="36859"/>
    <cellStyle name="Normal 5 7 2 2 4 3 4" xfId="21480"/>
    <cellStyle name="Normal 5 7 2 2 4 3 4 2" xfId="43931"/>
    <cellStyle name="Normal 5 7 2 2 4 3 5" xfId="30227"/>
    <cellStyle name="Normal 5 7 2 2 4 4" xfId="8384"/>
    <cellStyle name="Normal 5 7 2 2 4 4 2" xfId="15096"/>
    <cellStyle name="Normal 5 7 2 2 4 4 2 2" xfId="38517"/>
    <cellStyle name="Normal 5 7 2 2 4 4 3" xfId="22198"/>
    <cellStyle name="Normal 5 7 2 2 4 4 3 2" xfId="44622"/>
    <cellStyle name="Normal 5 7 2 2 4 4 4" xfId="31885"/>
    <cellStyle name="Normal 5 7 2 2 4 5" xfId="11778"/>
    <cellStyle name="Normal 5 7 2 2 4 5 2" xfId="35201"/>
    <cellStyle name="Normal 5 7 2 2 4 6" xfId="19337"/>
    <cellStyle name="Normal 5 7 2 2 4 6 2" xfId="41890"/>
    <cellStyle name="Normal 5 7 2 2 4 7" xfId="28569"/>
    <cellStyle name="Normal 5 7 2 2 5" xfId="4176"/>
    <cellStyle name="Normal 5 7 2 2 5 2" xfId="7140"/>
    <cellStyle name="Normal 5 7 2 2 5 2 2" xfId="10472"/>
    <cellStyle name="Normal 5 7 2 2 5 2 2 2" xfId="17176"/>
    <cellStyle name="Normal 5 7 2 2 5 2 2 2 2" xfId="40597"/>
    <cellStyle name="Normal 5 7 2 2 5 2 2 3" xfId="33965"/>
    <cellStyle name="Normal 5 7 2 2 5 2 3" xfId="13860"/>
    <cellStyle name="Normal 5 7 2 2 5 2 3 2" xfId="37281"/>
    <cellStyle name="Normal 5 7 2 2 5 2 4" xfId="22610"/>
    <cellStyle name="Normal 5 7 2 2 5 2 4 2" xfId="45032"/>
    <cellStyle name="Normal 5 7 2 2 5 2 5" xfId="30649"/>
    <cellStyle name="Normal 5 7 2 2 5 3" xfId="8807"/>
    <cellStyle name="Normal 5 7 2 2 5 3 2" xfId="15518"/>
    <cellStyle name="Normal 5 7 2 2 5 3 2 2" xfId="38939"/>
    <cellStyle name="Normal 5 7 2 2 5 3 3" xfId="32307"/>
    <cellStyle name="Normal 5 7 2 2 5 4" xfId="12200"/>
    <cellStyle name="Normal 5 7 2 2 5 4 2" xfId="35623"/>
    <cellStyle name="Normal 5 7 2 2 5 5" xfId="19769"/>
    <cellStyle name="Normal 5 7 2 2 5 5 2" xfId="42306"/>
    <cellStyle name="Normal 5 7 2 2 5 6" xfId="28991"/>
    <cellStyle name="Normal 5 7 2 2 6" xfId="6245"/>
    <cellStyle name="Normal 5 7 2 2 6 2" xfId="9579"/>
    <cellStyle name="Normal 5 7 2 2 6 2 2" xfId="16283"/>
    <cellStyle name="Normal 5 7 2 2 6 2 2 2" xfId="39704"/>
    <cellStyle name="Normal 5 7 2 2 6 2 3" xfId="33072"/>
    <cellStyle name="Normal 5 7 2 2 6 3" xfId="12967"/>
    <cellStyle name="Normal 5 7 2 2 6 3 2" xfId="36388"/>
    <cellStyle name="Normal 5 7 2 2 6 4" xfId="21021"/>
    <cellStyle name="Normal 5 7 2 2 6 4 2" xfId="43472"/>
    <cellStyle name="Normal 5 7 2 2 6 5" xfId="29756"/>
    <cellStyle name="Normal 5 7 2 2 7" xfId="7911"/>
    <cellStyle name="Normal 5 7 2 2 7 2" xfId="14625"/>
    <cellStyle name="Normal 5 7 2 2 7 2 2" xfId="38046"/>
    <cellStyle name="Normal 5 7 2 2 7 3" xfId="21760"/>
    <cellStyle name="Normal 5 7 2 2 7 3 2" xfId="44209"/>
    <cellStyle name="Normal 5 7 2 2 7 4" xfId="31414"/>
    <cellStyle name="Normal 5 7 2 2 8" xfId="11307"/>
    <cellStyle name="Normal 5 7 2 2 8 2" xfId="34730"/>
    <cellStyle name="Normal 5 7 2 2 9" xfId="18150"/>
    <cellStyle name="Normal 5 7 2 2 9 2" xfId="41438"/>
    <cellStyle name="Normal 5 7 2 3" xfId="1801"/>
    <cellStyle name="Normal 5 7 2 3 10" xfId="28153"/>
    <cellStyle name="Normal 5 7 2 3 2" xfId="2409"/>
    <cellStyle name="Normal 5 7 2 3 2 2" xfId="5647"/>
    <cellStyle name="Normal 5 7 2 3 2 2 2" xfId="7470"/>
    <cellStyle name="Normal 5 7 2 3 2 2 2 2" xfId="10801"/>
    <cellStyle name="Normal 5 7 2 3 2 2 2 2 2" xfId="17505"/>
    <cellStyle name="Normal 5 7 2 3 2 2 2 2 2 2" xfId="40926"/>
    <cellStyle name="Normal 5 7 2 3 2 2 2 2 3" xfId="23222"/>
    <cellStyle name="Normal 5 7 2 3 2 2 2 2 3 2" xfId="45644"/>
    <cellStyle name="Normal 5 7 2 3 2 2 2 2 4" xfId="34294"/>
    <cellStyle name="Normal 5 7 2 3 2 2 2 3" xfId="14189"/>
    <cellStyle name="Normal 5 7 2 3 2 2 2 3 2" xfId="37610"/>
    <cellStyle name="Normal 5 7 2 3 2 2 2 4" xfId="20397"/>
    <cellStyle name="Normal 5 7 2 3 2 2 2 4 2" xfId="42932"/>
    <cellStyle name="Normal 5 7 2 3 2 2 2 5" xfId="30978"/>
    <cellStyle name="Normal 5 7 2 3 2 2 3" xfId="9143"/>
    <cellStyle name="Normal 5 7 2 3 2 2 3 2" xfId="15847"/>
    <cellStyle name="Normal 5 7 2 3 2 2 3 2 2" xfId="39268"/>
    <cellStyle name="Normal 5 7 2 3 2 2 3 3" xfId="21485"/>
    <cellStyle name="Normal 5 7 2 3 2 2 3 3 2" xfId="43936"/>
    <cellStyle name="Normal 5 7 2 3 2 2 3 4" xfId="32636"/>
    <cellStyle name="Normal 5 7 2 3 2 2 4" xfId="12531"/>
    <cellStyle name="Normal 5 7 2 3 2 2 4 2" xfId="22410"/>
    <cellStyle name="Normal 5 7 2 3 2 2 4 2 2" xfId="44832"/>
    <cellStyle name="Normal 5 7 2 3 2 2 4 3" xfId="35952"/>
    <cellStyle name="Normal 5 7 2 3 2 2 5" xfId="19558"/>
    <cellStyle name="Normal 5 7 2 3 2 2 5 2" xfId="42100"/>
    <cellStyle name="Normal 5 7 2 3 2 2 6" xfId="29320"/>
    <cellStyle name="Normal 5 7 2 3 2 3" xfId="6569"/>
    <cellStyle name="Normal 5 7 2 3 2 3 2" xfId="9903"/>
    <cellStyle name="Normal 5 7 2 3 2 3 2 2" xfId="16607"/>
    <cellStyle name="Normal 5 7 2 3 2 3 2 2 2" xfId="40028"/>
    <cellStyle name="Normal 5 7 2 3 2 3 2 3" xfId="22817"/>
    <cellStyle name="Normal 5 7 2 3 2 3 2 3 2" xfId="45239"/>
    <cellStyle name="Normal 5 7 2 3 2 3 2 4" xfId="33396"/>
    <cellStyle name="Normal 5 7 2 3 2 3 3" xfId="13291"/>
    <cellStyle name="Normal 5 7 2 3 2 3 3 2" xfId="36712"/>
    <cellStyle name="Normal 5 7 2 3 2 3 4" xfId="19981"/>
    <cellStyle name="Normal 5 7 2 3 2 3 4 2" xfId="42516"/>
    <cellStyle name="Normal 5 7 2 3 2 3 5" xfId="30080"/>
    <cellStyle name="Normal 5 7 2 3 2 4" xfId="8236"/>
    <cellStyle name="Normal 5 7 2 3 2 4 2" xfId="14949"/>
    <cellStyle name="Normal 5 7 2 3 2 4 2 2" xfId="38370"/>
    <cellStyle name="Normal 5 7 2 3 2 4 3" xfId="21026"/>
    <cellStyle name="Normal 5 7 2 3 2 4 3 2" xfId="43477"/>
    <cellStyle name="Normal 5 7 2 3 2 4 4" xfId="31738"/>
    <cellStyle name="Normal 5 7 2 3 2 5" xfId="11631"/>
    <cellStyle name="Normal 5 7 2 3 2 5 2" xfId="21986"/>
    <cellStyle name="Normal 5 7 2 3 2 5 2 2" xfId="44418"/>
    <cellStyle name="Normal 5 7 2 3 2 5 3" xfId="35054"/>
    <cellStyle name="Normal 5 7 2 3 2 6" xfId="18852"/>
    <cellStyle name="Normal 5 7 2 3 2 6 2" xfId="41675"/>
    <cellStyle name="Normal 5 7 2 3 2 7" xfId="25989"/>
    <cellStyle name="Normal 5 7 2 3 2 7 2" xfId="48234"/>
    <cellStyle name="Normal 5 7 2 3 2 8" xfId="28422"/>
    <cellStyle name="Normal 5 7 2 3 3" xfId="2798"/>
    <cellStyle name="Normal 5 7 2 3 3 2" xfId="5890"/>
    <cellStyle name="Normal 5 7 2 3 3 2 2" xfId="7672"/>
    <cellStyle name="Normal 5 7 2 3 3 2 2 2" xfId="11001"/>
    <cellStyle name="Normal 5 7 2 3 3 2 2 2 2" xfId="17705"/>
    <cellStyle name="Normal 5 7 2 3 3 2 2 2 2 2" xfId="41126"/>
    <cellStyle name="Normal 5 7 2 3 3 2 2 2 3" xfId="34494"/>
    <cellStyle name="Normal 5 7 2 3 3 2 2 3" xfId="14389"/>
    <cellStyle name="Normal 5 7 2 3 3 2 2 3 2" xfId="37810"/>
    <cellStyle name="Normal 5 7 2 3 3 2 2 4" xfId="23017"/>
    <cellStyle name="Normal 5 7 2 3 3 2 2 4 2" xfId="45439"/>
    <cellStyle name="Normal 5 7 2 3 3 2 2 5" xfId="31178"/>
    <cellStyle name="Normal 5 7 2 3 3 2 3" xfId="9343"/>
    <cellStyle name="Normal 5 7 2 3 3 2 3 2" xfId="16047"/>
    <cellStyle name="Normal 5 7 2 3 3 2 3 2 2" xfId="39468"/>
    <cellStyle name="Normal 5 7 2 3 3 2 3 3" xfId="32836"/>
    <cellStyle name="Normal 5 7 2 3 3 2 4" xfId="12731"/>
    <cellStyle name="Normal 5 7 2 3 3 2 4 2" xfId="36152"/>
    <cellStyle name="Normal 5 7 2 3 3 2 5" xfId="20189"/>
    <cellStyle name="Normal 5 7 2 3 3 2 5 2" xfId="42724"/>
    <cellStyle name="Normal 5 7 2 3 3 2 6" xfId="29520"/>
    <cellStyle name="Normal 5 7 2 3 3 3" xfId="6773"/>
    <cellStyle name="Normal 5 7 2 3 3 3 2" xfId="10105"/>
    <cellStyle name="Normal 5 7 2 3 3 3 2 2" xfId="16809"/>
    <cellStyle name="Normal 5 7 2 3 3 3 2 2 2" xfId="40230"/>
    <cellStyle name="Normal 5 7 2 3 3 3 2 3" xfId="33598"/>
    <cellStyle name="Normal 5 7 2 3 3 3 3" xfId="13493"/>
    <cellStyle name="Normal 5 7 2 3 3 3 3 2" xfId="36914"/>
    <cellStyle name="Normal 5 7 2 3 3 3 4" xfId="21484"/>
    <cellStyle name="Normal 5 7 2 3 3 3 4 2" xfId="43935"/>
    <cellStyle name="Normal 5 7 2 3 3 3 5" xfId="30282"/>
    <cellStyle name="Normal 5 7 2 3 3 4" xfId="8439"/>
    <cellStyle name="Normal 5 7 2 3 3 4 2" xfId="15151"/>
    <cellStyle name="Normal 5 7 2 3 3 4 2 2" xfId="38572"/>
    <cellStyle name="Normal 5 7 2 3 3 4 3" xfId="22200"/>
    <cellStyle name="Normal 5 7 2 3 3 4 3 2" xfId="44624"/>
    <cellStyle name="Normal 5 7 2 3 3 4 4" xfId="31940"/>
    <cellStyle name="Normal 5 7 2 3 3 5" xfId="11833"/>
    <cellStyle name="Normal 5 7 2 3 3 5 2" xfId="35256"/>
    <cellStyle name="Normal 5 7 2 3 3 6" xfId="19339"/>
    <cellStyle name="Normal 5 7 2 3 3 6 2" xfId="41892"/>
    <cellStyle name="Normal 5 7 2 3 3 7" xfId="28624"/>
    <cellStyle name="Normal 5 7 2 3 4" xfId="4178"/>
    <cellStyle name="Normal 5 7 2 3 4 2" xfId="7142"/>
    <cellStyle name="Normal 5 7 2 3 4 2 2" xfId="10474"/>
    <cellStyle name="Normal 5 7 2 3 4 2 2 2" xfId="17178"/>
    <cellStyle name="Normal 5 7 2 3 4 2 2 2 2" xfId="40599"/>
    <cellStyle name="Normal 5 7 2 3 4 2 2 3" xfId="33967"/>
    <cellStyle name="Normal 5 7 2 3 4 2 3" xfId="13862"/>
    <cellStyle name="Normal 5 7 2 3 4 2 3 2" xfId="37283"/>
    <cellStyle name="Normal 5 7 2 3 4 2 4" xfId="22612"/>
    <cellStyle name="Normal 5 7 2 3 4 2 4 2" xfId="45034"/>
    <cellStyle name="Normal 5 7 2 3 4 2 5" xfId="30651"/>
    <cellStyle name="Normal 5 7 2 3 4 3" xfId="8809"/>
    <cellStyle name="Normal 5 7 2 3 4 3 2" xfId="15520"/>
    <cellStyle name="Normal 5 7 2 3 4 3 2 2" xfId="38941"/>
    <cellStyle name="Normal 5 7 2 3 4 3 3" xfId="32309"/>
    <cellStyle name="Normal 5 7 2 3 4 4" xfId="12202"/>
    <cellStyle name="Normal 5 7 2 3 4 4 2" xfId="35625"/>
    <cellStyle name="Normal 5 7 2 3 4 5" xfId="19771"/>
    <cellStyle name="Normal 5 7 2 3 4 5 2" xfId="42308"/>
    <cellStyle name="Normal 5 7 2 3 4 6" xfId="28993"/>
    <cellStyle name="Normal 5 7 2 3 5" xfId="6300"/>
    <cellStyle name="Normal 5 7 2 3 5 2" xfId="9634"/>
    <cellStyle name="Normal 5 7 2 3 5 2 2" xfId="16338"/>
    <cellStyle name="Normal 5 7 2 3 5 2 2 2" xfId="39759"/>
    <cellStyle name="Normal 5 7 2 3 5 2 3" xfId="33127"/>
    <cellStyle name="Normal 5 7 2 3 5 3" xfId="13022"/>
    <cellStyle name="Normal 5 7 2 3 5 3 2" xfId="36443"/>
    <cellStyle name="Normal 5 7 2 3 5 4" xfId="21025"/>
    <cellStyle name="Normal 5 7 2 3 5 4 2" xfId="43476"/>
    <cellStyle name="Normal 5 7 2 3 5 5" xfId="29811"/>
    <cellStyle name="Normal 5 7 2 3 6" xfId="7966"/>
    <cellStyle name="Normal 5 7 2 3 6 2" xfId="14680"/>
    <cellStyle name="Normal 5 7 2 3 6 2 2" xfId="38101"/>
    <cellStyle name="Normal 5 7 2 3 6 3" xfId="21762"/>
    <cellStyle name="Normal 5 7 2 3 6 3 2" xfId="44211"/>
    <cellStyle name="Normal 5 7 2 3 6 4" xfId="31469"/>
    <cellStyle name="Normal 5 7 2 3 7" xfId="11362"/>
    <cellStyle name="Normal 5 7 2 3 7 2" xfId="34785"/>
    <cellStyle name="Normal 5 7 2 3 8" xfId="18152"/>
    <cellStyle name="Normal 5 7 2 3 8 2" xfId="41440"/>
    <cellStyle name="Normal 5 7 2 3 9" xfId="23758"/>
    <cellStyle name="Normal 5 7 2 3 9 2" xfId="46047"/>
    <cellStyle name="Normal 5 7 2 4" xfId="2406"/>
    <cellStyle name="Normal 5 7 2 4 2" xfId="5644"/>
    <cellStyle name="Normal 5 7 2 4 2 2" xfId="7467"/>
    <cellStyle name="Normal 5 7 2 4 2 2 2" xfId="10798"/>
    <cellStyle name="Normal 5 7 2 4 2 2 2 2" xfId="17502"/>
    <cellStyle name="Normal 5 7 2 4 2 2 2 2 2" xfId="40923"/>
    <cellStyle name="Normal 5 7 2 4 2 2 2 3" xfId="23219"/>
    <cellStyle name="Normal 5 7 2 4 2 2 2 3 2" xfId="45641"/>
    <cellStyle name="Normal 5 7 2 4 2 2 2 4" xfId="34291"/>
    <cellStyle name="Normal 5 7 2 4 2 2 3" xfId="14186"/>
    <cellStyle name="Normal 5 7 2 4 2 2 3 2" xfId="37607"/>
    <cellStyle name="Normal 5 7 2 4 2 2 4" xfId="20394"/>
    <cellStyle name="Normal 5 7 2 4 2 2 4 2" xfId="42929"/>
    <cellStyle name="Normal 5 7 2 4 2 2 5" xfId="30975"/>
    <cellStyle name="Normal 5 7 2 4 2 3" xfId="9140"/>
    <cellStyle name="Normal 5 7 2 4 2 3 2" xfId="15844"/>
    <cellStyle name="Normal 5 7 2 4 2 3 2 2" xfId="39265"/>
    <cellStyle name="Normal 5 7 2 4 2 3 3" xfId="21486"/>
    <cellStyle name="Normal 5 7 2 4 2 3 3 2" xfId="43937"/>
    <cellStyle name="Normal 5 7 2 4 2 3 4" xfId="32633"/>
    <cellStyle name="Normal 5 7 2 4 2 4" xfId="12528"/>
    <cellStyle name="Normal 5 7 2 4 2 4 2" xfId="22407"/>
    <cellStyle name="Normal 5 7 2 4 2 4 2 2" xfId="44829"/>
    <cellStyle name="Normal 5 7 2 4 2 4 3" xfId="35949"/>
    <cellStyle name="Normal 5 7 2 4 2 5" xfId="19555"/>
    <cellStyle name="Normal 5 7 2 4 2 5 2" xfId="42097"/>
    <cellStyle name="Normal 5 7 2 4 2 6" xfId="29317"/>
    <cellStyle name="Normal 5 7 2 4 3" xfId="6566"/>
    <cellStyle name="Normal 5 7 2 4 3 2" xfId="9900"/>
    <cellStyle name="Normal 5 7 2 4 3 2 2" xfId="16604"/>
    <cellStyle name="Normal 5 7 2 4 3 2 2 2" xfId="40025"/>
    <cellStyle name="Normal 5 7 2 4 3 2 3" xfId="22814"/>
    <cellStyle name="Normal 5 7 2 4 3 2 3 2" xfId="45236"/>
    <cellStyle name="Normal 5 7 2 4 3 2 4" xfId="33393"/>
    <cellStyle name="Normal 5 7 2 4 3 3" xfId="13288"/>
    <cellStyle name="Normal 5 7 2 4 3 3 2" xfId="36709"/>
    <cellStyle name="Normal 5 7 2 4 3 4" xfId="19978"/>
    <cellStyle name="Normal 5 7 2 4 3 4 2" xfId="42513"/>
    <cellStyle name="Normal 5 7 2 4 3 5" xfId="30077"/>
    <cellStyle name="Normal 5 7 2 4 4" xfId="8233"/>
    <cellStyle name="Normal 5 7 2 4 4 2" xfId="14946"/>
    <cellStyle name="Normal 5 7 2 4 4 2 2" xfId="38367"/>
    <cellStyle name="Normal 5 7 2 4 4 3" xfId="21027"/>
    <cellStyle name="Normal 5 7 2 4 4 3 2" xfId="43478"/>
    <cellStyle name="Normal 5 7 2 4 4 4" xfId="31735"/>
    <cellStyle name="Normal 5 7 2 4 5" xfId="11628"/>
    <cellStyle name="Normal 5 7 2 4 5 2" xfId="21983"/>
    <cellStyle name="Normal 5 7 2 4 5 2 2" xfId="44415"/>
    <cellStyle name="Normal 5 7 2 4 5 3" xfId="35051"/>
    <cellStyle name="Normal 5 7 2 4 6" xfId="18849"/>
    <cellStyle name="Normal 5 7 2 4 6 2" xfId="41672"/>
    <cellStyle name="Normal 5 7 2 4 7" xfId="25986"/>
    <cellStyle name="Normal 5 7 2 4 7 2" xfId="48231"/>
    <cellStyle name="Normal 5 7 2 4 8" xfId="28419"/>
    <cellStyle name="Normal 5 7 2 5" xfId="2666"/>
    <cellStyle name="Normal 5 7 2 5 2" xfId="5759"/>
    <cellStyle name="Normal 5 7 2 5 2 2" xfId="7541"/>
    <cellStyle name="Normal 5 7 2 5 2 2 2" xfId="10870"/>
    <cellStyle name="Normal 5 7 2 5 2 2 2 2" xfId="17574"/>
    <cellStyle name="Normal 5 7 2 5 2 2 2 2 2" xfId="40995"/>
    <cellStyle name="Normal 5 7 2 5 2 2 2 3" xfId="34363"/>
    <cellStyle name="Normal 5 7 2 5 2 2 3" xfId="14258"/>
    <cellStyle name="Normal 5 7 2 5 2 2 3 2" xfId="37679"/>
    <cellStyle name="Normal 5 7 2 5 2 2 4" xfId="20656"/>
    <cellStyle name="Normal 5 7 2 5 2 2 4 2" xfId="43107"/>
    <cellStyle name="Normal 5 7 2 5 2 2 5" xfId="31047"/>
    <cellStyle name="Normal 5 7 2 5 2 3" xfId="9212"/>
    <cellStyle name="Normal 5 7 2 5 2 3 2" xfId="15916"/>
    <cellStyle name="Normal 5 7 2 5 2 3 2 2" xfId="39337"/>
    <cellStyle name="Normal 5 7 2 5 2 3 3" xfId="21574"/>
    <cellStyle name="Normal 5 7 2 5 2 3 3 2" xfId="44025"/>
    <cellStyle name="Normal 5 7 2 5 2 3 4" xfId="32705"/>
    <cellStyle name="Normal 5 7 2 5 2 4" xfId="12600"/>
    <cellStyle name="Normal 5 7 2 5 2 4 2" xfId="23014"/>
    <cellStyle name="Normal 5 7 2 5 2 4 2 2" xfId="45436"/>
    <cellStyle name="Normal 5 7 2 5 2 4 3" xfId="36021"/>
    <cellStyle name="Normal 5 7 2 5 2 5" xfId="20186"/>
    <cellStyle name="Normal 5 7 2 5 2 5 2" xfId="42721"/>
    <cellStyle name="Normal 5 7 2 5 2 6" xfId="29389"/>
    <cellStyle name="Normal 5 7 2 5 3" xfId="6642"/>
    <cellStyle name="Normal 5 7 2 5 3 2" xfId="9974"/>
    <cellStyle name="Normal 5 7 2 5 3 2 2" xfId="16678"/>
    <cellStyle name="Normal 5 7 2 5 3 2 2 2" xfId="40099"/>
    <cellStyle name="Normal 5 7 2 5 3 2 3" xfId="33467"/>
    <cellStyle name="Normal 5 7 2 5 3 3" xfId="13362"/>
    <cellStyle name="Normal 5 7 2 5 3 3 2" xfId="36783"/>
    <cellStyle name="Normal 5 7 2 5 3 4" xfId="20558"/>
    <cellStyle name="Normal 5 7 2 5 3 4 2" xfId="43011"/>
    <cellStyle name="Normal 5 7 2 5 3 5" xfId="30151"/>
    <cellStyle name="Normal 5 7 2 5 4" xfId="8308"/>
    <cellStyle name="Normal 5 7 2 5 4 2" xfId="15020"/>
    <cellStyle name="Normal 5 7 2 5 4 2 2" xfId="38441"/>
    <cellStyle name="Normal 5 7 2 5 4 3" xfId="21115"/>
    <cellStyle name="Normal 5 7 2 5 4 3 2" xfId="43566"/>
    <cellStyle name="Normal 5 7 2 5 4 4" xfId="31809"/>
    <cellStyle name="Normal 5 7 2 5 5" xfId="11702"/>
    <cellStyle name="Normal 5 7 2 5 5 2" xfId="22197"/>
    <cellStyle name="Normal 5 7 2 5 5 2 2" xfId="44621"/>
    <cellStyle name="Normal 5 7 2 5 5 3" xfId="35125"/>
    <cellStyle name="Normal 5 7 2 5 6" xfId="19336"/>
    <cellStyle name="Normal 5 7 2 5 6 2" xfId="41889"/>
    <cellStyle name="Normal 5 7 2 5 7" xfId="28493"/>
    <cellStyle name="Normal 5 7 2 6" xfId="4175"/>
    <cellStyle name="Normal 5 7 2 6 2" xfId="7139"/>
    <cellStyle name="Normal 5 7 2 6 2 2" xfId="10471"/>
    <cellStyle name="Normal 5 7 2 6 2 2 2" xfId="17175"/>
    <cellStyle name="Normal 5 7 2 6 2 2 2 2" xfId="40596"/>
    <cellStyle name="Normal 5 7 2 6 2 2 3" xfId="33964"/>
    <cellStyle name="Normal 5 7 2 6 2 3" xfId="13859"/>
    <cellStyle name="Normal 5 7 2 6 2 3 2" xfId="37280"/>
    <cellStyle name="Normal 5 7 2 6 2 4" xfId="20607"/>
    <cellStyle name="Normal 5 7 2 6 2 4 2" xfId="43058"/>
    <cellStyle name="Normal 5 7 2 6 2 5" xfId="30648"/>
    <cellStyle name="Normal 5 7 2 6 3" xfId="8806"/>
    <cellStyle name="Normal 5 7 2 6 3 2" xfId="15517"/>
    <cellStyle name="Normal 5 7 2 6 3 2 2" xfId="38938"/>
    <cellStyle name="Normal 5 7 2 6 3 3" xfId="21479"/>
    <cellStyle name="Normal 5 7 2 6 3 3 2" xfId="43930"/>
    <cellStyle name="Normal 5 7 2 6 3 4" xfId="32306"/>
    <cellStyle name="Normal 5 7 2 6 4" xfId="12199"/>
    <cellStyle name="Normal 5 7 2 6 4 2" xfId="22609"/>
    <cellStyle name="Normal 5 7 2 6 4 2 2" xfId="45031"/>
    <cellStyle name="Normal 5 7 2 6 4 3" xfId="35622"/>
    <cellStyle name="Normal 5 7 2 6 5" xfId="19768"/>
    <cellStyle name="Normal 5 7 2 6 5 2" xfId="42305"/>
    <cellStyle name="Normal 5 7 2 6 6" xfId="28990"/>
    <cellStyle name="Normal 5 7 2 7" xfId="6169"/>
    <cellStyle name="Normal 5 7 2 7 2" xfId="9503"/>
    <cellStyle name="Normal 5 7 2 7 2 2" xfId="16207"/>
    <cellStyle name="Normal 5 7 2 7 2 2 2" xfId="39628"/>
    <cellStyle name="Normal 5 7 2 7 2 3" xfId="32996"/>
    <cellStyle name="Normal 5 7 2 7 3" xfId="12891"/>
    <cellStyle name="Normal 5 7 2 7 3 2" xfId="36312"/>
    <cellStyle name="Normal 5 7 2 7 4" xfId="20509"/>
    <cellStyle name="Normal 5 7 2 7 4 2" xfId="42962"/>
    <cellStyle name="Normal 5 7 2 7 5" xfId="29680"/>
    <cellStyle name="Normal 5 7 2 8" xfId="7835"/>
    <cellStyle name="Normal 5 7 2 8 2" xfId="14549"/>
    <cellStyle name="Normal 5 7 2 8 2 2" xfId="37970"/>
    <cellStyle name="Normal 5 7 2 8 3" xfId="21020"/>
    <cellStyle name="Normal 5 7 2 8 3 2" xfId="43471"/>
    <cellStyle name="Normal 5 7 2 8 4" xfId="31338"/>
    <cellStyle name="Normal 5 7 2 9" xfId="11231"/>
    <cellStyle name="Normal 5 7 2 9 2" xfId="21759"/>
    <cellStyle name="Normal 5 7 2 9 2 2" xfId="44208"/>
    <cellStyle name="Normal 5 7 2 9 3" xfId="34654"/>
    <cellStyle name="Normal 5 7 3" xfId="1679"/>
    <cellStyle name="Normal 5 7 3 10" xfId="23759"/>
    <cellStyle name="Normal 5 7 3 10 2" xfId="46048"/>
    <cellStyle name="Normal 5 7 3 11" xfId="28097"/>
    <cellStyle name="Normal 5 7 3 2" xfId="1876"/>
    <cellStyle name="Normal 5 7 3 2 10" xfId="28228"/>
    <cellStyle name="Normal 5 7 3 2 2" xfId="2411"/>
    <cellStyle name="Normal 5 7 3 2 2 2" xfId="5649"/>
    <cellStyle name="Normal 5 7 3 2 2 2 2" xfId="7472"/>
    <cellStyle name="Normal 5 7 3 2 2 2 2 2" xfId="10803"/>
    <cellStyle name="Normal 5 7 3 2 2 2 2 2 2" xfId="17507"/>
    <cellStyle name="Normal 5 7 3 2 2 2 2 2 2 2" xfId="40928"/>
    <cellStyle name="Normal 5 7 3 2 2 2 2 2 3" xfId="23224"/>
    <cellStyle name="Normal 5 7 3 2 2 2 2 2 3 2" xfId="45646"/>
    <cellStyle name="Normal 5 7 3 2 2 2 2 2 4" xfId="34296"/>
    <cellStyle name="Normal 5 7 3 2 2 2 2 3" xfId="14191"/>
    <cellStyle name="Normal 5 7 3 2 2 2 2 3 2" xfId="37612"/>
    <cellStyle name="Normal 5 7 3 2 2 2 2 4" xfId="20399"/>
    <cellStyle name="Normal 5 7 3 2 2 2 2 4 2" xfId="42934"/>
    <cellStyle name="Normal 5 7 3 2 2 2 2 5" xfId="30980"/>
    <cellStyle name="Normal 5 7 3 2 2 2 3" xfId="9145"/>
    <cellStyle name="Normal 5 7 3 2 2 2 3 2" xfId="15849"/>
    <cellStyle name="Normal 5 7 3 2 2 2 3 2 2" xfId="39270"/>
    <cellStyle name="Normal 5 7 3 2 2 2 3 3" xfId="21489"/>
    <cellStyle name="Normal 5 7 3 2 2 2 3 3 2" xfId="43940"/>
    <cellStyle name="Normal 5 7 3 2 2 2 3 4" xfId="32638"/>
    <cellStyle name="Normal 5 7 3 2 2 2 4" xfId="12533"/>
    <cellStyle name="Normal 5 7 3 2 2 2 4 2" xfId="22412"/>
    <cellStyle name="Normal 5 7 3 2 2 2 4 2 2" xfId="44834"/>
    <cellStyle name="Normal 5 7 3 2 2 2 4 3" xfId="35954"/>
    <cellStyle name="Normal 5 7 3 2 2 2 5" xfId="19560"/>
    <cellStyle name="Normal 5 7 3 2 2 2 5 2" xfId="42102"/>
    <cellStyle name="Normal 5 7 3 2 2 2 6" xfId="29322"/>
    <cellStyle name="Normal 5 7 3 2 2 3" xfId="6571"/>
    <cellStyle name="Normal 5 7 3 2 2 3 2" xfId="9905"/>
    <cellStyle name="Normal 5 7 3 2 2 3 2 2" xfId="16609"/>
    <cellStyle name="Normal 5 7 3 2 2 3 2 2 2" xfId="40030"/>
    <cellStyle name="Normal 5 7 3 2 2 3 2 3" xfId="22819"/>
    <cellStyle name="Normal 5 7 3 2 2 3 2 3 2" xfId="45241"/>
    <cellStyle name="Normal 5 7 3 2 2 3 2 4" xfId="33398"/>
    <cellStyle name="Normal 5 7 3 2 2 3 3" xfId="13293"/>
    <cellStyle name="Normal 5 7 3 2 2 3 3 2" xfId="36714"/>
    <cellStyle name="Normal 5 7 3 2 2 3 4" xfId="19983"/>
    <cellStyle name="Normal 5 7 3 2 2 3 4 2" xfId="42518"/>
    <cellStyle name="Normal 5 7 3 2 2 3 5" xfId="30082"/>
    <cellStyle name="Normal 5 7 3 2 2 4" xfId="8238"/>
    <cellStyle name="Normal 5 7 3 2 2 4 2" xfId="14951"/>
    <cellStyle name="Normal 5 7 3 2 2 4 2 2" xfId="38372"/>
    <cellStyle name="Normal 5 7 3 2 2 4 3" xfId="21030"/>
    <cellStyle name="Normal 5 7 3 2 2 4 3 2" xfId="43481"/>
    <cellStyle name="Normal 5 7 3 2 2 4 4" xfId="31740"/>
    <cellStyle name="Normal 5 7 3 2 2 5" xfId="11633"/>
    <cellStyle name="Normal 5 7 3 2 2 5 2" xfId="21988"/>
    <cellStyle name="Normal 5 7 3 2 2 5 2 2" xfId="44420"/>
    <cellStyle name="Normal 5 7 3 2 2 5 3" xfId="35056"/>
    <cellStyle name="Normal 5 7 3 2 2 6" xfId="18854"/>
    <cellStyle name="Normal 5 7 3 2 2 6 2" xfId="41677"/>
    <cellStyle name="Normal 5 7 3 2 2 7" xfId="25991"/>
    <cellStyle name="Normal 5 7 3 2 2 7 2" xfId="48236"/>
    <cellStyle name="Normal 5 7 3 2 2 8" xfId="28424"/>
    <cellStyle name="Normal 5 7 3 2 3" xfId="2873"/>
    <cellStyle name="Normal 5 7 3 2 3 2" xfId="5965"/>
    <cellStyle name="Normal 5 7 3 2 3 2 2" xfId="7747"/>
    <cellStyle name="Normal 5 7 3 2 3 2 2 2" xfId="11076"/>
    <cellStyle name="Normal 5 7 3 2 3 2 2 2 2" xfId="17780"/>
    <cellStyle name="Normal 5 7 3 2 3 2 2 2 2 2" xfId="41201"/>
    <cellStyle name="Normal 5 7 3 2 3 2 2 2 3" xfId="34569"/>
    <cellStyle name="Normal 5 7 3 2 3 2 2 3" xfId="14464"/>
    <cellStyle name="Normal 5 7 3 2 3 2 2 3 2" xfId="37885"/>
    <cellStyle name="Normal 5 7 3 2 3 2 2 4" xfId="23019"/>
    <cellStyle name="Normal 5 7 3 2 3 2 2 4 2" xfId="45441"/>
    <cellStyle name="Normal 5 7 3 2 3 2 2 5" xfId="31253"/>
    <cellStyle name="Normal 5 7 3 2 3 2 3" xfId="9418"/>
    <cellStyle name="Normal 5 7 3 2 3 2 3 2" xfId="16122"/>
    <cellStyle name="Normal 5 7 3 2 3 2 3 2 2" xfId="39543"/>
    <cellStyle name="Normal 5 7 3 2 3 2 3 3" xfId="32911"/>
    <cellStyle name="Normal 5 7 3 2 3 2 4" xfId="12806"/>
    <cellStyle name="Normal 5 7 3 2 3 2 4 2" xfId="36227"/>
    <cellStyle name="Normal 5 7 3 2 3 2 5" xfId="20191"/>
    <cellStyle name="Normal 5 7 3 2 3 2 5 2" xfId="42726"/>
    <cellStyle name="Normal 5 7 3 2 3 2 6" xfId="29595"/>
    <cellStyle name="Normal 5 7 3 2 3 3" xfId="6848"/>
    <cellStyle name="Normal 5 7 3 2 3 3 2" xfId="10180"/>
    <cellStyle name="Normal 5 7 3 2 3 3 2 2" xfId="16884"/>
    <cellStyle name="Normal 5 7 3 2 3 3 2 2 2" xfId="40305"/>
    <cellStyle name="Normal 5 7 3 2 3 3 2 3" xfId="33673"/>
    <cellStyle name="Normal 5 7 3 2 3 3 3" xfId="13568"/>
    <cellStyle name="Normal 5 7 3 2 3 3 3 2" xfId="36989"/>
    <cellStyle name="Normal 5 7 3 2 3 3 4" xfId="21488"/>
    <cellStyle name="Normal 5 7 3 2 3 3 4 2" xfId="43939"/>
    <cellStyle name="Normal 5 7 3 2 3 3 5" xfId="30357"/>
    <cellStyle name="Normal 5 7 3 2 3 4" xfId="8514"/>
    <cellStyle name="Normal 5 7 3 2 3 4 2" xfId="15226"/>
    <cellStyle name="Normal 5 7 3 2 3 4 2 2" xfId="38647"/>
    <cellStyle name="Normal 5 7 3 2 3 4 3" xfId="22202"/>
    <cellStyle name="Normal 5 7 3 2 3 4 3 2" xfId="44626"/>
    <cellStyle name="Normal 5 7 3 2 3 4 4" xfId="32015"/>
    <cellStyle name="Normal 5 7 3 2 3 5" xfId="11908"/>
    <cellStyle name="Normal 5 7 3 2 3 5 2" xfId="35331"/>
    <cellStyle name="Normal 5 7 3 2 3 6" xfId="19341"/>
    <cellStyle name="Normal 5 7 3 2 3 6 2" xfId="41894"/>
    <cellStyle name="Normal 5 7 3 2 3 7" xfId="28699"/>
    <cellStyle name="Normal 5 7 3 2 4" xfId="4180"/>
    <cellStyle name="Normal 5 7 3 2 4 2" xfId="7144"/>
    <cellStyle name="Normal 5 7 3 2 4 2 2" xfId="10476"/>
    <cellStyle name="Normal 5 7 3 2 4 2 2 2" xfId="17180"/>
    <cellStyle name="Normal 5 7 3 2 4 2 2 2 2" xfId="40601"/>
    <cellStyle name="Normal 5 7 3 2 4 2 2 3" xfId="33969"/>
    <cellStyle name="Normal 5 7 3 2 4 2 3" xfId="13864"/>
    <cellStyle name="Normal 5 7 3 2 4 2 3 2" xfId="37285"/>
    <cellStyle name="Normal 5 7 3 2 4 2 4" xfId="22614"/>
    <cellStyle name="Normal 5 7 3 2 4 2 4 2" xfId="45036"/>
    <cellStyle name="Normal 5 7 3 2 4 2 5" xfId="30653"/>
    <cellStyle name="Normal 5 7 3 2 4 3" xfId="8811"/>
    <cellStyle name="Normal 5 7 3 2 4 3 2" xfId="15522"/>
    <cellStyle name="Normal 5 7 3 2 4 3 2 2" xfId="38943"/>
    <cellStyle name="Normal 5 7 3 2 4 3 3" xfId="32311"/>
    <cellStyle name="Normal 5 7 3 2 4 4" xfId="12204"/>
    <cellStyle name="Normal 5 7 3 2 4 4 2" xfId="35627"/>
    <cellStyle name="Normal 5 7 3 2 4 5" xfId="19773"/>
    <cellStyle name="Normal 5 7 3 2 4 5 2" xfId="42310"/>
    <cellStyle name="Normal 5 7 3 2 4 6" xfId="28995"/>
    <cellStyle name="Normal 5 7 3 2 5" xfId="6375"/>
    <cellStyle name="Normal 5 7 3 2 5 2" xfId="9709"/>
    <cellStyle name="Normal 5 7 3 2 5 2 2" xfId="16413"/>
    <cellStyle name="Normal 5 7 3 2 5 2 2 2" xfId="39834"/>
    <cellStyle name="Normal 5 7 3 2 5 2 3" xfId="33202"/>
    <cellStyle name="Normal 5 7 3 2 5 3" xfId="13097"/>
    <cellStyle name="Normal 5 7 3 2 5 3 2" xfId="36518"/>
    <cellStyle name="Normal 5 7 3 2 5 4" xfId="21029"/>
    <cellStyle name="Normal 5 7 3 2 5 4 2" xfId="43480"/>
    <cellStyle name="Normal 5 7 3 2 5 5" xfId="29886"/>
    <cellStyle name="Normal 5 7 3 2 6" xfId="8041"/>
    <cellStyle name="Normal 5 7 3 2 6 2" xfId="14755"/>
    <cellStyle name="Normal 5 7 3 2 6 2 2" xfId="38176"/>
    <cellStyle name="Normal 5 7 3 2 6 3" xfId="21764"/>
    <cellStyle name="Normal 5 7 3 2 6 3 2" xfId="44213"/>
    <cellStyle name="Normal 5 7 3 2 6 4" xfId="31544"/>
    <cellStyle name="Normal 5 7 3 2 7" xfId="11437"/>
    <cellStyle name="Normal 5 7 3 2 7 2" xfId="34860"/>
    <cellStyle name="Normal 5 7 3 2 8" xfId="18154"/>
    <cellStyle name="Normal 5 7 3 2 8 2" xfId="41442"/>
    <cellStyle name="Normal 5 7 3 2 9" xfId="23760"/>
    <cellStyle name="Normal 5 7 3 2 9 2" xfId="46049"/>
    <cellStyle name="Normal 5 7 3 3" xfId="2410"/>
    <cellStyle name="Normal 5 7 3 3 2" xfId="5648"/>
    <cellStyle name="Normal 5 7 3 3 2 2" xfId="7471"/>
    <cellStyle name="Normal 5 7 3 3 2 2 2" xfId="10802"/>
    <cellStyle name="Normal 5 7 3 3 2 2 2 2" xfId="17506"/>
    <cellStyle name="Normal 5 7 3 3 2 2 2 2 2" xfId="40927"/>
    <cellStyle name="Normal 5 7 3 3 2 2 2 3" xfId="23223"/>
    <cellStyle name="Normal 5 7 3 3 2 2 2 3 2" xfId="45645"/>
    <cellStyle name="Normal 5 7 3 3 2 2 2 4" xfId="34295"/>
    <cellStyle name="Normal 5 7 3 3 2 2 3" xfId="14190"/>
    <cellStyle name="Normal 5 7 3 3 2 2 3 2" xfId="37611"/>
    <cellStyle name="Normal 5 7 3 3 2 2 4" xfId="20398"/>
    <cellStyle name="Normal 5 7 3 3 2 2 4 2" xfId="42933"/>
    <cellStyle name="Normal 5 7 3 3 2 2 5" xfId="30979"/>
    <cellStyle name="Normal 5 7 3 3 2 3" xfId="9144"/>
    <cellStyle name="Normal 5 7 3 3 2 3 2" xfId="15848"/>
    <cellStyle name="Normal 5 7 3 3 2 3 2 2" xfId="39269"/>
    <cellStyle name="Normal 5 7 3 3 2 3 3" xfId="21490"/>
    <cellStyle name="Normal 5 7 3 3 2 3 3 2" xfId="43941"/>
    <cellStyle name="Normal 5 7 3 3 2 3 4" xfId="32637"/>
    <cellStyle name="Normal 5 7 3 3 2 4" xfId="12532"/>
    <cellStyle name="Normal 5 7 3 3 2 4 2" xfId="22411"/>
    <cellStyle name="Normal 5 7 3 3 2 4 2 2" xfId="44833"/>
    <cellStyle name="Normal 5 7 3 3 2 4 3" xfId="35953"/>
    <cellStyle name="Normal 5 7 3 3 2 5" xfId="19559"/>
    <cellStyle name="Normal 5 7 3 3 2 5 2" xfId="42101"/>
    <cellStyle name="Normal 5 7 3 3 2 6" xfId="29321"/>
    <cellStyle name="Normal 5 7 3 3 3" xfId="6570"/>
    <cellStyle name="Normal 5 7 3 3 3 2" xfId="9904"/>
    <cellStyle name="Normal 5 7 3 3 3 2 2" xfId="16608"/>
    <cellStyle name="Normal 5 7 3 3 3 2 2 2" xfId="40029"/>
    <cellStyle name="Normal 5 7 3 3 3 2 3" xfId="22818"/>
    <cellStyle name="Normal 5 7 3 3 3 2 3 2" xfId="45240"/>
    <cellStyle name="Normal 5 7 3 3 3 2 4" xfId="33397"/>
    <cellStyle name="Normal 5 7 3 3 3 3" xfId="13292"/>
    <cellStyle name="Normal 5 7 3 3 3 3 2" xfId="36713"/>
    <cellStyle name="Normal 5 7 3 3 3 4" xfId="19982"/>
    <cellStyle name="Normal 5 7 3 3 3 4 2" xfId="42517"/>
    <cellStyle name="Normal 5 7 3 3 3 5" xfId="30081"/>
    <cellStyle name="Normal 5 7 3 3 4" xfId="8237"/>
    <cellStyle name="Normal 5 7 3 3 4 2" xfId="14950"/>
    <cellStyle name="Normal 5 7 3 3 4 2 2" xfId="38371"/>
    <cellStyle name="Normal 5 7 3 3 4 3" xfId="21031"/>
    <cellStyle name="Normal 5 7 3 3 4 3 2" xfId="43482"/>
    <cellStyle name="Normal 5 7 3 3 4 4" xfId="31739"/>
    <cellStyle name="Normal 5 7 3 3 5" xfId="11632"/>
    <cellStyle name="Normal 5 7 3 3 5 2" xfId="21987"/>
    <cellStyle name="Normal 5 7 3 3 5 2 2" xfId="44419"/>
    <cellStyle name="Normal 5 7 3 3 5 3" xfId="35055"/>
    <cellStyle name="Normal 5 7 3 3 6" xfId="18853"/>
    <cellStyle name="Normal 5 7 3 3 6 2" xfId="41676"/>
    <cellStyle name="Normal 5 7 3 3 7" xfId="25990"/>
    <cellStyle name="Normal 5 7 3 3 7 2" xfId="48235"/>
    <cellStyle name="Normal 5 7 3 3 8" xfId="28423"/>
    <cellStyle name="Normal 5 7 3 4" xfId="2741"/>
    <cellStyle name="Normal 5 7 3 4 2" xfId="5834"/>
    <cellStyle name="Normal 5 7 3 4 2 2" xfId="7616"/>
    <cellStyle name="Normal 5 7 3 4 2 2 2" xfId="10945"/>
    <cellStyle name="Normal 5 7 3 4 2 2 2 2" xfId="17649"/>
    <cellStyle name="Normal 5 7 3 4 2 2 2 2 2" xfId="41070"/>
    <cellStyle name="Normal 5 7 3 4 2 2 2 3" xfId="34438"/>
    <cellStyle name="Normal 5 7 3 4 2 2 3" xfId="14333"/>
    <cellStyle name="Normal 5 7 3 4 2 2 3 2" xfId="37754"/>
    <cellStyle name="Normal 5 7 3 4 2 2 4" xfId="23018"/>
    <cellStyle name="Normal 5 7 3 4 2 2 4 2" xfId="45440"/>
    <cellStyle name="Normal 5 7 3 4 2 2 5" xfId="31122"/>
    <cellStyle name="Normal 5 7 3 4 2 3" xfId="9287"/>
    <cellStyle name="Normal 5 7 3 4 2 3 2" xfId="15991"/>
    <cellStyle name="Normal 5 7 3 4 2 3 2 2" xfId="39412"/>
    <cellStyle name="Normal 5 7 3 4 2 3 3" xfId="32780"/>
    <cellStyle name="Normal 5 7 3 4 2 4" xfId="12675"/>
    <cellStyle name="Normal 5 7 3 4 2 4 2" xfId="36096"/>
    <cellStyle name="Normal 5 7 3 4 2 5" xfId="20190"/>
    <cellStyle name="Normal 5 7 3 4 2 5 2" xfId="42725"/>
    <cellStyle name="Normal 5 7 3 4 2 6" xfId="29464"/>
    <cellStyle name="Normal 5 7 3 4 3" xfId="6717"/>
    <cellStyle name="Normal 5 7 3 4 3 2" xfId="10049"/>
    <cellStyle name="Normal 5 7 3 4 3 2 2" xfId="16753"/>
    <cellStyle name="Normal 5 7 3 4 3 2 2 2" xfId="40174"/>
    <cellStyle name="Normal 5 7 3 4 3 2 3" xfId="33542"/>
    <cellStyle name="Normal 5 7 3 4 3 3" xfId="13437"/>
    <cellStyle name="Normal 5 7 3 4 3 3 2" xfId="36858"/>
    <cellStyle name="Normal 5 7 3 4 3 4" xfId="21487"/>
    <cellStyle name="Normal 5 7 3 4 3 4 2" xfId="43938"/>
    <cellStyle name="Normal 5 7 3 4 3 5" xfId="30226"/>
    <cellStyle name="Normal 5 7 3 4 4" xfId="8383"/>
    <cellStyle name="Normal 5 7 3 4 4 2" xfId="15095"/>
    <cellStyle name="Normal 5 7 3 4 4 2 2" xfId="38516"/>
    <cellStyle name="Normal 5 7 3 4 4 3" xfId="22201"/>
    <cellStyle name="Normal 5 7 3 4 4 3 2" xfId="44625"/>
    <cellStyle name="Normal 5 7 3 4 4 4" xfId="31884"/>
    <cellStyle name="Normal 5 7 3 4 5" xfId="11777"/>
    <cellStyle name="Normal 5 7 3 4 5 2" xfId="35200"/>
    <cellStyle name="Normal 5 7 3 4 6" xfId="19340"/>
    <cellStyle name="Normal 5 7 3 4 6 2" xfId="41893"/>
    <cellStyle name="Normal 5 7 3 4 7" xfId="28568"/>
    <cellStyle name="Normal 5 7 3 5" xfId="4179"/>
    <cellStyle name="Normal 5 7 3 5 2" xfId="7143"/>
    <cellStyle name="Normal 5 7 3 5 2 2" xfId="10475"/>
    <cellStyle name="Normal 5 7 3 5 2 2 2" xfId="17179"/>
    <cellStyle name="Normal 5 7 3 5 2 2 2 2" xfId="40600"/>
    <cellStyle name="Normal 5 7 3 5 2 2 3" xfId="33968"/>
    <cellStyle name="Normal 5 7 3 5 2 3" xfId="13863"/>
    <cellStyle name="Normal 5 7 3 5 2 3 2" xfId="37284"/>
    <cellStyle name="Normal 5 7 3 5 2 4" xfId="22613"/>
    <cellStyle name="Normal 5 7 3 5 2 4 2" xfId="45035"/>
    <cellStyle name="Normal 5 7 3 5 2 5" xfId="30652"/>
    <cellStyle name="Normal 5 7 3 5 3" xfId="8810"/>
    <cellStyle name="Normal 5 7 3 5 3 2" xfId="15521"/>
    <cellStyle name="Normal 5 7 3 5 3 2 2" xfId="38942"/>
    <cellStyle name="Normal 5 7 3 5 3 3" xfId="32310"/>
    <cellStyle name="Normal 5 7 3 5 4" xfId="12203"/>
    <cellStyle name="Normal 5 7 3 5 4 2" xfId="35626"/>
    <cellStyle name="Normal 5 7 3 5 5" xfId="19772"/>
    <cellStyle name="Normal 5 7 3 5 5 2" xfId="42309"/>
    <cellStyle name="Normal 5 7 3 5 6" xfId="28994"/>
    <cellStyle name="Normal 5 7 3 6" xfId="6244"/>
    <cellStyle name="Normal 5 7 3 6 2" xfId="9578"/>
    <cellStyle name="Normal 5 7 3 6 2 2" xfId="16282"/>
    <cellStyle name="Normal 5 7 3 6 2 2 2" xfId="39703"/>
    <cellStyle name="Normal 5 7 3 6 2 3" xfId="33071"/>
    <cellStyle name="Normal 5 7 3 6 3" xfId="12966"/>
    <cellStyle name="Normal 5 7 3 6 3 2" xfId="36387"/>
    <cellStyle name="Normal 5 7 3 6 4" xfId="21028"/>
    <cellStyle name="Normal 5 7 3 6 4 2" xfId="43479"/>
    <cellStyle name="Normal 5 7 3 6 5" xfId="29755"/>
    <cellStyle name="Normal 5 7 3 7" xfId="7910"/>
    <cellStyle name="Normal 5 7 3 7 2" xfId="14624"/>
    <cellStyle name="Normal 5 7 3 7 2 2" xfId="38045"/>
    <cellStyle name="Normal 5 7 3 7 3" xfId="21763"/>
    <cellStyle name="Normal 5 7 3 7 3 2" xfId="44212"/>
    <cellStyle name="Normal 5 7 3 7 4" xfId="31413"/>
    <cellStyle name="Normal 5 7 3 8" xfId="11306"/>
    <cellStyle name="Normal 5 7 3 8 2" xfId="34729"/>
    <cellStyle name="Normal 5 7 3 9" xfId="18153"/>
    <cellStyle name="Normal 5 7 3 9 2" xfId="41441"/>
    <cellStyle name="Normal 5 7 4" xfId="1764"/>
    <cellStyle name="Normal 5 7 4 10" xfId="28117"/>
    <cellStyle name="Normal 5 7 4 2" xfId="2412"/>
    <cellStyle name="Normal 5 7 4 2 2" xfId="5650"/>
    <cellStyle name="Normal 5 7 4 2 2 2" xfId="7473"/>
    <cellStyle name="Normal 5 7 4 2 2 2 2" xfId="10804"/>
    <cellStyle name="Normal 5 7 4 2 2 2 2 2" xfId="17508"/>
    <cellStyle name="Normal 5 7 4 2 2 2 2 2 2" xfId="40929"/>
    <cellStyle name="Normal 5 7 4 2 2 2 2 3" xfId="23225"/>
    <cellStyle name="Normal 5 7 4 2 2 2 2 3 2" xfId="45647"/>
    <cellStyle name="Normal 5 7 4 2 2 2 2 4" xfId="34297"/>
    <cellStyle name="Normal 5 7 4 2 2 2 3" xfId="14192"/>
    <cellStyle name="Normal 5 7 4 2 2 2 3 2" xfId="37613"/>
    <cellStyle name="Normal 5 7 4 2 2 2 4" xfId="20400"/>
    <cellStyle name="Normal 5 7 4 2 2 2 4 2" xfId="42935"/>
    <cellStyle name="Normal 5 7 4 2 2 2 5" xfId="30981"/>
    <cellStyle name="Normal 5 7 4 2 2 3" xfId="9146"/>
    <cellStyle name="Normal 5 7 4 2 2 3 2" xfId="15850"/>
    <cellStyle name="Normal 5 7 4 2 2 3 2 2" xfId="39271"/>
    <cellStyle name="Normal 5 7 4 2 2 3 3" xfId="21492"/>
    <cellStyle name="Normal 5 7 4 2 2 3 3 2" xfId="43943"/>
    <cellStyle name="Normal 5 7 4 2 2 3 4" xfId="32639"/>
    <cellStyle name="Normal 5 7 4 2 2 4" xfId="12534"/>
    <cellStyle name="Normal 5 7 4 2 2 4 2" xfId="22413"/>
    <cellStyle name="Normal 5 7 4 2 2 4 2 2" xfId="44835"/>
    <cellStyle name="Normal 5 7 4 2 2 4 3" xfId="35955"/>
    <cellStyle name="Normal 5 7 4 2 2 5" xfId="19561"/>
    <cellStyle name="Normal 5 7 4 2 2 5 2" xfId="42103"/>
    <cellStyle name="Normal 5 7 4 2 2 6" xfId="29323"/>
    <cellStyle name="Normal 5 7 4 2 3" xfId="6572"/>
    <cellStyle name="Normal 5 7 4 2 3 2" xfId="9906"/>
    <cellStyle name="Normal 5 7 4 2 3 2 2" xfId="16610"/>
    <cellStyle name="Normal 5 7 4 2 3 2 2 2" xfId="40031"/>
    <cellStyle name="Normal 5 7 4 2 3 2 3" xfId="22820"/>
    <cellStyle name="Normal 5 7 4 2 3 2 3 2" xfId="45242"/>
    <cellStyle name="Normal 5 7 4 2 3 2 4" xfId="33399"/>
    <cellStyle name="Normal 5 7 4 2 3 3" xfId="13294"/>
    <cellStyle name="Normal 5 7 4 2 3 3 2" xfId="36715"/>
    <cellStyle name="Normal 5 7 4 2 3 4" xfId="19984"/>
    <cellStyle name="Normal 5 7 4 2 3 4 2" xfId="42519"/>
    <cellStyle name="Normal 5 7 4 2 3 5" xfId="30083"/>
    <cellStyle name="Normal 5 7 4 2 4" xfId="8239"/>
    <cellStyle name="Normal 5 7 4 2 4 2" xfId="14952"/>
    <cellStyle name="Normal 5 7 4 2 4 2 2" xfId="38373"/>
    <cellStyle name="Normal 5 7 4 2 4 3" xfId="21033"/>
    <cellStyle name="Normal 5 7 4 2 4 3 2" xfId="43484"/>
    <cellStyle name="Normal 5 7 4 2 4 4" xfId="31741"/>
    <cellStyle name="Normal 5 7 4 2 5" xfId="11634"/>
    <cellStyle name="Normal 5 7 4 2 5 2" xfId="21989"/>
    <cellStyle name="Normal 5 7 4 2 5 2 2" xfId="44421"/>
    <cellStyle name="Normal 5 7 4 2 5 3" xfId="35057"/>
    <cellStyle name="Normal 5 7 4 2 6" xfId="18855"/>
    <cellStyle name="Normal 5 7 4 2 6 2" xfId="41678"/>
    <cellStyle name="Normal 5 7 4 2 7" xfId="25992"/>
    <cellStyle name="Normal 5 7 4 2 7 2" xfId="48237"/>
    <cellStyle name="Normal 5 7 4 2 8" xfId="28425"/>
    <cellStyle name="Normal 5 7 4 3" xfId="2762"/>
    <cellStyle name="Normal 5 7 4 3 2" xfId="5854"/>
    <cellStyle name="Normal 5 7 4 3 2 2" xfId="7636"/>
    <cellStyle name="Normal 5 7 4 3 2 2 2" xfId="10965"/>
    <cellStyle name="Normal 5 7 4 3 2 2 2 2" xfId="17669"/>
    <cellStyle name="Normal 5 7 4 3 2 2 2 2 2" xfId="41090"/>
    <cellStyle name="Normal 5 7 4 3 2 2 2 3" xfId="34458"/>
    <cellStyle name="Normal 5 7 4 3 2 2 3" xfId="14353"/>
    <cellStyle name="Normal 5 7 4 3 2 2 3 2" xfId="37774"/>
    <cellStyle name="Normal 5 7 4 3 2 2 4" xfId="23020"/>
    <cellStyle name="Normal 5 7 4 3 2 2 4 2" xfId="45442"/>
    <cellStyle name="Normal 5 7 4 3 2 2 5" xfId="31142"/>
    <cellStyle name="Normal 5 7 4 3 2 3" xfId="9307"/>
    <cellStyle name="Normal 5 7 4 3 2 3 2" xfId="16011"/>
    <cellStyle name="Normal 5 7 4 3 2 3 2 2" xfId="39432"/>
    <cellStyle name="Normal 5 7 4 3 2 3 3" xfId="32800"/>
    <cellStyle name="Normal 5 7 4 3 2 4" xfId="12695"/>
    <cellStyle name="Normal 5 7 4 3 2 4 2" xfId="36116"/>
    <cellStyle name="Normal 5 7 4 3 2 5" xfId="20192"/>
    <cellStyle name="Normal 5 7 4 3 2 5 2" xfId="42727"/>
    <cellStyle name="Normal 5 7 4 3 2 6" xfId="29484"/>
    <cellStyle name="Normal 5 7 4 3 3" xfId="6737"/>
    <cellStyle name="Normal 5 7 4 3 3 2" xfId="10069"/>
    <cellStyle name="Normal 5 7 4 3 3 2 2" xfId="16773"/>
    <cellStyle name="Normal 5 7 4 3 3 2 2 2" xfId="40194"/>
    <cellStyle name="Normal 5 7 4 3 3 2 3" xfId="33562"/>
    <cellStyle name="Normal 5 7 4 3 3 3" xfId="13457"/>
    <cellStyle name="Normal 5 7 4 3 3 3 2" xfId="36878"/>
    <cellStyle name="Normal 5 7 4 3 3 4" xfId="21491"/>
    <cellStyle name="Normal 5 7 4 3 3 4 2" xfId="43942"/>
    <cellStyle name="Normal 5 7 4 3 3 5" xfId="30246"/>
    <cellStyle name="Normal 5 7 4 3 4" xfId="8403"/>
    <cellStyle name="Normal 5 7 4 3 4 2" xfId="15115"/>
    <cellStyle name="Normal 5 7 4 3 4 2 2" xfId="38536"/>
    <cellStyle name="Normal 5 7 4 3 4 3" xfId="22203"/>
    <cellStyle name="Normal 5 7 4 3 4 3 2" xfId="44627"/>
    <cellStyle name="Normal 5 7 4 3 4 4" xfId="31904"/>
    <cellStyle name="Normal 5 7 4 3 5" xfId="11797"/>
    <cellStyle name="Normal 5 7 4 3 5 2" xfId="35220"/>
    <cellStyle name="Normal 5 7 4 3 6" xfId="19342"/>
    <cellStyle name="Normal 5 7 4 3 6 2" xfId="41895"/>
    <cellStyle name="Normal 5 7 4 3 7" xfId="28588"/>
    <cellStyle name="Normal 5 7 4 4" xfId="4181"/>
    <cellStyle name="Normal 5 7 4 4 2" xfId="7145"/>
    <cellStyle name="Normal 5 7 4 4 2 2" xfId="10477"/>
    <cellStyle name="Normal 5 7 4 4 2 2 2" xfId="17181"/>
    <cellStyle name="Normal 5 7 4 4 2 2 2 2" xfId="40602"/>
    <cellStyle name="Normal 5 7 4 4 2 2 3" xfId="33970"/>
    <cellStyle name="Normal 5 7 4 4 2 3" xfId="13865"/>
    <cellStyle name="Normal 5 7 4 4 2 3 2" xfId="37286"/>
    <cellStyle name="Normal 5 7 4 4 2 4" xfId="22615"/>
    <cellStyle name="Normal 5 7 4 4 2 4 2" xfId="45037"/>
    <cellStyle name="Normal 5 7 4 4 2 5" xfId="30654"/>
    <cellStyle name="Normal 5 7 4 4 3" xfId="8812"/>
    <cellStyle name="Normal 5 7 4 4 3 2" xfId="15523"/>
    <cellStyle name="Normal 5 7 4 4 3 2 2" xfId="38944"/>
    <cellStyle name="Normal 5 7 4 4 3 3" xfId="32312"/>
    <cellStyle name="Normal 5 7 4 4 4" xfId="12205"/>
    <cellStyle name="Normal 5 7 4 4 4 2" xfId="35628"/>
    <cellStyle name="Normal 5 7 4 4 5" xfId="19774"/>
    <cellStyle name="Normal 5 7 4 4 5 2" xfId="42311"/>
    <cellStyle name="Normal 5 7 4 4 6" xfId="28996"/>
    <cellStyle name="Normal 5 7 4 5" xfId="6264"/>
    <cellStyle name="Normal 5 7 4 5 2" xfId="9598"/>
    <cellStyle name="Normal 5 7 4 5 2 2" xfId="16302"/>
    <cellStyle name="Normal 5 7 4 5 2 2 2" xfId="39723"/>
    <cellStyle name="Normal 5 7 4 5 2 3" xfId="33091"/>
    <cellStyle name="Normal 5 7 4 5 3" xfId="12986"/>
    <cellStyle name="Normal 5 7 4 5 3 2" xfId="36407"/>
    <cellStyle name="Normal 5 7 4 5 4" xfId="21032"/>
    <cellStyle name="Normal 5 7 4 5 4 2" xfId="43483"/>
    <cellStyle name="Normal 5 7 4 5 5" xfId="29775"/>
    <cellStyle name="Normal 5 7 4 6" xfId="7930"/>
    <cellStyle name="Normal 5 7 4 6 2" xfId="14644"/>
    <cellStyle name="Normal 5 7 4 6 2 2" xfId="38065"/>
    <cellStyle name="Normal 5 7 4 6 3" xfId="21765"/>
    <cellStyle name="Normal 5 7 4 6 3 2" xfId="44214"/>
    <cellStyle name="Normal 5 7 4 6 4" xfId="31433"/>
    <cellStyle name="Normal 5 7 4 7" xfId="11326"/>
    <cellStyle name="Normal 5 7 4 7 2" xfId="34749"/>
    <cellStyle name="Normal 5 7 4 8" xfId="18155"/>
    <cellStyle name="Normal 5 7 4 8 2" xfId="41443"/>
    <cellStyle name="Normal 5 7 4 9" xfId="23761"/>
    <cellStyle name="Normal 5 7 4 9 2" xfId="46050"/>
    <cellStyle name="Normal 5 7 5" xfId="2405"/>
    <cellStyle name="Normal 5 7 5 2" xfId="5643"/>
    <cellStyle name="Normal 5 7 5 2 2" xfId="7466"/>
    <cellStyle name="Normal 5 7 5 2 2 2" xfId="10797"/>
    <cellStyle name="Normal 5 7 5 2 2 2 2" xfId="17501"/>
    <cellStyle name="Normal 5 7 5 2 2 2 2 2" xfId="40922"/>
    <cellStyle name="Normal 5 7 5 2 2 2 3" xfId="23218"/>
    <cellStyle name="Normal 5 7 5 2 2 2 3 2" xfId="45640"/>
    <cellStyle name="Normal 5 7 5 2 2 2 4" xfId="34290"/>
    <cellStyle name="Normal 5 7 5 2 2 3" xfId="14185"/>
    <cellStyle name="Normal 5 7 5 2 2 3 2" xfId="37606"/>
    <cellStyle name="Normal 5 7 5 2 2 4" xfId="20393"/>
    <cellStyle name="Normal 5 7 5 2 2 4 2" xfId="42928"/>
    <cellStyle name="Normal 5 7 5 2 2 5" xfId="30974"/>
    <cellStyle name="Normal 5 7 5 2 3" xfId="9139"/>
    <cellStyle name="Normal 5 7 5 2 3 2" xfId="15843"/>
    <cellStyle name="Normal 5 7 5 2 3 2 2" xfId="39264"/>
    <cellStyle name="Normal 5 7 5 2 3 3" xfId="21493"/>
    <cellStyle name="Normal 5 7 5 2 3 3 2" xfId="43944"/>
    <cellStyle name="Normal 5 7 5 2 3 4" xfId="32632"/>
    <cellStyle name="Normal 5 7 5 2 4" xfId="12527"/>
    <cellStyle name="Normal 5 7 5 2 4 2" xfId="22406"/>
    <cellStyle name="Normal 5 7 5 2 4 2 2" xfId="44828"/>
    <cellStyle name="Normal 5 7 5 2 4 3" xfId="35948"/>
    <cellStyle name="Normal 5 7 5 2 5" xfId="19554"/>
    <cellStyle name="Normal 5 7 5 2 5 2" xfId="42096"/>
    <cellStyle name="Normal 5 7 5 2 6" xfId="29316"/>
    <cellStyle name="Normal 5 7 5 3" xfId="6565"/>
    <cellStyle name="Normal 5 7 5 3 2" xfId="9899"/>
    <cellStyle name="Normal 5 7 5 3 2 2" xfId="16603"/>
    <cellStyle name="Normal 5 7 5 3 2 2 2" xfId="40024"/>
    <cellStyle name="Normal 5 7 5 3 2 3" xfId="22813"/>
    <cellStyle name="Normal 5 7 5 3 2 3 2" xfId="45235"/>
    <cellStyle name="Normal 5 7 5 3 2 4" xfId="33392"/>
    <cellStyle name="Normal 5 7 5 3 3" xfId="13287"/>
    <cellStyle name="Normal 5 7 5 3 3 2" xfId="36708"/>
    <cellStyle name="Normal 5 7 5 3 4" xfId="19977"/>
    <cellStyle name="Normal 5 7 5 3 4 2" xfId="42512"/>
    <cellStyle name="Normal 5 7 5 3 5" xfId="30076"/>
    <cellStyle name="Normal 5 7 5 4" xfId="8232"/>
    <cellStyle name="Normal 5 7 5 4 2" xfId="14945"/>
    <cellStyle name="Normal 5 7 5 4 2 2" xfId="38366"/>
    <cellStyle name="Normal 5 7 5 4 3" xfId="21034"/>
    <cellStyle name="Normal 5 7 5 4 3 2" xfId="43485"/>
    <cellStyle name="Normal 5 7 5 4 4" xfId="31734"/>
    <cellStyle name="Normal 5 7 5 5" xfId="11627"/>
    <cellStyle name="Normal 5 7 5 5 2" xfId="21982"/>
    <cellStyle name="Normal 5 7 5 5 2 2" xfId="44414"/>
    <cellStyle name="Normal 5 7 5 5 3" xfId="35050"/>
    <cellStyle name="Normal 5 7 5 6" xfId="18848"/>
    <cellStyle name="Normal 5 7 5 6 2" xfId="41671"/>
    <cellStyle name="Normal 5 7 5 7" xfId="25985"/>
    <cellStyle name="Normal 5 7 5 7 2" xfId="48230"/>
    <cellStyle name="Normal 5 7 5 8" xfId="28418"/>
    <cellStyle name="Normal 5 7 6" xfId="2629"/>
    <cellStyle name="Normal 5 7 6 2" xfId="5723"/>
    <cellStyle name="Normal 5 7 6 2 2" xfId="7506"/>
    <cellStyle name="Normal 5 7 6 2 2 2" xfId="10835"/>
    <cellStyle name="Normal 5 7 6 2 2 2 2" xfId="17539"/>
    <cellStyle name="Normal 5 7 6 2 2 2 2 2" xfId="40960"/>
    <cellStyle name="Normal 5 7 6 2 2 2 3" xfId="34328"/>
    <cellStyle name="Normal 5 7 6 2 2 3" xfId="14223"/>
    <cellStyle name="Normal 5 7 6 2 2 3 2" xfId="37644"/>
    <cellStyle name="Normal 5 7 6 2 2 4" xfId="20655"/>
    <cellStyle name="Normal 5 7 6 2 2 4 2" xfId="43106"/>
    <cellStyle name="Normal 5 7 6 2 2 5" xfId="31012"/>
    <cellStyle name="Normal 5 7 6 2 3" xfId="9177"/>
    <cellStyle name="Normal 5 7 6 2 3 2" xfId="15881"/>
    <cellStyle name="Normal 5 7 6 2 3 2 2" xfId="39302"/>
    <cellStyle name="Normal 5 7 6 2 3 3" xfId="21573"/>
    <cellStyle name="Normal 5 7 6 2 3 3 2" xfId="44024"/>
    <cellStyle name="Normal 5 7 6 2 3 4" xfId="32670"/>
    <cellStyle name="Normal 5 7 6 2 4" xfId="12565"/>
    <cellStyle name="Normal 5 7 6 2 4 2" xfId="23013"/>
    <cellStyle name="Normal 5 7 6 2 4 2 2" xfId="45435"/>
    <cellStyle name="Normal 5 7 6 2 4 3" xfId="35986"/>
    <cellStyle name="Normal 5 7 6 2 5" xfId="20185"/>
    <cellStyle name="Normal 5 7 6 2 5 2" xfId="42720"/>
    <cellStyle name="Normal 5 7 6 2 6" xfId="29354"/>
    <cellStyle name="Normal 5 7 6 3" xfId="6606"/>
    <cellStyle name="Normal 5 7 6 3 2" xfId="9938"/>
    <cellStyle name="Normal 5 7 6 3 2 2" xfId="16642"/>
    <cellStyle name="Normal 5 7 6 3 2 2 2" xfId="40063"/>
    <cellStyle name="Normal 5 7 6 3 2 3" xfId="33431"/>
    <cellStyle name="Normal 5 7 6 3 3" xfId="13326"/>
    <cellStyle name="Normal 5 7 6 3 3 2" xfId="36747"/>
    <cellStyle name="Normal 5 7 6 3 4" xfId="20557"/>
    <cellStyle name="Normal 5 7 6 3 4 2" xfId="43010"/>
    <cellStyle name="Normal 5 7 6 3 5" xfId="30115"/>
    <cellStyle name="Normal 5 7 6 4" xfId="8272"/>
    <cellStyle name="Normal 5 7 6 4 2" xfId="14984"/>
    <cellStyle name="Normal 5 7 6 4 2 2" xfId="38405"/>
    <cellStyle name="Normal 5 7 6 4 3" xfId="21114"/>
    <cellStyle name="Normal 5 7 6 4 3 2" xfId="43565"/>
    <cellStyle name="Normal 5 7 6 4 4" xfId="31773"/>
    <cellStyle name="Normal 5 7 6 5" xfId="11666"/>
    <cellStyle name="Normal 5 7 6 5 2" xfId="22196"/>
    <cellStyle name="Normal 5 7 6 5 2 2" xfId="44620"/>
    <cellStyle name="Normal 5 7 6 5 3" xfId="35089"/>
    <cellStyle name="Normal 5 7 6 6" xfId="19335"/>
    <cellStyle name="Normal 5 7 6 6 2" xfId="41888"/>
    <cellStyle name="Normal 5 7 6 7" xfId="28457"/>
    <cellStyle name="Normal 5 7 7" xfId="4174"/>
    <cellStyle name="Normal 5 7 7 2" xfId="7138"/>
    <cellStyle name="Normal 5 7 7 2 2" xfId="10470"/>
    <cellStyle name="Normal 5 7 7 2 2 2" xfId="17174"/>
    <cellStyle name="Normal 5 7 7 2 2 2 2" xfId="40595"/>
    <cellStyle name="Normal 5 7 7 2 2 3" xfId="33963"/>
    <cellStyle name="Normal 5 7 7 2 3" xfId="13858"/>
    <cellStyle name="Normal 5 7 7 2 3 2" xfId="37279"/>
    <cellStyle name="Normal 5 7 7 2 4" xfId="20606"/>
    <cellStyle name="Normal 5 7 7 2 4 2" xfId="43057"/>
    <cellStyle name="Normal 5 7 7 2 5" xfId="30647"/>
    <cellStyle name="Normal 5 7 7 3" xfId="8805"/>
    <cellStyle name="Normal 5 7 7 3 2" xfId="15516"/>
    <cellStyle name="Normal 5 7 7 3 2 2" xfId="38937"/>
    <cellStyle name="Normal 5 7 7 3 3" xfId="21478"/>
    <cellStyle name="Normal 5 7 7 3 3 2" xfId="43929"/>
    <cellStyle name="Normal 5 7 7 3 4" xfId="32305"/>
    <cellStyle name="Normal 5 7 7 4" xfId="12198"/>
    <cellStyle name="Normal 5 7 7 4 2" xfId="22608"/>
    <cellStyle name="Normal 5 7 7 4 2 2" xfId="45030"/>
    <cellStyle name="Normal 5 7 7 4 3" xfId="35621"/>
    <cellStyle name="Normal 5 7 7 5" xfId="19767"/>
    <cellStyle name="Normal 5 7 7 5 2" xfId="42304"/>
    <cellStyle name="Normal 5 7 7 6" xfId="28989"/>
    <cellStyle name="Normal 5 7 8" xfId="6133"/>
    <cellStyle name="Normal 5 7 8 2" xfId="9467"/>
    <cellStyle name="Normal 5 7 8 2 2" xfId="16171"/>
    <cellStyle name="Normal 5 7 8 2 2 2" xfId="39592"/>
    <cellStyle name="Normal 5 7 8 2 3" xfId="32960"/>
    <cellStyle name="Normal 5 7 8 3" xfId="12855"/>
    <cellStyle name="Normal 5 7 8 3 2" xfId="36276"/>
    <cellStyle name="Normal 5 7 8 4" xfId="20508"/>
    <cellStyle name="Normal 5 7 8 4 2" xfId="42961"/>
    <cellStyle name="Normal 5 7 8 5" xfId="29644"/>
    <cellStyle name="Normal 5 7 9" xfId="7798"/>
    <cellStyle name="Normal 5 7 9 2" xfId="14513"/>
    <cellStyle name="Normal 5 7 9 2 2" xfId="37934"/>
    <cellStyle name="Normal 5 7 9 3" xfId="21019"/>
    <cellStyle name="Normal 5 7 9 3 2" xfId="43470"/>
    <cellStyle name="Normal 5 7 9 4" xfId="31302"/>
    <cellStyle name="Normal 5 8" xfId="1521"/>
    <cellStyle name="Normal 5 8 10" xfId="23762"/>
    <cellStyle name="Normal 5 8 10 2" xfId="46051"/>
    <cellStyle name="Normal 5 8 11" xfId="28051"/>
    <cellStyle name="Normal 5 8 2" xfId="1830"/>
    <cellStyle name="Normal 5 8 2 10" xfId="28182"/>
    <cellStyle name="Normal 5 8 2 2" xfId="2414"/>
    <cellStyle name="Normal 5 8 2 2 2" xfId="5652"/>
    <cellStyle name="Normal 5 8 2 2 2 2" xfId="7475"/>
    <cellStyle name="Normal 5 8 2 2 2 2 2" xfId="10806"/>
    <cellStyle name="Normal 5 8 2 2 2 2 2 2" xfId="17510"/>
    <cellStyle name="Normal 5 8 2 2 2 2 2 2 2" xfId="40931"/>
    <cellStyle name="Normal 5 8 2 2 2 2 2 3" xfId="23227"/>
    <cellStyle name="Normal 5 8 2 2 2 2 2 3 2" xfId="45649"/>
    <cellStyle name="Normal 5 8 2 2 2 2 2 4" xfId="34299"/>
    <cellStyle name="Normal 5 8 2 2 2 2 3" xfId="14194"/>
    <cellStyle name="Normal 5 8 2 2 2 2 3 2" xfId="37615"/>
    <cellStyle name="Normal 5 8 2 2 2 2 4" xfId="20402"/>
    <cellStyle name="Normal 5 8 2 2 2 2 4 2" xfId="42937"/>
    <cellStyle name="Normal 5 8 2 2 2 2 5" xfId="30983"/>
    <cellStyle name="Normal 5 8 2 2 2 3" xfId="9148"/>
    <cellStyle name="Normal 5 8 2 2 2 3 2" xfId="15852"/>
    <cellStyle name="Normal 5 8 2 2 2 3 2 2" xfId="39273"/>
    <cellStyle name="Normal 5 8 2 2 2 3 3" xfId="21496"/>
    <cellStyle name="Normal 5 8 2 2 2 3 3 2" xfId="43947"/>
    <cellStyle name="Normal 5 8 2 2 2 3 4" xfId="32641"/>
    <cellStyle name="Normal 5 8 2 2 2 4" xfId="12536"/>
    <cellStyle name="Normal 5 8 2 2 2 4 2" xfId="22415"/>
    <cellStyle name="Normal 5 8 2 2 2 4 2 2" xfId="44837"/>
    <cellStyle name="Normal 5 8 2 2 2 4 3" xfId="35957"/>
    <cellStyle name="Normal 5 8 2 2 2 5" xfId="19563"/>
    <cellStyle name="Normal 5 8 2 2 2 5 2" xfId="42105"/>
    <cellStyle name="Normal 5 8 2 2 2 6" xfId="29325"/>
    <cellStyle name="Normal 5 8 2 2 3" xfId="6574"/>
    <cellStyle name="Normal 5 8 2 2 3 2" xfId="9908"/>
    <cellStyle name="Normal 5 8 2 2 3 2 2" xfId="16612"/>
    <cellStyle name="Normal 5 8 2 2 3 2 2 2" xfId="40033"/>
    <cellStyle name="Normal 5 8 2 2 3 2 3" xfId="22822"/>
    <cellStyle name="Normal 5 8 2 2 3 2 3 2" xfId="45244"/>
    <cellStyle name="Normal 5 8 2 2 3 2 4" xfId="33401"/>
    <cellStyle name="Normal 5 8 2 2 3 3" xfId="13296"/>
    <cellStyle name="Normal 5 8 2 2 3 3 2" xfId="36717"/>
    <cellStyle name="Normal 5 8 2 2 3 4" xfId="19986"/>
    <cellStyle name="Normal 5 8 2 2 3 4 2" xfId="42521"/>
    <cellStyle name="Normal 5 8 2 2 3 5" xfId="30085"/>
    <cellStyle name="Normal 5 8 2 2 4" xfId="8241"/>
    <cellStyle name="Normal 5 8 2 2 4 2" xfId="14954"/>
    <cellStyle name="Normal 5 8 2 2 4 2 2" xfId="38375"/>
    <cellStyle name="Normal 5 8 2 2 4 3" xfId="21037"/>
    <cellStyle name="Normal 5 8 2 2 4 3 2" xfId="43488"/>
    <cellStyle name="Normal 5 8 2 2 4 4" xfId="31743"/>
    <cellStyle name="Normal 5 8 2 2 5" xfId="11636"/>
    <cellStyle name="Normal 5 8 2 2 5 2" xfId="21991"/>
    <cellStyle name="Normal 5 8 2 2 5 2 2" xfId="44423"/>
    <cellStyle name="Normal 5 8 2 2 5 3" xfId="35059"/>
    <cellStyle name="Normal 5 8 2 2 6" xfId="18857"/>
    <cellStyle name="Normal 5 8 2 2 6 2" xfId="41680"/>
    <cellStyle name="Normal 5 8 2 2 7" xfId="25994"/>
    <cellStyle name="Normal 5 8 2 2 7 2" xfId="48239"/>
    <cellStyle name="Normal 5 8 2 2 8" xfId="28427"/>
    <cellStyle name="Normal 5 8 2 3" xfId="2827"/>
    <cellStyle name="Normal 5 8 2 3 2" xfId="5919"/>
    <cellStyle name="Normal 5 8 2 3 2 2" xfId="7701"/>
    <cellStyle name="Normal 5 8 2 3 2 2 2" xfId="11030"/>
    <cellStyle name="Normal 5 8 2 3 2 2 2 2" xfId="17734"/>
    <cellStyle name="Normal 5 8 2 3 2 2 2 2 2" xfId="41155"/>
    <cellStyle name="Normal 5 8 2 3 2 2 2 3" xfId="34523"/>
    <cellStyle name="Normal 5 8 2 3 2 2 3" xfId="14418"/>
    <cellStyle name="Normal 5 8 2 3 2 2 3 2" xfId="37839"/>
    <cellStyle name="Normal 5 8 2 3 2 2 4" xfId="23022"/>
    <cellStyle name="Normal 5 8 2 3 2 2 4 2" xfId="45444"/>
    <cellStyle name="Normal 5 8 2 3 2 2 5" xfId="31207"/>
    <cellStyle name="Normal 5 8 2 3 2 3" xfId="9372"/>
    <cellStyle name="Normal 5 8 2 3 2 3 2" xfId="16076"/>
    <cellStyle name="Normal 5 8 2 3 2 3 2 2" xfId="39497"/>
    <cellStyle name="Normal 5 8 2 3 2 3 3" xfId="32865"/>
    <cellStyle name="Normal 5 8 2 3 2 4" xfId="12760"/>
    <cellStyle name="Normal 5 8 2 3 2 4 2" xfId="36181"/>
    <cellStyle name="Normal 5 8 2 3 2 5" xfId="20194"/>
    <cellStyle name="Normal 5 8 2 3 2 5 2" xfId="42729"/>
    <cellStyle name="Normal 5 8 2 3 2 6" xfId="29549"/>
    <cellStyle name="Normal 5 8 2 3 3" xfId="6802"/>
    <cellStyle name="Normal 5 8 2 3 3 2" xfId="10134"/>
    <cellStyle name="Normal 5 8 2 3 3 2 2" xfId="16838"/>
    <cellStyle name="Normal 5 8 2 3 3 2 2 2" xfId="40259"/>
    <cellStyle name="Normal 5 8 2 3 3 2 3" xfId="33627"/>
    <cellStyle name="Normal 5 8 2 3 3 3" xfId="13522"/>
    <cellStyle name="Normal 5 8 2 3 3 3 2" xfId="36943"/>
    <cellStyle name="Normal 5 8 2 3 3 4" xfId="21495"/>
    <cellStyle name="Normal 5 8 2 3 3 4 2" xfId="43946"/>
    <cellStyle name="Normal 5 8 2 3 3 5" xfId="30311"/>
    <cellStyle name="Normal 5 8 2 3 4" xfId="8468"/>
    <cellStyle name="Normal 5 8 2 3 4 2" xfId="15180"/>
    <cellStyle name="Normal 5 8 2 3 4 2 2" xfId="38601"/>
    <cellStyle name="Normal 5 8 2 3 4 3" xfId="22205"/>
    <cellStyle name="Normal 5 8 2 3 4 3 2" xfId="44629"/>
    <cellStyle name="Normal 5 8 2 3 4 4" xfId="31969"/>
    <cellStyle name="Normal 5 8 2 3 5" xfId="11862"/>
    <cellStyle name="Normal 5 8 2 3 5 2" xfId="35285"/>
    <cellStyle name="Normal 5 8 2 3 6" xfId="19344"/>
    <cellStyle name="Normal 5 8 2 3 6 2" xfId="41897"/>
    <cellStyle name="Normal 5 8 2 3 7" xfId="28653"/>
    <cellStyle name="Normal 5 8 2 4" xfId="4183"/>
    <cellStyle name="Normal 5 8 2 4 2" xfId="7147"/>
    <cellStyle name="Normal 5 8 2 4 2 2" xfId="10479"/>
    <cellStyle name="Normal 5 8 2 4 2 2 2" xfId="17183"/>
    <cellStyle name="Normal 5 8 2 4 2 2 2 2" xfId="40604"/>
    <cellStyle name="Normal 5 8 2 4 2 2 3" xfId="33972"/>
    <cellStyle name="Normal 5 8 2 4 2 3" xfId="13867"/>
    <cellStyle name="Normal 5 8 2 4 2 3 2" xfId="37288"/>
    <cellStyle name="Normal 5 8 2 4 2 4" xfId="22617"/>
    <cellStyle name="Normal 5 8 2 4 2 4 2" xfId="45039"/>
    <cellStyle name="Normal 5 8 2 4 2 5" xfId="30656"/>
    <cellStyle name="Normal 5 8 2 4 3" xfId="8814"/>
    <cellStyle name="Normal 5 8 2 4 3 2" xfId="15525"/>
    <cellStyle name="Normal 5 8 2 4 3 2 2" xfId="38946"/>
    <cellStyle name="Normal 5 8 2 4 3 3" xfId="32314"/>
    <cellStyle name="Normal 5 8 2 4 4" xfId="12207"/>
    <cellStyle name="Normal 5 8 2 4 4 2" xfId="35630"/>
    <cellStyle name="Normal 5 8 2 4 5" xfId="19776"/>
    <cellStyle name="Normal 5 8 2 4 5 2" xfId="42313"/>
    <cellStyle name="Normal 5 8 2 4 6" xfId="28998"/>
    <cellStyle name="Normal 5 8 2 5" xfId="6329"/>
    <cellStyle name="Normal 5 8 2 5 2" xfId="9663"/>
    <cellStyle name="Normal 5 8 2 5 2 2" xfId="16367"/>
    <cellStyle name="Normal 5 8 2 5 2 2 2" xfId="39788"/>
    <cellStyle name="Normal 5 8 2 5 2 3" xfId="33156"/>
    <cellStyle name="Normal 5 8 2 5 3" xfId="13051"/>
    <cellStyle name="Normal 5 8 2 5 3 2" xfId="36472"/>
    <cellStyle name="Normal 5 8 2 5 4" xfId="21036"/>
    <cellStyle name="Normal 5 8 2 5 4 2" xfId="43487"/>
    <cellStyle name="Normal 5 8 2 5 5" xfId="29840"/>
    <cellStyle name="Normal 5 8 2 6" xfId="7995"/>
    <cellStyle name="Normal 5 8 2 6 2" xfId="14709"/>
    <cellStyle name="Normal 5 8 2 6 2 2" xfId="38130"/>
    <cellStyle name="Normal 5 8 2 6 3" xfId="21767"/>
    <cellStyle name="Normal 5 8 2 6 3 2" xfId="44216"/>
    <cellStyle name="Normal 5 8 2 6 4" xfId="31498"/>
    <cellStyle name="Normal 5 8 2 7" xfId="11391"/>
    <cellStyle name="Normal 5 8 2 7 2" xfId="34814"/>
    <cellStyle name="Normal 5 8 2 8" xfId="18157"/>
    <cellStyle name="Normal 5 8 2 8 2" xfId="41445"/>
    <cellStyle name="Normal 5 8 2 9" xfId="23763"/>
    <cellStyle name="Normal 5 8 2 9 2" xfId="46052"/>
    <cellStyle name="Normal 5 8 3" xfId="2413"/>
    <cellStyle name="Normal 5 8 3 2" xfId="5651"/>
    <cellStyle name="Normal 5 8 3 2 2" xfId="7474"/>
    <cellStyle name="Normal 5 8 3 2 2 2" xfId="10805"/>
    <cellStyle name="Normal 5 8 3 2 2 2 2" xfId="17509"/>
    <cellStyle name="Normal 5 8 3 2 2 2 2 2" xfId="40930"/>
    <cellStyle name="Normal 5 8 3 2 2 2 3" xfId="23226"/>
    <cellStyle name="Normal 5 8 3 2 2 2 3 2" xfId="45648"/>
    <cellStyle name="Normal 5 8 3 2 2 2 4" xfId="34298"/>
    <cellStyle name="Normal 5 8 3 2 2 3" xfId="14193"/>
    <cellStyle name="Normal 5 8 3 2 2 3 2" xfId="37614"/>
    <cellStyle name="Normal 5 8 3 2 2 4" xfId="20401"/>
    <cellStyle name="Normal 5 8 3 2 2 4 2" xfId="42936"/>
    <cellStyle name="Normal 5 8 3 2 2 5" xfId="30982"/>
    <cellStyle name="Normal 5 8 3 2 3" xfId="9147"/>
    <cellStyle name="Normal 5 8 3 2 3 2" xfId="15851"/>
    <cellStyle name="Normal 5 8 3 2 3 2 2" xfId="39272"/>
    <cellStyle name="Normal 5 8 3 2 3 3" xfId="21497"/>
    <cellStyle name="Normal 5 8 3 2 3 3 2" xfId="43948"/>
    <cellStyle name="Normal 5 8 3 2 3 4" xfId="32640"/>
    <cellStyle name="Normal 5 8 3 2 4" xfId="12535"/>
    <cellStyle name="Normal 5 8 3 2 4 2" xfId="22414"/>
    <cellStyle name="Normal 5 8 3 2 4 2 2" xfId="44836"/>
    <cellStyle name="Normal 5 8 3 2 4 3" xfId="35956"/>
    <cellStyle name="Normal 5 8 3 2 5" xfId="19562"/>
    <cellStyle name="Normal 5 8 3 2 5 2" xfId="42104"/>
    <cellStyle name="Normal 5 8 3 2 6" xfId="29324"/>
    <cellStyle name="Normal 5 8 3 3" xfId="6573"/>
    <cellStyle name="Normal 5 8 3 3 2" xfId="9907"/>
    <cellStyle name="Normal 5 8 3 3 2 2" xfId="16611"/>
    <cellStyle name="Normal 5 8 3 3 2 2 2" xfId="40032"/>
    <cellStyle name="Normal 5 8 3 3 2 3" xfId="22821"/>
    <cellStyle name="Normal 5 8 3 3 2 3 2" xfId="45243"/>
    <cellStyle name="Normal 5 8 3 3 2 4" xfId="33400"/>
    <cellStyle name="Normal 5 8 3 3 3" xfId="13295"/>
    <cellStyle name="Normal 5 8 3 3 3 2" xfId="36716"/>
    <cellStyle name="Normal 5 8 3 3 4" xfId="19985"/>
    <cellStyle name="Normal 5 8 3 3 4 2" xfId="42520"/>
    <cellStyle name="Normal 5 8 3 3 5" xfId="30084"/>
    <cellStyle name="Normal 5 8 3 4" xfId="8240"/>
    <cellStyle name="Normal 5 8 3 4 2" xfId="14953"/>
    <cellStyle name="Normal 5 8 3 4 2 2" xfId="38374"/>
    <cellStyle name="Normal 5 8 3 4 3" xfId="21038"/>
    <cellStyle name="Normal 5 8 3 4 3 2" xfId="43489"/>
    <cellStyle name="Normal 5 8 3 4 4" xfId="31742"/>
    <cellStyle name="Normal 5 8 3 5" xfId="11635"/>
    <cellStyle name="Normal 5 8 3 5 2" xfId="21990"/>
    <cellStyle name="Normal 5 8 3 5 2 2" xfId="44422"/>
    <cellStyle name="Normal 5 8 3 5 3" xfId="35058"/>
    <cellStyle name="Normal 5 8 3 6" xfId="18856"/>
    <cellStyle name="Normal 5 8 3 6 2" xfId="41679"/>
    <cellStyle name="Normal 5 8 3 7" xfId="25993"/>
    <cellStyle name="Normal 5 8 3 7 2" xfId="48238"/>
    <cellStyle name="Normal 5 8 3 8" xfId="28426"/>
    <cellStyle name="Normal 5 8 4" xfId="2695"/>
    <cellStyle name="Normal 5 8 4 2" xfId="5788"/>
    <cellStyle name="Normal 5 8 4 2 2" xfId="7570"/>
    <cellStyle name="Normal 5 8 4 2 2 2" xfId="10899"/>
    <cellStyle name="Normal 5 8 4 2 2 2 2" xfId="17603"/>
    <cellStyle name="Normal 5 8 4 2 2 2 2 2" xfId="41024"/>
    <cellStyle name="Normal 5 8 4 2 2 2 3" xfId="34392"/>
    <cellStyle name="Normal 5 8 4 2 2 3" xfId="14287"/>
    <cellStyle name="Normal 5 8 4 2 2 3 2" xfId="37708"/>
    <cellStyle name="Normal 5 8 4 2 2 4" xfId="23021"/>
    <cellStyle name="Normal 5 8 4 2 2 4 2" xfId="45443"/>
    <cellStyle name="Normal 5 8 4 2 2 5" xfId="31076"/>
    <cellStyle name="Normal 5 8 4 2 3" xfId="9241"/>
    <cellStyle name="Normal 5 8 4 2 3 2" xfId="15945"/>
    <cellStyle name="Normal 5 8 4 2 3 2 2" xfId="39366"/>
    <cellStyle name="Normal 5 8 4 2 3 3" xfId="32734"/>
    <cellStyle name="Normal 5 8 4 2 4" xfId="12629"/>
    <cellStyle name="Normal 5 8 4 2 4 2" xfId="36050"/>
    <cellStyle name="Normal 5 8 4 2 5" xfId="20193"/>
    <cellStyle name="Normal 5 8 4 2 5 2" xfId="42728"/>
    <cellStyle name="Normal 5 8 4 2 6" xfId="29418"/>
    <cellStyle name="Normal 5 8 4 3" xfId="6671"/>
    <cellStyle name="Normal 5 8 4 3 2" xfId="10003"/>
    <cellStyle name="Normal 5 8 4 3 2 2" xfId="16707"/>
    <cellStyle name="Normal 5 8 4 3 2 2 2" xfId="40128"/>
    <cellStyle name="Normal 5 8 4 3 2 3" xfId="33496"/>
    <cellStyle name="Normal 5 8 4 3 3" xfId="13391"/>
    <cellStyle name="Normal 5 8 4 3 3 2" xfId="36812"/>
    <cellStyle name="Normal 5 8 4 3 4" xfId="21494"/>
    <cellStyle name="Normal 5 8 4 3 4 2" xfId="43945"/>
    <cellStyle name="Normal 5 8 4 3 5" xfId="30180"/>
    <cellStyle name="Normal 5 8 4 4" xfId="8337"/>
    <cellStyle name="Normal 5 8 4 4 2" xfId="15049"/>
    <cellStyle name="Normal 5 8 4 4 2 2" xfId="38470"/>
    <cellStyle name="Normal 5 8 4 4 3" xfId="22204"/>
    <cellStyle name="Normal 5 8 4 4 3 2" xfId="44628"/>
    <cellStyle name="Normal 5 8 4 4 4" xfId="31838"/>
    <cellStyle name="Normal 5 8 4 5" xfId="11731"/>
    <cellStyle name="Normal 5 8 4 5 2" xfId="35154"/>
    <cellStyle name="Normal 5 8 4 6" xfId="19343"/>
    <cellStyle name="Normal 5 8 4 6 2" xfId="41896"/>
    <cellStyle name="Normal 5 8 4 7" xfId="28522"/>
    <cellStyle name="Normal 5 8 5" xfId="4182"/>
    <cellStyle name="Normal 5 8 5 2" xfId="7146"/>
    <cellStyle name="Normal 5 8 5 2 2" xfId="10478"/>
    <cellStyle name="Normal 5 8 5 2 2 2" xfId="17182"/>
    <cellStyle name="Normal 5 8 5 2 2 2 2" xfId="40603"/>
    <cellStyle name="Normal 5 8 5 2 2 3" xfId="33971"/>
    <cellStyle name="Normal 5 8 5 2 3" xfId="13866"/>
    <cellStyle name="Normal 5 8 5 2 3 2" xfId="37287"/>
    <cellStyle name="Normal 5 8 5 2 4" xfId="22616"/>
    <cellStyle name="Normal 5 8 5 2 4 2" xfId="45038"/>
    <cellStyle name="Normal 5 8 5 2 5" xfId="30655"/>
    <cellStyle name="Normal 5 8 5 3" xfId="8813"/>
    <cellStyle name="Normal 5 8 5 3 2" xfId="15524"/>
    <cellStyle name="Normal 5 8 5 3 2 2" xfId="38945"/>
    <cellStyle name="Normal 5 8 5 3 3" xfId="32313"/>
    <cellStyle name="Normal 5 8 5 4" xfId="12206"/>
    <cellStyle name="Normal 5 8 5 4 2" xfId="35629"/>
    <cellStyle name="Normal 5 8 5 5" xfId="19775"/>
    <cellStyle name="Normal 5 8 5 5 2" xfId="42312"/>
    <cellStyle name="Normal 5 8 5 6" xfId="28997"/>
    <cellStyle name="Normal 5 8 6" xfId="6198"/>
    <cellStyle name="Normal 5 8 6 2" xfId="9532"/>
    <cellStyle name="Normal 5 8 6 2 2" xfId="16236"/>
    <cellStyle name="Normal 5 8 6 2 2 2" xfId="39657"/>
    <cellStyle name="Normal 5 8 6 2 3" xfId="33025"/>
    <cellStyle name="Normal 5 8 6 3" xfId="12920"/>
    <cellStyle name="Normal 5 8 6 3 2" xfId="36341"/>
    <cellStyle name="Normal 5 8 6 4" xfId="21035"/>
    <cellStyle name="Normal 5 8 6 4 2" xfId="43486"/>
    <cellStyle name="Normal 5 8 6 5" xfId="29709"/>
    <cellStyle name="Normal 5 8 7" xfId="7864"/>
    <cellStyle name="Normal 5 8 7 2" xfId="14578"/>
    <cellStyle name="Normal 5 8 7 2 2" xfId="37999"/>
    <cellStyle name="Normal 5 8 7 3" xfId="21766"/>
    <cellStyle name="Normal 5 8 7 3 2" xfId="44215"/>
    <cellStyle name="Normal 5 8 7 4" xfId="31367"/>
    <cellStyle name="Normal 5 8 8" xfId="11260"/>
    <cellStyle name="Normal 5 8 8 2" xfId="34683"/>
    <cellStyle name="Normal 5 8 9" xfId="18156"/>
    <cellStyle name="Normal 5 8 9 2" xfId="41444"/>
    <cellStyle name="Normal 5 9" xfId="6116"/>
    <cellStyle name="Normal 5 9 2" xfId="7781"/>
    <cellStyle name="Normal 5 9 2 2" xfId="11110"/>
    <cellStyle name="Normal 5 9 2 2 2" xfId="17814"/>
    <cellStyle name="Normal 5 9 2 2 2 2" xfId="41235"/>
    <cellStyle name="Normal 5 9 2 2 3" xfId="34603"/>
    <cellStyle name="Normal 5 9 2 3" xfId="14498"/>
    <cellStyle name="Normal 5 9 2 3 2" xfId="37919"/>
    <cellStyle name="Normal 5 9 2 4" xfId="31287"/>
    <cellStyle name="Normal 5 9 3" xfId="9452"/>
    <cellStyle name="Normal 5 9 3 2" xfId="16156"/>
    <cellStyle name="Normal 5 9 3 2 2" xfId="39577"/>
    <cellStyle name="Normal 5 9 3 3" xfId="32945"/>
    <cellStyle name="Normal 5 9 4" xfId="12840"/>
    <cellStyle name="Normal 5 9 4 2" xfId="36261"/>
    <cellStyle name="Normal 5 9 5" xfId="18824"/>
    <cellStyle name="Normal 5 9 6" xfId="29629"/>
    <cellStyle name="Normal 50" xfId="812"/>
    <cellStyle name="Normal 50 2" xfId="4184"/>
    <cellStyle name="Normal 50 2 2" xfId="4185"/>
    <cellStyle name="Normal 50 3" xfId="4186"/>
    <cellStyle name="Normal 50 4" xfId="4187"/>
    <cellStyle name="Normal 51" xfId="816"/>
    <cellStyle name="Normal 51 2" xfId="4188"/>
    <cellStyle name="Normal 51 2 2" xfId="4189"/>
    <cellStyle name="Normal 51 3" xfId="4190"/>
    <cellStyle name="Normal 51 4" xfId="4191"/>
    <cellStyle name="Normal 52" xfId="813"/>
    <cellStyle name="Normal 52 2" xfId="4192"/>
    <cellStyle name="Normal 52 2 2" xfId="4193"/>
    <cellStyle name="Normal 52 3" xfId="4194"/>
    <cellStyle name="Normal 52 4" xfId="4195"/>
    <cellStyle name="Normal 53" xfId="815"/>
    <cellStyle name="Normal 53 2" xfId="4196"/>
    <cellStyle name="Normal 53 2 2" xfId="4197"/>
    <cellStyle name="Normal 53 3" xfId="4198"/>
    <cellStyle name="Normal 53 4" xfId="4199"/>
    <cellStyle name="Normal 54" xfId="814"/>
    <cellStyle name="Normal 54 2" xfId="4200"/>
    <cellStyle name="Normal 54 2 2" xfId="4201"/>
    <cellStyle name="Normal 54 3" xfId="4202"/>
    <cellStyle name="Normal 54 4" xfId="4203"/>
    <cellStyle name="Normal 55" xfId="817"/>
    <cellStyle name="Normal 55 2" xfId="4204"/>
    <cellStyle name="Normal 55 2 2" xfId="4205"/>
    <cellStyle name="Normal 55 3" xfId="4206"/>
    <cellStyle name="Normal 55 4" xfId="4207"/>
    <cellStyle name="Normal 56" xfId="822"/>
    <cellStyle name="Normal 56 2" xfId="4208"/>
    <cellStyle name="Normal 56 2 2" xfId="4209"/>
    <cellStyle name="Normal 56 3" xfId="4210"/>
    <cellStyle name="Normal 56 4" xfId="4211"/>
    <cellStyle name="Normal 57" xfId="818"/>
    <cellStyle name="Normal 57 2" xfId="4212"/>
    <cellStyle name="Normal 57 2 2" xfId="4213"/>
    <cellStyle name="Normal 57 3" xfId="4214"/>
    <cellStyle name="Normal 57 4" xfId="4215"/>
    <cellStyle name="Normal 58" xfId="821"/>
    <cellStyle name="Normal 58 2" xfId="4216"/>
    <cellStyle name="Normal 58 2 2" xfId="4217"/>
    <cellStyle name="Normal 58 2 3" xfId="18858"/>
    <cellStyle name="Normal 58 3" xfId="4218"/>
    <cellStyle name="Normal 58 4" xfId="4219"/>
    <cellStyle name="Normal 59" xfId="819"/>
    <cellStyle name="Normal 59 2" xfId="4220"/>
    <cellStyle name="Normal 6" xfId="573"/>
    <cellStyle name="Normal 6 2" xfId="574"/>
    <cellStyle name="Normal 6 2 2" xfId="919"/>
    <cellStyle name="Normal 6 2 2 2" xfId="920"/>
    <cellStyle name="Normal 6 2 2 2 2" xfId="18861"/>
    <cellStyle name="Normal 6 2 2 3" xfId="18860"/>
    <cellStyle name="Normal 6 2 3" xfId="921"/>
    <cellStyle name="Normal 6 2 3 2" xfId="18862"/>
    <cellStyle name="Normal 6 2 4" xfId="5244"/>
    <cellStyle name="Normal 6 2 4 2" xfId="18859"/>
    <cellStyle name="Normal 6 3" xfId="575"/>
    <cellStyle name="Normal 6 3 2" xfId="922"/>
    <cellStyle name="Normal 6 3 2 2" xfId="4222"/>
    <cellStyle name="Normal 6 3 2 3" xfId="4221"/>
    <cellStyle name="Normal 6 3 3" xfId="4223"/>
    <cellStyle name="Normal 6 4" xfId="923"/>
    <cellStyle name="Normal 6 4 2" xfId="4224"/>
    <cellStyle name="Normal 6 5" xfId="924"/>
    <cellStyle name="Normal 6 5 2" xfId="18863"/>
    <cellStyle name="Normal 6 6" xfId="1200"/>
    <cellStyle name="Normal 6 6 2" xfId="18864"/>
    <cellStyle name="Normal 6 7" xfId="1682"/>
    <cellStyle name="Normal 6 7 2" xfId="5166"/>
    <cellStyle name="Normal 6 7 2 2" xfId="18865"/>
    <cellStyle name="Normal 6 8" xfId="1681"/>
    <cellStyle name="Normal 60" xfId="820"/>
    <cellStyle name="Normal 60 2" xfId="4225"/>
    <cellStyle name="Normal 61" xfId="823"/>
    <cellStyle name="Normal 61 2" xfId="4226"/>
    <cellStyle name="Normal 62" xfId="824"/>
    <cellStyle name="Normal 62 2" xfId="4227"/>
    <cellStyle name="Normal 63" xfId="825"/>
    <cellStyle name="Normal 63 2" xfId="4228"/>
    <cellStyle name="Normal 64" xfId="826"/>
    <cellStyle name="Normal 64 2" xfId="4229"/>
    <cellStyle name="Normal 64 2 10" xfId="28999"/>
    <cellStyle name="Normal 64 2 2" xfId="4230"/>
    <cellStyle name="Normal 64 2 2 2" xfId="7149"/>
    <cellStyle name="Normal 64 2 2 2 2" xfId="10481"/>
    <cellStyle name="Normal 64 2 2 2 2 2" xfId="17185"/>
    <cellStyle name="Normal 64 2 2 2 2 2 2" xfId="27215"/>
    <cellStyle name="Normal 64 2 2 2 2 2 2 2" xfId="49460"/>
    <cellStyle name="Normal 64 2 2 2 2 2 3" xfId="25002"/>
    <cellStyle name="Normal 64 2 2 2 2 2 3 2" xfId="47247"/>
    <cellStyle name="Normal 64 2 2 2 2 2 4" xfId="40606"/>
    <cellStyle name="Normal 64 2 2 2 2 3" xfId="25582"/>
    <cellStyle name="Normal 64 2 2 2 2 3 2" xfId="27887"/>
    <cellStyle name="Normal 64 2 2 2 2 3 2 2" xfId="50132"/>
    <cellStyle name="Normal 64 2 2 2 2 3 3" xfId="47827"/>
    <cellStyle name="Normal 64 2 2 2 2 4" xfId="26541"/>
    <cellStyle name="Normal 64 2 2 2 2 4 2" xfId="48786"/>
    <cellStyle name="Normal 64 2 2 2 2 5" xfId="24337"/>
    <cellStyle name="Normal 64 2 2 2 2 5 2" xfId="46583"/>
    <cellStyle name="Normal 64 2 2 2 2 6" xfId="33974"/>
    <cellStyle name="Normal 64 2 2 2 3" xfId="13869"/>
    <cellStyle name="Normal 64 2 2 2 3 2" xfId="26883"/>
    <cellStyle name="Normal 64 2 2 2 3 2 2" xfId="49128"/>
    <cellStyle name="Normal 64 2 2 2 3 3" xfId="24670"/>
    <cellStyle name="Normal 64 2 2 2 3 3 2" xfId="46915"/>
    <cellStyle name="Normal 64 2 2 2 3 4" xfId="37290"/>
    <cellStyle name="Normal 64 2 2 2 4" xfId="25246"/>
    <cellStyle name="Normal 64 2 2 2 4 2" xfId="27551"/>
    <cellStyle name="Normal 64 2 2 2 4 2 2" xfId="49796"/>
    <cellStyle name="Normal 64 2 2 2 4 3" xfId="47491"/>
    <cellStyle name="Normal 64 2 2 2 5" xfId="26212"/>
    <cellStyle name="Normal 64 2 2 2 5 2" xfId="48457"/>
    <cellStyle name="Normal 64 2 2 2 6" xfId="24021"/>
    <cellStyle name="Normal 64 2 2 2 6 2" xfId="46267"/>
    <cellStyle name="Normal 64 2 2 2 7" xfId="30658"/>
    <cellStyle name="Normal 64 2 2 3" xfId="8816"/>
    <cellStyle name="Normal 64 2 2 3 2" xfId="15527"/>
    <cellStyle name="Normal 64 2 2 3 2 2" xfId="27049"/>
    <cellStyle name="Normal 64 2 2 3 2 2 2" xfId="49294"/>
    <cellStyle name="Normal 64 2 2 3 2 3" xfId="24836"/>
    <cellStyle name="Normal 64 2 2 3 2 3 2" xfId="47081"/>
    <cellStyle name="Normal 64 2 2 3 2 4" xfId="38948"/>
    <cellStyle name="Normal 64 2 2 3 3" xfId="25414"/>
    <cellStyle name="Normal 64 2 2 3 3 2" xfId="27719"/>
    <cellStyle name="Normal 64 2 2 3 3 2 2" xfId="49964"/>
    <cellStyle name="Normal 64 2 2 3 3 3" xfId="47659"/>
    <cellStyle name="Normal 64 2 2 3 4" xfId="26376"/>
    <cellStyle name="Normal 64 2 2 3 4 2" xfId="48621"/>
    <cellStyle name="Normal 64 2 2 3 5" xfId="24172"/>
    <cellStyle name="Normal 64 2 2 3 5 2" xfId="46418"/>
    <cellStyle name="Normal 64 2 2 3 6" xfId="32316"/>
    <cellStyle name="Normal 64 2 2 4" xfId="12209"/>
    <cellStyle name="Normal 64 2 2 4 2" xfId="26717"/>
    <cellStyle name="Normal 64 2 2 4 2 2" xfId="48962"/>
    <cellStyle name="Normal 64 2 2 4 3" xfId="24504"/>
    <cellStyle name="Normal 64 2 2 4 3 2" xfId="46749"/>
    <cellStyle name="Normal 64 2 2 4 4" xfId="35632"/>
    <cellStyle name="Normal 64 2 2 5" xfId="23765"/>
    <cellStyle name="Normal 64 2 2 5 2" xfId="27383"/>
    <cellStyle name="Normal 64 2 2 5 2 2" xfId="49628"/>
    <cellStyle name="Normal 64 2 2 5 3" xfId="46054"/>
    <cellStyle name="Normal 64 2 2 6" xfId="25996"/>
    <cellStyle name="Normal 64 2 2 6 2" xfId="48241"/>
    <cellStyle name="Normal 64 2 2 7" xfId="29000"/>
    <cellStyle name="Normal 64 2 3" xfId="4231"/>
    <cellStyle name="Normal 64 2 3 2" xfId="7150"/>
    <cellStyle name="Normal 64 2 3 2 2" xfId="10482"/>
    <cellStyle name="Normal 64 2 3 2 2 2" xfId="17186"/>
    <cellStyle name="Normal 64 2 3 2 2 2 2" xfId="27175"/>
    <cellStyle name="Normal 64 2 3 2 2 2 2 2" xfId="49420"/>
    <cellStyle name="Normal 64 2 3 2 2 2 3" xfId="24962"/>
    <cellStyle name="Normal 64 2 3 2 2 2 3 2" xfId="47207"/>
    <cellStyle name="Normal 64 2 3 2 2 2 4" xfId="40607"/>
    <cellStyle name="Normal 64 2 3 2 2 3" xfId="25540"/>
    <cellStyle name="Normal 64 2 3 2 2 3 2" xfId="27845"/>
    <cellStyle name="Normal 64 2 3 2 2 3 2 2" xfId="50090"/>
    <cellStyle name="Normal 64 2 3 2 2 3 3" xfId="47785"/>
    <cellStyle name="Normal 64 2 3 2 2 4" xfId="26501"/>
    <cellStyle name="Normal 64 2 3 2 2 4 2" xfId="48746"/>
    <cellStyle name="Normal 64 2 3 2 2 5" xfId="24297"/>
    <cellStyle name="Normal 64 2 3 2 2 5 2" xfId="46543"/>
    <cellStyle name="Normal 64 2 3 2 2 6" xfId="33975"/>
    <cellStyle name="Normal 64 2 3 2 3" xfId="13870"/>
    <cellStyle name="Normal 64 2 3 2 3 2" xfId="26843"/>
    <cellStyle name="Normal 64 2 3 2 3 2 2" xfId="49088"/>
    <cellStyle name="Normal 64 2 3 2 3 3" xfId="24630"/>
    <cellStyle name="Normal 64 2 3 2 3 3 2" xfId="46875"/>
    <cellStyle name="Normal 64 2 3 2 3 4" xfId="37291"/>
    <cellStyle name="Normal 64 2 3 2 4" xfId="25204"/>
    <cellStyle name="Normal 64 2 3 2 4 2" xfId="27509"/>
    <cellStyle name="Normal 64 2 3 2 4 2 2" xfId="49754"/>
    <cellStyle name="Normal 64 2 3 2 4 3" xfId="47449"/>
    <cellStyle name="Normal 64 2 3 2 5" xfId="26172"/>
    <cellStyle name="Normal 64 2 3 2 5 2" xfId="48417"/>
    <cellStyle name="Normal 64 2 3 2 6" xfId="23981"/>
    <cellStyle name="Normal 64 2 3 2 6 2" xfId="46227"/>
    <cellStyle name="Normal 64 2 3 2 7" xfId="30659"/>
    <cellStyle name="Normal 64 2 3 3" xfId="8817"/>
    <cellStyle name="Normal 64 2 3 3 2" xfId="15528"/>
    <cellStyle name="Normal 64 2 3 3 2 2" xfId="27009"/>
    <cellStyle name="Normal 64 2 3 3 2 2 2" xfId="49254"/>
    <cellStyle name="Normal 64 2 3 3 2 3" xfId="24796"/>
    <cellStyle name="Normal 64 2 3 3 2 3 2" xfId="47041"/>
    <cellStyle name="Normal 64 2 3 3 2 4" xfId="38949"/>
    <cellStyle name="Normal 64 2 3 3 3" xfId="25372"/>
    <cellStyle name="Normal 64 2 3 3 3 2" xfId="27677"/>
    <cellStyle name="Normal 64 2 3 3 3 2 2" xfId="49922"/>
    <cellStyle name="Normal 64 2 3 3 3 3" xfId="47617"/>
    <cellStyle name="Normal 64 2 3 3 4" xfId="26336"/>
    <cellStyle name="Normal 64 2 3 3 4 2" xfId="48581"/>
    <cellStyle name="Normal 64 2 3 3 5" xfId="24132"/>
    <cellStyle name="Normal 64 2 3 3 5 2" xfId="46378"/>
    <cellStyle name="Normal 64 2 3 3 6" xfId="32317"/>
    <cellStyle name="Normal 64 2 3 4" xfId="12210"/>
    <cellStyle name="Normal 64 2 3 4 2" xfId="26677"/>
    <cellStyle name="Normal 64 2 3 4 2 2" xfId="48922"/>
    <cellStyle name="Normal 64 2 3 4 3" xfId="24464"/>
    <cellStyle name="Normal 64 2 3 4 3 2" xfId="46709"/>
    <cellStyle name="Normal 64 2 3 4 4" xfId="35633"/>
    <cellStyle name="Normal 64 2 3 5" xfId="23766"/>
    <cellStyle name="Normal 64 2 3 5 2" xfId="27341"/>
    <cellStyle name="Normal 64 2 3 5 2 2" xfId="49586"/>
    <cellStyle name="Normal 64 2 3 5 3" xfId="46055"/>
    <cellStyle name="Normal 64 2 3 6" xfId="25997"/>
    <cellStyle name="Normal 64 2 3 6 2" xfId="48242"/>
    <cellStyle name="Normal 64 2 3 7" xfId="29001"/>
    <cellStyle name="Normal 64 2 4" xfId="7148"/>
    <cellStyle name="Normal 64 2 4 2" xfId="10480"/>
    <cellStyle name="Normal 64 2 4 2 2" xfId="17184"/>
    <cellStyle name="Normal 64 2 4 2 2 2" xfId="25044"/>
    <cellStyle name="Normal 64 2 4 2 2 2 2" xfId="27257"/>
    <cellStyle name="Normal 64 2 4 2 2 2 2 2" xfId="49502"/>
    <cellStyle name="Normal 64 2 4 2 2 2 3" xfId="47289"/>
    <cellStyle name="Normal 64 2 4 2 2 3" xfId="25624"/>
    <cellStyle name="Normal 64 2 4 2 2 3 2" xfId="27929"/>
    <cellStyle name="Normal 64 2 4 2 2 3 2 2" xfId="50174"/>
    <cellStyle name="Normal 64 2 4 2 2 3 3" xfId="47869"/>
    <cellStyle name="Normal 64 2 4 2 2 4" xfId="26583"/>
    <cellStyle name="Normal 64 2 4 2 2 4 2" xfId="48828"/>
    <cellStyle name="Normal 64 2 4 2 2 5" xfId="24379"/>
    <cellStyle name="Normal 64 2 4 2 2 5 2" xfId="46625"/>
    <cellStyle name="Normal 64 2 4 2 2 6" xfId="40605"/>
    <cellStyle name="Normal 64 2 4 2 3" xfId="24712"/>
    <cellStyle name="Normal 64 2 4 2 3 2" xfId="26925"/>
    <cellStyle name="Normal 64 2 4 2 3 2 2" xfId="49170"/>
    <cellStyle name="Normal 64 2 4 2 3 3" xfId="46957"/>
    <cellStyle name="Normal 64 2 4 2 4" xfId="25288"/>
    <cellStyle name="Normal 64 2 4 2 4 2" xfId="27593"/>
    <cellStyle name="Normal 64 2 4 2 4 2 2" xfId="49838"/>
    <cellStyle name="Normal 64 2 4 2 4 3" xfId="47533"/>
    <cellStyle name="Normal 64 2 4 2 5" xfId="26253"/>
    <cellStyle name="Normal 64 2 4 2 5 2" xfId="48498"/>
    <cellStyle name="Normal 64 2 4 2 6" xfId="24062"/>
    <cellStyle name="Normal 64 2 4 2 6 2" xfId="46308"/>
    <cellStyle name="Normal 64 2 4 2 7" xfId="33973"/>
    <cellStyle name="Normal 64 2 4 3" xfId="13868"/>
    <cellStyle name="Normal 64 2 4 3 2" xfId="24878"/>
    <cellStyle name="Normal 64 2 4 3 2 2" xfId="27091"/>
    <cellStyle name="Normal 64 2 4 3 2 2 2" xfId="49336"/>
    <cellStyle name="Normal 64 2 4 3 2 3" xfId="47123"/>
    <cellStyle name="Normal 64 2 4 3 3" xfId="25456"/>
    <cellStyle name="Normal 64 2 4 3 3 2" xfId="27761"/>
    <cellStyle name="Normal 64 2 4 3 3 2 2" xfId="50006"/>
    <cellStyle name="Normal 64 2 4 3 3 3" xfId="47701"/>
    <cellStyle name="Normal 64 2 4 3 4" xfId="26418"/>
    <cellStyle name="Normal 64 2 4 3 4 2" xfId="48663"/>
    <cellStyle name="Normal 64 2 4 3 5" xfId="24214"/>
    <cellStyle name="Normal 64 2 4 3 5 2" xfId="46460"/>
    <cellStyle name="Normal 64 2 4 3 6" xfId="37289"/>
    <cellStyle name="Normal 64 2 4 4" xfId="24546"/>
    <cellStyle name="Normal 64 2 4 4 2" xfId="26759"/>
    <cellStyle name="Normal 64 2 4 4 2 2" xfId="49004"/>
    <cellStyle name="Normal 64 2 4 4 3" xfId="46791"/>
    <cellStyle name="Normal 64 2 4 5" xfId="25120"/>
    <cellStyle name="Normal 64 2 4 5 2" xfId="27425"/>
    <cellStyle name="Normal 64 2 4 5 2 2" xfId="49670"/>
    <cellStyle name="Normal 64 2 4 5 3" xfId="47365"/>
    <cellStyle name="Normal 64 2 4 6" xfId="26100"/>
    <cellStyle name="Normal 64 2 4 6 2" xfId="48345"/>
    <cellStyle name="Normal 64 2 4 7" xfId="23909"/>
    <cellStyle name="Normal 64 2 4 7 2" xfId="46155"/>
    <cellStyle name="Normal 64 2 4 8" xfId="30657"/>
    <cellStyle name="Normal 64 2 5" xfId="8815"/>
    <cellStyle name="Normal 64 2 5 2" xfId="15526"/>
    <cellStyle name="Normal 64 2 5 2 2" xfId="24920"/>
    <cellStyle name="Normal 64 2 5 2 2 2" xfId="27133"/>
    <cellStyle name="Normal 64 2 5 2 2 2 2" xfId="49378"/>
    <cellStyle name="Normal 64 2 5 2 2 3" xfId="47165"/>
    <cellStyle name="Normal 64 2 5 2 3" xfId="25498"/>
    <cellStyle name="Normal 64 2 5 2 3 2" xfId="27803"/>
    <cellStyle name="Normal 64 2 5 2 3 2 2" xfId="50048"/>
    <cellStyle name="Normal 64 2 5 2 3 3" xfId="47743"/>
    <cellStyle name="Normal 64 2 5 2 4" xfId="26460"/>
    <cellStyle name="Normal 64 2 5 2 4 2" xfId="48705"/>
    <cellStyle name="Normal 64 2 5 2 5" xfId="24256"/>
    <cellStyle name="Normal 64 2 5 2 5 2" xfId="46502"/>
    <cellStyle name="Normal 64 2 5 2 6" xfId="38947"/>
    <cellStyle name="Normal 64 2 5 3" xfId="24588"/>
    <cellStyle name="Normal 64 2 5 3 2" xfId="26801"/>
    <cellStyle name="Normal 64 2 5 3 2 2" xfId="49046"/>
    <cellStyle name="Normal 64 2 5 3 3" xfId="46833"/>
    <cellStyle name="Normal 64 2 5 4" xfId="25162"/>
    <cellStyle name="Normal 64 2 5 4 2" xfId="27467"/>
    <cellStyle name="Normal 64 2 5 4 2 2" xfId="49712"/>
    <cellStyle name="Normal 64 2 5 4 3" xfId="47407"/>
    <cellStyle name="Normal 64 2 5 5" xfId="26132"/>
    <cellStyle name="Normal 64 2 5 5 2" xfId="48377"/>
    <cellStyle name="Normal 64 2 5 6" xfId="23941"/>
    <cellStyle name="Normal 64 2 5 6 2" xfId="46187"/>
    <cellStyle name="Normal 64 2 5 7" xfId="32315"/>
    <cellStyle name="Normal 64 2 6" xfId="12208"/>
    <cellStyle name="Normal 64 2 6 2" xfId="24754"/>
    <cellStyle name="Normal 64 2 6 2 2" xfId="26967"/>
    <cellStyle name="Normal 64 2 6 2 2 2" xfId="49212"/>
    <cellStyle name="Normal 64 2 6 2 3" xfId="46999"/>
    <cellStyle name="Normal 64 2 6 3" xfId="25330"/>
    <cellStyle name="Normal 64 2 6 3 2" xfId="27635"/>
    <cellStyle name="Normal 64 2 6 3 2 2" xfId="49880"/>
    <cellStyle name="Normal 64 2 6 3 3" xfId="47575"/>
    <cellStyle name="Normal 64 2 6 4" xfId="26295"/>
    <cellStyle name="Normal 64 2 6 4 2" xfId="48540"/>
    <cellStyle name="Normal 64 2 6 5" xfId="24091"/>
    <cellStyle name="Normal 64 2 6 5 2" xfId="46337"/>
    <cellStyle name="Normal 64 2 6 6" xfId="35631"/>
    <cellStyle name="Normal 64 2 7" xfId="18866"/>
    <cellStyle name="Normal 64 2 7 2" xfId="26635"/>
    <cellStyle name="Normal 64 2 7 2 2" xfId="48880"/>
    <cellStyle name="Normal 64 2 7 3" xfId="24422"/>
    <cellStyle name="Normal 64 2 7 3 2" xfId="46667"/>
    <cellStyle name="Normal 64 2 8" xfId="23764"/>
    <cellStyle name="Normal 64 2 8 2" xfId="27299"/>
    <cellStyle name="Normal 64 2 8 2 2" xfId="49544"/>
    <cellStyle name="Normal 64 2 8 3" xfId="46053"/>
    <cellStyle name="Normal 64 2 9" xfId="25995"/>
    <cellStyle name="Normal 64 2 9 2" xfId="48240"/>
    <cellStyle name="Normal 64 3" xfId="4232"/>
    <cellStyle name="Normal 64 3 2" xfId="7151"/>
    <cellStyle name="Normal 64 3 2 2" xfId="10483"/>
    <cellStyle name="Normal 64 3 2 2 2" xfId="17187"/>
    <cellStyle name="Normal 64 3 2 2 2 2" xfId="27195"/>
    <cellStyle name="Normal 64 3 2 2 2 2 2" xfId="49440"/>
    <cellStyle name="Normal 64 3 2 2 2 3" xfId="24982"/>
    <cellStyle name="Normal 64 3 2 2 2 3 2" xfId="47227"/>
    <cellStyle name="Normal 64 3 2 2 2 4" xfId="40608"/>
    <cellStyle name="Normal 64 3 2 2 3" xfId="25561"/>
    <cellStyle name="Normal 64 3 2 2 3 2" xfId="27866"/>
    <cellStyle name="Normal 64 3 2 2 3 2 2" xfId="50111"/>
    <cellStyle name="Normal 64 3 2 2 3 3" xfId="47806"/>
    <cellStyle name="Normal 64 3 2 2 4" xfId="26521"/>
    <cellStyle name="Normal 64 3 2 2 4 2" xfId="48766"/>
    <cellStyle name="Normal 64 3 2 2 5" xfId="24317"/>
    <cellStyle name="Normal 64 3 2 2 5 2" xfId="46563"/>
    <cellStyle name="Normal 64 3 2 2 6" xfId="33976"/>
    <cellStyle name="Normal 64 3 2 3" xfId="13871"/>
    <cellStyle name="Normal 64 3 2 3 2" xfId="26863"/>
    <cellStyle name="Normal 64 3 2 3 2 2" xfId="49108"/>
    <cellStyle name="Normal 64 3 2 3 3" xfId="24650"/>
    <cellStyle name="Normal 64 3 2 3 3 2" xfId="46895"/>
    <cellStyle name="Normal 64 3 2 3 4" xfId="37292"/>
    <cellStyle name="Normal 64 3 2 4" xfId="25225"/>
    <cellStyle name="Normal 64 3 2 4 2" xfId="27530"/>
    <cellStyle name="Normal 64 3 2 4 2 2" xfId="49775"/>
    <cellStyle name="Normal 64 3 2 4 3" xfId="47470"/>
    <cellStyle name="Normal 64 3 2 5" xfId="26192"/>
    <cellStyle name="Normal 64 3 2 5 2" xfId="48437"/>
    <cellStyle name="Normal 64 3 2 6" xfId="24001"/>
    <cellStyle name="Normal 64 3 2 6 2" xfId="46247"/>
    <cellStyle name="Normal 64 3 2 7" xfId="30660"/>
    <cellStyle name="Normal 64 3 3" xfId="8818"/>
    <cellStyle name="Normal 64 3 3 2" xfId="15529"/>
    <cellStyle name="Normal 64 3 3 2 2" xfId="27029"/>
    <cellStyle name="Normal 64 3 3 2 2 2" xfId="49274"/>
    <cellStyle name="Normal 64 3 3 2 3" xfId="24816"/>
    <cellStyle name="Normal 64 3 3 2 3 2" xfId="47061"/>
    <cellStyle name="Normal 64 3 3 2 4" xfId="38950"/>
    <cellStyle name="Normal 64 3 3 3" xfId="25393"/>
    <cellStyle name="Normal 64 3 3 3 2" xfId="27698"/>
    <cellStyle name="Normal 64 3 3 3 2 2" xfId="49943"/>
    <cellStyle name="Normal 64 3 3 3 3" xfId="47638"/>
    <cellStyle name="Normal 64 3 3 4" xfId="26356"/>
    <cellStyle name="Normal 64 3 3 4 2" xfId="48601"/>
    <cellStyle name="Normal 64 3 3 5" xfId="24152"/>
    <cellStyle name="Normal 64 3 3 5 2" xfId="46398"/>
    <cellStyle name="Normal 64 3 3 6" xfId="32318"/>
    <cellStyle name="Normal 64 3 4" xfId="12211"/>
    <cellStyle name="Normal 64 3 4 2" xfId="26697"/>
    <cellStyle name="Normal 64 3 4 2 2" xfId="48942"/>
    <cellStyle name="Normal 64 3 4 3" xfId="24484"/>
    <cellStyle name="Normal 64 3 4 3 2" xfId="46729"/>
    <cellStyle name="Normal 64 3 4 4" xfId="35634"/>
    <cellStyle name="Normal 64 3 5" xfId="23767"/>
    <cellStyle name="Normal 64 3 5 2" xfId="27362"/>
    <cellStyle name="Normal 64 3 5 2 2" xfId="49607"/>
    <cellStyle name="Normal 64 3 5 3" xfId="46056"/>
    <cellStyle name="Normal 64 3 6" xfId="25998"/>
    <cellStyle name="Normal 64 3 6 2" xfId="48243"/>
    <cellStyle name="Normal 64 3 7" xfId="29002"/>
    <cellStyle name="Normal 64 4" xfId="4233"/>
    <cellStyle name="Normal 64 4 2" xfId="7152"/>
    <cellStyle name="Normal 64 4 2 2" xfId="10484"/>
    <cellStyle name="Normal 64 4 2 2 2" xfId="17188"/>
    <cellStyle name="Normal 64 4 2 2 2 2" xfId="27154"/>
    <cellStyle name="Normal 64 4 2 2 2 2 2" xfId="49399"/>
    <cellStyle name="Normal 64 4 2 2 2 3" xfId="24941"/>
    <cellStyle name="Normal 64 4 2 2 2 3 2" xfId="47186"/>
    <cellStyle name="Normal 64 4 2 2 2 4" xfId="40609"/>
    <cellStyle name="Normal 64 4 2 2 3" xfId="25519"/>
    <cellStyle name="Normal 64 4 2 2 3 2" xfId="27824"/>
    <cellStyle name="Normal 64 4 2 2 3 2 2" xfId="50069"/>
    <cellStyle name="Normal 64 4 2 2 3 3" xfId="47764"/>
    <cellStyle name="Normal 64 4 2 2 4" xfId="26481"/>
    <cellStyle name="Normal 64 4 2 2 4 2" xfId="48726"/>
    <cellStyle name="Normal 64 4 2 2 5" xfId="24277"/>
    <cellStyle name="Normal 64 4 2 2 5 2" xfId="46523"/>
    <cellStyle name="Normal 64 4 2 2 6" xfId="33977"/>
    <cellStyle name="Normal 64 4 2 3" xfId="13872"/>
    <cellStyle name="Normal 64 4 2 3 2" xfId="26822"/>
    <cellStyle name="Normal 64 4 2 3 2 2" xfId="49067"/>
    <cellStyle name="Normal 64 4 2 3 3" xfId="24609"/>
    <cellStyle name="Normal 64 4 2 3 3 2" xfId="46854"/>
    <cellStyle name="Normal 64 4 2 3 4" xfId="37293"/>
    <cellStyle name="Normal 64 4 2 4" xfId="25183"/>
    <cellStyle name="Normal 64 4 2 4 2" xfId="27488"/>
    <cellStyle name="Normal 64 4 2 4 2 2" xfId="49733"/>
    <cellStyle name="Normal 64 4 2 4 3" xfId="47428"/>
    <cellStyle name="Normal 64 4 2 5" xfId="26152"/>
    <cellStyle name="Normal 64 4 2 5 2" xfId="48397"/>
    <cellStyle name="Normal 64 4 2 6" xfId="23961"/>
    <cellStyle name="Normal 64 4 2 6 2" xfId="46207"/>
    <cellStyle name="Normal 64 4 2 7" xfId="30661"/>
    <cellStyle name="Normal 64 4 3" xfId="8819"/>
    <cellStyle name="Normal 64 4 3 2" xfId="15530"/>
    <cellStyle name="Normal 64 4 3 2 2" xfId="26988"/>
    <cellStyle name="Normal 64 4 3 2 2 2" xfId="49233"/>
    <cellStyle name="Normal 64 4 3 2 3" xfId="24775"/>
    <cellStyle name="Normal 64 4 3 2 3 2" xfId="47020"/>
    <cellStyle name="Normal 64 4 3 2 4" xfId="38951"/>
    <cellStyle name="Normal 64 4 3 3" xfId="25351"/>
    <cellStyle name="Normal 64 4 3 3 2" xfId="27656"/>
    <cellStyle name="Normal 64 4 3 3 2 2" xfId="49901"/>
    <cellStyle name="Normal 64 4 3 3 3" xfId="47596"/>
    <cellStyle name="Normal 64 4 3 4" xfId="26316"/>
    <cellStyle name="Normal 64 4 3 4 2" xfId="48561"/>
    <cellStyle name="Normal 64 4 3 5" xfId="24112"/>
    <cellStyle name="Normal 64 4 3 5 2" xfId="46358"/>
    <cellStyle name="Normal 64 4 3 6" xfId="32319"/>
    <cellStyle name="Normal 64 4 4" xfId="12212"/>
    <cellStyle name="Normal 64 4 4 2" xfId="26656"/>
    <cellStyle name="Normal 64 4 4 2 2" xfId="48901"/>
    <cellStyle name="Normal 64 4 4 3" xfId="24443"/>
    <cellStyle name="Normal 64 4 4 3 2" xfId="46688"/>
    <cellStyle name="Normal 64 4 4 4" xfId="35635"/>
    <cellStyle name="Normal 64 4 5" xfId="23768"/>
    <cellStyle name="Normal 64 4 5 2" xfId="27320"/>
    <cellStyle name="Normal 64 4 5 2 2" xfId="49565"/>
    <cellStyle name="Normal 64 4 5 3" xfId="46057"/>
    <cellStyle name="Normal 64 4 6" xfId="25999"/>
    <cellStyle name="Normal 64 4 6 2" xfId="48244"/>
    <cellStyle name="Normal 64 4 7" xfId="29003"/>
    <cellStyle name="Normal 64 5" xfId="4234"/>
    <cellStyle name="Normal 64 5 2" xfId="7153"/>
    <cellStyle name="Normal 64 5 2 2" xfId="10485"/>
    <cellStyle name="Normal 64 5 2 2 2" xfId="17189"/>
    <cellStyle name="Normal 64 5 2 2 2 2" xfId="27236"/>
    <cellStyle name="Normal 64 5 2 2 2 2 2" xfId="49481"/>
    <cellStyle name="Normal 64 5 2 2 2 3" xfId="25023"/>
    <cellStyle name="Normal 64 5 2 2 2 3 2" xfId="47268"/>
    <cellStyle name="Normal 64 5 2 2 2 4" xfId="40610"/>
    <cellStyle name="Normal 64 5 2 2 3" xfId="25603"/>
    <cellStyle name="Normal 64 5 2 2 3 2" xfId="27908"/>
    <cellStyle name="Normal 64 5 2 2 3 2 2" xfId="50153"/>
    <cellStyle name="Normal 64 5 2 2 3 3" xfId="47848"/>
    <cellStyle name="Normal 64 5 2 2 4" xfId="26562"/>
    <cellStyle name="Normal 64 5 2 2 4 2" xfId="48807"/>
    <cellStyle name="Normal 64 5 2 2 5" xfId="24358"/>
    <cellStyle name="Normal 64 5 2 2 5 2" xfId="46604"/>
    <cellStyle name="Normal 64 5 2 2 6" xfId="33978"/>
    <cellStyle name="Normal 64 5 2 3" xfId="13873"/>
    <cellStyle name="Normal 64 5 2 3 2" xfId="26904"/>
    <cellStyle name="Normal 64 5 2 3 2 2" xfId="49149"/>
    <cellStyle name="Normal 64 5 2 3 3" xfId="24691"/>
    <cellStyle name="Normal 64 5 2 3 3 2" xfId="46936"/>
    <cellStyle name="Normal 64 5 2 3 4" xfId="37294"/>
    <cellStyle name="Normal 64 5 2 4" xfId="25267"/>
    <cellStyle name="Normal 64 5 2 4 2" xfId="27572"/>
    <cellStyle name="Normal 64 5 2 4 2 2" xfId="49817"/>
    <cellStyle name="Normal 64 5 2 4 3" xfId="47512"/>
    <cellStyle name="Normal 64 5 2 5" xfId="26233"/>
    <cellStyle name="Normal 64 5 2 5 2" xfId="48478"/>
    <cellStyle name="Normal 64 5 2 6" xfId="24042"/>
    <cellStyle name="Normal 64 5 2 6 2" xfId="46288"/>
    <cellStyle name="Normal 64 5 2 7" xfId="30662"/>
    <cellStyle name="Normal 64 5 3" xfId="8820"/>
    <cellStyle name="Normal 64 5 3 2" xfId="15531"/>
    <cellStyle name="Normal 64 5 3 2 2" xfId="27070"/>
    <cellStyle name="Normal 64 5 3 2 2 2" xfId="49315"/>
    <cellStyle name="Normal 64 5 3 2 3" xfId="24857"/>
    <cellStyle name="Normal 64 5 3 2 3 2" xfId="47102"/>
    <cellStyle name="Normal 64 5 3 2 4" xfId="38952"/>
    <cellStyle name="Normal 64 5 3 3" xfId="25435"/>
    <cellStyle name="Normal 64 5 3 3 2" xfId="27740"/>
    <cellStyle name="Normal 64 5 3 3 2 2" xfId="49985"/>
    <cellStyle name="Normal 64 5 3 3 3" xfId="47680"/>
    <cellStyle name="Normal 64 5 3 4" xfId="26397"/>
    <cellStyle name="Normal 64 5 3 4 2" xfId="48642"/>
    <cellStyle name="Normal 64 5 3 5" xfId="24193"/>
    <cellStyle name="Normal 64 5 3 5 2" xfId="46439"/>
    <cellStyle name="Normal 64 5 3 6" xfId="32320"/>
    <cellStyle name="Normal 64 5 4" xfId="12213"/>
    <cellStyle name="Normal 64 5 4 2" xfId="26738"/>
    <cellStyle name="Normal 64 5 4 2 2" xfId="48983"/>
    <cellStyle name="Normal 64 5 4 3" xfId="24525"/>
    <cellStyle name="Normal 64 5 4 3 2" xfId="46770"/>
    <cellStyle name="Normal 64 5 4 4" xfId="35636"/>
    <cellStyle name="Normal 64 5 5" xfId="23769"/>
    <cellStyle name="Normal 64 5 5 2" xfId="27404"/>
    <cellStyle name="Normal 64 5 5 2 2" xfId="49649"/>
    <cellStyle name="Normal 64 5 5 3" xfId="46058"/>
    <cellStyle name="Normal 64 5 6" xfId="26000"/>
    <cellStyle name="Normal 64 5 6 2" xfId="48245"/>
    <cellStyle name="Normal 64 5 7" xfId="29004"/>
    <cellStyle name="Normal 64 6" xfId="23923"/>
    <cellStyle name="Normal 64 6 2" xfId="24235"/>
    <cellStyle name="Normal 64 6 2 2" xfId="24899"/>
    <cellStyle name="Normal 64 6 2 2 2" xfId="27112"/>
    <cellStyle name="Normal 64 6 2 2 2 2" xfId="49357"/>
    <cellStyle name="Normal 64 6 2 2 3" xfId="47144"/>
    <cellStyle name="Normal 64 6 2 3" xfId="25477"/>
    <cellStyle name="Normal 64 6 2 3 2" xfId="27782"/>
    <cellStyle name="Normal 64 6 2 3 2 2" xfId="50027"/>
    <cellStyle name="Normal 64 6 2 3 3" xfId="47722"/>
    <cellStyle name="Normal 64 6 2 4" xfId="26439"/>
    <cellStyle name="Normal 64 6 2 4 2" xfId="48684"/>
    <cellStyle name="Normal 64 6 2 5" xfId="46481"/>
    <cellStyle name="Normal 64 6 3" xfId="24567"/>
    <cellStyle name="Normal 64 6 3 2" xfId="26780"/>
    <cellStyle name="Normal 64 6 3 2 2" xfId="49025"/>
    <cellStyle name="Normal 64 6 3 3" xfId="46812"/>
    <cellStyle name="Normal 64 6 4" xfId="25141"/>
    <cellStyle name="Normal 64 6 4 2" xfId="27446"/>
    <cellStyle name="Normal 64 6 4 2 2" xfId="49691"/>
    <cellStyle name="Normal 64 6 4 3" xfId="47386"/>
    <cellStyle name="Normal 64 6 5" xfId="26114"/>
    <cellStyle name="Normal 64 6 5 2" xfId="48359"/>
    <cellStyle name="Normal 64 6 6" xfId="46169"/>
    <cellStyle name="Normal 64 7" xfId="24072"/>
    <cellStyle name="Normal 64 7 2" xfId="24733"/>
    <cellStyle name="Normal 64 7 2 2" xfId="26946"/>
    <cellStyle name="Normal 64 7 2 2 2" xfId="49191"/>
    <cellStyle name="Normal 64 7 2 3" xfId="46978"/>
    <cellStyle name="Normal 64 7 3" xfId="25309"/>
    <cellStyle name="Normal 64 7 3 2" xfId="27614"/>
    <cellStyle name="Normal 64 7 3 2 2" xfId="49859"/>
    <cellStyle name="Normal 64 7 3 3" xfId="47554"/>
    <cellStyle name="Normal 64 7 4" xfId="26274"/>
    <cellStyle name="Normal 64 7 4 2" xfId="48519"/>
    <cellStyle name="Normal 64 7 5" xfId="46318"/>
    <cellStyle name="Normal 64 8" xfId="24411"/>
    <cellStyle name="Normal 64 8 2" xfId="26614"/>
    <cellStyle name="Normal 64 8 2 2" xfId="48859"/>
    <cellStyle name="Normal 64 8 3" xfId="46656"/>
    <cellStyle name="Normal 64 9" xfId="25065"/>
    <cellStyle name="Normal 64 9 2" xfId="27278"/>
    <cellStyle name="Normal 64 9 2 2" xfId="49523"/>
    <cellStyle name="Normal 64 9 3" xfId="47310"/>
    <cellStyle name="Normal 65" xfId="827"/>
    <cellStyle name="Normal 65 2" xfId="4235"/>
    <cellStyle name="Normal 65 2 10" xfId="29005"/>
    <cellStyle name="Normal 65 2 2" xfId="4236"/>
    <cellStyle name="Normal 65 2 2 2" xfId="7155"/>
    <cellStyle name="Normal 65 2 2 2 2" xfId="10487"/>
    <cellStyle name="Normal 65 2 2 2 2 2" xfId="17191"/>
    <cellStyle name="Normal 65 2 2 2 2 2 2" xfId="27216"/>
    <cellStyle name="Normal 65 2 2 2 2 2 2 2" xfId="49461"/>
    <cellStyle name="Normal 65 2 2 2 2 2 3" xfId="25003"/>
    <cellStyle name="Normal 65 2 2 2 2 2 3 2" xfId="47248"/>
    <cellStyle name="Normal 65 2 2 2 2 2 4" xfId="40612"/>
    <cellStyle name="Normal 65 2 2 2 2 3" xfId="25583"/>
    <cellStyle name="Normal 65 2 2 2 2 3 2" xfId="27888"/>
    <cellStyle name="Normal 65 2 2 2 2 3 2 2" xfId="50133"/>
    <cellStyle name="Normal 65 2 2 2 2 3 3" xfId="47828"/>
    <cellStyle name="Normal 65 2 2 2 2 4" xfId="26542"/>
    <cellStyle name="Normal 65 2 2 2 2 4 2" xfId="48787"/>
    <cellStyle name="Normal 65 2 2 2 2 5" xfId="24338"/>
    <cellStyle name="Normal 65 2 2 2 2 5 2" xfId="46584"/>
    <cellStyle name="Normal 65 2 2 2 2 6" xfId="33980"/>
    <cellStyle name="Normal 65 2 2 2 3" xfId="13875"/>
    <cellStyle name="Normal 65 2 2 2 3 2" xfId="26884"/>
    <cellStyle name="Normal 65 2 2 2 3 2 2" xfId="49129"/>
    <cellStyle name="Normal 65 2 2 2 3 3" xfId="24671"/>
    <cellStyle name="Normal 65 2 2 2 3 3 2" xfId="46916"/>
    <cellStyle name="Normal 65 2 2 2 3 4" xfId="37296"/>
    <cellStyle name="Normal 65 2 2 2 4" xfId="25247"/>
    <cellStyle name="Normal 65 2 2 2 4 2" xfId="27552"/>
    <cellStyle name="Normal 65 2 2 2 4 2 2" xfId="49797"/>
    <cellStyle name="Normal 65 2 2 2 4 3" xfId="47492"/>
    <cellStyle name="Normal 65 2 2 2 5" xfId="26213"/>
    <cellStyle name="Normal 65 2 2 2 5 2" xfId="48458"/>
    <cellStyle name="Normal 65 2 2 2 6" xfId="24022"/>
    <cellStyle name="Normal 65 2 2 2 6 2" xfId="46268"/>
    <cellStyle name="Normal 65 2 2 2 7" xfId="30664"/>
    <cellStyle name="Normal 65 2 2 3" xfId="8822"/>
    <cellStyle name="Normal 65 2 2 3 2" xfId="15533"/>
    <cellStyle name="Normal 65 2 2 3 2 2" xfId="27050"/>
    <cellStyle name="Normal 65 2 2 3 2 2 2" xfId="49295"/>
    <cellStyle name="Normal 65 2 2 3 2 3" xfId="24837"/>
    <cellStyle name="Normal 65 2 2 3 2 3 2" xfId="47082"/>
    <cellStyle name="Normal 65 2 2 3 2 4" xfId="38954"/>
    <cellStyle name="Normal 65 2 2 3 3" xfId="25415"/>
    <cellStyle name="Normal 65 2 2 3 3 2" xfId="27720"/>
    <cellStyle name="Normal 65 2 2 3 3 2 2" xfId="49965"/>
    <cellStyle name="Normal 65 2 2 3 3 3" xfId="47660"/>
    <cellStyle name="Normal 65 2 2 3 4" xfId="26377"/>
    <cellStyle name="Normal 65 2 2 3 4 2" xfId="48622"/>
    <cellStyle name="Normal 65 2 2 3 5" xfId="24173"/>
    <cellStyle name="Normal 65 2 2 3 5 2" xfId="46419"/>
    <cellStyle name="Normal 65 2 2 3 6" xfId="32322"/>
    <cellStyle name="Normal 65 2 2 4" xfId="12215"/>
    <cellStyle name="Normal 65 2 2 4 2" xfId="26718"/>
    <cellStyle name="Normal 65 2 2 4 2 2" xfId="48963"/>
    <cellStyle name="Normal 65 2 2 4 3" xfId="24505"/>
    <cellStyle name="Normal 65 2 2 4 3 2" xfId="46750"/>
    <cellStyle name="Normal 65 2 2 4 4" xfId="35638"/>
    <cellStyle name="Normal 65 2 2 5" xfId="23771"/>
    <cellStyle name="Normal 65 2 2 5 2" xfId="27384"/>
    <cellStyle name="Normal 65 2 2 5 2 2" xfId="49629"/>
    <cellStyle name="Normal 65 2 2 5 3" xfId="46060"/>
    <cellStyle name="Normal 65 2 2 6" xfId="26002"/>
    <cellStyle name="Normal 65 2 2 6 2" xfId="48247"/>
    <cellStyle name="Normal 65 2 2 7" xfId="29006"/>
    <cellStyle name="Normal 65 2 3" xfId="4237"/>
    <cellStyle name="Normal 65 2 3 2" xfId="7156"/>
    <cellStyle name="Normal 65 2 3 2 2" xfId="10488"/>
    <cellStyle name="Normal 65 2 3 2 2 2" xfId="17192"/>
    <cellStyle name="Normal 65 2 3 2 2 2 2" xfId="27176"/>
    <cellStyle name="Normal 65 2 3 2 2 2 2 2" xfId="49421"/>
    <cellStyle name="Normal 65 2 3 2 2 2 3" xfId="24963"/>
    <cellStyle name="Normal 65 2 3 2 2 2 3 2" xfId="47208"/>
    <cellStyle name="Normal 65 2 3 2 2 2 4" xfId="40613"/>
    <cellStyle name="Normal 65 2 3 2 2 3" xfId="25541"/>
    <cellStyle name="Normal 65 2 3 2 2 3 2" xfId="27846"/>
    <cellStyle name="Normal 65 2 3 2 2 3 2 2" xfId="50091"/>
    <cellStyle name="Normal 65 2 3 2 2 3 3" xfId="47786"/>
    <cellStyle name="Normal 65 2 3 2 2 4" xfId="26502"/>
    <cellStyle name="Normal 65 2 3 2 2 4 2" xfId="48747"/>
    <cellStyle name="Normal 65 2 3 2 2 5" xfId="24298"/>
    <cellStyle name="Normal 65 2 3 2 2 5 2" xfId="46544"/>
    <cellStyle name="Normal 65 2 3 2 2 6" xfId="33981"/>
    <cellStyle name="Normal 65 2 3 2 3" xfId="13876"/>
    <cellStyle name="Normal 65 2 3 2 3 2" xfId="26844"/>
    <cellStyle name="Normal 65 2 3 2 3 2 2" xfId="49089"/>
    <cellStyle name="Normal 65 2 3 2 3 3" xfId="24631"/>
    <cellStyle name="Normal 65 2 3 2 3 3 2" xfId="46876"/>
    <cellStyle name="Normal 65 2 3 2 3 4" xfId="37297"/>
    <cellStyle name="Normal 65 2 3 2 4" xfId="25205"/>
    <cellStyle name="Normal 65 2 3 2 4 2" xfId="27510"/>
    <cellStyle name="Normal 65 2 3 2 4 2 2" xfId="49755"/>
    <cellStyle name="Normal 65 2 3 2 4 3" xfId="47450"/>
    <cellStyle name="Normal 65 2 3 2 5" xfId="26173"/>
    <cellStyle name="Normal 65 2 3 2 5 2" xfId="48418"/>
    <cellStyle name="Normal 65 2 3 2 6" xfId="23982"/>
    <cellStyle name="Normal 65 2 3 2 6 2" xfId="46228"/>
    <cellStyle name="Normal 65 2 3 2 7" xfId="30665"/>
    <cellStyle name="Normal 65 2 3 3" xfId="8823"/>
    <cellStyle name="Normal 65 2 3 3 2" xfId="15534"/>
    <cellStyle name="Normal 65 2 3 3 2 2" xfId="27010"/>
    <cellStyle name="Normal 65 2 3 3 2 2 2" xfId="49255"/>
    <cellStyle name="Normal 65 2 3 3 2 3" xfId="24797"/>
    <cellStyle name="Normal 65 2 3 3 2 3 2" xfId="47042"/>
    <cellStyle name="Normal 65 2 3 3 2 4" xfId="38955"/>
    <cellStyle name="Normal 65 2 3 3 3" xfId="25373"/>
    <cellStyle name="Normal 65 2 3 3 3 2" xfId="27678"/>
    <cellStyle name="Normal 65 2 3 3 3 2 2" xfId="49923"/>
    <cellStyle name="Normal 65 2 3 3 3 3" xfId="47618"/>
    <cellStyle name="Normal 65 2 3 3 4" xfId="26337"/>
    <cellStyle name="Normal 65 2 3 3 4 2" xfId="48582"/>
    <cellStyle name="Normal 65 2 3 3 5" xfId="24133"/>
    <cellStyle name="Normal 65 2 3 3 5 2" xfId="46379"/>
    <cellStyle name="Normal 65 2 3 3 6" xfId="32323"/>
    <cellStyle name="Normal 65 2 3 4" xfId="12216"/>
    <cellStyle name="Normal 65 2 3 4 2" xfId="26678"/>
    <cellStyle name="Normal 65 2 3 4 2 2" xfId="48923"/>
    <cellStyle name="Normal 65 2 3 4 3" xfId="24465"/>
    <cellStyle name="Normal 65 2 3 4 3 2" xfId="46710"/>
    <cellStyle name="Normal 65 2 3 4 4" xfId="35639"/>
    <cellStyle name="Normal 65 2 3 5" xfId="23772"/>
    <cellStyle name="Normal 65 2 3 5 2" xfId="27342"/>
    <cellStyle name="Normal 65 2 3 5 2 2" xfId="49587"/>
    <cellStyle name="Normal 65 2 3 5 3" xfId="46061"/>
    <cellStyle name="Normal 65 2 3 6" xfId="26003"/>
    <cellStyle name="Normal 65 2 3 6 2" xfId="48248"/>
    <cellStyle name="Normal 65 2 3 7" xfId="29007"/>
    <cellStyle name="Normal 65 2 4" xfId="7154"/>
    <cellStyle name="Normal 65 2 4 2" xfId="10486"/>
    <cellStyle name="Normal 65 2 4 2 2" xfId="17190"/>
    <cellStyle name="Normal 65 2 4 2 2 2" xfId="25045"/>
    <cellStyle name="Normal 65 2 4 2 2 2 2" xfId="27258"/>
    <cellStyle name="Normal 65 2 4 2 2 2 2 2" xfId="49503"/>
    <cellStyle name="Normal 65 2 4 2 2 2 3" xfId="47290"/>
    <cellStyle name="Normal 65 2 4 2 2 3" xfId="25625"/>
    <cellStyle name="Normal 65 2 4 2 2 3 2" xfId="27930"/>
    <cellStyle name="Normal 65 2 4 2 2 3 2 2" xfId="50175"/>
    <cellStyle name="Normal 65 2 4 2 2 3 3" xfId="47870"/>
    <cellStyle name="Normal 65 2 4 2 2 4" xfId="26584"/>
    <cellStyle name="Normal 65 2 4 2 2 4 2" xfId="48829"/>
    <cellStyle name="Normal 65 2 4 2 2 5" xfId="24380"/>
    <cellStyle name="Normal 65 2 4 2 2 5 2" xfId="46626"/>
    <cellStyle name="Normal 65 2 4 2 2 6" xfId="40611"/>
    <cellStyle name="Normal 65 2 4 2 3" xfId="24713"/>
    <cellStyle name="Normal 65 2 4 2 3 2" xfId="26926"/>
    <cellStyle name="Normal 65 2 4 2 3 2 2" xfId="49171"/>
    <cellStyle name="Normal 65 2 4 2 3 3" xfId="46958"/>
    <cellStyle name="Normal 65 2 4 2 4" xfId="25289"/>
    <cellStyle name="Normal 65 2 4 2 4 2" xfId="27594"/>
    <cellStyle name="Normal 65 2 4 2 4 2 2" xfId="49839"/>
    <cellStyle name="Normal 65 2 4 2 4 3" xfId="47534"/>
    <cellStyle name="Normal 65 2 4 2 5" xfId="26254"/>
    <cellStyle name="Normal 65 2 4 2 5 2" xfId="48499"/>
    <cellStyle name="Normal 65 2 4 2 6" xfId="24063"/>
    <cellStyle name="Normal 65 2 4 2 6 2" xfId="46309"/>
    <cellStyle name="Normal 65 2 4 2 7" xfId="33979"/>
    <cellStyle name="Normal 65 2 4 3" xfId="13874"/>
    <cellStyle name="Normal 65 2 4 3 2" xfId="24879"/>
    <cellStyle name="Normal 65 2 4 3 2 2" xfId="27092"/>
    <cellStyle name="Normal 65 2 4 3 2 2 2" xfId="49337"/>
    <cellStyle name="Normal 65 2 4 3 2 3" xfId="47124"/>
    <cellStyle name="Normal 65 2 4 3 3" xfId="25457"/>
    <cellStyle name="Normal 65 2 4 3 3 2" xfId="27762"/>
    <cellStyle name="Normal 65 2 4 3 3 2 2" xfId="50007"/>
    <cellStyle name="Normal 65 2 4 3 3 3" xfId="47702"/>
    <cellStyle name="Normal 65 2 4 3 4" xfId="26419"/>
    <cellStyle name="Normal 65 2 4 3 4 2" xfId="48664"/>
    <cellStyle name="Normal 65 2 4 3 5" xfId="24215"/>
    <cellStyle name="Normal 65 2 4 3 5 2" xfId="46461"/>
    <cellStyle name="Normal 65 2 4 3 6" xfId="37295"/>
    <cellStyle name="Normal 65 2 4 4" xfId="24547"/>
    <cellStyle name="Normal 65 2 4 4 2" xfId="26760"/>
    <cellStyle name="Normal 65 2 4 4 2 2" xfId="49005"/>
    <cellStyle name="Normal 65 2 4 4 3" xfId="46792"/>
    <cellStyle name="Normal 65 2 4 5" xfId="25121"/>
    <cellStyle name="Normal 65 2 4 5 2" xfId="27426"/>
    <cellStyle name="Normal 65 2 4 5 2 2" xfId="49671"/>
    <cellStyle name="Normal 65 2 4 5 3" xfId="47366"/>
    <cellStyle name="Normal 65 2 4 6" xfId="26101"/>
    <cellStyle name="Normal 65 2 4 6 2" xfId="48346"/>
    <cellStyle name="Normal 65 2 4 7" xfId="23910"/>
    <cellStyle name="Normal 65 2 4 7 2" xfId="46156"/>
    <cellStyle name="Normal 65 2 4 8" xfId="30663"/>
    <cellStyle name="Normal 65 2 5" xfId="8821"/>
    <cellStyle name="Normal 65 2 5 2" xfId="15532"/>
    <cellStyle name="Normal 65 2 5 2 2" xfId="24921"/>
    <cellStyle name="Normal 65 2 5 2 2 2" xfId="27134"/>
    <cellStyle name="Normal 65 2 5 2 2 2 2" xfId="49379"/>
    <cellStyle name="Normal 65 2 5 2 2 3" xfId="47166"/>
    <cellStyle name="Normal 65 2 5 2 3" xfId="25499"/>
    <cellStyle name="Normal 65 2 5 2 3 2" xfId="27804"/>
    <cellStyle name="Normal 65 2 5 2 3 2 2" xfId="50049"/>
    <cellStyle name="Normal 65 2 5 2 3 3" xfId="47744"/>
    <cellStyle name="Normal 65 2 5 2 4" xfId="26461"/>
    <cellStyle name="Normal 65 2 5 2 4 2" xfId="48706"/>
    <cellStyle name="Normal 65 2 5 2 5" xfId="24257"/>
    <cellStyle name="Normal 65 2 5 2 5 2" xfId="46503"/>
    <cellStyle name="Normal 65 2 5 2 6" xfId="38953"/>
    <cellStyle name="Normal 65 2 5 3" xfId="24589"/>
    <cellStyle name="Normal 65 2 5 3 2" xfId="26802"/>
    <cellStyle name="Normal 65 2 5 3 2 2" xfId="49047"/>
    <cellStyle name="Normal 65 2 5 3 3" xfId="46834"/>
    <cellStyle name="Normal 65 2 5 4" xfId="25163"/>
    <cellStyle name="Normal 65 2 5 4 2" xfId="27468"/>
    <cellStyle name="Normal 65 2 5 4 2 2" xfId="49713"/>
    <cellStyle name="Normal 65 2 5 4 3" xfId="47408"/>
    <cellStyle name="Normal 65 2 5 5" xfId="26133"/>
    <cellStyle name="Normal 65 2 5 5 2" xfId="48378"/>
    <cellStyle name="Normal 65 2 5 6" xfId="23942"/>
    <cellStyle name="Normal 65 2 5 6 2" xfId="46188"/>
    <cellStyle name="Normal 65 2 5 7" xfId="32321"/>
    <cellStyle name="Normal 65 2 6" xfId="12214"/>
    <cellStyle name="Normal 65 2 6 2" xfId="24755"/>
    <cellStyle name="Normal 65 2 6 2 2" xfId="26968"/>
    <cellStyle name="Normal 65 2 6 2 2 2" xfId="49213"/>
    <cellStyle name="Normal 65 2 6 2 3" xfId="47000"/>
    <cellStyle name="Normal 65 2 6 3" xfId="25331"/>
    <cellStyle name="Normal 65 2 6 3 2" xfId="27636"/>
    <cellStyle name="Normal 65 2 6 3 2 2" xfId="49881"/>
    <cellStyle name="Normal 65 2 6 3 3" xfId="47576"/>
    <cellStyle name="Normal 65 2 6 4" xfId="26296"/>
    <cellStyle name="Normal 65 2 6 4 2" xfId="48541"/>
    <cellStyle name="Normal 65 2 6 5" xfId="24092"/>
    <cellStyle name="Normal 65 2 6 5 2" xfId="46338"/>
    <cellStyle name="Normal 65 2 6 6" xfId="35637"/>
    <cellStyle name="Normal 65 2 7" xfId="18867"/>
    <cellStyle name="Normal 65 2 7 2" xfId="26636"/>
    <cellStyle name="Normal 65 2 7 2 2" xfId="48881"/>
    <cellStyle name="Normal 65 2 7 3" xfId="24423"/>
    <cellStyle name="Normal 65 2 7 3 2" xfId="46668"/>
    <cellStyle name="Normal 65 2 8" xfId="23770"/>
    <cellStyle name="Normal 65 2 8 2" xfId="27300"/>
    <cellStyle name="Normal 65 2 8 2 2" xfId="49545"/>
    <cellStyle name="Normal 65 2 8 3" xfId="46059"/>
    <cellStyle name="Normal 65 2 9" xfId="26001"/>
    <cellStyle name="Normal 65 2 9 2" xfId="48246"/>
    <cellStyle name="Normal 65 3" xfId="4238"/>
    <cellStyle name="Normal 65 3 2" xfId="7157"/>
    <cellStyle name="Normal 65 3 2 2" xfId="10489"/>
    <cellStyle name="Normal 65 3 2 2 2" xfId="17193"/>
    <cellStyle name="Normal 65 3 2 2 2 2" xfId="27196"/>
    <cellStyle name="Normal 65 3 2 2 2 2 2" xfId="49441"/>
    <cellStyle name="Normal 65 3 2 2 2 3" xfId="24983"/>
    <cellStyle name="Normal 65 3 2 2 2 3 2" xfId="47228"/>
    <cellStyle name="Normal 65 3 2 2 2 4" xfId="40614"/>
    <cellStyle name="Normal 65 3 2 2 3" xfId="25562"/>
    <cellStyle name="Normal 65 3 2 2 3 2" xfId="27867"/>
    <cellStyle name="Normal 65 3 2 2 3 2 2" xfId="50112"/>
    <cellStyle name="Normal 65 3 2 2 3 3" xfId="47807"/>
    <cellStyle name="Normal 65 3 2 2 4" xfId="26522"/>
    <cellStyle name="Normal 65 3 2 2 4 2" xfId="48767"/>
    <cellStyle name="Normal 65 3 2 2 5" xfId="24318"/>
    <cellStyle name="Normal 65 3 2 2 5 2" xfId="46564"/>
    <cellStyle name="Normal 65 3 2 2 6" xfId="33982"/>
    <cellStyle name="Normal 65 3 2 3" xfId="13877"/>
    <cellStyle name="Normal 65 3 2 3 2" xfId="26864"/>
    <cellStyle name="Normal 65 3 2 3 2 2" xfId="49109"/>
    <cellStyle name="Normal 65 3 2 3 3" xfId="24651"/>
    <cellStyle name="Normal 65 3 2 3 3 2" xfId="46896"/>
    <cellStyle name="Normal 65 3 2 3 4" xfId="37298"/>
    <cellStyle name="Normal 65 3 2 4" xfId="25226"/>
    <cellStyle name="Normal 65 3 2 4 2" xfId="27531"/>
    <cellStyle name="Normal 65 3 2 4 2 2" xfId="49776"/>
    <cellStyle name="Normal 65 3 2 4 3" xfId="47471"/>
    <cellStyle name="Normal 65 3 2 5" xfId="26193"/>
    <cellStyle name="Normal 65 3 2 5 2" xfId="48438"/>
    <cellStyle name="Normal 65 3 2 6" xfId="24002"/>
    <cellStyle name="Normal 65 3 2 6 2" xfId="46248"/>
    <cellStyle name="Normal 65 3 2 7" xfId="30666"/>
    <cellStyle name="Normal 65 3 3" xfId="8824"/>
    <cellStyle name="Normal 65 3 3 2" xfId="15535"/>
    <cellStyle name="Normal 65 3 3 2 2" xfId="27030"/>
    <cellStyle name="Normal 65 3 3 2 2 2" xfId="49275"/>
    <cellStyle name="Normal 65 3 3 2 3" xfId="24817"/>
    <cellStyle name="Normal 65 3 3 2 3 2" xfId="47062"/>
    <cellStyle name="Normal 65 3 3 2 4" xfId="38956"/>
    <cellStyle name="Normal 65 3 3 3" xfId="25394"/>
    <cellStyle name="Normal 65 3 3 3 2" xfId="27699"/>
    <cellStyle name="Normal 65 3 3 3 2 2" xfId="49944"/>
    <cellStyle name="Normal 65 3 3 3 3" xfId="47639"/>
    <cellStyle name="Normal 65 3 3 4" xfId="26357"/>
    <cellStyle name="Normal 65 3 3 4 2" xfId="48602"/>
    <cellStyle name="Normal 65 3 3 5" xfId="24153"/>
    <cellStyle name="Normal 65 3 3 5 2" xfId="46399"/>
    <cellStyle name="Normal 65 3 3 6" xfId="32324"/>
    <cellStyle name="Normal 65 3 4" xfId="12217"/>
    <cellStyle name="Normal 65 3 4 2" xfId="26698"/>
    <cellStyle name="Normal 65 3 4 2 2" xfId="48943"/>
    <cellStyle name="Normal 65 3 4 3" xfId="24485"/>
    <cellStyle name="Normal 65 3 4 3 2" xfId="46730"/>
    <cellStyle name="Normal 65 3 4 4" xfId="35640"/>
    <cellStyle name="Normal 65 3 5" xfId="23773"/>
    <cellStyle name="Normal 65 3 5 2" xfId="27363"/>
    <cellStyle name="Normal 65 3 5 2 2" xfId="49608"/>
    <cellStyle name="Normal 65 3 5 3" xfId="46062"/>
    <cellStyle name="Normal 65 3 6" xfId="26004"/>
    <cellStyle name="Normal 65 3 6 2" xfId="48249"/>
    <cellStyle name="Normal 65 3 7" xfId="29008"/>
    <cellStyle name="Normal 65 4" xfId="4239"/>
    <cellStyle name="Normal 65 4 2" xfId="7158"/>
    <cellStyle name="Normal 65 4 2 2" xfId="10490"/>
    <cellStyle name="Normal 65 4 2 2 2" xfId="17194"/>
    <cellStyle name="Normal 65 4 2 2 2 2" xfId="27155"/>
    <cellStyle name="Normal 65 4 2 2 2 2 2" xfId="49400"/>
    <cellStyle name="Normal 65 4 2 2 2 3" xfId="24942"/>
    <cellStyle name="Normal 65 4 2 2 2 3 2" xfId="47187"/>
    <cellStyle name="Normal 65 4 2 2 2 4" xfId="40615"/>
    <cellStyle name="Normal 65 4 2 2 3" xfId="25520"/>
    <cellStyle name="Normal 65 4 2 2 3 2" xfId="27825"/>
    <cellStyle name="Normal 65 4 2 2 3 2 2" xfId="50070"/>
    <cellStyle name="Normal 65 4 2 2 3 3" xfId="47765"/>
    <cellStyle name="Normal 65 4 2 2 4" xfId="26482"/>
    <cellStyle name="Normal 65 4 2 2 4 2" xfId="48727"/>
    <cellStyle name="Normal 65 4 2 2 5" xfId="24278"/>
    <cellStyle name="Normal 65 4 2 2 5 2" xfId="46524"/>
    <cellStyle name="Normal 65 4 2 2 6" xfId="33983"/>
    <cellStyle name="Normal 65 4 2 3" xfId="13878"/>
    <cellStyle name="Normal 65 4 2 3 2" xfId="26823"/>
    <cellStyle name="Normal 65 4 2 3 2 2" xfId="49068"/>
    <cellStyle name="Normal 65 4 2 3 3" xfId="24610"/>
    <cellStyle name="Normal 65 4 2 3 3 2" xfId="46855"/>
    <cellStyle name="Normal 65 4 2 3 4" xfId="37299"/>
    <cellStyle name="Normal 65 4 2 4" xfId="25184"/>
    <cellStyle name="Normal 65 4 2 4 2" xfId="27489"/>
    <cellStyle name="Normal 65 4 2 4 2 2" xfId="49734"/>
    <cellStyle name="Normal 65 4 2 4 3" xfId="47429"/>
    <cellStyle name="Normal 65 4 2 5" xfId="26153"/>
    <cellStyle name="Normal 65 4 2 5 2" xfId="48398"/>
    <cellStyle name="Normal 65 4 2 6" xfId="23962"/>
    <cellStyle name="Normal 65 4 2 6 2" xfId="46208"/>
    <cellStyle name="Normal 65 4 2 7" xfId="30667"/>
    <cellStyle name="Normal 65 4 3" xfId="8825"/>
    <cellStyle name="Normal 65 4 3 2" xfId="15536"/>
    <cellStyle name="Normal 65 4 3 2 2" xfId="26989"/>
    <cellStyle name="Normal 65 4 3 2 2 2" xfId="49234"/>
    <cellStyle name="Normal 65 4 3 2 3" xfId="24776"/>
    <cellStyle name="Normal 65 4 3 2 3 2" xfId="47021"/>
    <cellStyle name="Normal 65 4 3 2 4" xfId="38957"/>
    <cellStyle name="Normal 65 4 3 3" xfId="25352"/>
    <cellStyle name="Normal 65 4 3 3 2" xfId="27657"/>
    <cellStyle name="Normal 65 4 3 3 2 2" xfId="49902"/>
    <cellStyle name="Normal 65 4 3 3 3" xfId="47597"/>
    <cellStyle name="Normal 65 4 3 4" xfId="26317"/>
    <cellStyle name="Normal 65 4 3 4 2" xfId="48562"/>
    <cellStyle name="Normal 65 4 3 5" xfId="24113"/>
    <cellStyle name="Normal 65 4 3 5 2" xfId="46359"/>
    <cellStyle name="Normal 65 4 3 6" xfId="32325"/>
    <cellStyle name="Normal 65 4 4" xfId="12218"/>
    <cellStyle name="Normal 65 4 4 2" xfId="26657"/>
    <cellStyle name="Normal 65 4 4 2 2" xfId="48902"/>
    <cellStyle name="Normal 65 4 4 3" xfId="24444"/>
    <cellStyle name="Normal 65 4 4 3 2" xfId="46689"/>
    <cellStyle name="Normal 65 4 4 4" xfId="35641"/>
    <cellStyle name="Normal 65 4 5" xfId="23774"/>
    <cellStyle name="Normal 65 4 5 2" xfId="27321"/>
    <cellStyle name="Normal 65 4 5 2 2" xfId="49566"/>
    <cellStyle name="Normal 65 4 5 3" xfId="46063"/>
    <cellStyle name="Normal 65 4 6" xfId="26005"/>
    <cellStyle name="Normal 65 4 6 2" xfId="48250"/>
    <cellStyle name="Normal 65 4 7" xfId="29009"/>
    <cellStyle name="Normal 65 5" xfId="4240"/>
    <cellStyle name="Normal 65 5 2" xfId="7159"/>
    <cellStyle name="Normal 65 5 2 2" xfId="10491"/>
    <cellStyle name="Normal 65 5 2 2 2" xfId="17195"/>
    <cellStyle name="Normal 65 5 2 2 2 2" xfId="27237"/>
    <cellStyle name="Normal 65 5 2 2 2 2 2" xfId="49482"/>
    <cellStyle name="Normal 65 5 2 2 2 3" xfId="25024"/>
    <cellStyle name="Normal 65 5 2 2 2 3 2" xfId="47269"/>
    <cellStyle name="Normal 65 5 2 2 2 4" xfId="40616"/>
    <cellStyle name="Normal 65 5 2 2 3" xfId="25604"/>
    <cellStyle name="Normal 65 5 2 2 3 2" xfId="27909"/>
    <cellStyle name="Normal 65 5 2 2 3 2 2" xfId="50154"/>
    <cellStyle name="Normal 65 5 2 2 3 3" xfId="47849"/>
    <cellStyle name="Normal 65 5 2 2 4" xfId="26563"/>
    <cellStyle name="Normal 65 5 2 2 4 2" xfId="48808"/>
    <cellStyle name="Normal 65 5 2 2 5" xfId="24359"/>
    <cellStyle name="Normal 65 5 2 2 5 2" xfId="46605"/>
    <cellStyle name="Normal 65 5 2 2 6" xfId="33984"/>
    <cellStyle name="Normal 65 5 2 3" xfId="13879"/>
    <cellStyle name="Normal 65 5 2 3 2" xfId="26905"/>
    <cellStyle name="Normal 65 5 2 3 2 2" xfId="49150"/>
    <cellStyle name="Normal 65 5 2 3 3" xfId="24692"/>
    <cellStyle name="Normal 65 5 2 3 3 2" xfId="46937"/>
    <cellStyle name="Normal 65 5 2 3 4" xfId="37300"/>
    <cellStyle name="Normal 65 5 2 4" xfId="25268"/>
    <cellStyle name="Normal 65 5 2 4 2" xfId="27573"/>
    <cellStyle name="Normal 65 5 2 4 2 2" xfId="49818"/>
    <cellStyle name="Normal 65 5 2 4 3" xfId="47513"/>
    <cellStyle name="Normal 65 5 2 5" xfId="26234"/>
    <cellStyle name="Normal 65 5 2 5 2" xfId="48479"/>
    <cellStyle name="Normal 65 5 2 6" xfId="24043"/>
    <cellStyle name="Normal 65 5 2 6 2" xfId="46289"/>
    <cellStyle name="Normal 65 5 2 7" xfId="30668"/>
    <cellStyle name="Normal 65 5 3" xfId="8826"/>
    <cellStyle name="Normal 65 5 3 2" xfId="15537"/>
    <cellStyle name="Normal 65 5 3 2 2" xfId="27071"/>
    <cellStyle name="Normal 65 5 3 2 2 2" xfId="49316"/>
    <cellStyle name="Normal 65 5 3 2 3" xfId="24858"/>
    <cellStyle name="Normal 65 5 3 2 3 2" xfId="47103"/>
    <cellStyle name="Normal 65 5 3 2 4" xfId="38958"/>
    <cellStyle name="Normal 65 5 3 3" xfId="25436"/>
    <cellStyle name="Normal 65 5 3 3 2" xfId="27741"/>
    <cellStyle name="Normal 65 5 3 3 2 2" xfId="49986"/>
    <cellStyle name="Normal 65 5 3 3 3" xfId="47681"/>
    <cellStyle name="Normal 65 5 3 4" xfId="26398"/>
    <cellStyle name="Normal 65 5 3 4 2" xfId="48643"/>
    <cellStyle name="Normal 65 5 3 5" xfId="24194"/>
    <cellStyle name="Normal 65 5 3 5 2" xfId="46440"/>
    <cellStyle name="Normal 65 5 3 6" xfId="32326"/>
    <cellStyle name="Normal 65 5 4" xfId="12219"/>
    <cellStyle name="Normal 65 5 4 2" xfId="26739"/>
    <cellStyle name="Normal 65 5 4 2 2" xfId="48984"/>
    <cellStyle name="Normal 65 5 4 3" xfId="24526"/>
    <cellStyle name="Normal 65 5 4 3 2" xfId="46771"/>
    <cellStyle name="Normal 65 5 4 4" xfId="35642"/>
    <cellStyle name="Normal 65 5 5" xfId="23775"/>
    <cellStyle name="Normal 65 5 5 2" xfId="27405"/>
    <cellStyle name="Normal 65 5 5 2 2" xfId="49650"/>
    <cellStyle name="Normal 65 5 5 3" xfId="46064"/>
    <cellStyle name="Normal 65 5 6" xfId="26006"/>
    <cellStyle name="Normal 65 5 6 2" xfId="48251"/>
    <cellStyle name="Normal 65 5 7" xfId="29010"/>
    <cellStyle name="Normal 65 6" xfId="23924"/>
    <cellStyle name="Normal 65 6 2" xfId="24236"/>
    <cellStyle name="Normal 65 6 2 2" xfId="24900"/>
    <cellStyle name="Normal 65 6 2 2 2" xfId="27113"/>
    <cellStyle name="Normal 65 6 2 2 2 2" xfId="49358"/>
    <cellStyle name="Normal 65 6 2 2 3" xfId="47145"/>
    <cellStyle name="Normal 65 6 2 3" xfId="25478"/>
    <cellStyle name="Normal 65 6 2 3 2" xfId="27783"/>
    <cellStyle name="Normal 65 6 2 3 2 2" xfId="50028"/>
    <cellStyle name="Normal 65 6 2 3 3" xfId="47723"/>
    <cellStyle name="Normal 65 6 2 4" xfId="26440"/>
    <cellStyle name="Normal 65 6 2 4 2" xfId="48685"/>
    <cellStyle name="Normal 65 6 2 5" xfId="46482"/>
    <cellStyle name="Normal 65 6 3" xfId="24568"/>
    <cellStyle name="Normal 65 6 3 2" xfId="26781"/>
    <cellStyle name="Normal 65 6 3 2 2" xfId="49026"/>
    <cellStyle name="Normal 65 6 3 3" xfId="46813"/>
    <cellStyle name="Normal 65 6 4" xfId="25142"/>
    <cellStyle name="Normal 65 6 4 2" xfId="27447"/>
    <cellStyle name="Normal 65 6 4 2 2" xfId="49692"/>
    <cellStyle name="Normal 65 6 4 3" xfId="47387"/>
    <cellStyle name="Normal 65 6 5" xfId="26115"/>
    <cellStyle name="Normal 65 6 5 2" xfId="48360"/>
    <cellStyle name="Normal 65 6 6" xfId="46170"/>
    <cellStyle name="Normal 65 7" xfId="24073"/>
    <cellStyle name="Normal 65 7 2" xfId="24734"/>
    <cellStyle name="Normal 65 7 2 2" xfId="26947"/>
    <cellStyle name="Normal 65 7 2 2 2" xfId="49192"/>
    <cellStyle name="Normal 65 7 2 3" xfId="46979"/>
    <cellStyle name="Normal 65 7 3" xfId="25310"/>
    <cellStyle name="Normal 65 7 3 2" xfId="27615"/>
    <cellStyle name="Normal 65 7 3 2 2" xfId="49860"/>
    <cellStyle name="Normal 65 7 3 3" xfId="47555"/>
    <cellStyle name="Normal 65 7 4" xfId="26275"/>
    <cellStyle name="Normal 65 7 4 2" xfId="48520"/>
    <cellStyle name="Normal 65 7 5" xfId="46319"/>
    <cellStyle name="Normal 65 8" xfId="24412"/>
    <cellStyle name="Normal 65 8 2" xfId="26615"/>
    <cellStyle name="Normal 65 8 2 2" xfId="48860"/>
    <cellStyle name="Normal 65 8 3" xfId="46657"/>
    <cellStyle name="Normal 65 9" xfId="25066"/>
    <cellStyle name="Normal 65 9 2" xfId="27279"/>
    <cellStyle name="Normal 65 9 2 2" xfId="49524"/>
    <cellStyle name="Normal 65 9 3" xfId="47311"/>
    <cellStyle name="Normal 66" xfId="828"/>
    <cellStyle name="Normal 66 2" xfId="4241"/>
    <cellStyle name="Normal 66 2 10" xfId="29011"/>
    <cellStyle name="Normal 66 2 2" xfId="4242"/>
    <cellStyle name="Normal 66 2 2 2" xfId="7161"/>
    <cellStyle name="Normal 66 2 2 2 2" xfId="10493"/>
    <cellStyle name="Normal 66 2 2 2 2 2" xfId="17197"/>
    <cellStyle name="Normal 66 2 2 2 2 2 2" xfId="27217"/>
    <cellStyle name="Normal 66 2 2 2 2 2 2 2" xfId="49462"/>
    <cellStyle name="Normal 66 2 2 2 2 2 3" xfId="25004"/>
    <cellStyle name="Normal 66 2 2 2 2 2 3 2" xfId="47249"/>
    <cellStyle name="Normal 66 2 2 2 2 2 4" xfId="40618"/>
    <cellStyle name="Normal 66 2 2 2 2 3" xfId="25584"/>
    <cellStyle name="Normal 66 2 2 2 2 3 2" xfId="27889"/>
    <cellStyle name="Normal 66 2 2 2 2 3 2 2" xfId="50134"/>
    <cellStyle name="Normal 66 2 2 2 2 3 3" xfId="47829"/>
    <cellStyle name="Normal 66 2 2 2 2 4" xfId="26543"/>
    <cellStyle name="Normal 66 2 2 2 2 4 2" xfId="48788"/>
    <cellStyle name="Normal 66 2 2 2 2 5" xfId="24339"/>
    <cellStyle name="Normal 66 2 2 2 2 5 2" xfId="46585"/>
    <cellStyle name="Normal 66 2 2 2 2 6" xfId="33986"/>
    <cellStyle name="Normal 66 2 2 2 3" xfId="13881"/>
    <cellStyle name="Normal 66 2 2 2 3 2" xfId="26885"/>
    <cellStyle name="Normal 66 2 2 2 3 2 2" xfId="49130"/>
    <cellStyle name="Normal 66 2 2 2 3 3" xfId="24672"/>
    <cellStyle name="Normal 66 2 2 2 3 3 2" xfId="46917"/>
    <cellStyle name="Normal 66 2 2 2 3 4" xfId="37302"/>
    <cellStyle name="Normal 66 2 2 2 4" xfId="25248"/>
    <cellStyle name="Normal 66 2 2 2 4 2" xfId="27553"/>
    <cellStyle name="Normal 66 2 2 2 4 2 2" xfId="49798"/>
    <cellStyle name="Normal 66 2 2 2 4 3" xfId="47493"/>
    <cellStyle name="Normal 66 2 2 2 5" xfId="26214"/>
    <cellStyle name="Normal 66 2 2 2 5 2" xfId="48459"/>
    <cellStyle name="Normal 66 2 2 2 6" xfId="24023"/>
    <cellStyle name="Normal 66 2 2 2 6 2" xfId="46269"/>
    <cellStyle name="Normal 66 2 2 2 7" xfId="30670"/>
    <cellStyle name="Normal 66 2 2 3" xfId="8828"/>
    <cellStyle name="Normal 66 2 2 3 2" xfId="15539"/>
    <cellStyle name="Normal 66 2 2 3 2 2" xfId="27051"/>
    <cellStyle name="Normal 66 2 2 3 2 2 2" xfId="49296"/>
    <cellStyle name="Normal 66 2 2 3 2 3" xfId="24838"/>
    <cellStyle name="Normal 66 2 2 3 2 3 2" xfId="47083"/>
    <cellStyle name="Normal 66 2 2 3 2 4" xfId="38960"/>
    <cellStyle name="Normal 66 2 2 3 3" xfId="25416"/>
    <cellStyle name="Normal 66 2 2 3 3 2" xfId="27721"/>
    <cellStyle name="Normal 66 2 2 3 3 2 2" xfId="49966"/>
    <cellStyle name="Normal 66 2 2 3 3 3" xfId="47661"/>
    <cellStyle name="Normal 66 2 2 3 4" xfId="26378"/>
    <cellStyle name="Normal 66 2 2 3 4 2" xfId="48623"/>
    <cellStyle name="Normal 66 2 2 3 5" xfId="24174"/>
    <cellStyle name="Normal 66 2 2 3 5 2" xfId="46420"/>
    <cellStyle name="Normal 66 2 2 3 6" xfId="32328"/>
    <cellStyle name="Normal 66 2 2 4" xfId="12221"/>
    <cellStyle name="Normal 66 2 2 4 2" xfId="26719"/>
    <cellStyle name="Normal 66 2 2 4 2 2" xfId="48964"/>
    <cellStyle name="Normal 66 2 2 4 3" xfId="24506"/>
    <cellStyle name="Normal 66 2 2 4 3 2" xfId="46751"/>
    <cellStyle name="Normal 66 2 2 4 4" xfId="35644"/>
    <cellStyle name="Normal 66 2 2 5" xfId="23777"/>
    <cellStyle name="Normal 66 2 2 5 2" xfId="27385"/>
    <cellStyle name="Normal 66 2 2 5 2 2" xfId="49630"/>
    <cellStyle name="Normal 66 2 2 5 3" xfId="46066"/>
    <cellStyle name="Normal 66 2 2 6" xfId="26008"/>
    <cellStyle name="Normal 66 2 2 6 2" xfId="48253"/>
    <cellStyle name="Normal 66 2 2 7" xfId="29012"/>
    <cellStyle name="Normal 66 2 3" xfId="4243"/>
    <cellStyle name="Normal 66 2 3 2" xfId="7162"/>
    <cellStyle name="Normal 66 2 3 2 2" xfId="10494"/>
    <cellStyle name="Normal 66 2 3 2 2 2" xfId="17198"/>
    <cellStyle name="Normal 66 2 3 2 2 2 2" xfId="27177"/>
    <cellStyle name="Normal 66 2 3 2 2 2 2 2" xfId="49422"/>
    <cellStyle name="Normal 66 2 3 2 2 2 3" xfId="24964"/>
    <cellStyle name="Normal 66 2 3 2 2 2 3 2" xfId="47209"/>
    <cellStyle name="Normal 66 2 3 2 2 2 4" xfId="40619"/>
    <cellStyle name="Normal 66 2 3 2 2 3" xfId="25542"/>
    <cellStyle name="Normal 66 2 3 2 2 3 2" xfId="27847"/>
    <cellStyle name="Normal 66 2 3 2 2 3 2 2" xfId="50092"/>
    <cellStyle name="Normal 66 2 3 2 2 3 3" xfId="47787"/>
    <cellStyle name="Normal 66 2 3 2 2 4" xfId="26503"/>
    <cellStyle name="Normal 66 2 3 2 2 4 2" xfId="48748"/>
    <cellStyle name="Normal 66 2 3 2 2 5" xfId="24299"/>
    <cellStyle name="Normal 66 2 3 2 2 5 2" xfId="46545"/>
    <cellStyle name="Normal 66 2 3 2 2 6" xfId="33987"/>
    <cellStyle name="Normal 66 2 3 2 3" xfId="13882"/>
    <cellStyle name="Normal 66 2 3 2 3 2" xfId="26845"/>
    <cellStyle name="Normal 66 2 3 2 3 2 2" xfId="49090"/>
    <cellStyle name="Normal 66 2 3 2 3 3" xfId="24632"/>
    <cellStyle name="Normal 66 2 3 2 3 3 2" xfId="46877"/>
    <cellStyle name="Normal 66 2 3 2 3 4" xfId="37303"/>
    <cellStyle name="Normal 66 2 3 2 4" xfId="25206"/>
    <cellStyle name="Normal 66 2 3 2 4 2" xfId="27511"/>
    <cellStyle name="Normal 66 2 3 2 4 2 2" xfId="49756"/>
    <cellStyle name="Normal 66 2 3 2 4 3" xfId="47451"/>
    <cellStyle name="Normal 66 2 3 2 5" xfId="26174"/>
    <cellStyle name="Normal 66 2 3 2 5 2" xfId="48419"/>
    <cellStyle name="Normal 66 2 3 2 6" xfId="23983"/>
    <cellStyle name="Normal 66 2 3 2 6 2" xfId="46229"/>
    <cellStyle name="Normal 66 2 3 2 7" xfId="30671"/>
    <cellStyle name="Normal 66 2 3 3" xfId="8829"/>
    <cellStyle name="Normal 66 2 3 3 2" xfId="15540"/>
    <cellStyle name="Normal 66 2 3 3 2 2" xfId="27011"/>
    <cellStyle name="Normal 66 2 3 3 2 2 2" xfId="49256"/>
    <cellStyle name="Normal 66 2 3 3 2 3" xfId="24798"/>
    <cellStyle name="Normal 66 2 3 3 2 3 2" xfId="47043"/>
    <cellStyle name="Normal 66 2 3 3 2 4" xfId="38961"/>
    <cellStyle name="Normal 66 2 3 3 3" xfId="25374"/>
    <cellStyle name="Normal 66 2 3 3 3 2" xfId="27679"/>
    <cellStyle name="Normal 66 2 3 3 3 2 2" xfId="49924"/>
    <cellStyle name="Normal 66 2 3 3 3 3" xfId="47619"/>
    <cellStyle name="Normal 66 2 3 3 4" xfId="26338"/>
    <cellStyle name="Normal 66 2 3 3 4 2" xfId="48583"/>
    <cellStyle name="Normal 66 2 3 3 5" xfId="24134"/>
    <cellStyle name="Normal 66 2 3 3 5 2" xfId="46380"/>
    <cellStyle name="Normal 66 2 3 3 6" xfId="32329"/>
    <cellStyle name="Normal 66 2 3 4" xfId="12222"/>
    <cellStyle name="Normal 66 2 3 4 2" xfId="26679"/>
    <cellStyle name="Normal 66 2 3 4 2 2" xfId="48924"/>
    <cellStyle name="Normal 66 2 3 4 3" xfId="24466"/>
    <cellStyle name="Normal 66 2 3 4 3 2" xfId="46711"/>
    <cellStyle name="Normal 66 2 3 4 4" xfId="35645"/>
    <cellStyle name="Normal 66 2 3 5" xfId="23778"/>
    <cellStyle name="Normal 66 2 3 5 2" xfId="27343"/>
    <cellStyle name="Normal 66 2 3 5 2 2" xfId="49588"/>
    <cellStyle name="Normal 66 2 3 5 3" xfId="46067"/>
    <cellStyle name="Normal 66 2 3 6" xfId="26009"/>
    <cellStyle name="Normal 66 2 3 6 2" xfId="48254"/>
    <cellStyle name="Normal 66 2 3 7" xfId="29013"/>
    <cellStyle name="Normal 66 2 4" xfId="7160"/>
    <cellStyle name="Normal 66 2 4 2" xfId="10492"/>
    <cellStyle name="Normal 66 2 4 2 2" xfId="17196"/>
    <cellStyle name="Normal 66 2 4 2 2 2" xfId="25046"/>
    <cellStyle name="Normal 66 2 4 2 2 2 2" xfId="27259"/>
    <cellStyle name="Normal 66 2 4 2 2 2 2 2" xfId="49504"/>
    <cellStyle name="Normal 66 2 4 2 2 2 3" xfId="47291"/>
    <cellStyle name="Normal 66 2 4 2 2 3" xfId="25626"/>
    <cellStyle name="Normal 66 2 4 2 2 3 2" xfId="27931"/>
    <cellStyle name="Normal 66 2 4 2 2 3 2 2" xfId="50176"/>
    <cellStyle name="Normal 66 2 4 2 2 3 3" xfId="47871"/>
    <cellStyle name="Normal 66 2 4 2 2 4" xfId="26585"/>
    <cellStyle name="Normal 66 2 4 2 2 4 2" xfId="48830"/>
    <cellStyle name="Normal 66 2 4 2 2 5" xfId="24381"/>
    <cellStyle name="Normal 66 2 4 2 2 5 2" xfId="46627"/>
    <cellStyle name="Normal 66 2 4 2 2 6" xfId="40617"/>
    <cellStyle name="Normal 66 2 4 2 3" xfId="24714"/>
    <cellStyle name="Normal 66 2 4 2 3 2" xfId="26927"/>
    <cellStyle name="Normal 66 2 4 2 3 2 2" xfId="49172"/>
    <cellStyle name="Normal 66 2 4 2 3 3" xfId="46959"/>
    <cellStyle name="Normal 66 2 4 2 4" xfId="25290"/>
    <cellStyle name="Normal 66 2 4 2 4 2" xfId="27595"/>
    <cellStyle name="Normal 66 2 4 2 4 2 2" xfId="49840"/>
    <cellStyle name="Normal 66 2 4 2 4 3" xfId="47535"/>
    <cellStyle name="Normal 66 2 4 2 5" xfId="26255"/>
    <cellStyle name="Normal 66 2 4 2 5 2" xfId="48500"/>
    <cellStyle name="Normal 66 2 4 2 6" xfId="24064"/>
    <cellStyle name="Normal 66 2 4 2 6 2" xfId="46310"/>
    <cellStyle name="Normal 66 2 4 2 7" xfId="33985"/>
    <cellStyle name="Normal 66 2 4 3" xfId="13880"/>
    <cellStyle name="Normal 66 2 4 3 2" xfId="24880"/>
    <cellStyle name="Normal 66 2 4 3 2 2" xfId="27093"/>
    <cellStyle name="Normal 66 2 4 3 2 2 2" xfId="49338"/>
    <cellStyle name="Normal 66 2 4 3 2 3" xfId="47125"/>
    <cellStyle name="Normal 66 2 4 3 3" xfId="25458"/>
    <cellStyle name="Normal 66 2 4 3 3 2" xfId="27763"/>
    <cellStyle name="Normal 66 2 4 3 3 2 2" xfId="50008"/>
    <cellStyle name="Normal 66 2 4 3 3 3" xfId="47703"/>
    <cellStyle name="Normal 66 2 4 3 4" xfId="26420"/>
    <cellStyle name="Normal 66 2 4 3 4 2" xfId="48665"/>
    <cellStyle name="Normal 66 2 4 3 5" xfId="24216"/>
    <cellStyle name="Normal 66 2 4 3 5 2" xfId="46462"/>
    <cellStyle name="Normal 66 2 4 3 6" xfId="37301"/>
    <cellStyle name="Normal 66 2 4 4" xfId="24548"/>
    <cellStyle name="Normal 66 2 4 4 2" xfId="26761"/>
    <cellStyle name="Normal 66 2 4 4 2 2" xfId="49006"/>
    <cellStyle name="Normal 66 2 4 4 3" xfId="46793"/>
    <cellStyle name="Normal 66 2 4 5" xfId="25122"/>
    <cellStyle name="Normal 66 2 4 5 2" xfId="27427"/>
    <cellStyle name="Normal 66 2 4 5 2 2" xfId="49672"/>
    <cellStyle name="Normal 66 2 4 5 3" xfId="47367"/>
    <cellStyle name="Normal 66 2 4 6" xfId="26102"/>
    <cellStyle name="Normal 66 2 4 6 2" xfId="48347"/>
    <cellStyle name="Normal 66 2 4 7" xfId="23911"/>
    <cellStyle name="Normal 66 2 4 7 2" xfId="46157"/>
    <cellStyle name="Normal 66 2 4 8" xfId="30669"/>
    <cellStyle name="Normal 66 2 5" xfId="8827"/>
    <cellStyle name="Normal 66 2 5 2" xfId="15538"/>
    <cellStyle name="Normal 66 2 5 2 2" xfId="24922"/>
    <cellStyle name="Normal 66 2 5 2 2 2" xfId="27135"/>
    <cellStyle name="Normal 66 2 5 2 2 2 2" xfId="49380"/>
    <cellStyle name="Normal 66 2 5 2 2 3" xfId="47167"/>
    <cellStyle name="Normal 66 2 5 2 3" xfId="25500"/>
    <cellStyle name="Normal 66 2 5 2 3 2" xfId="27805"/>
    <cellStyle name="Normal 66 2 5 2 3 2 2" xfId="50050"/>
    <cellStyle name="Normal 66 2 5 2 3 3" xfId="47745"/>
    <cellStyle name="Normal 66 2 5 2 4" xfId="26462"/>
    <cellStyle name="Normal 66 2 5 2 4 2" xfId="48707"/>
    <cellStyle name="Normal 66 2 5 2 5" xfId="24258"/>
    <cellStyle name="Normal 66 2 5 2 5 2" xfId="46504"/>
    <cellStyle name="Normal 66 2 5 2 6" xfId="38959"/>
    <cellStyle name="Normal 66 2 5 3" xfId="24590"/>
    <cellStyle name="Normal 66 2 5 3 2" xfId="26803"/>
    <cellStyle name="Normal 66 2 5 3 2 2" xfId="49048"/>
    <cellStyle name="Normal 66 2 5 3 3" xfId="46835"/>
    <cellStyle name="Normal 66 2 5 4" xfId="25164"/>
    <cellStyle name="Normal 66 2 5 4 2" xfId="27469"/>
    <cellStyle name="Normal 66 2 5 4 2 2" xfId="49714"/>
    <cellStyle name="Normal 66 2 5 4 3" xfId="47409"/>
    <cellStyle name="Normal 66 2 5 5" xfId="26134"/>
    <cellStyle name="Normal 66 2 5 5 2" xfId="48379"/>
    <cellStyle name="Normal 66 2 5 6" xfId="23943"/>
    <cellStyle name="Normal 66 2 5 6 2" xfId="46189"/>
    <cellStyle name="Normal 66 2 5 7" xfId="32327"/>
    <cellStyle name="Normal 66 2 6" xfId="12220"/>
    <cellStyle name="Normal 66 2 6 2" xfId="24756"/>
    <cellStyle name="Normal 66 2 6 2 2" xfId="26969"/>
    <cellStyle name="Normal 66 2 6 2 2 2" xfId="49214"/>
    <cellStyle name="Normal 66 2 6 2 3" xfId="47001"/>
    <cellStyle name="Normal 66 2 6 3" xfId="25332"/>
    <cellStyle name="Normal 66 2 6 3 2" xfId="27637"/>
    <cellStyle name="Normal 66 2 6 3 2 2" xfId="49882"/>
    <cellStyle name="Normal 66 2 6 3 3" xfId="47577"/>
    <cellStyle name="Normal 66 2 6 4" xfId="26297"/>
    <cellStyle name="Normal 66 2 6 4 2" xfId="48542"/>
    <cellStyle name="Normal 66 2 6 5" xfId="24093"/>
    <cellStyle name="Normal 66 2 6 5 2" xfId="46339"/>
    <cellStyle name="Normal 66 2 6 6" xfId="35643"/>
    <cellStyle name="Normal 66 2 7" xfId="18868"/>
    <cellStyle name="Normal 66 2 7 2" xfId="26637"/>
    <cellStyle name="Normal 66 2 7 2 2" xfId="48882"/>
    <cellStyle name="Normal 66 2 7 3" xfId="24424"/>
    <cellStyle name="Normal 66 2 7 3 2" xfId="46669"/>
    <cellStyle name="Normal 66 2 8" xfId="23776"/>
    <cellStyle name="Normal 66 2 8 2" xfId="27301"/>
    <cellStyle name="Normal 66 2 8 2 2" xfId="49546"/>
    <cellStyle name="Normal 66 2 8 3" xfId="46065"/>
    <cellStyle name="Normal 66 2 9" xfId="26007"/>
    <cellStyle name="Normal 66 2 9 2" xfId="48252"/>
    <cellStyle name="Normal 66 3" xfId="4244"/>
    <cellStyle name="Normal 66 3 2" xfId="7163"/>
    <cellStyle name="Normal 66 3 2 2" xfId="10495"/>
    <cellStyle name="Normal 66 3 2 2 2" xfId="17199"/>
    <cellStyle name="Normal 66 3 2 2 2 2" xfId="27197"/>
    <cellStyle name="Normal 66 3 2 2 2 2 2" xfId="49442"/>
    <cellStyle name="Normal 66 3 2 2 2 3" xfId="24984"/>
    <cellStyle name="Normal 66 3 2 2 2 3 2" xfId="47229"/>
    <cellStyle name="Normal 66 3 2 2 2 4" xfId="40620"/>
    <cellStyle name="Normal 66 3 2 2 3" xfId="25563"/>
    <cellStyle name="Normal 66 3 2 2 3 2" xfId="27868"/>
    <cellStyle name="Normal 66 3 2 2 3 2 2" xfId="50113"/>
    <cellStyle name="Normal 66 3 2 2 3 3" xfId="47808"/>
    <cellStyle name="Normal 66 3 2 2 4" xfId="26523"/>
    <cellStyle name="Normal 66 3 2 2 4 2" xfId="48768"/>
    <cellStyle name="Normal 66 3 2 2 5" xfId="24319"/>
    <cellStyle name="Normal 66 3 2 2 5 2" xfId="46565"/>
    <cellStyle name="Normal 66 3 2 2 6" xfId="33988"/>
    <cellStyle name="Normal 66 3 2 3" xfId="13883"/>
    <cellStyle name="Normal 66 3 2 3 2" xfId="26865"/>
    <cellStyle name="Normal 66 3 2 3 2 2" xfId="49110"/>
    <cellStyle name="Normal 66 3 2 3 3" xfId="24652"/>
    <cellStyle name="Normal 66 3 2 3 3 2" xfId="46897"/>
    <cellStyle name="Normal 66 3 2 3 4" xfId="37304"/>
    <cellStyle name="Normal 66 3 2 4" xfId="25227"/>
    <cellStyle name="Normal 66 3 2 4 2" xfId="27532"/>
    <cellStyle name="Normal 66 3 2 4 2 2" xfId="49777"/>
    <cellStyle name="Normal 66 3 2 4 3" xfId="47472"/>
    <cellStyle name="Normal 66 3 2 5" xfId="26194"/>
    <cellStyle name="Normal 66 3 2 5 2" xfId="48439"/>
    <cellStyle name="Normal 66 3 2 6" xfId="24003"/>
    <cellStyle name="Normal 66 3 2 6 2" xfId="46249"/>
    <cellStyle name="Normal 66 3 2 7" xfId="30672"/>
    <cellStyle name="Normal 66 3 3" xfId="8830"/>
    <cellStyle name="Normal 66 3 3 2" xfId="15541"/>
    <cellStyle name="Normal 66 3 3 2 2" xfId="27031"/>
    <cellStyle name="Normal 66 3 3 2 2 2" xfId="49276"/>
    <cellStyle name="Normal 66 3 3 2 3" xfId="24818"/>
    <cellStyle name="Normal 66 3 3 2 3 2" xfId="47063"/>
    <cellStyle name="Normal 66 3 3 2 4" xfId="38962"/>
    <cellStyle name="Normal 66 3 3 3" xfId="25395"/>
    <cellStyle name="Normal 66 3 3 3 2" xfId="27700"/>
    <cellStyle name="Normal 66 3 3 3 2 2" xfId="49945"/>
    <cellStyle name="Normal 66 3 3 3 3" xfId="47640"/>
    <cellStyle name="Normal 66 3 3 4" xfId="26358"/>
    <cellStyle name="Normal 66 3 3 4 2" xfId="48603"/>
    <cellStyle name="Normal 66 3 3 5" xfId="24154"/>
    <cellStyle name="Normal 66 3 3 5 2" xfId="46400"/>
    <cellStyle name="Normal 66 3 3 6" xfId="32330"/>
    <cellStyle name="Normal 66 3 4" xfId="12223"/>
    <cellStyle name="Normal 66 3 4 2" xfId="26699"/>
    <cellStyle name="Normal 66 3 4 2 2" xfId="48944"/>
    <cellStyle name="Normal 66 3 4 3" xfId="24486"/>
    <cellStyle name="Normal 66 3 4 3 2" xfId="46731"/>
    <cellStyle name="Normal 66 3 4 4" xfId="35646"/>
    <cellStyle name="Normal 66 3 5" xfId="23779"/>
    <cellStyle name="Normal 66 3 5 2" xfId="27364"/>
    <cellStyle name="Normal 66 3 5 2 2" xfId="49609"/>
    <cellStyle name="Normal 66 3 5 3" xfId="46068"/>
    <cellStyle name="Normal 66 3 6" xfId="26010"/>
    <cellStyle name="Normal 66 3 6 2" xfId="48255"/>
    <cellStyle name="Normal 66 3 7" xfId="29014"/>
    <cellStyle name="Normal 66 4" xfId="4245"/>
    <cellStyle name="Normal 66 4 2" xfId="7164"/>
    <cellStyle name="Normal 66 4 2 2" xfId="10496"/>
    <cellStyle name="Normal 66 4 2 2 2" xfId="17200"/>
    <cellStyle name="Normal 66 4 2 2 2 2" xfId="27156"/>
    <cellStyle name="Normal 66 4 2 2 2 2 2" xfId="49401"/>
    <cellStyle name="Normal 66 4 2 2 2 3" xfId="24943"/>
    <cellStyle name="Normal 66 4 2 2 2 3 2" xfId="47188"/>
    <cellStyle name="Normal 66 4 2 2 2 4" xfId="40621"/>
    <cellStyle name="Normal 66 4 2 2 3" xfId="25521"/>
    <cellStyle name="Normal 66 4 2 2 3 2" xfId="27826"/>
    <cellStyle name="Normal 66 4 2 2 3 2 2" xfId="50071"/>
    <cellStyle name="Normal 66 4 2 2 3 3" xfId="47766"/>
    <cellStyle name="Normal 66 4 2 2 4" xfId="26483"/>
    <cellStyle name="Normal 66 4 2 2 4 2" xfId="48728"/>
    <cellStyle name="Normal 66 4 2 2 5" xfId="24279"/>
    <cellStyle name="Normal 66 4 2 2 5 2" xfId="46525"/>
    <cellStyle name="Normal 66 4 2 2 6" xfId="33989"/>
    <cellStyle name="Normal 66 4 2 3" xfId="13884"/>
    <cellStyle name="Normal 66 4 2 3 2" xfId="26824"/>
    <cellStyle name="Normal 66 4 2 3 2 2" xfId="49069"/>
    <cellStyle name="Normal 66 4 2 3 3" xfId="24611"/>
    <cellStyle name="Normal 66 4 2 3 3 2" xfId="46856"/>
    <cellStyle name="Normal 66 4 2 3 4" xfId="37305"/>
    <cellStyle name="Normal 66 4 2 4" xfId="25185"/>
    <cellStyle name="Normal 66 4 2 4 2" xfId="27490"/>
    <cellStyle name="Normal 66 4 2 4 2 2" xfId="49735"/>
    <cellStyle name="Normal 66 4 2 4 3" xfId="47430"/>
    <cellStyle name="Normal 66 4 2 5" xfId="26154"/>
    <cellStyle name="Normal 66 4 2 5 2" xfId="48399"/>
    <cellStyle name="Normal 66 4 2 6" xfId="23963"/>
    <cellStyle name="Normal 66 4 2 6 2" xfId="46209"/>
    <cellStyle name="Normal 66 4 2 7" xfId="30673"/>
    <cellStyle name="Normal 66 4 3" xfId="8831"/>
    <cellStyle name="Normal 66 4 3 2" xfId="15542"/>
    <cellStyle name="Normal 66 4 3 2 2" xfId="26990"/>
    <cellStyle name="Normal 66 4 3 2 2 2" xfId="49235"/>
    <cellStyle name="Normal 66 4 3 2 3" xfId="24777"/>
    <cellStyle name="Normal 66 4 3 2 3 2" xfId="47022"/>
    <cellStyle name="Normal 66 4 3 2 4" xfId="38963"/>
    <cellStyle name="Normal 66 4 3 3" xfId="25353"/>
    <cellStyle name="Normal 66 4 3 3 2" xfId="27658"/>
    <cellStyle name="Normal 66 4 3 3 2 2" xfId="49903"/>
    <cellStyle name="Normal 66 4 3 3 3" xfId="47598"/>
    <cellStyle name="Normal 66 4 3 4" xfId="26318"/>
    <cellStyle name="Normal 66 4 3 4 2" xfId="48563"/>
    <cellStyle name="Normal 66 4 3 5" xfId="24114"/>
    <cellStyle name="Normal 66 4 3 5 2" xfId="46360"/>
    <cellStyle name="Normal 66 4 3 6" xfId="32331"/>
    <cellStyle name="Normal 66 4 4" xfId="12224"/>
    <cellStyle name="Normal 66 4 4 2" xfId="26658"/>
    <cellStyle name="Normal 66 4 4 2 2" xfId="48903"/>
    <cellStyle name="Normal 66 4 4 3" xfId="24445"/>
    <cellStyle name="Normal 66 4 4 3 2" xfId="46690"/>
    <cellStyle name="Normal 66 4 4 4" xfId="35647"/>
    <cellStyle name="Normal 66 4 5" xfId="23780"/>
    <cellStyle name="Normal 66 4 5 2" xfId="27322"/>
    <cellStyle name="Normal 66 4 5 2 2" xfId="49567"/>
    <cellStyle name="Normal 66 4 5 3" xfId="46069"/>
    <cellStyle name="Normal 66 4 6" xfId="26011"/>
    <cellStyle name="Normal 66 4 6 2" xfId="48256"/>
    <cellStyle name="Normal 66 4 7" xfId="29015"/>
    <cellStyle name="Normal 66 5" xfId="4246"/>
    <cellStyle name="Normal 66 5 2" xfId="7165"/>
    <cellStyle name="Normal 66 5 2 2" xfId="10497"/>
    <cellStyle name="Normal 66 5 2 2 2" xfId="17201"/>
    <cellStyle name="Normal 66 5 2 2 2 2" xfId="27238"/>
    <cellStyle name="Normal 66 5 2 2 2 2 2" xfId="49483"/>
    <cellStyle name="Normal 66 5 2 2 2 3" xfId="25025"/>
    <cellStyle name="Normal 66 5 2 2 2 3 2" xfId="47270"/>
    <cellStyle name="Normal 66 5 2 2 2 4" xfId="40622"/>
    <cellStyle name="Normal 66 5 2 2 3" xfId="25605"/>
    <cellStyle name="Normal 66 5 2 2 3 2" xfId="27910"/>
    <cellStyle name="Normal 66 5 2 2 3 2 2" xfId="50155"/>
    <cellStyle name="Normal 66 5 2 2 3 3" xfId="47850"/>
    <cellStyle name="Normal 66 5 2 2 4" xfId="26564"/>
    <cellStyle name="Normal 66 5 2 2 4 2" xfId="48809"/>
    <cellStyle name="Normal 66 5 2 2 5" xfId="24360"/>
    <cellStyle name="Normal 66 5 2 2 5 2" xfId="46606"/>
    <cellStyle name="Normal 66 5 2 2 6" xfId="33990"/>
    <cellStyle name="Normal 66 5 2 3" xfId="13885"/>
    <cellStyle name="Normal 66 5 2 3 2" xfId="26906"/>
    <cellStyle name="Normal 66 5 2 3 2 2" xfId="49151"/>
    <cellStyle name="Normal 66 5 2 3 3" xfId="24693"/>
    <cellStyle name="Normal 66 5 2 3 3 2" xfId="46938"/>
    <cellStyle name="Normal 66 5 2 3 4" xfId="37306"/>
    <cellStyle name="Normal 66 5 2 4" xfId="25269"/>
    <cellStyle name="Normal 66 5 2 4 2" xfId="27574"/>
    <cellStyle name="Normal 66 5 2 4 2 2" xfId="49819"/>
    <cellStyle name="Normal 66 5 2 4 3" xfId="47514"/>
    <cellStyle name="Normal 66 5 2 5" xfId="26235"/>
    <cellStyle name="Normal 66 5 2 5 2" xfId="48480"/>
    <cellStyle name="Normal 66 5 2 6" xfId="24044"/>
    <cellStyle name="Normal 66 5 2 6 2" xfId="46290"/>
    <cellStyle name="Normal 66 5 2 7" xfId="30674"/>
    <cellStyle name="Normal 66 5 3" xfId="8832"/>
    <cellStyle name="Normal 66 5 3 2" xfId="15543"/>
    <cellStyle name="Normal 66 5 3 2 2" xfId="27072"/>
    <cellStyle name="Normal 66 5 3 2 2 2" xfId="49317"/>
    <cellStyle name="Normal 66 5 3 2 3" xfId="24859"/>
    <cellStyle name="Normal 66 5 3 2 3 2" xfId="47104"/>
    <cellStyle name="Normal 66 5 3 2 4" xfId="38964"/>
    <cellStyle name="Normal 66 5 3 3" xfId="25437"/>
    <cellStyle name="Normal 66 5 3 3 2" xfId="27742"/>
    <cellStyle name="Normal 66 5 3 3 2 2" xfId="49987"/>
    <cellStyle name="Normal 66 5 3 3 3" xfId="47682"/>
    <cellStyle name="Normal 66 5 3 4" xfId="26399"/>
    <cellStyle name="Normal 66 5 3 4 2" xfId="48644"/>
    <cellStyle name="Normal 66 5 3 5" xfId="24195"/>
    <cellStyle name="Normal 66 5 3 5 2" xfId="46441"/>
    <cellStyle name="Normal 66 5 3 6" xfId="32332"/>
    <cellStyle name="Normal 66 5 4" xfId="12225"/>
    <cellStyle name="Normal 66 5 4 2" xfId="26740"/>
    <cellStyle name="Normal 66 5 4 2 2" xfId="48985"/>
    <cellStyle name="Normal 66 5 4 3" xfId="24527"/>
    <cellStyle name="Normal 66 5 4 3 2" xfId="46772"/>
    <cellStyle name="Normal 66 5 4 4" xfId="35648"/>
    <cellStyle name="Normal 66 5 5" xfId="23781"/>
    <cellStyle name="Normal 66 5 5 2" xfId="27406"/>
    <cellStyle name="Normal 66 5 5 2 2" xfId="49651"/>
    <cellStyle name="Normal 66 5 5 3" xfId="46070"/>
    <cellStyle name="Normal 66 5 6" xfId="26012"/>
    <cellStyle name="Normal 66 5 6 2" xfId="48257"/>
    <cellStyle name="Normal 66 5 7" xfId="29016"/>
    <cellStyle name="Normal 66 6" xfId="23925"/>
    <cellStyle name="Normal 66 6 2" xfId="24237"/>
    <cellStyle name="Normal 66 6 2 2" xfId="24901"/>
    <cellStyle name="Normal 66 6 2 2 2" xfId="27114"/>
    <cellStyle name="Normal 66 6 2 2 2 2" xfId="49359"/>
    <cellStyle name="Normal 66 6 2 2 3" xfId="47146"/>
    <cellStyle name="Normal 66 6 2 3" xfId="25479"/>
    <cellStyle name="Normal 66 6 2 3 2" xfId="27784"/>
    <cellStyle name="Normal 66 6 2 3 2 2" xfId="50029"/>
    <cellStyle name="Normal 66 6 2 3 3" xfId="47724"/>
    <cellStyle name="Normal 66 6 2 4" xfId="26441"/>
    <cellStyle name="Normal 66 6 2 4 2" xfId="48686"/>
    <cellStyle name="Normal 66 6 2 5" xfId="46483"/>
    <cellStyle name="Normal 66 6 3" xfId="24569"/>
    <cellStyle name="Normal 66 6 3 2" xfId="26782"/>
    <cellStyle name="Normal 66 6 3 2 2" xfId="49027"/>
    <cellStyle name="Normal 66 6 3 3" xfId="46814"/>
    <cellStyle name="Normal 66 6 4" xfId="25143"/>
    <cellStyle name="Normal 66 6 4 2" xfId="27448"/>
    <cellStyle name="Normal 66 6 4 2 2" xfId="49693"/>
    <cellStyle name="Normal 66 6 4 3" xfId="47388"/>
    <cellStyle name="Normal 66 6 5" xfId="26116"/>
    <cellStyle name="Normal 66 6 5 2" xfId="48361"/>
    <cellStyle name="Normal 66 6 6" xfId="46171"/>
    <cellStyle name="Normal 66 7" xfId="24074"/>
    <cellStyle name="Normal 66 7 2" xfId="24735"/>
    <cellStyle name="Normal 66 7 2 2" xfId="26948"/>
    <cellStyle name="Normal 66 7 2 2 2" xfId="49193"/>
    <cellStyle name="Normal 66 7 2 3" xfId="46980"/>
    <cellStyle name="Normal 66 7 3" xfId="25311"/>
    <cellStyle name="Normal 66 7 3 2" xfId="27616"/>
    <cellStyle name="Normal 66 7 3 2 2" xfId="49861"/>
    <cellStyle name="Normal 66 7 3 3" xfId="47556"/>
    <cellStyle name="Normal 66 7 4" xfId="26276"/>
    <cellStyle name="Normal 66 7 4 2" xfId="48521"/>
    <cellStyle name="Normal 66 7 5" xfId="46320"/>
    <cellStyle name="Normal 66 8" xfId="24413"/>
    <cellStyle name="Normal 66 8 2" xfId="26616"/>
    <cellStyle name="Normal 66 8 2 2" xfId="48861"/>
    <cellStyle name="Normal 66 8 3" xfId="46658"/>
    <cellStyle name="Normal 66 9" xfId="25067"/>
    <cellStyle name="Normal 66 9 2" xfId="27280"/>
    <cellStyle name="Normal 66 9 2 2" xfId="49525"/>
    <cellStyle name="Normal 66 9 3" xfId="47312"/>
    <cellStyle name="Normal 67" xfId="836"/>
    <cellStyle name="Normal 67 2" xfId="4247"/>
    <cellStyle name="Normal 67 2 10" xfId="29017"/>
    <cellStyle name="Normal 67 2 2" xfId="4248"/>
    <cellStyle name="Normal 67 2 2 2" xfId="7167"/>
    <cellStyle name="Normal 67 2 2 2 2" xfId="10499"/>
    <cellStyle name="Normal 67 2 2 2 2 2" xfId="17203"/>
    <cellStyle name="Normal 67 2 2 2 2 2 2" xfId="27218"/>
    <cellStyle name="Normal 67 2 2 2 2 2 2 2" xfId="49463"/>
    <cellStyle name="Normal 67 2 2 2 2 2 3" xfId="25005"/>
    <cellStyle name="Normal 67 2 2 2 2 2 3 2" xfId="47250"/>
    <cellStyle name="Normal 67 2 2 2 2 2 4" xfId="40624"/>
    <cellStyle name="Normal 67 2 2 2 2 3" xfId="25585"/>
    <cellStyle name="Normal 67 2 2 2 2 3 2" xfId="27890"/>
    <cellStyle name="Normal 67 2 2 2 2 3 2 2" xfId="50135"/>
    <cellStyle name="Normal 67 2 2 2 2 3 3" xfId="47830"/>
    <cellStyle name="Normal 67 2 2 2 2 4" xfId="26544"/>
    <cellStyle name="Normal 67 2 2 2 2 4 2" xfId="48789"/>
    <cellStyle name="Normal 67 2 2 2 2 5" xfId="24340"/>
    <cellStyle name="Normal 67 2 2 2 2 5 2" xfId="46586"/>
    <cellStyle name="Normal 67 2 2 2 2 6" xfId="33992"/>
    <cellStyle name="Normal 67 2 2 2 3" xfId="13887"/>
    <cellStyle name="Normal 67 2 2 2 3 2" xfId="26886"/>
    <cellStyle name="Normal 67 2 2 2 3 2 2" xfId="49131"/>
    <cellStyle name="Normal 67 2 2 2 3 3" xfId="24673"/>
    <cellStyle name="Normal 67 2 2 2 3 3 2" xfId="46918"/>
    <cellStyle name="Normal 67 2 2 2 3 4" xfId="37308"/>
    <cellStyle name="Normal 67 2 2 2 4" xfId="25249"/>
    <cellStyle name="Normal 67 2 2 2 4 2" xfId="27554"/>
    <cellStyle name="Normal 67 2 2 2 4 2 2" xfId="49799"/>
    <cellStyle name="Normal 67 2 2 2 4 3" xfId="47494"/>
    <cellStyle name="Normal 67 2 2 2 5" xfId="26215"/>
    <cellStyle name="Normal 67 2 2 2 5 2" xfId="48460"/>
    <cellStyle name="Normal 67 2 2 2 6" xfId="24024"/>
    <cellStyle name="Normal 67 2 2 2 6 2" xfId="46270"/>
    <cellStyle name="Normal 67 2 2 2 7" xfId="30676"/>
    <cellStyle name="Normal 67 2 2 3" xfId="8834"/>
    <cellStyle name="Normal 67 2 2 3 2" xfId="15545"/>
    <cellStyle name="Normal 67 2 2 3 2 2" xfId="27052"/>
    <cellStyle name="Normal 67 2 2 3 2 2 2" xfId="49297"/>
    <cellStyle name="Normal 67 2 2 3 2 3" xfId="24839"/>
    <cellStyle name="Normal 67 2 2 3 2 3 2" xfId="47084"/>
    <cellStyle name="Normal 67 2 2 3 2 4" xfId="38966"/>
    <cellStyle name="Normal 67 2 2 3 3" xfId="25417"/>
    <cellStyle name="Normal 67 2 2 3 3 2" xfId="27722"/>
    <cellStyle name="Normal 67 2 2 3 3 2 2" xfId="49967"/>
    <cellStyle name="Normal 67 2 2 3 3 3" xfId="47662"/>
    <cellStyle name="Normal 67 2 2 3 4" xfId="26379"/>
    <cellStyle name="Normal 67 2 2 3 4 2" xfId="48624"/>
    <cellStyle name="Normal 67 2 2 3 5" xfId="24175"/>
    <cellStyle name="Normal 67 2 2 3 5 2" xfId="46421"/>
    <cellStyle name="Normal 67 2 2 3 6" xfId="32334"/>
    <cellStyle name="Normal 67 2 2 4" xfId="12227"/>
    <cellStyle name="Normal 67 2 2 4 2" xfId="26720"/>
    <cellStyle name="Normal 67 2 2 4 2 2" xfId="48965"/>
    <cellStyle name="Normal 67 2 2 4 3" xfId="24507"/>
    <cellStyle name="Normal 67 2 2 4 3 2" xfId="46752"/>
    <cellStyle name="Normal 67 2 2 4 4" xfId="35650"/>
    <cellStyle name="Normal 67 2 2 5" xfId="23783"/>
    <cellStyle name="Normal 67 2 2 5 2" xfId="27386"/>
    <cellStyle name="Normal 67 2 2 5 2 2" xfId="49631"/>
    <cellStyle name="Normal 67 2 2 5 3" xfId="46072"/>
    <cellStyle name="Normal 67 2 2 6" xfId="26014"/>
    <cellStyle name="Normal 67 2 2 6 2" xfId="48259"/>
    <cellStyle name="Normal 67 2 2 7" xfId="29018"/>
    <cellStyle name="Normal 67 2 3" xfId="4249"/>
    <cellStyle name="Normal 67 2 3 2" xfId="7168"/>
    <cellStyle name="Normal 67 2 3 2 2" xfId="10500"/>
    <cellStyle name="Normal 67 2 3 2 2 2" xfId="17204"/>
    <cellStyle name="Normal 67 2 3 2 2 2 2" xfId="27178"/>
    <cellStyle name="Normal 67 2 3 2 2 2 2 2" xfId="49423"/>
    <cellStyle name="Normal 67 2 3 2 2 2 3" xfId="24965"/>
    <cellStyle name="Normal 67 2 3 2 2 2 3 2" xfId="47210"/>
    <cellStyle name="Normal 67 2 3 2 2 2 4" xfId="40625"/>
    <cellStyle name="Normal 67 2 3 2 2 3" xfId="25543"/>
    <cellStyle name="Normal 67 2 3 2 2 3 2" xfId="27848"/>
    <cellStyle name="Normal 67 2 3 2 2 3 2 2" xfId="50093"/>
    <cellStyle name="Normal 67 2 3 2 2 3 3" xfId="47788"/>
    <cellStyle name="Normal 67 2 3 2 2 4" xfId="26504"/>
    <cellStyle name="Normal 67 2 3 2 2 4 2" xfId="48749"/>
    <cellStyle name="Normal 67 2 3 2 2 5" xfId="24300"/>
    <cellStyle name="Normal 67 2 3 2 2 5 2" xfId="46546"/>
    <cellStyle name="Normal 67 2 3 2 2 6" xfId="33993"/>
    <cellStyle name="Normal 67 2 3 2 3" xfId="13888"/>
    <cellStyle name="Normal 67 2 3 2 3 2" xfId="26846"/>
    <cellStyle name="Normal 67 2 3 2 3 2 2" xfId="49091"/>
    <cellStyle name="Normal 67 2 3 2 3 3" xfId="24633"/>
    <cellStyle name="Normal 67 2 3 2 3 3 2" xfId="46878"/>
    <cellStyle name="Normal 67 2 3 2 3 4" xfId="37309"/>
    <cellStyle name="Normal 67 2 3 2 4" xfId="25207"/>
    <cellStyle name="Normal 67 2 3 2 4 2" xfId="27512"/>
    <cellStyle name="Normal 67 2 3 2 4 2 2" xfId="49757"/>
    <cellStyle name="Normal 67 2 3 2 4 3" xfId="47452"/>
    <cellStyle name="Normal 67 2 3 2 5" xfId="26175"/>
    <cellStyle name="Normal 67 2 3 2 5 2" xfId="48420"/>
    <cellStyle name="Normal 67 2 3 2 6" xfId="23984"/>
    <cellStyle name="Normal 67 2 3 2 6 2" xfId="46230"/>
    <cellStyle name="Normal 67 2 3 2 7" xfId="30677"/>
    <cellStyle name="Normal 67 2 3 3" xfId="8835"/>
    <cellStyle name="Normal 67 2 3 3 2" xfId="15546"/>
    <cellStyle name="Normal 67 2 3 3 2 2" xfId="27012"/>
    <cellStyle name="Normal 67 2 3 3 2 2 2" xfId="49257"/>
    <cellStyle name="Normal 67 2 3 3 2 3" xfId="24799"/>
    <cellStyle name="Normal 67 2 3 3 2 3 2" xfId="47044"/>
    <cellStyle name="Normal 67 2 3 3 2 4" xfId="38967"/>
    <cellStyle name="Normal 67 2 3 3 3" xfId="25375"/>
    <cellStyle name="Normal 67 2 3 3 3 2" xfId="27680"/>
    <cellStyle name="Normal 67 2 3 3 3 2 2" xfId="49925"/>
    <cellStyle name="Normal 67 2 3 3 3 3" xfId="47620"/>
    <cellStyle name="Normal 67 2 3 3 4" xfId="26339"/>
    <cellStyle name="Normal 67 2 3 3 4 2" xfId="48584"/>
    <cellStyle name="Normal 67 2 3 3 5" xfId="24135"/>
    <cellStyle name="Normal 67 2 3 3 5 2" xfId="46381"/>
    <cellStyle name="Normal 67 2 3 3 6" xfId="32335"/>
    <cellStyle name="Normal 67 2 3 4" xfId="12228"/>
    <cellStyle name="Normal 67 2 3 4 2" xfId="26680"/>
    <cellStyle name="Normal 67 2 3 4 2 2" xfId="48925"/>
    <cellStyle name="Normal 67 2 3 4 3" xfId="24467"/>
    <cellStyle name="Normal 67 2 3 4 3 2" xfId="46712"/>
    <cellStyle name="Normal 67 2 3 4 4" xfId="35651"/>
    <cellStyle name="Normal 67 2 3 5" xfId="23784"/>
    <cellStyle name="Normal 67 2 3 5 2" xfId="27344"/>
    <cellStyle name="Normal 67 2 3 5 2 2" xfId="49589"/>
    <cellStyle name="Normal 67 2 3 5 3" xfId="46073"/>
    <cellStyle name="Normal 67 2 3 6" xfId="26015"/>
    <cellStyle name="Normal 67 2 3 6 2" xfId="48260"/>
    <cellStyle name="Normal 67 2 3 7" xfId="29019"/>
    <cellStyle name="Normal 67 2 4" xfId="7166"/>
    <cellStyle name="Normal 67 2 4 2" xfId="10498"/>
    <cellStyle name="Normal 67 2 4 2 2" xfId="17202"/>
    <cellStyle name="Normal 67 2 4 2 2 2" xfId="25047"/>
    <cellStyle name="Normal 67 2 4 2 2 2 2" xfId="27260"/>
    <cellStyle name="Normal 67 2 4 2 2 2 2 2" xfId="49505"/>
    <cellStyle name="Normal 67 2 4 2 2 2 3" xfId="47292"/>
    <cellStyle name="Normal 67 2 4 2 2 3" xfId="25627"/>
    <cellStyle name="Normal 67 2 4 2 2 3 2" xfId="27932"/>
    <cellStyle name="Normal 67 2 4 2 2 3 2 2" xfId="50177"/>
    <cellStyle name="Normal 67 2 4 2 2 3 3" xfId="47872"/>
    <cellStyle name="Normal 67 2 4 2 2 4" xfId="26586"/>
    <cellStyle name="Normal 67 2 4 2 2 4 2" xfId="48831"/>
    <cellStyle name="Normal 67 2 4 2 2 5" xfId="24382"/>
    <cellStyle name="Normal 67 2 4 2 2 5 2" xfId="46628"/>
    <cellStyle name="Normal 67 2 4 2 2 6" xfId="40623"/>
    <cellStyle name="Normal 67 2 4 2 3" xfId="24715"/>
    <cellStyle name="Normal 67 2 4 2 3 2" xfId="26928"/>
    <cellStyle name="Normal 67 2 4 2 3 2 2" xfId="49173"/>
    <cellStyle name="Normal 67 2 4 2 3 3" xfId="46960"/>
    <cellStyle name="Normal 67 2 4 2 4" xfId="25291"/>
    <cellStyle name="Normal 67 2 4 2 4 2" xfId="27596"/>
    <cellStyle name="Normal 67 2 4 2 4 2 2" xfId="49841"/>
    <cellStyle name="Normal 67 2 4 2 4 3" xfId="47536"/>
    <cellStyle name="Normal 67 2 4 2 5" xfId="26256"/>
    <cellStyle name="Normal 67 2 4 2 5 2" xfId="48501"/>
    <cellStyle name="Normal 67 2 4 2 6" xfId="24065"/>
    <cellStyle name="Normal 67 2 4 2 6 2" xfId="46311"/>
    <cellStyle name="Normal 67 2 4 2 7" xfId="33991"/>
    <cellStyle name="Normal 67 2 4 3" xfId="13886"/>
    <cellStyle name="Normal 67 2 4 3 2" xfId="24881"/>
    <cellStyle name="Normal 67 2 4 3 2 2" xfId="27094"/>
    <cellStyle name="Normal 67 2 4 3 2 2 2" xfId="49339"/>
    <cellStyle name="Normal 67 2 4 3 2 3" xfId="47126"/>
    <cellStyle name="Normal 67 2 4 3 3" xfId="25459"/>
    <cellStyle name="Normal 67 2 4 3 3 2" xfId="27764"/>
    <cellStyle name="Normal 67 2 4 3 3 2 2" xfId="50009"/>
    <cellStyle name="Normal 67 2 4 3 3 3" xfId="47704"/>
    <cellStyle name="Normal 67 2 4 3 4" xfId="26421"/>
    <cellStyle name="Normal 67 2 4 3 4 2" xfId="48666"/>
    <cellStyle name="Normal 67 2 4 3 5" xfId="24217"/>
    <cellStyle name="Normal 67 2 4 3 5 2" xfId="46463"/>
    <cellStyle name="Normal 67 2 4 3 6" xfId="37307"/>
    <cellStyle name="Normal 67 2 4 4" xfId="24549"/>
    <cellStyle name="Normal 67 2 4 4 2" xfId="26762"/>
    <cellStyle name="Normal 67 2 4 4 2 2" xfId="49007"/>
    <cellStyle name="Normal 67 2 4 4 3" xfId="46794"/>
    <cellStyle name="Normal 67 2 4 5" xfId="25123"/>
    <cellStyle name="Normal 67 2 4 5 2" xfId="27428"/>
    <cellStyle name="Normal 67 2 4 5 2 2" xfId="49673"/>
    <cellStyle name="Normal 67 2 4 5 3" xfId="47368"/>
    <cellStyle name="Normal 67 2 4 6" xfId="26103"/>
    <cellStyle name="Normal 67 2 4 6 2" xfId="48348"/>
    <cellStyle name="Normal 67 2 4 7" xfId="23912"/>
    <cellStyle name="Normal 67 2 4 7 2" xfId="46158"/>
    <cellStyle name="Normal 67 2 4 8" xfId="30675"/>
    <cellStyle name="Normal 67 2 5" xfId="8833"/>
    <cellStyle name="Normal 67 2 5 2" xfId="15544"/>
    <cellStyle name="Normal 67 2 5 2 2" xfId="24923"/>
    <cellStyle name="Normal 67 2 5 2 2 2" xfId="27136"/>
    <cellStyle name="Normal 67 2 5 2 2 2 2" xfId="49381"/>
    <cellStyle name="Normal 67 2 5 2 2 3" xfId="47168"/>
    <cellStyle name="Normal 67 2 5 2 3" xfId="25501"/>
    <cellStyle name="Normal 67 2 5 2 3 2" xfId="27806"/>
    <cellStyle name="Normal 67 2 5 2 3 2 2" xfId="50051"/>
    <cellStyle name="Normal 67 2 5 2 3 3" xfId="47746"/>
    <cellStyle name="Normal 67 2 5 2 4" xfId="26463"/>
    <cellStyle name="Normal 67 2 5 2 4 2" xfId="48708"/>
    <cellStyle name="Normal 67 2 5 2 5" xfId="24259"/>
    <cellStyle name="Normal 67 2 5 2 5 2" xfId="46505"/>
    <cellStyle name="Normal 67 2 5 2 6" xfId="38965"/>
    <cellStyle name="Normal 67 2 5 3" xfId="24591"/>
    <cellStyle name="Normal 67 2 5 3 2" xfId="26804"/>
    <cellStyle name="Normal 67 2 5 3 2 2" xfId="49049"/>
    <cellStyle name="Normal 67 2 5 3 3" xfId="46836"/>
    <cellStyle name="Normal 67 2 5 4" xfId="25165"/>
    <cellStyle name="Normal 67 2 5 4 2" xfId="27470"/>
    <cellStyle name="Normal 67 2 5 4 2 2" xfId="49715"/>
    <cellStyle name="Normal 67 2 5 4 3" xfId="47410"/>
    <cellStyle name="Normal 67 2 5 5" xfId="26135"/>
    <cellStyle name="Normal 67 2 5 5 2" xfId="48380"/>
    <cellStyle name="Normal 67 2 5 6" xfId="23944"/>
    <cellStyle name="Normal 67 2 5 6 2" xfId="46190"/>
    <cellStyle name="Normal 67 2 5 7" xfId="32333"/>
    <cellStyle name="Normal 67 2 6" xfId="12226"/>
    <cellStyle name="Normal 67 2 6 2" xfId="24757"/>
    <cellStyle name="Normal 67 2 6 2 2" xfId="26970"/>
    <cellStyle name="Normal 67 2 6 2 2 2" xfId="49215"/>
    <cellStyle name="Normal 67 2 6 2 3" xfId="47002"/>
    <cellStyle name="Normal 67 2 6 3" xfId="25333"/>
    <cellStyle name="Normal 67 2 6 3 2" xfId="27638"/>
    <cellStyle name="Normal 67 2 6 3 2 2" xfId="49883"/>
    <cellStyle name="Normal 67 2 6 3 3" xfId="47578"/>
    <cellStyle name="Normal 67 2 6 4" xfId="26298"/>
    <cellStyle name="Normal 67 2 6 4 2" xfId="48543"/>
    <cellStyle name="Normal 67 2 6 5" xfId="24094"/>
    <cellStyle name="Normal 67 2 6 5 2" xfId="46340"/>
    <cellStyle name="Normal 67 2 6 6" xfId="35649"/>
    <cellStyle name="Normal 67 2 7" xfId="18869"/>
    <cellStyle name="Normal 67 2 7 2" xfId="26638"/>
    <cellStyle name="Normal 67 2 7 2 2" xfId="48883"/>
    <cellStyle name="Normal 67 2 7 3" xfId="24425"/>
    <cellStyle name="Normal 67 2 7 3 2" xfId="46670"/>
    <cellStyle name="Normal 67 2 8" xfId="23782"/>
    <cellStyle name="Normal 67 2 8 2" xfId="27302"/>
    <cellStyle name="Normal 67 2 8 2 2" xfId="49547"/>
    <cellStyle name="Normal 67 2 8 3" xfId="46071"/>
    <cellStyle name="Normal 67 2 9" xfId="26013"/>
    <cellStyle name="Normal 67 2 9 2" xfId="48258"/>
    <cellStyle name="Normal 67 3" xfId="4250"/>
    <cellStyle name="Normal 67 3 2" xfId="7169"/>
    <cellStyle name="Normal 67 3 2 2" xfId="10501"/>
    <cellStyle name="Normal 67 3 2 2 2" xfId="17205"/>
    <cellStyle name="Normal 67 3 2 2 2 2" xfId="27198"/>
    <cellStyle name="Normal 67 3 2 2 2 2 2" xfId="49443"/>
    <cellStyle name="Normal 67 3 2 2 2 3" xfId="24985"/>
    <cellStyle name="Normal 67 3 2 2 2 3 2" xfId="47230"/>
    <cellStyle name="Normal 67 3 2 2 2 4" xfId="40626"/>
    <cellStyle name="Normal 67 3 2 2 3" xfId="25564"/>
    <cellStyle name="Normal 67 3 2 2 3 2" xfId="27869"/>
    <cellStyle name="Normal 67 3 2 2 3 2 2" xfId="50114"/>
    <cellStyle name="Normal 67 3 2 2 3 3" xfId="47809"/>
    <cellStyle name="Normal 67 3 2 2 4" xfId="26524"/>
    <cellStyle name="Normal 67 3 2 2 4 2" xfId="48769"/>
    <cellStyle name="Normal 67 3 2 2 5" xfId="24320"/>
    <cellStyle name="Normal 67 3 2 2 5 2" xfId="46566"/>
    <cellStyle name="Normal 67 3 2 2 6" xfId="33994"/>
    <cellStyle name="Normal 67 3 2 3" xfId="13889"/>
    <cellStyle name="Normal 67 3 2 3 2" xfId="26866"/>
    <cellStyle name="Normal 67 3 2 3 2 2" xfId="49111"/>
    <cellStyle name="Normal 67 3 2 3 3" xfId="24653"/>
    <cellStyle name="Normal 67 3 2 3 3 2" xfId="46898"/>
    <cellStyle name="Normal 67 3 2 3 4" xfId="37310"/>
    <cellStyle name="Normal 67 3 2 4" xfId="25228"/>
    <cellStyle name="Normal 67 3 2 4 2" xfId="27533"/>
    <cellStyle name="Normal 67 3 2 4 2 2" xfId="49778"/>
    <cellStyle name="Normal 67 3 2 4 3" xfId="47473"/>
    <cellStyle name="Normal 67 3 2 5" xfId="26195"/>
    <cellStyle name="Normal 67 3 2 5 2" xfId="48440"/>
    <cellStyle name="Normal 67 3 2 6" xfId="24004"/>
    <cellStyle name="Normal 67 3 2 6 2" xfId="46250"/>
    <cellStyle name="Normal 67 3 2 7" xfId="30678"/>
    <cellStyle name="Normal 67 3 3" xfId="8836"/>
    <cellStyle name="Normal 67 3 3 2" xfId="15547"/>
    <cellStyle name="Normal 67 3 3 2 2" xfId="27032"/>
    <cellStyle name="Normal 67 3 3 2 2 2" xfId="49277"/>
    <cellStyle name="Normal 67 3 3 2 3" xfId="24819"/>
    <cellStyle name="Normal 67 3 3 2 3 2" xfId="47064"/>
    <cellStyle name="Normal 67 3 3 2 4" xfId="38968"/>
    <cellStyle name="Normal 67 3 3 3" xfId="25396"/>
    <cellStyle name="Normal 67 3 3 3 2" xfId="27701"/>
    <cellStyle name="Normal 67 3 3 3 2 2" xfId="49946"/>
    <cellStyle name="Normal 67 3 3 3 3" xfId="47641"/>
    <cellStyle name="Normal 67 3 3 4" xfId="26359"/>
    <cellStyle name="Normal 67 3 3 4 2" xfId="48604"/>
    <cellStyle name="Normal 67 3 3 5" xfId="24155"/>
    <cellStyle name="Normal 67 3 3 5 2" xfId="46401"/>
    <cellStyle name="Normal 67 3 3 6" xfId="32336"/>
    <cellStyle name="Normal 67 3 4" xfId="12229"/>
    <cellStyle name="Normal 67 3 4 2" xfId="26700"/>
    <cellStyle name="Normal 67 3 4 2 2" xfId="48945"/>
    <cellStyle name="Normal 67 3 4 3" xfId="24487"/>
    <cellStyle name="Normal 67 3 4 3 2" xfId="46732"/>
    <cellStyle name="Normal 67 3 4 4" xfId="35652"/>
    <cellStyle name="Normal 67 3 5" xfId="23785"/>
    <cellStyle name="Normal 67 3 5 2" xfId="27365"/>
    <cellStyle name="Normal 67 3 5 2 2" xfId="49610"/>
    <cellStyle name="Normal 67 3 5 3" xfId="46074"/>
    <cellStyle name="Normal 67 3 6" xfId="26016"/>
    <cellStyle name="Normal 67 3 6 2" xfId="48261"/>
    <cellStyle name="Normal 67 3 7" xfId="29020"/>
    <cellStyle name="Normal 67 4" xfId="4251"/>
    <cellStyle name="Normal 67 4 2" xfId="7170"/>
    <cellStyle name="Normal 67 4 2 2" xfId="10502"/>
    <cellStyle name="Normal 67 4 2 2 2" xfId="17206"/>
    <cellStyle name="Normal 67 4 2 2 2 2" xfId="27157"/>
    <cellStyle name="Normal 67 4 2 2 2 2 2" xfId="49402"/>
    <cellStyle name="Normal 67 4 2 2 2 3" xfId="24944"/>
    <cellStyle name="Normal 67 4 2 2 2 3 2" xfId="47189"/>
    <cellStyle name="Normal 67 4 2 2 2 4" xfId="40627"/>
    <cellStyle name="Normal 67 4 2 2 3" xfId="25522"/>
    <cellStyle name="Normal 67 4 2 2 3 2" xfId="27827"/>
    <cellStyle name="Normal 67 4 2 2 3 2 2" xfId="50072"/>
    <cellStyle name="Normal 67 4 2 2 3 3" xfId="47767"/>
    <cellStyle name="Normal 67 4 2 2 4" xfId="26484"/>
    <cellStyle name="Normal 67 4 2 2 4 2" xfId="48729"/>
    <cellStyle name="Normal 67 4 2 2 5" xfId="24280"/>
    <cellStyle name="Normal 67 4 2 2 5 2" xfId="46526"/>
    <cellStyle name="Normal 67 4 2 2 6" xfId="33995"/>
    <cellStyle name="Normal 67 4 2 3" xfId="13890"/>
    <cellStyle name="Normal 67 4 2 3 2" xfId="26825"/>
    <cellStyle name="Normal 67 4 2 3 2 2" xfId="49070"/>
    <cellStyle name="Normal 67 4 2 3 3" xfId="24612"/>
    <cellStyle name="Normal 67 4 2 3 3 2" xfId="46857"/>
    <cellStyle name="Normal 67 4 2 3 4" xfId="37311"/>
    <cellStyle name="Normal 67 4 2 4" xfId="25186"/>
    <cellStyle name="Normal 67 4 2 4 2" xfId="27491"/>
    <cellStyle name="Normal 67 4 2 4 2 2" xfId="49736"/>
    <cellStyle name="Normal 67 4 2 4 3" xfId="47431"/>
    <cellStyle name="Normal 67 4 2 5" xfId="26155"/>
    <cellStyle name="Normal 67 4 2 5 2" xfId="48400"/>
    <cellStyle name="Normal 67 4 2 6" xfId="23964"/>
    <cellStyle name="Normal 67 4 2 6 2" xfId="46210"/>
    <cellStyle name="Normal 67 4 2 7" xfId="30679"/>
    <cellStyle name="Normal 67 4 3" xfId="8837"/>
    <cellStyle name="Normal 67 4 3 2" xfId="15548"/>
    <cellStyle name="Normal 67 4 3 2 2" xfId="26991"/>
    <cellStyle name="Normal 67 4 3 2 2 2" xfId="49236"/>
    <cellStyle name="Normal 67 4 3 2 3" xfId="24778"/>
    <cellStyle name="Normal 67 4 3 2 3 2" xfId="47023"/>
    <cellStyle name="Normal 67 4 3 2 4" xfId="38969"/>
    <cellStyle name="Normal 67 4 3 3" xfId="25354"/>
    <cellStyle name="Normal 67 4 3 3 2" xfId="27659"/>
    <cellStyle name="Normal 67 4 3 3 2 2" xfId="49904"/>
    <cellStyle name="Normal 67 4 3 3 3" xfId="47599"/>
    <cellStyle name="Normal 67 4 3 4" xfId="26319"/>
    <cellStyle name="Normal 67 4 3 4 2" xfId="48564"/>
    <cellStyle name="Normal 67 4 3 5" xfId="24115"/>
    <cellStyle name="Normal 67 4 3 5 2" xfId="46361"/>
    <cellStyle name="Normal 67 4 3 6" xfId="32337"/>
    <cellStyle name="Normal 67 4 4" xfId="12230"/>
    <cellStyle name="Normal 67 4 4 2" xfId="26659"/>
    <cellStyle name="Normal 67 4 4 2 2" xfId="48904"/>
    <cellStyle name="Normal 67 4 4 3" xfId="24446"/>
    <cellStyle name="Normal 67 4 4 3 2" xfId="46691"/>
    <cellStyle name="Normal 67 4 4 4" xfId="35653"/>
    <cellStyle name="Normal 67 4 5" xfId="23786"/>
    <cellStyle name="Normal 67 4 5 2" xfId="27323"/>
    <cellStyle name="Normal 67 4 5 2 2" xfId="49568"/>
    <cellStyle name="Normal 67 4 5 3" xfId="46075"/>
    <cellStyle name="Normal 67 4 6" xfId="26017"/>
    <cellStyle name="Normal 67 4 6 2" xfId="48262"/>
    <cellStyle name="Normal 67 4 7" xfId="29021"/>
    <cellStyle name="Normal 67 5" xfId="4252"/>
    <cellStyle name="Normal 67 5 2" xfId="7171"/>
    <cellStyle name="Normal 67 5 2 2" xfId="10503"/>
    <cellStyle name="Normal 67 5 2 2 2" xfId="17207"/>
    <cellStyle name="Normal 67 5 2 2 2 2" xfId="27239"/>
    <cellStyle name="Normal 67 5 2 2 2 2 2" xfId="49484"/>
    <cellStyle name="Normal 67 5 2 2 2 3" xfId="25026"/>
    <cellStyle name="Normal 67 5 2 2 2 3 2" xfId="47271"/>
    <cellStyle name="Normal 67 5 2 2 2 4" xfId="40628"/>
    <cellStyle name="Normal 67 5 2 2 3" xfId="25606"/>
    <cellStyle name="Normal 67 5 2 2 3 2" xfId="27911"/>
    <cellStyle name="Normal 67 5 2 2 3 2 2" xfId="50156"/>
    <cellStyle name="Normal 67 5 2 2 3 3" xfId="47851"/>
    <cellStyle name="Normal 67 5 2 2 4" xfId="26565"/>
    <cellStyle name="Normal 67 5 2 2 4 2" xfId="48810"/>
    <cellStyle name="Normal 67 5 2 2 5" xfId="24361"/>
    <cellStyle name="Normal 67 5 2 2 5 2" xfId="46607"/>
    <cellStyle name="Normal 67 5 2 2 6" xfId="33996"/>
    <cellStyle name="Normal 67 5 2 3" xfId="13891"/>
    <cellStyle name="Normal 67 5 2 3 2" xfId="26907"/>
    <cellStyle name="Normal 67 5 2 3 2 2" xfId="49152"/>
    <cellStyle name="Normal 67 5 2 3 3" xfId="24694"/>
    <cellStyle name="Normal 67 5 2 3 3 2" xfId="46939"/>
    <cellStyle name="Normal 67 5 2 3 4" xfId="37312"/>
    <cellStyle name="Normal 67 5 2 4" xfId="25270"/>
    <cellStyle name="Normal 67 5 2 4 2" xfId="27575"/>
    <cellStyle name="Normal 67 5 2 4 2 2" xfId="49820"/>
    <cellStyle name="Normal 67 5 2 4 3" xfId="47515"/>
    <cellStyle name="Normal 67 5 2 5" xfId="26236"/>
    <cellStyle name="Normal 67 5 2 5 2" xfId="48481"/>
    <cellStyle name="Normal 67 5 2 6" xfId="24045"/>
    <cellStyle name="Normal 67 5 2 6 2" xfId="46291"/>
    <cellStyle name="Normal 67 5 2 7" xfId="30680"/>
    <cellStyle name="Normal 67 5 3" xfId="8838"/>
    <cellStyle name="Normal 67 5 3 2" xfId="15549"/>
    <cellStyle name="Normal 67 5 3 2 2" xfId="27073"/>
    <cellStyle name="Normal 67 5 3 2 2 2" xfId="49318"/>
    <cellStyle name="Normal 67 5 3 2 3" xfId="24860"/>
    <cellStyle name="Normal 67 5 3 2 3 2" xfId="47105"/>
    <cellStyle name="Normal 67 5 3 2 4" xfId="38970"/>
    <cellStyle name="Normal 67 5 3 3" xfId="25438"/>
    <cellStyle name="Normal 67 5 3 3 2" xfId="27743"/>
    <cellStyle name="Normal 67 5 3 3 2 2" xfId="49988"/>
    <cellStyle name="Normal 67 5 3 3 3" xfId="47683"/>
    <cellStyle name="Normal 67 5 3 4" xfId="26400"/>
    <cellStyle name="Normal 67 5 3 4 2" xfId="48645"/>
    <cellStyle name="Normal 67 5 3 5" xfId="24196"/>
    <cellStyle name="Normal 67 5 3 5 2" xfId="46442"/>
    <cellStyle name="Normal 67 5 3 6" xfId="32338"/>
    <cellStyle name="Normal 67 5 4" xfId="12231"/>
    <cellStyle name="Normal 67 5 4 2" xfId="26741"/>
    <cellStyle name="Normal 67 5 4 2 2" xfId="48986"/>
    <cellStyle name="Normal 67 5 4 3" xfId="24528"/>
    <cellStyle name="Normal 67 5 4 3 2" xfId="46773"/>
    <cellStyle name="Normal 67 5 4 4" xfId="35654"/>
    <cellStyle name="Normal 67 5 5" xfId="23787"/>
    <cellStyle name="Normal 67 5 5 2" xfId="27407"/>
    <cellStyle name="Normal 67 5 5 2 2" xfId="49652"/>
    <cellStyle name="Normal 67 5 5 3" xfId="46076"/>
    <cellStyle name="Normal 67 5 6" xfId="26018"/>
    <cellStyle name="Normal 67 5 6 2" xfId="48263"/>
    <cellStyle name="Normal 67 5 7" xfId="29022"/>
    <cellStyle name="Normal 67 6" xfId="23926"/>
    <cellStyle name="Normal 67 6 2" xfId="24238"/>
    <cellStyle name="Normal 67 6 2 2" xfId="24902"/>
    <cellStyle name="Normal 67 6 2 2 2" xfId="27115"/>
    <cellStyle name="Normal 67 6 2 2 2 2" xfId="49360"/>
    <cellStyle name="Normal 67 6 2 2 3" xfId="47147"/>
    <cellStyle name="Normal 67 6 2 3" xfId="25480"/>
    <cellStyle name="Normal 67 6 2 3 2" xfId="27785"/>
    <cellStyle name="Normal 67 6 2 3 2 2" xfId="50030"/>
    <cellStyle name="Normal 67 6 2 3 3" xfId="47725"/>
    <cellStyle name="Normal 67 6 2 4" xfId="26442"/>
    <cellStyle name="Normal 67 6 2 4 2" xfId="48687"/>
    <cellStyle name="Normal 67 6 2 5" xfId="46484"/>
    <cellStyle name="Normal 67 6 3" xfId="24570"/>
    <cellStyle name="Normal 67 6 3 2" xfId="26783"/>
    <cellStyle name="Normal 67 6 3 2 2" xfId="49028"/>
    <cellStyle name="Normal 67 6 3 3" xfId="46815"/>
    <cellStyle name="Normal 67 6 4" xfId="25144"/>
    <cellStyle name="Normal 67 6 4 2" xfId="27449"/>
    <cellStyle name="Normal 67 6 4 2 2" xfId="49694"/>
    <cellStyle name="Normal 67 6 4 3" xfId="47389"/>
    <cellStyle name="Normal 67 6 5" xfId="26117"/>
    <cellStyle name="Normal 67 6 5 2" xfId="48362"/>
    <cellStyle name="Normal 67 6 6" xfId="46172"/>
    <cellStyle name="Normal 67 7" xfId="24075"/>
    <cellStyle name="Normal 67 7 2" xfId="24736"/>
    <cellStyle name="Normal 67 7 2 2" xfId="26949"/>
    <cellStyle name="Normal 67 7 2 2 2" xfId="49194"/>
    <cellStyle name="Normal 67 7 2 3" xfId="46981"/>
    <cellStyle name="Normal 67 7 3" xfId="25312"/>
    <cellStyle name="Normal 67 7 3 2" xfId="27617"/>
    <cellStyle name="Normal 67 7 3 2 2" xfId="49862"/>
    <cellStyle name="Normal 67 7 3 3" xfId="47557"/>
    <cellStyle name="Normal 67 7 4" xfId="26277"/>
    <cellStyle name="Normal 67 7 4 2" xfId="48522"/>
    <cellStyle name="Normal 67 7 5" xfId="46321"/>
    <cellStyle name="Normal 67 8" xfId="24414"/>
    <cellStyle name="Normal 67 8 2" xfId="26617"/>
    <cellStyle name="Normal 67 8 2 2" xfId="48862"/>
    <cellStyle name="Normal 67 8 3" xfId="46659"/>
    <cellStyle name="Normal 67 9" xfId="25068"/>
    <cellStyle name="Normal 67 9 2" xfId="27281"/>
    <cellStyle name="Normal 67 9 2 2" xfId="49526"/>
    <cellStyle name="Normal 67 9 3" xfId="47313"/>
    <cellStyle name="Normal 68" xfId="837"/>
    <cellStyle name="Normal 68 2" xfId="4253"/>
    <cellStyle name="Normal 68 2 10" xfId="29023"/>
    <cellStyle name="Normal 68 2 2" xfId="4254"/>
    <cellStyle name="Normal 68 2 2 2" xfId="7173"/>
    <cellStyle name="Normal 68 2 2 2 2" xfId="10505"/>
    <cellStyle name="Normal 68 2 2 2 2 2" xfId="17209"/>
    <cellStyle name="Normal 68 2 2 2 2 2 2" xfId="27219"/>
    <cellStyle name="Normal 68 2 2 2 2 2 2 2" xfId="49464"/>
    <cellStyle name="Normal 68 2 2 2 2 2 3" xfId="25006"/>
    <cellStyle name="Normal 68 2 2 2 2 2 3 2" xfId="47251"/>
    <cellStyle name="Normal 68 2 2 2 2 2 4" xfId="40630"/>
    <cellStyle name="Normal 68 2 2 2 2 3" xfId="25586"/>
    <cellStyle name="Normal 68 2 2 2 2 3 2" xfId="27891"/>
    <cellStyle name="Normal 68 2 2 2 2 3 2 2" xfId="50136"/>
    <cellStyle name="Normal 68 2 2 2 2 3 3" xfId="47831"/>
    <cellStyle name="Normal 68 2 2 2 2 4" xfId="26545"/>
    <cellStyle name="Normal 68 2 2 2 2 4 2" xfId="48790"/>
    <cellStyle name="Normal 68 2 2 2 2 5" xfId="24341"/>
    <cellStyle name="Normal 68 2 2 2 2 5 2" xfId="46587"/>
    <cellStyle name="Normal 68 2 2 2 2 6" xfId="33998"/>
    <cellStyle name="Normal 68 2 2 2 3" xfId="13893"/>
    <cellStyle name="Normal 68 2 2 2 3 2" xfId="26887"/>
    <cellStyle name="Normal 68 2 2 2 3 2 2" xfId="49132"/>
    <cellStyle name="Normal 68 2 2 2 3 3" xfId="24674"/>
    <cellStyle name="Normal 68 2 2 2 3 3 2" xfId="46919"/>
    <cellStyle name="Normal 68 2 2 2 3 4" xfId="37314"/>
    <cellStyle name="Normal 68 2 2 2 4" xfId="25250"/>
    <cellStyle name="Normal 68 2 2 2 4 2" xfId="27555"/>
    <cellStyle name="Normal 68 2 2 2 4 2 2" xfId="49800"/>
    <cellStyle name="Normal 68 2 2 2 4 3" xfId="47495"/>
    <cellStyle name="Normal 68 2 2 2 5" xfId="26216"/>
    <cellStyle name="Normal 68 2 2 2 5 2" xfId="48461"/>
    <cellStyle name="Normal 68 2 2 2 6" xfId="24025"/>
    <cellStyle name="Normal 68 2 2 2 6 2" xfId="46271"/>
    <cellStyle name="Normal 68 2 2 2 7" xfId="30682"/>
    <cellStyle name="Normal 68 2 2 3" xfId="8840"/>
    <cellStyle name="Normal 68 2 2 3 2" xfId="15551"/>
    <cellStyle name="Normal 68 2 2 3 2 2" xfId="27053"/>
    <cellStyle name="Normal 68 2 2 3 2 2 2" xfId="49298"/>
    <cellStyle name="Normal 68 2 2 3 2 3" xfId="24840"/>
    <cellStyle name="Normal 68 2 2 3 2 3 2" xfId="47085"/>
    <cellStyle name="Normal 68 2 2 3 2 4" xfId="38972"/>
    <cellStyle name="Normal 68 2 2 3 3" xfId="25418"/>
    <cellStyle name="Normal 68 2 2 3 3 2" xfId="27723"/>
    <cellStyle name="Normal 68 2 2 3 3 2 2" xfId="49968"/>
    <cellStyle name="Normal 68 2 2 3 3 3" xfId="47663"/>
    <cellStyle name="Normal 68 2 2 3 4" xfId="26380"/>
    <cellStyle name="Normal 68 2 2 3 4 2" xfId="48625"/>
    <cellStyle name="Normal 68 2 2 3 5" xfId="24176"/>
    <cellStyle name="Normal 68 2 2 3 5 2" xfId="46422"/>
    <cellStyle name="Normal 68 2 2 3 6" xfId="32340"/>
    <cellStyle name="Normal 68 2 2 4" xfId="12233"/>
    <cellStyle name="Normal 68 2 2 4 2" xfId="26721"/>
    <cellStyle name="Normal 68 2 2 4 2 2" xfId="48966"/>
    <cellStyle name="Normal 68 2 2 4 3" xfId="24508"/>
    <cellStyle name="Normal 68 2 2 4 3 2" xfId="46753"/>
    <cellStyle name="Normal 68 2 2 4 4" xfId="35656"/>
    <cellStyle name="Normal 68 2 2 5" xfId="23789"/>
    <cellStyle name="Normal 68 2 2 5 2" xfId="27387"/>
    <cellStyle name="Normal 68 2 2 5 2 2" xfId="49632"/>
    <cellStyle name="Normal 68 2 2 5 3" xfId="46078"/>
    <cellStyle name="Normal 68 2 2 6" xfId="26020"/>
    <cellStyle name="Normal 68 2 2 6 2" xfId="48265"/>
    <cellStyle name="Normal 68 2 2 7" xfId="29024"/>
    <cellStyle name="Normal 68 2 3" xfId="4255"/>
    <cellStyle name="Normal 68 2 3 2" xfId="7174"/>
    <cellStyle name="Normal 68 2 3 2 2" xfId="10506"/>
    <cellStyle name="Normal 68 2 3 2 2 2" xfId="17210"/>
    <cellStyle name="Normal 68 2 3 2 2 2 2" xfId="27179"/>
    <cellStyle name="Normal 68 2 3 2 2 2 2 2" xfId="49424"/>
    <cellStyle name="Normal 68 2 3 2 2 2 3" xfId="24966"/>
    <cellStyle name="Normal 68 2 3 2 2 2 3 2" xfId="47211"/>
    <cellStyle name="Normal 68 2 3 2 2 2 4" xfId="40631"/>
    <cellStyle name="Normal 68 2 3 2 2 3" xfId="25544"/>
    <cellStyle name="Normal 68 2 3 2 2 3 2" xfId="27849"/>
    <cellStyle name="Normal 68 2 3 2 2 3 2 2" xfId="50094"/>
    <cellStyle name="Normal 68 2 3 2 2 3 3" xfId="47789"/>
    <cellStyle name="Normal 68 2 3 2 2 4" xfId="26505"/>
    <cellStyle name="Normal 68 2 3 2 2 4 2" xfId="48750"/>
    <cellStyle name="Normal 68 2 3 2 2 5" xfId="24301"/>
    <cellStyle name="Normal 68 2 3 2 2 5 2" xfId="46547"/>
    <cellStyle name="Normal 68 2 3 2 2 6" xfId="33999"/>
    <cellStyle name="Normal 68 2 3 2 3" xfId="13894"/>
    <cellStyle name="Normal 68 2 3 2 3 2" xfId="26847"/>
    <cellStyle name="Normal 68 2 3 2 3 2 2" xfId="49092"/>
    <cellStyle name="Normal 68 2 3 2 3 3" xfId="24634"/>
    <cellStyle name="Normal 68 2 3 2 3 3 2" xfId="46879"/>
    <cellStyle name="Normal 68 2 3 2 3 4" xfId="37315"/>
    <cellStyle name="Normal 68 2 3 2 4" xfId="25208"/>
    <cellStyle name="Normal 68 2 3 2 4 2" xfId="27513"/>
    <cellStyle name="Normal 68 2 3 2 4 2 2" xfId="49758"/>
    <cellStyle name="Normal 68 2 3 2 4 3" xfId="47453"/>
    <cellStyle name="Normal 68 2 3 2 5" xfId="26176"/>
    <cellStyle name="Normal 68 2 3 2 5 2" xfId="48421"/>
    <cellStyle name="Normal 68 2 3 2 6" xfId="23985"/>
    <cellStyle name="Normal 68 2 3 2 6 2" xfId="46231"/>
    <cellStyle name="Normal 68 2 3 2 7" xfId="30683"/>
    <cellStyle name="Normal 68 2 3 3" xfId="8841"/>
    <cellStyle name="Normal 68 2 3 3 2" xfId="15552"/>
    <cellStyle name="Normal 68 2 3 3 2 2" xfId="27013"/>
    <cellStyle name="Normal 68 2 3 3 2 2 2" xfId="49258"/>
    <cellStyle name="Normal 68 2 3 3 2 3" xfId="24800"/>
    <cellStyle name="Normal 68 2 3 3 2 3 2" xfId="47045"/>
    <cellStyle name="Normal 68 2 3 3 2 4" xfId="38973"/>
    <cellStyle name="Normal 68 2 3 3 3" xfId="25376"/>
    <cellStyle name="Normal 68 2 3 3 3 2" xfId="27681"/>
    <cellStyle name="Normal 68 2 3 3 3 2 2" xfId="49926"/>
    <cellStyle name="Normal 68 2 3 3 3 3" xfId="47621"/>
    <cellStyle name="Normal 68 2 3 3 4" xfId="26340"/>
    <cellStyle name="Normal 68 2 3 3 4 2" xfId="48585"/>
    <cellStyle name="Normal 68 2 3 3 5" xfId="24136"/>
    <cellStyle name="Normal 68 2 3 3 5 2" xfId="46382"/>
    <cellStyle name="Normal 68 2 3 3 6" xfId="32341"/>
    <cellStyle name="Normal 68 2 3 4" xfId="12234"/>
    <cellStyle name="Normal 68 2 3 4 2" xfId="26681"/>
    <cellStyle name="Normal 68 2 3 4 2 2" xfId="48926"/>
    <cellStyle name="Normal 68 2 3 4 3" xfId="24468"/>
    <cellStyle name="Normal 68 2 3 4 3 2" xfId="46713"/>
    <cellStyle name="Normal 68 2 3 4 4" xfId="35657"/>
    <cellStyle name="Normal 68 2 3 5" xfId="23790"/>
    <cellStyle name="Normal 68 2 3 5 2" xfId="27345"/>
    <cellStyle name="Normal 68 2 3 5 2 2" xfId="49590"/>
    <cellStyle name="Normal 68 2 3 5 3" xfId="46079"/>
    <cellStyle name="Normal 68 2 3 6" xfId="26021"/>
    <cellStyle name="Normal 68 2 3 6 2" xfId="48266"/>
    <cellStyle name="Normal 68 2 3 7" xfId="29025"/>
    <cellStyle name="Normal 68 2 4" xfId="7172"/>
    <cellStyle name="Normal 68 2 4 2" xfId="10504"/>
    <cellStyle name="Normal 68 2 4 2 2" xfId="17208"/>
    <cellStyle name="Normal 68 2 4 2 2 2" xfId="25048"/>
    <cellStyle name="Normal 68 2 4 2 2 2 2" xfId="27261"/>
    <cellStyle name="Normal 68 2 4 2 2 2 2 2" xfId="49506"/>
    <cellStyle name="Normal 68 2 4 2 2 2 3" xfId="47293"/>
    <cellStyle name="Normal 68 2 4 2 2 3" xfId="25628"/>
    <cellStyle name="Normal 68 2 4 2 2 3 2" xfId="27933"/>
    <cellStyle name="Normal 68 2 4 2 2 3 2 2" xfId="50178"/>
    <cellStyle name="Normal 68 2 4 2 2 3 3" xfId="47873"/>
    <cellStyle name="Normal 68 2 4 2 2 4" xfId="26587"/>
    <cellStyle name="Normal 68 2 4 2 2 4 2" xfId="48832"/>
    <cellStyle name="Normal 68 2 4 2 2 5" xfId="24383"/>
    <cellStyle name="Normal 68 2 4 2 2 5 2" xfId="46629"/>
    <cellStyle name="Normal 68 2 4 2 2 6" xfId="40629"/>
    <cellStyle name="Normal 68 2 4 2 3" xfId="24716"/>
    <cellStyle name="Normal 68 2 4 2 3 2" xfId="26929"/>
    <cellStyle name="Normal 68 2 4 2 3 2 2" xfId="49174"/>
    <cellStyle name="Normal 68 2 4 2 3 3" xfId="46961"/>
    <cellStyle name="Normal 68 2 4 2 4" xfId="25292"/>
    <cellStyle name="Normal 68 2 4 2 4 2" xfId="27597"/>
    <cellStyle name="Normal 68 2 4 2 4 2 2" xfId="49842"/>
    <cellStyle name="Normal 68 2 4 2 4 3" xfId="47537"/>
    <cellStyle name="Normal 68 2 4 2 5" xfId="26257"/>
    <cellStyle name="Normal 68 2 4 2 5 2" xfId="48502"/>
    <cellStyle name="Normal 68 2 4 2 6" xfId="24066"/>
    <cellStyle name="Normal 68 2 4 2 6 2" xfId="46312"/>
    <cellStyle name="Normal 68 2 4 2 7" xfId="33997"/>
    <cellStyle name="Normal 68 2 4 3" xfId="13892"/>
    <cellStyle name="Normal 68 2 4 3 2" xfId="24882"/>
    <cellStyle name="Normal 68 2 4 3 2 2" xfId="27095"/>
    <cellStyle name="Normal 68 2 4 3 2 2 2" xfId="49340"/>
    <cellStyle name="Normal 68 2 4 3 2 3" xfId="47127"/>
    <cellStyle name="Normal 68 2 4 3 3" xfId="25460"/>
    <cellStyle name="Normal 68 2 4 3 3 2" xfId="27765"/>
    <cellStyle name="Normal 68 2 4 3 3 2 2" xfId="50010"/>
    <cellStyle name="Normal 68 2 4 3 3 3" xfId="47705"/>
    <cellStyle name="Normal 68 2 4 3 4" xfId="26422"/>
    <cellStyle name="Normal 68 2 4 3 4 2" xfId="48667"/>
    <cellStyle name="Normal 68 2 4 3 5" xfId="24218"/>
    <cellStyle name="Normal 68 2 4 3 5 2" xfId="46464"/>
    <cellStyle name="Normal 68 2 4 3 6" xfId="37313"/>
    <cellStyle name="Normal 68 2 4 4" xfId="24550"/>
    <cellStyle name="Normal 68 2 4 4 2" xfId="26763"/>
    <cellStyle name="Normal 68 2 4 4 2 2" xfId="49008"/>
    <cellStyle name="Normal 68 2 4 4 3" xfId="46795"/>
    <cellStyle name="Normal 68 2 4 5" xfId="25124"/>
    <cellStyle name="Normal 68 2 4 5 2" xfId="27429"/>
    <cellStyle name="Normal 68 2 4 5 2 2" xfId="49674"/>
    <cellStyle name="Normal 68 2 4 5 3" xfId="47369"/>
    <cellStyle name="Normal 68 2 4 6" xfId="26104"/>
    <cellStyle name="Normal 68 2 4 6 2" xfId="48349"/>
    <cellStyle name="Normal 68 2 4 7" xfId="23913"/>
    <cellStyle name="Normal 68 2 4 7 2" xfId="46159"/>
    <cellStyle name="Normal 68 2 4 8" xfId="30681"/>
    <cellStyle name="Normal 68 2 5" xfId="8839"/>
    <cellStyle name="Normal 68 2 5 2" xfId="15550"/>
    <cellStyle name="Normal 68 2 5 2 2" xfId="24924"/>
    <cellStyle name="Normal 68 2 5 2 2 2" xfId="27137"/>
    <cellStyle name="Normal 68 2 5 2 2 2 2" xfId="49382"/>
    <cellStyle name="Normal 68 2 5 2 2 3" xfId="47169"/>
    <cellStyle name="Normal 68 2 5 2 3" xfId="25502"/>
    <cellStyle name="Normal 68 2 5 2 3 2" xfId="27807"/>
    <cellStyle name="Normal 68 2 5 2 3 2 2" xfId="50052"/>
    <cellStyle name="Normal 68 2 5 2 3 3" xfId="47747"/>
    <cellStyle name="Normal 68 2 5 2 4" xfId="26464"/>
    <cellStyle name="Normal 68 2 5 2 4 2" xfId="48709"/>
    <cellStyle name="Normal 68 2 5 2 5" xfId="24260"/>
    <cellStyle name="Normal 68 2 5 2 5 2" xfId="46506"/>
    <cellStyle name="Normal 68 2 5 2 6" xfId="38971"/>
    <cellStyle name="Normal 68 2 5 3" xfId="24592"/>
    <cellStyle name="Normal 68 2 5 3 2" xfId="26805"/>
    <cellStyle name="Normal 68 2 5 3 2 2" xfId="49050"/>
    <cellStyle name="Normal 68 2 5 3 3" xfId="46837"/>
    <cellStyle name="Normal 68 2 5 4" xfId="25166"/>
    <cellStyle name="Normal 68 2 5 4 2" xfId="27471"/>
    <cellStyle name="Normal 68 2 5 4 2 2" xfId="49716"/>
    <cellStyle name="Normal 68 2 5 4 3" xfId="47411"/>
    <cellStyle name="Normal 68 2 5 5" xfId="26136"/>
    <cellStyle name="Normal 68 2 5 5 2" xfId="48381"/>
    <cellStyle name="Normal 68 2 5 6" xfId="23945"/>
    <cellStyle name="Normal 68 2 5 6 2" xfId="46191"/>
    <cellStyle name="Normal 68 2 5 7" xfId="32339"/>
    <cellStyle name="Normal 68 2 6" xfId="12232"/>
    <cellStyle name="Normal 68 2 6 2" xfId="24758"/>
    <cellStyle name="Normal 68 2 6 2 2" xfId="26971"/>
    <cellStyle name="Normal 68 2 6 2 2 2" xfId="49216"/>
    <cellStyle name="Normal 68 2 6 2 3" xfId="47003"/>
    <cellStyle name="Normal 68 2 6 3" xfId="25334"/>
    <cellStyle name="Normal 68 2 6 3 2" xfId="27639"/>
    <cellStyle name="Normal 68 2 6 3 2 2" xfId="49884"/>
    <cellStyle name="Normal 68 2 6 3 3" xfId="47579"/>
    <cellStyle name="Normal 68 2 6 4" xfId="26299"/>
    <cellStyle name="Normal 68 2 6 4 2" xfId="48544"/>
    <cellStyle name="Normal 68 2 6 5" xfId="24095"/>
    <cellStyle name="Normal 68 2 6 5 2" xfId="46341"/>
    <cellStyle name="Normal 68 2 6 6" xfId="35655"/>
    <cellStyle name="Normal 68 2 7" xfId="18870"/>
    <cellStyle name="Normal 68 2 7 2" xfId="26639"/>
    <cellStyle name="Normal 68 2 7 2 2" xfId="48884"/>
    <cellStyle name="Normal 68 2 7 3" xfId="24426"/>
    <cellStyle name="Normal 68 2 7 3 2" xfId="46671"/>
    <cellStyle name="Normal 68 2 8" xfId="23788"/>
    <cellStyle name="Normal 68 2 8 2" xfId="27303"/>
    <cellStyle name="Normal 68 2 8 2 2" xfId="49548"/>
    <cellStyle name="Normal 68 2 8 3" xfId="46077"/>
    <cellStyle name="Normal 68 2 9" xfId="26019"/>
    <cellStyle name="Normal 68 2 9 2" xfId="48264"/>
    <cellStyle name="Normal 68 3" xfId="4256"/>
    <cellStyle name="Normal 68 3 2" xfId="7175"/>
    <cellStyle name="Normal 68 3 2 2" xfId="10507"/>
    <cellStyle name="Normal 68 3 2 2 2" xfId="17211"/>
    <cellStyle name="Normal 68 3 2 2 2 2" xfId="27199"/>
    <cellStyle name="Normal 68 3 2 2 2 2 2" xfId="49444"/>
    <cellStyle name="Normal 68 3 2 2 2 3" xfId="24986"/>
    <cellStyle name="Normal 68 3 2 2 2 3 2" xfId="47231"/>
    <cellStyle name="Normal 68 3 2 2 2 4" xfId="40632"/>
    <cellStyle name="Normal 68 3 2 2 3" xfId="25565"/>
    <cellStyle name="Normal 68 3 2 2 3 2" xfId="27870"/>
    <cellStyle name="Normal 68 3 2 2 3 2 2" xfId="50115"/>
    <cellStyle name="Normal 68 3 2 2 3 3" xfId="47810"/>
    <cellStyle name="Normal 68 3 2 2 4" xfId="26525"/>
    <cellStyle name="Normal 68 3 2 2 4 2" xfId="48770"/>
    <cellStyle name="Normal 68 3 2 2 5" xfId="24321"/>
    <cellStyle name="Normal 68 3 2 2 5 2" xfId="46567"/>
    <cellStyle name="Normal 68 3 2 2 6" xfId="34000"/>
    <cellStyle name="Normal 68 3 2 3" xfId="13895"/>
    <cellStyle name="Normal 68 3 2 3 2" xfId="26867"/>
    <cellStyle name="Normal 68 3 2 3 2 2" xfId="49112"/>
    <cellStyle name="Normal 68 3 2 3 3" xfId="24654"/>
    <cellStyle name="Normal 68 3 2 3 3 2" xfId="46899"/>
    <cellStyle name="Normal 68 3 2 3 4" xfId="37316"/>
    <cellStyle name="Normal 68 3 2 4" xfId="25229"/>
    <cellStyle name="Normal 68 3 2 4 2" xfId="27534"/>
    <cellStyle name="Normal 68 3 2 4 2 2" xfId="49779"/>
    <cellStyle name="Normal 68 3 2 4 3" xfId="47474"/>
    <cellStyle name="Normal 68 3 2 5" xfId="26196"/>
    <cellStyle name="Normal 68 3 2 5 2" xfId="48441"/>
    <cellStyle name="Normal 68 3 2 6" xfId="24005"/>
    <cellStyle name="Normal 68 3 2 6 2" xfId="46251"/>
    <cellStyle name="Normal 68 3 2 7" xfId="30684"/>
    <cellStyle name="Normal 68 3 3" xfId="8842"/>
    <cellStyle name="Normal 68 3 3 2" xfId="15553"/>
    <cellStyle name="Normal 68 3 3 2 2" xfId="27033"/>
    <cellStyle name="Normal 68 3 3 2 2 2" xfId="49278"/>
    <cellStyle name="Normal 68 3 3 2 3" xfId="24820"/>
    <cellStyle name="Normal 68 3 3 2 3 2" xfId="47065"/>
    <cellStyle name="Normal 68 3 3 2 4" xfId="38974"/>
    <cellStyle name="Normal 68 3 3 3" xfId="25397"/>
    <cellStyle name="Normal 68 3 3 3 2" xfId="27702"/>
    <cellStyle name="Normal 68 3 3 3 2 2" xfId="49947"/>
    <cellStyle name="Normal 68 3 3 3 3" xfId="47642"/>
    <cellStyle name="Normal 68 3 3 4" xfId="26360"/>
    <cellStyle name="Normal 68 3 3 4 2" xfId="48605"/>
    <cellStyle name="Normal 68 3 3 5" xfId="24156"/>
    <cellStyle name="Normal 68 3 3 5 2" xfId="46402"/>
    <cellStyle name="Normal 68 3 3 6" xfId="32342"/>
    <cellStyle name="Normal 68 3 4" xfId="12235"/>
    <cellStyle name="Normal 68 3 4 2" xfId="26701"/>
    <cellStyle name="Normal 68 3 4 2 2" xfId="48946"/>
    <cellStyle name="Normal 68 3 4 3" xfId="24488"/>
    <cellStyle name="Normal 68 3 4 3 2" xfId="46733"/>
    <cellStyle name="Normal 68 3 4 4" xfId="35658"/>
    <cellStyle name="Normal 68 3 5" xfId="23791"/>
    <cellStyle name="Normal 68 3 5 2" xfId="27366"/>
    <cellStyle name="Normal 68 3 5 2 2" xfId="49611"/>
    <cellStyle name="Normal 68 3 5 3" xfId="46080"/>
    <cellStyle name="Normal 68 3 6" xfId="26022"/>
    <cellStyle name="Normal 68 3 6 2" xfId="48267"/>
    <cellStyle name="Normal 68 3 7" xfId="29026"/>
    <cellStyle name="Normal 68 4" xfId="4257"/>
    <cellStyle name="Normal 68 4 2" xfId="7176"/>
    <cellStyle name="Normal 68 4 2 2" xfId="10508"/>
    <cellStyle name="Normal 68 4 2 2 2" xfId="17212"/>
    <cellStyle name="Normal 68 4 2 2 2 2" xfId="27158"/>
    <cellStyle name="Normal 68 4 2 2 2 2 2" xfId="49403"/>
    <cellStyle name="Normal 68 4 2 2 2 3" xfId="24945"/>
    <cellStyle name="Normal 68 4 2 2 2 3 2" xfId="47190"/>
    <cellStyle name="Normal 68 4 2 2 2 4" xfId="40633"/>
    <cellStyle name="Normal 68 4 2 2 3" xfId="25523"/>
    <cellStyle name="Normal 68 4 2 2 3 2" xfId="27828"/>
    <cellStyle name="Normal 68 4 2 2 3 2 2" xfId="50073"/>
    <cellStyle name="Normal 68 4 2 2 3 3" xfId="47768"/>
    <cellStyle name="Normal 68 4 2 2 4" xfId="26485"/>
    <cellStyle name="Normal 68 4 2 2 4 2" xfId="48730"/>
    <cellStyle name="Normal 68 4 2 2 5" xfId="24281"/>
    <cellStyle name="Normal 68 4 2 2 5 2" xfId="46527"/>
    <cellStyle name="Normal 68 4 2 2 6" xfId="34001"/>
    <cellStyle name="Normal 68 4 2 3" xfId="13896"/>
    <cellStyle name="Normal 68 4 2 3 2" xfId="26826"/>
    <cellStyle name="Normal 68 4 2 3 2 2" xfId="49071"/>
    <cellStyle name="Normal 68 4 2 3 3" xfId="24613"/>
    <cellStyle name="Normal 68 4 2 3 3 2" xfId="46858"/>
    <cellStyle name="Normal 68 4 2 3 4" xfId="37317"/>
    <cellStyle name="Normal 68 4 2 4" xfId="25187"/>
    <cellStyle name="Normal 68 4 2 4 2" xfId="27492"/>
    <cellStyle name="Normal 68 4 2 4 2 2" xfId="49737"/>
    <cellStyle name="Normal 68 4 2 4 3" xfId="47432"/>
    <cellStyle name="Normal 68 4 2 5" xfId="26156"/>
    <cellStyle name="Normal 68 4 2 5 2" xfId="48401"/>
    <cellStyle name="Normal 68 4 2 6" xfId="23965"/>
    <cellStyle name="Normal 68 4 2 6 2" xfId="46211"/>
    <cellStyle name="Normal 68 4 2 7" xfId="30685"/>
    <cellStyle name="Normal 68 4 3" xfId="8843"/>
    <cellStyle name="Normal 68 4 3 2" xfId="15554"/>
    <cellStyle name="Normal 68 4 3 2 2" xfId="26992"/>
    <cellStyle name="Normal 68 4 3 2 2 2" xfId="49237"/>
    <cellStyle name="Normal 68 4 3 2 3" xfId="24779"/>
    <cellStyle name="Normal 68 4 3 2 3 2" xfId="47024"/>
    <cellStyle name="Normal 68 4 3 2 4" xfId="38975"/>
    <cellStyle name="Normal 68 4 3 3" xfId="25355"/>
    <cellStyle name="Normal 68 4 3 3 2" xfId="27660"/>
    <cellStyle name="Normal 68 4 3 3 2 2" xfId="49905"/>
    <cellStyle name="Normal 68 4 3 3 3" xfId="47600"/>
    <cellStyle name="Normal 68 4 3 4" xfId="26320"/>
    <cellStyle name="Normal 68 4 3 4 2" xfId="48565"/>
    <cellStyle name="Normal 68 4 3 5" xfId="24116"/>
    <cellStyle name="Normal 68 4 3 5 2" xfId="46362"/>
    <cellStyle name="Normal 68 4 3 6" xfId="32343"/>
    <cellStyle name="Normal 68 4 4" xfId="12236"/>
    <cellStyle name="Normal 68 4 4 2" xfId="26660"/>
    <cellStyle name="Normal 68 4 4 2 2" xfId="48905"/>
    <cellStyle name="Normal 68 4 4 3" xfId="24447"/>
    <cellStyle name="Normal 68 4 4 3 2" xfId="46692"/>
    <cellStyle name="Normal 68 4 4 4" xfId="35659"/>
    <cellStyle name="Normal 68 4 5" xfId="23792"/>
    <cellStyle name="Normal 68 4 5 2" xfId="27324"/>
    <cellStyle name="Normal 68 4 5 2 2" xfId="49569"/>
    <cellStyle name="Normal 68 4 5 3" xfId="46081"/>
    <cellStyle name="Normal 68 4 6" xfId="26023"/>
    <cellStyle name="Normal 68 4 6 2" xfId="48268"/>
    <cellStyle name="Normal 68 4 7" xfId="29027"/>
    <cellStyle name="Normal 68 5" xfId="4258"/>
    <cellStyle name="Normal 68 5 2" xfId="7177"/>
    <cellStyle name="Normal 68 5 2 2" xfId="10509"/>
    <cellStyle name="Normal 68 5 2 2 2" xfId="17213"/>
    <cellStyle name="Normal 68 5 2 2 2 2" xfId="27240"/>
    <cellStyle name="Normal 68 5 2 2 2 2 2" xfId="49485"/>
    <cellStyle name="Normal 68 5 2 2 2 3" xfId="25027"/>
    <cellStyle name="Normal 68 5 2 2 2 3 2" xfId="47272"/>
    <cellStyle name="Normal 68 5 2 2 2 4" xfId="40634"/>
    <cellStyle name="Normal 68 5 2 2 3" xfId="25607"/>
    <cellStyle name="Normal 68 5 2 2 3 2" xfId="27912"/>
    <cellStyle name="Normal 68 5 2 2 3 2 2" xfId="50157"/>
    <cellStyle name="Normal 68 5 2 2 3 3" xfId="47852"/>
    <cellStyle name="Normal 68 5 2 2 4" xfId="26566"/>
    <cellStyle name="Normal 68 5 2 2 4 2" xfId="48811"/>
    <cellStyle name="Normal 68 5 2 2 5" xfId="24362"/>
    <cellStyle name="Normal 68 5 2 2 5 2" xfId="46608"/>
    <cellStyle name="Normal 68 5 2 2 6" xfId="34002"/>
    <cellStyle name="Normal 68 5 2 3" xfId="13897"/>
    <cellStyle name="Normal 68 5 2 3 2" xfId="26908"/>
    <cellStyle name="Normal 68 5 2 3 2 2" xfId="49153"/>
    <cellStyle name="Normal 68 5 2 3 3" xfId="24695"/>
    <cellStyle name="Normal 68 5 2 3 3 2" xfId="46940"/>
    <cellStyle name="Normal 68 5 2 3 4" xfId="37318"/>
    <cellStyle name="Normal 68 5 2 4" xfId="25271"/>
    <cellStyle name="Normal 68 5 2 4 2" xfId="27576"/>
    <cellStyle name="Normal 68 5 2 4 2 2" xfId="49821"/>
    <cellStyle name="Normal 68 5 2 4 3" xfId="47516"/>
    <cellStyle name="Normal 68 5 2 5" xfId="26237"/>
    <cellStyle name="Normal 68 5 2 5 2" xfId="48482"/>
    <cellStyle name="Normal 68 5 2 6" xfId="24046"/>
    <cellStyle name="Normal 68 5 2 6 2" xfId="46292"/>
    <cellStyle name="Normal 68 5 2 7" xfId="30686"/>
    <cellStyle name="Normal 68 5 3" xfId="8844"/>
    <cellStyle name="Normal 68 5 3 2" xfId="15555"/>
    <cellStyle name="Normal 68 5 3 2 2" xfId="27074"/>
    <cellStyle name="Normal 68 5 3 2 2 2" xfId="49319"/>
    <cellStyle name="Normal 68 5 3 2 3" xfId="24861"/>
    <cellStyle name="Normal 68 5 3 2 3 2" xfId="47106"/>
    <cellStyle name="Normal 68 5 3 2 4" xfId="38976"/>
    <cellStyle name="Normal 68 5 3 3" xfId="25439"/>
    <cellStyle name="Normal 68 5 3 3 2" xfId="27744"/>
    <cellStyle name="Normal 68 5 3 3 2 2" xfId="49989"/>
    <cellStyle name="Normal 68 5 3 3 3" xfId="47684"/>
    <cellStyle name="Normal 68 5 3 4" xfId="26401"/>
    <cellStyle name="Normal 68 5 3 4 2" xfId="48646"/>
    <cellStyle name="Normal 68 5 3 5" xfId="24197"/>
    <cellStyle name="Normal 68 5 3 5 2" xfId="46443"/>
    <cellStyle name="Normal 68 5 3 6" xfId="32344"/>
    <cellStyle name="Normal 68 5 4" xfId="12237"/>
    <cellStyle name="Normal 68 5 4 2" xfId="26742"/>
    <cellStyle name="Normal 68 5 4 2 2" xfId="48987"/>
    <cellStyle name="Normal 68 5 4 3" xfId="24529"/>
    <cellStyle name="Normal 68 5 4 3 2" xfId="46774"/>
    <cellStyle name="Normal 68 5 4 4" xfId="35660"/>
    <cellStyle name="Normal 68 5 5" xfId="23793"/>
    <cellStyle name="Normal 68 5 5 2" xfId="27408"/>
    <cellStyle name="Normal 68 5 5 2 2" xfId="49653"/>
    <cellStyle name="Normal 68 5 5 3" xfId="46082"/>
    <cellStyle name="Normal 68 5 6" xfId="26024"/>
    <cellStyle name="Normal 68 5 6 2" xfId="48269"/>
    <cellStyle name="Normal 68 5 7" xfId="29028"/>
    <cellStyle name="Normal 68 6" xfId="23927"/>
    <cellStyle name="Normal 68 6 2" xfId="24239"/>
    <cellStyle name="Normal 68 6 2 2" xfId="24903"/>
    <cellStyle name="Normal 68 6 2 2 2" xfId="27116"/>
    <cellStyle name="Normal 68 6 2 2 2 2" xfId="49361"/>
    <cellStyle name="Normal 68 6 2 2 3" xfId="47148"/>
    <cellStyle name="Normal 68 6 2 3" xfId="25481"/>
    <cellStyle name="Normal 68 6 2 3 2" xfId="27786"/>
    <cellStyle name="Normal 68 6 2 3 2 2" xfId="50031"/>
    <cellStyle name="Normal 68 6 2 3 3" xfId="47726"/>
    <cellStyle name="Normal 68 6 2 4" xfId="26443"/>
    <cellStyle name="Normal 68 6 2 4 2" xfId="48688"/>
    <cellStyle name="Normal 68 6 2 5" xfId="46485"/>
    <cellStyle name="Normal 68 6 3" xfId="24571"/>
    <cellStyle name="Normal 68 6 3 2" xfId="26784"/>
    <cellStyle name="Normal 68 6 3 2 2" xfId="49029"/>
    <cellStyle name="Normal 68 6 3 3" xfId="46816"/>
    <cellStyle name="Normal 68 6 4" xfId="25145"/>
    <cellStyle name="Normal 68 6 4 2" xfId="27450"/>
    <cellStyle name="Normal 68 6 4 2 2" xfId="49695"/>
    <cellStyle name="Normal 68 6 4 3" xfId="47390"/>
    <cellStyle name="Normal 68 6 5" xfId="26118"/>
    <cellStyle name="Normal 68 6 5 2" xfId="48363"/>
    <cellStyle name="Normal 68 6 6" xfId="46173"/>
    <cellStyle name="Normal 68 7" xfId="24076"/>
    <cellStyle name="Normal 68 7 2" xfId="24737"/>
    <cellStyle name="Normal 68 7 2 2" xfId="26950"/>
    <cellStyle name="Normal 68 7 2 2 2" xfId="49195"/>
    <cellStyle name="Normal 68 7 2 3" xfId="46982"/>
    <cellStyle name="Normal 68 7 3" xfId="25313"/>
    <cellStyle name="Normal 68 7 3 2" xfId="27618"/>
    <cellStyle name="Normal 68 7 3 2 2" xfId="49863"/>
    <cellStyle name="Normal 68 7 3 3" xfId="47558"/>
    <cellStyle name="Normal 68 7 4" xfId="26278"/>
    <cellStyle name="Normal 68 7 4 2" xfId="48523"/>
    <cellStyle name="Normal 68 7 5" xfId="46322"/>
    <cellStyle name="Normal 68 8" xfId="24415"/>
    <cellStyle name="Normal 68 8 2" xfId="26618"/>
    <cellStyle name="Normal 68 8 2 2" xfId="48863"/>
    <cellStyle name="Normal 68 8 3" xfId="46660"/>
    <cellStyle name="Normal 68 9" xfId="25069"/>
    <cellStyle name="Normal 68 9 2" xfId="27282"/>
    <cellStyle name="Normal 68 9 2 2" xfId="49527"/>
    <cellStyle name="Normal 68 9 3" xfId="47314"/>
    <cellStyle name="Normal 69" xfId="838"/>
    <cellStyle name="Normal 69 2" xfId="4259"/>
    <cellStyle name="Normal 69 2 2" xfId="18871"/>
    <cellStyle name="Normal 69 3" xfId="4260"/>
    <cellStyle name="Normal 69 4" xfId="4261"/>
    <cellStyle name="Normal 7" xfId="576"/>
    <cellStyle name="Normal 7 2" xfId="577"/>
    <cellStyle name="Normal 7 2 2" xfId="925"/>
    <cellStyle name="Normal 7 2 2 2" xfId="4263"/>
    <cellStyle name="Normal 7 2 2 2 2" xfId="18873"/>
    <cellStyle name="Normal 7 2 2 3" xfId="4264"/>
    <cellStyle name="Normal 7 2 2 4" xfId="4262"/>
    <cellStyle name="Normal 7 2 3" xfId="4265"/>
    <cellStyle name="Normal 7 3" xfId="578"/>
    <cellStyle name="Normal 7 3 2" xfId="4267"/>
    <cellStyle name="Normal 7 3 3" xfId="4268"/>
    <cellStyle name="Normal 7 3 4" xfId="4266"/>
    <cellStyle name="Normal 7 3 5" xfId="23316"/>
    <cellStyle name="Normal 7 4" xfId="1683"/>
    <cellStyle name="Normal 7 4 2" xfId="4269"/>
    <cellStyle name="Normal 7 5" xfId="4270"/>
    <cellStyle name="Normal 7 5 2" xfId="18872"/>
    <cellStyle name="Normal 70" xfId="839"/>
    <cellStyle name="Normal 70 2" xfId="4271"/>
    <cellStyle name="Normal 70 3" xfId="4272"/>
    <cellStyle name="Normal 71" xfId="840"/>
    <cellStyle name="Normal 71 2" xfId="4273"/>
    <cellStyle name="Normal 71 3" xfId="4274"/>
    <cellStyle name="Normal 72" xfId="844"/>
    <cellStyle name="Normal 72 2" xfId="1003"/>
    <cellStyle name="Normal 72 2 2" xfId="4276"/>
    <cellStyle name="Normal 72 2 3" xfId="4275"/>
    <cellStyle name="Normal 72 3" xfId="4277"/>
    <cellStyle name="Normal 72 4" xfId="4278"/>
    <cellStyle name="Normal 73" xfId="841"/>
    <cellStyle name="Normal 73 2" xfId="1004"/>
    <cellStyle name="Normal 73 2 2" xfId="4280"/>
    <cellStyle name="Normal 73 2 3" xfId="4279"/>
    <cellStyle name="Normal 73 3" xfId="4281"/>
    <cellStyle name="Normal 73 4" xfId="4282"/>
    <cellStyle name="Normal 74" xfId="843"/>
    <cellStyle name="Normal 74 2" xfId="1006"/>
    <cellStyle name="Normal 74 2 2" xfId="4284"/>
    <cellStyle name="Normal 74 2 3" xfId="4285"/>
    <cellStyle name="Normal 74 2 4" xfId="4283"/>
    <cellStyle name="Normal 74 3" xfId="4286"/>
    <cellStyle name="Normal 74 3 2" xfId="4287"/>
    <cellStyle name="Normal 74 3 3" xfId="5167"/>
    <cellStyle name="Normal 74 4" xfId="4288"/>
    <cellStyle name="Normal 75" xfId="842"/>
    <cellStyle name="Normal 75 2" xfId="1008"/>
    <cellStyle name="Normal 75 2 2" xfId="4290"/>
    <cellStyle name="Normal 75 2 3" xfId="4289"/>
    <cellStyle name="Normal 75 3" xfId="18874"/>
    <cellStyle name="Normal 76" xfId="847"/>
    <cellStyle name="Normal 76 2" xfId="1010"/>
    <cellStyle name="Normal 76 2 2" xfId="4292"/>
    <cellStyle name="Normal 76 2 3" xfId="4291"/>
    <cellStyle name="Normal 76 3" xfId="18875"/>
    <cellStyle name="Normal 77" xfId="852"/>
    <cellStyle name="Normal 77 2" xfId="18876"/>
    <cellStyle name="Normal 78" xfId="993"/>
    <cellStyle name="Normal 78 2" xfId="18877"/>
    <cellStyle name="Normal 79" xfId="1051"/>
    <cellStyle name="Normal 79 2" xfId="18878"/>
    <cellStyle name="Normal 8" xfId="579"/>
    <cellStyle name="Normal 8 2" xfId="580"/>
    <cellStyle name="Normal 8 2 2" xfId="926"/>
    <cellStyle name="Normal 8 2 2 2" xfId="4293"/>
    <cellStyle name="Normal 8 2 2 2 2" xfId="18880"/>
    <cellStyle name="Normal 8 2 3" xfId="18879"/>
    <cellStyle name="Normal 8 3" xfId="581"/>
    <cellStyle name="Normal 8 3 2" xfId="4295"/>
    <cellStyle name="Normal 8 3 3" xfId="4296"/>
    <cellStyle name="Normal 8 3 4" xfId="5168"/>
    <cellStyle name="Normal 8 3 5" xfId="4294"/>
    <cellStyle name="Normal 8 4" xfId="4297"/>
    <cellStyle name="Normal 8 4 2" xfId="4298"/>
    <cellStyle name="Normal 8 5" xfId="4299"/>
    <cellStyle name="Normal 80" xfId="938"/>
    <cellStyle name="Normal 80 2" xfId="18881"/>
    <cellStyle name="Normal 81" xfId="1050"/>
    <cellStyle name="Normal 81 2" xfId="18882"/>
    <cellStyle name="Normal 82" xfId="1055"/>
    <cellStyle name="Normal 82 2" xfId="18883"/>
    <cellStyle name="Normal 83" xfId="1052"/>
    <cellStyle name="Normal 83 2" xfId="18884"/>
    <cellStyle name="Normal 84" xfId="1056"/>
    <cellStyle name="Normal 84 2" xfId="18885"/>
    <cellStyle name="Normal 85" xfId="1057"/>
    <cellStyle name="Normal 85 2" xfId="18886"/>
    <cellStyle name="Normal 86" xfId="1058"/>
    <cellStyle name="Normal 86 10" xfId="7785"/>
    <cellStyle name="Normal 86 10 2" xfId="14500"/>
    <cellStyle name="Normal 86 10 2 2" xfId="37921"/>
    <cellStyle name="Normal 86 10 3" xfId="20510"/>
    <cellStyle name="Normal 86 10 3 2" xfId="42963"/>
    <cellStyle name="Normal 86 10 4" xfId="31289"/>
    <cellStyle name="Normal 86 11" xfId="11182"/>
    <cellStyle name="Normal 86 11 2" xfId="21039"/>
    <cellStyle name="Normal 86 11 2 2" xfId="43490"/>
    <cellStyle name="Normal 86 11 3" xfId="34605"/>
    <cellStyle name="Normal 86 12" xfId="18161"/>
    <cellStyle name="Normal 86 12 2" xfId="41446"/>
    <cellStyle name="Normal 86 13" xfId="27973"/>
    <cellStyle name="Normal 86 14" xfId="50279"/>
    <cellStyle name="Normal 86 2" xfId="1066"/>
    <cellStyle name="Normal 86 2 2" xfId="18888"/>
    <cellStyle name="Normal 86 3" xfId="1461"/>
    <cellStyle name="Normal 86 3 10" xfId="11210"/>
    <cellStyle name="Normal 86 3 10 2" xfId="21768"/>
    <cellStyle name="Normal 86 3 10 2 2" xfId="44217"/>
    <cellStyle name="Normal 86 3 10 3" xfId="34633"/>
    <cellStyle name="Normal 86 3 11" xfId="18162"/>
    <cellStyle name="Normal 86 3 11 2" xfId="41447"/>
    <cellStyle name="Normal 86 3 12" xfId="23794"/>
    <cellStyle name="Normal 86 3 12 2" xfId="46083"/>
    <cellStyle name="Normal 86 3 13" xfId="28001"/>
    <cellStyle name="Normal 86 3 2" xfId="1501"/>
    <cellStyle name="Normal 86 3 2 10" xfId="18163"/>
    <cellStyle name="Normal 86 3 2 10 2" xfId="41448"/>
    <cellStyle name="Normal 86 3 2 11" xfId="23795"/>
    <cellStyle name="Normal 86 3 2 11 2" xfId="46084"/>
    <cellStyle name="Normal 86 3 2 12" xfId="28037"/>
    <cellStyle name="Normal 86 3 2 2" xfId="1687"/>
    <cellStyle name="Normal 86 3 2 2 10" xfId="23796"/>
    <cellStyle name="Normal 86 3 2 2 10 2" xfId="46085"/>
    <cellStyle name="Normal 86 3 2 2 11" xfId="28101"/>
    <cellStyle name="Normal 86 3 2 2 2" xfId="1880"/>
    <cellStyle name="Normal 86 3 2 2 2 10" xfId="28232"/>
    <cellStyle name="Normal 86 3 2 2 2 2" xfId="2423"/>
    <cellStyle name="Normal 86 3 2 2 2 2 2" xfId="5657"/>
    <cellStyle name="Normal 86 3 2 2 2 2 2 2" xfId="7479"/>
    <cellStyle name="Normal 86 3 2 2 2 2 2 2 2" xfId="10810"/>
    <cellStyle name="Normal 86 3 2 2 2 2 2 2 2 2" xfId="17514"/>
    <cellStyle name="Normal 86 3 2 2 2 2 2 2 2 2 2" xfId="40935"/>
    <cellStyle name="Normal 86 3 2 2 2 2 2 2 2 3" xfId="23232"/>
    <cellStyle name="Normal 86 3 2 2 2 2 2 2 2 3 2" xfId="45654"/>
    <cellStyle name="Normal 86 3 2 2 2 2 2 2 2 4" xfId="34303"/>
    <cellStyle name="Normal 86 3 2 2 2 2 2 2 3" xfId="14198"/>
    <cellStyle name="Normal 86 3 2 2 2 2 2 2 3 2" xfId="37619"/>
    <cellStyle name="Normal 86 3 2 2 2 2 2 2 4" xfId="20407"/>
    <cellStyle name="Normal 86 3 2 2 2 2 2 2 4 2" xfId="42942"/>
    <cellStyle name="Normal 86 3 2 2 2 2 2 2 5" xfId="30987"/>
    <cellStyle name="Normal 86 3 2 2 2 2 2 3" xfId="9152"/>
    <cellStyle name="Normal 86 3 2 2 2 2 2 3 2" xfId="15856"/>
    <cellStyle name="Normal 86 3 2 2 2 2 2 3 2 2" xfId="39277"/>
    <cellStyle name="Normal 86 3 2 2 2 2 2 3 3" xfId="21503"/>
    <cellStyle name="Normal 86 3 2 2 2 2 2 3 3 2" xfId="43954"/>
    <cellStyle name="Normal 86 3 2 2 2 2 2 3 4" xfId="32645"/>
    <cellStyle name="Normal 86 3 2 2 2 2 2 4" xfId="12540"/>
    <cellStyle name="Normal 86 3 2 2 2 2 2 4 2" xfId="22420"/>
    <cellStyle name="Normal 86 3 2 2 2 2 2 4 2 2" xfId="44842"/>
    <cellStyle name="Normal 86 3 2 2 2 2 2 4 3" xfId="35961"/>
    <cellStyle name="Normal 86 3 2 2 2 2 2 5" xfId="19568"/>
    <cellStyle name="Normal 86 3 2 2 2 2 2 5 2" xfId="42110"/>
    <cellStyle name="Normal 86 3 2 2 2 2 2 6" xfId="29329"/>
    <cellStyle name="Normal 86 3 2 2 2 2 3" xfId="6579"/>
    <cellStyle name="Normal 86 3 2 2 2 2 3 2" xfId="9913"/>
    <cellStyle name="Normal 86 3 2 2 2 2 3 2 2" xfId="16617"/>
    <cellStyle name="Normal 86 3 2 2 2 2 3 2 2 2" xfId="40038"/>
    <cellStyle name="Normal 86 3 2 2 2 2 3 2 3" xfId="22827"/>
    <cellStyle name="Normal 86 3 2 2 2 2 3 2 3 2" xfId="45249"/>
    <cellStyle name="Normal 86 3 2 2 2 2 3 2 4" xfId="33406"/>
    <cellStyle name="Normal 86 3 2 2 2 2 3 3" xfId="13301"/>
    <cellStyle name="Normal 86 3 2 2 2 2 3 3 2" xfId="36722"/>
    <cellStyle name="Normal 86 3 2 2 2 2 3 4" xfId="19991"/>
    <cellStyle name="Normal 86 3 2 2 2 2 3 4 2" xfId="42526"/>
    <cellStyle name="Normal 86 3 2 2 2 2 3 5" xfId="30090"/>
    <cellStyle name="Normal 86 3 2 2 2 2 4" xfId="8246"/>
    <cellStyle name="Normal 86 3 2 2 2 2 4 2" xfId="14959"/>
    <cellStyle name="Normal 86 3 2 2 2 2 4 2 2" xfId="38380"/>
    <cellStyle name="Normal 86 3 2 2 2 2 4 3" xfId="21044"/>
    <cellStyle name="Normal 86 3 2 2 2 2 4 3 2" xfId="43495"/>
    <cellStyle name="Normal 86 3 2 2 2 2 4 4" xfId="31748"/>
    <cellStyle name="Normal 86 3 2 2 2 2 5" xfId="11641"/>
    <cellStyle name="Normal 86 3 2 2 2 2 5 2" xfId="21996"/>
    <cellStyle name="Normal 86 3 2 2 2 2 5 2 2" xfId="44428"/>
    <cellStyle name="Normal 86 3 2 2 2 2 5 3" xfId="35064"/>
    <cellStyle name="Normal 86 3 2 2 2 2 6" xfId="18892"/>
    <cellStyle name="Normal 86 3 2 2 2 2 6 2" xfId="41685"/>
    <cellStyle name="Normal 86 3 2 2 2 2 7" xfId="26028"/>
    <cellStyle name="Normal 86 3 2 2 2 2 7 2" xfId="48273"/>
    <cellStyle name="Normal 86 3 2 2 2 2 8" xfId="28432"/>
    <cellStyle name="Normal 86 3 2 2 2 3" xfId="2877"/>
    <cellStyle name="Normal 86 3 2 2 2 3 2" xfId="5969"/>
    <cellStyle name="Normal 86 3 2 2 2 3 2 2" xfId="7751"/>
    <cellStyle name="Normal 86 3 2 2 2 3 2 2 2" xfId="11080"/>
    <cellStyle name="Normal 86 3 2 2 2 3 2 2 2 2" xfId="17784"/>
    <cellStyle name="Normal 86 3 2 2 2 3 2 2 2 2 2" xfId="41205"/>
    <cellStyle name="Normal 86 3 2 2 2 3 2 2 2 3" xfId="34573"/>
    <cellStyle name="Normal 86 3 2 2 2 3 2 2 3" xfId="14468"/>
    <cellStyle name="Normal 86 3 2 2 2 3 2 2 3 2" xfId="37889"/>
    <cellStyle name="Normal 86 3 2 2 2 3 2 2 4" xfId="23027"/>
    <cellStyle name="Normal 86 3 2 2 2 3 2 2 4 2" xfId="45449"/>
    <cellStyle name="Normal 86 3 2 2 2 3 2 2 5" xfId="31257"/>
    <cellStyle name="Normal 86 3 2 2 2 3 2 3" xfId="9422"/>
    <cellStyle name="Normal 86 3 2 2 2 3 2 3 2" xfId="16126"/>
    <cellStyle name="Normal 86 3 2 2 2 3 2 3 2 2" xfId="39547"/>
    <cellStyle name="Normal 86 3 2 2 2 3 2 3 3" xfId="32915"/>
    <cellStyle name="Normal 86 3 2 2 2 3 2 4" xfId="12810"/>
    <cellStyle name="Normal 86 3 2 2 2 3 2 4 2" xfId="36231"/>
    <cellStyle name="Normal 86 3 2 2 2 3 2 5" xfId="20199"/>
    <cellStyle name="Normal 86 3 2 2 2 3 2 5 2" xfId="42734"/>
    <cellStyle name="Normal 86 3 2 2 2 3 2 6" xfId="29599"/>
    <cellStyle name="Normal 86 3 2 2 2 3 3" xfId="6852"/>
    <cellStyle name="Normal 86 3 2 2 2 3 3 2" xfId="10184"/>
    <cellStyle name="Normal 86 3 2 2 2 3 3 2 2" xfId="16888"/>
    <cellStyle name="Normal 86 3 2 2 2 3 3 2 2 2" xfId="40309"/>
    <cellStyle name="Normal 86 3 2 2 2 3 3 2 3" xfId="33677"/>
    <cellStyle name="Normal 86 3 2 2 2 3 3 3" xfId="13572"/>
    <cellStyle name="Normal 86 3 2 2 2 3 3 3 2" xfId="36993"/>
    <cellStyle name="Normal 86 3 2 2 2 3 3 4" xfId="21502"/>
    <cellStyle name="Normal 86 3 2 2 2 3 3 4 2" xfId="43953"/>
    <cellStyle name="Normal 86 3 2 2 2 3 3 5" xfId="30361"/>
    <cellStyle name="Normal 86 3 2 2 2 3 4" xfId="8518"/>
    <cellStyle name="Normal 86 3 2 2 2 3 4 2" xfId="15230"/>
    <cellStyle name="Normal 86 3 2 2 2 3 4 2 2" xfId="38651"/>
    <cellStyle name="Normal 86 3 2 2 2 3 4 3" xfId="22210"/>
    <cellStyle name="Normal 86 3 2 2 2 3 4 3 2" xfId="44634"/>
    <cellStyle name="Normal 86 3 2 2 2 3 4 4" xfId="32019"/>
    <cellStyle name="Normal 86 3 2 2 2 3 5" xfId="11912"/>
    <cellStyle name="Normal 86 3 2 2 2 3 5 2" xfId="35335"/>
    <cellStyle name="Normal 86 3 2 2 2 3 6" xfId="19349"/>
    <cellStyle name="Normal 86 3 2 2 2 3 6 2" xfId="41902"/>
    <cellStyle name="Normal 86 3 2 2 2 3 7" xfId="28703"/>
    <cellStyle name="Normal 86 3 2 2 2 4" xfId="4303"/>
    <cellStyle name="Normal 86 3 2 2 2 4 2" xfId="7181"/>
    <cellStyle name="Normal 86 3 2 2 2 4 2 2" xfId="10513"/>
    <cellStyle name="Normal 86 3 2 2 2 4 2 2 2" xfId="17217"/>
    <cellStyle name="Normal 86 3 2 2 2 4 2 2 2 2" xfId="40638"/>
    <cellStyle name="Normal 86 3 2 2 2 4 2 2 3" xfId="34006"/>
    <cellStyle name="Normal 86 3 2 2 2 4 2 3" xfId="13901"/>
    <cellStyle name="Normal 86 3 2 2 2 4 2 3 2" xfId="37322"/>
    <cellStyle name="Normal 86 3 2 2 2 4 2 4" xfId="22621"/>
    <cellStyle name="Normal 86 3 2 2 2 4 2 4 2" xfId="45043"/>
    <cellStyle name="Normal 86 3 2 2 2 4 2 5" xfId="30690"/>
    <cellStyle name="Normal 86 3 2 2 2 4 3" xfId="8848"/>
    <cellStyle name="Normal 86 3 2 2 2 4 3 2" xfId="15559"/>
    <cellStyle name="Normal 86 3 2 2 2 4 3 2 2" xfId="38980"/>
    <cellStyle name="Normal 86 3 2 2 2 4 3 3" xfId="32348"/>
    <cellStyle name="Normal 86 3 2 2 2 4 4" xfId="12241"/>
    <cellStyle name="Normal 86 3 2 2 2 4 4 2" xfId="35664"/>
    <cellStyle name="Normal 86 3 2 2 2 4 5" xfId="19781"/>
    <cellStyle name="Normal 86 3 2 2 2 4 5 2" xfId="42318"/>
    <cellStyle name="Normal 86 3 2 2 2 4 6" xfId="29032"/>
    <cellStyle name="Normal 86 3 2 2 2 5" xfId="6379"/>
    <cellStyle name="Normal 86 3 2 2 2 5 2" xfId="9713"/>
    <cellStyle name="Normal 86 3 2 2 2 5 2 2" xfId="16417"/>
    <cellStyle name="Normal 86 3 2 2 2 5 2 2 2" xfId="39838"/>
    <cellStyle name="Normal 86 3 2 2 2 5 2 3" xfId="33206"/>
    <cellStyle name="Normal 86 3 2 2 2 5 3" xfId="13101"/>
    <cellStyle name="Normal 86 3 2 2 2 5 3 2" xfId="36522"/>
    <cellStyle name="Normal 86 3 2 2 2 5 4" xfId="21043"/>
    <cellStyle name="Normal 86 3 2 2 2 5 4 2" xfId="43494"/>
    <cellStyle name="Normal 86 3 2 2 2 5 5" xfId="29890"/>
    <cellStyle name="Normal 86 3 2 2 2 6" xfId="8045"/>
    <cellStyle name="Normal 86 3 2 2 2 6 2" xfId="14759"/>
    <cellStyle name="Normal 86 3 2 2 2 6 2 2" xfId="38180"/>
    <cellStyle name="Normal 86 3 2 2 2 6 3" xfId="21771"/>
    <cellStyle name="Normal 86 3 2 2 2 6 3 2" xfId="44220"/>
    <cellStyle name="Normal 86 3 2 2 2 6 4" xfId="31548"/>
    <cellStyle name="Normal 86 3 2 2 2 7" xfId="11441"/>
    <cellStyle name="Normal 86 3 2 2 2 7 2" xfId="34864"/>
    <cellStyle name="Normal 86 3 2 2 2 8" xfId="18165"/>
    <cellStyle name="Normal 86 3 2 2 2 8 2" xfId="41450"/>
    <cellStyle name="Normal 86 3 2 2 2 9" xfId="23797"/>
    <cellStyle name="Normal 86 3 2 2 2 9 2" xfId="46086"/>
    <cellStyle name="Normal 86 3 2 2 3" xfId="2422"/>
    <cellStyle name="Normal 86 3 2 2 3 2" xfId="5656"/>
    <cellStyle name="Normal 86 3 2 2 3 2 2" xfId="7478"/>
    <cellStyle name="Normal 86 3 2 2 3 2 2 2" xfId="10809"/>
    <cellStyle name="Normal 86 3 2 2 3 2 2 2 2" xfId="17513"/>
    <cellStyle name="Normal 86 3 2 2 3 2 2 2 2 2" xfId="40934"/>
    <cellStyle name="Normal 86 3 2 2 3 2 2 2 3" xfId="23231"/>
    <cellStyle name="Normal 86 3 2 2 3 2 2 2 3 2" xfId="45653"/>
    <cellStyle name="Normal 86 3 2 2 3 2 2 2 4" xfId="34302"/>
    <cellStyle name="Normal 86 3 2 2 3 2 2 3" xfId="14197"/>
    <cellStyle name="Normal 86 3 2 2 3 2 2 3 2" xfId="37618"/>
    <cellStyle name="Normal 86 3 2 2 3 2 2 4" xfId="20406"/>
    <cellStyle name="Normal 86 3 2 2 3 2 2 4 2" xfId="42941"/>
    <cellStyle name="Normal 86 3 2 2 3 2 2 5" xfId="30986"/>
    <cellStyle name="Normal 86 3 2 2 3 2 3" xfId="9151"/>
    <cellStyle name="Normal 86 3 2 2 3 2 3 2" xfId="15855"/>
    <cellStyle name="Normal 86 3 2 2 3 2 3 2 2" xfId="39276"/>
    <cellStyle name="Normal 86 3 2 2 3 2 3 3" xfId="21504"/>
    <cellStyle name="Normal 86 3 2 2 3 2 3 3 2" xfId="43955"/>
    <cellStyle name="Normal 86 3 2 2 3 2 3 4" xfId="32644"/>
    <cellStyle name="Normal 86 3 2 2 3 2 4" xfId="12539"/>
    <cellStyle name="Normal 86 3 2 2 3 2 4 2" xfId="22419"/>
    <cellStyle name="Normal 86 3 2 2 3 2 4 2 2" xfId="44841"/>
    <cellStyle name="Normal 86 3 2 2 3 2 4 3" xfId="35960"/>
    <cellStyle name="Normal 86 3 2 2 3 2 5" xfId="19567"/>
    <cellStyle name="Normal 86 3 2 2 3 2 5 2" xfId="42109"/>
    <cellStyle name="Normal 86 3 2 2 3 2 6" xfId="29328"/>
    <cellStyle name="Normal 86 3 2 2 3 3" xfId="6578"/>
    <cellStyle name="Normal 86 3 2 2 3 3 2" xfId="9912"/>
    <cellStyle name="Normal 86 3 2 2 3 3 2 2" xfId="16616"/>
    <cellStyle name="Normal 86 3 2 2 3 3 2 2 2" xfId="40037"/>
    <cellStyle name="Normal 86 3 2 2 3 3 2 3" xfId="22826"/>
    <cellStyle name="Normal 86 3 2 2 3 3 2 3 2" xfId="45248"/>
    <cellStyle name="Normal 86 3 2 2 3 3 2 4" xfId="33405"/>
    <cellStyle name="Normal 86 3 2 2 3 3 3" xfId="13300"/>
    <cellStyle name="Normal 86 3 2 2 3 3 3 2" xfId="36721"/>
    <cellStyle name="Normal 86 3 2 2 3 3 4" xfId="19990"/>
    <cellStyle name="Normal 86 3 2 2 3 3 4 2" xfId="42525"/>
    <cellStyle name="Normal 86 3 2 2 3 3 5" xfId="30089"/>
    <cellStyle name="Normal 86 3 2 2 3 4" xfId="8245"/>
    <cellStyle name="Normal 86 3 2 2 3 4 2" xfId="14958"/>
    <cellStyle name="Normal 86 3 2 2 3 4 2 2" xfId="38379"/>
    <cellStyle name="Normal 86 3 2 2 3 4 3" xfId="21045"/>
    <cellStyle name="Normal 86 3 2 2 3 4 3 2" xfId="43496"/>
    <cellStyle name="Normal 86 3 2 2 3 4 4" xfId="31747"/>
    <cellStyle name="Normal 86 3 2 2 3 5" xfId="11640"/>
    <cellStyle name="Normal 86 3 2 2 3 5 2" xfId="21995"/>
    <cellStyle name="Normal 86 3 2 2 3 5 2 2" xfId="44427"/>
    <cellStyle name="Normal 86 3 2 2 3 5 3" xfId="35063"/>
    <cellStyle name="Normal 86 3 2 2 3 6" xfId="18891"/>
    <cellStyle name="Normal 86 3 2 2 3 6 2" xfId="41684"/>
    <cellStyle name="Normal 86 3 2 2 3 7" xfId="26027"/>
    <cellStyle name="Normal 86 3 2 2 3 7 2" xfId="48272"/>
    <cellStyle name="Normal 86 3 2 2 3 8" xfId="28431"/>
    <cellStyle name="Normal 86 3 2 2 4" xfId="2745"/>
    <cellStyle name="Normal 86 3 2 2 4 2" xfId="5838"/>
    <cellStyle name="Normal 86 3 2 2 4 2 2" xfId="7620"/>
    <cellStyle name="Normal 86 3 2 2 4 2 2 2" xfId="10949"/>
    <cellStyle name="Normal 86 3 2 2 4 2 2 2 2" xfId="17653"/>
    <cellStyle name="Normal 86 3 2 2 4 2 2 2 2 2" xfId="41074"/>
    <cellStyle name="Normal 86 3 2 2 4 2 2 2 3" xfId="34442"/>
    <cellStyle name="Normal 86 3 2 2 4 2 2 3" xfId="14337"/>
    <cellStyle name="Normal 86 3 2 2 4 2 2 3 2" xfId="37758"/>
    <cellStyle name="Normal 86 3 2 2 4 2 2 4" xfId="23026"/>
    <cellStyle name="Normal 86 3 2 2 4 2 2 4 2" xfId="45448"/>
    <cellStyle name="Normal 86 3 2 2 4 2 2 5" xfId="31126"/>
    <cellStyle name="Normal 86 3 2 2 4 2 3" xfId="9291"/>
    <cellStyle name="Normal 86 3 2 2 4 2 3 2" xfId="15995"/>
    <cellStyle name="Normal 86 3 2 2 4 2 3 2 2" xfId="39416"/>
    <cellStyle name="Normal 86 3 2 2 4 2 3 3" xfId="32784"/>
    <cellStyle name="Normal 86 3 2 2 4 2 4" xfId="12679"/>
    <cellStyle name="Normal 86 3 2 2 4 2 4 2" xfId="36100"/>
    <cellStyle name="Normal 86 3 2 2 4 2 5" xfId="20198"/>
    <cellStyle name="Normal 86 3 2 2 4 2 5 2" xfId="42733"/>
    <cellStyle name="Normal 86 3 2 2 4 2 6" xfId="29468"/>
    <cellStyle name="Normal 86 3 2 2 4 3" xfId="6721"/>
    <cellStyle name="Normal 86 3 2 2 4 3 2" xfId="10053"/>
    <cellStyle name="Normal 86 3 2 2 4 3 2 2" xfId="16757"/>
    <cellStyle name="Normal 86 3 2 2 4 3 2 2 2" xfId="40178"/>
    <cellStyle name="Normal 86 3 2 2 4 3 2 3" xfId="33546"/>
    <cellStyle name="Normal 86 3 2 2 4 3 3" xfId="13441"/>
    <cellStyle name="Normal 86 3 2 2 4 3 3 2" xfId="36862"/>
    <cellStyle name="Normal 86 3 2 2 4 3 4" xfId="21501"/>
    <cellStyle name="Normal 86 3 2 2 4 3 4 2" xfId="43952"/>
    <cellStyle name="Normal 86 3 2 2 4 3 5" xfId="30230"/>
    <cellStyle name="Normal 86 3 2 2 4 4" xfId="8387"/>
    <cellStyle name="Normal 86 3 2 2 4 4 2" xfId="15099"/>
    <cellStyle name="Normal 86 3 2 2 4 4 2 2" xfId="38520"/>
    <cellStyle name="Normal 86 3 2 2 4 4 3" xfId="22209"/>
    <cellStyle name="Normal 86 3 2 2 4 4 3 2" xfId="44633"/>
    <cellStyle name="Normal 86 3 2 2 4 4 4" xfId="31888"/>
    <cellStyle name="Normal 86 3 2 2 4 5" xfId="11781"/>
    <cellStyle name="Normal 86 3 2 2 4 5 2" xfId="35204"/>
    <cellStyle name="Normal 86 3 2 2 4 6" xfId="19348"/>
    <cellStyle name="Normal 86 3 2 2 4 6 2" xfId="41901"/>
    <cellStyle name="Normal 86 3 2 2 4 7" xfId="28572"/>
    <cellStyle name="Normal 86 3 2 2 5" xfId="4302"/>
    <cellStyle name="Normal 86 3 2 2 5 2" xfId="7180"/>
    <cellStyle name="Normal 86 3 2 2 5 2 2" xfId="10512"/>
    <cellStyle name="Normal 86 3 2 2 5 2 2 2" xfId="17216"/>
    <cellStyle name="Normal 86 3 2 2 5 2 2 2 2" xfId="40637"/>
    <cellStyle name="Normal 86 3 2 2 5 2 2 3" xfId="34005"/>
    <cellStyle name="Normal 86 3 2 2 5 2 3" xfId="13900"/>
    <cellStyle name="Normal 86 3 2 2 5 2 3 2" xfId="37321"/>
    <cellStyle name="Normal 86 3 2 2 5 2 4" xfId="22620"/>
    <cellStyle name="Normal 86 3 2 2 5 2 4 2" xfId="45042"/>
    <cellStyle name="Normal 86 3 2 2 5 2 5" xfId="30689"/>
    <cellStyle name="Normal 86 3 2 2 5 3" xfId="8847"/>
    <cellStyle name="Normal 86 3 2 2 5 3 2" xfId="15558"/>
    <cellStyle name="Normal 86 3 2 2 5 3 2 2" xfId="38979"/>
    <cellStyle name="Normal 86 3 2 2 5 3 3" xfId="32347"/>
    <cellStyle name="Normal 86 3 2 2 5 4" xfId="12240"/>
    <cellStyle name="Normal 86 3 2 2 5 4 2" xfId="35663"/>
    <cellStyle name="Normal 86 3 2 2 5 5" xfId="19780"/>
    <cellStyle name="Normal 86 3 2 2 5 5 2" xfId="42317"/>
    <cellStyle name="Normal 86 3 2 2 5 6" xfId="29031"/>
    <cellStyle name="Normal 86 3 2 2 6" xfId="6248"/>
    <cellStyle name="Normal 86 3 2 2 6 2" xfId="9582"/>
    <cellStyle name="Normal 86 3 2 2 6 2 2" xfId="16286"/>
    <cellStyle name="Normal 86 3 2 2 6 2 2 2" xfId="39707"/>
    <cellStyle name="Normal 86 3 2 2 6 2 3" xfId="33075"/>
    <cellStyle name="Normal 86 3 2 2 6 3" xfId="12970"/>
    <cellStyle name="Normal 86 3 2 2 6 3 2" xfId="36391"/>
    <cellStyle name="Normal 86 3 2 2 6 4" xfId="21042"/>
    <cellStyle name="Normal 86 3 2 2 6 4 2" xfId="43493"/>
    <cellStyle name="Normal 86 3 2 2 6 5" xfId="29759"/>
    <cellStyle name="Normal 86 3 2 2 7" xfId="7914"/>
    <cellStyle name="Normal 86 3 2 2 7 2" xfId="14628"/>
    <cellStyle name="Normal 86 3 2 2 7 2 2" xfId="38049"/>
    <cellStyle name="Normal 86 3 2 2 7 3" xfId="21770"/>
    <cellStyle name="Normal 86 3 2 2 7 3 2" xfId="44219"/>
    <cellStyle name="Normal 86 3 2 2 7 4" xfId="31417"/>
    <cellStyle name="Normal 86 3 2 2 8" xfId="11310"/>
    <cellStyle name="Normal 86 3 2 2 8 2" xfId="34733"/>
    <cellStyle name="Normal 86 3 2 2 9" xfId="18164"/>
    <cellStyle name="Normal 86 3 2 2 9 2" xfId="41449"/>
    <cellStyle name="Normal 86 3 2 3" xfId="1816"/>
    <cellStyle name="Normal 86 3 2 3 10" xfId="28168"/>
    <cellStyle name="Normal 86 3 2 3 2" xfId="2424"/>
    <cellStyle name="Normal 86 3 2 3 2 2" xfId="5658"/>
    <cellStyle name="Normal 86 3 2 3 2 2 2" xfId="7480"/>
    <cellStyle name="Normal 86 3 2 3 2 2 2 2" xfId="10811"/>
    <cellStyle name="Normal 86 3 2 3 2 2 2 2 2" xfId="17515"/>
    <cellStyle name="Normal 86 3 2 3 2 2 2 2 2 2" xfId="40936"/>
    <cellStyle name="Normal 86 3 2 3 2 2 2 2 3" xfId="23233"/>
    <cellStyle name="Normal 86 3 2 3 2 2 2 2 3 2" xfId="45655"/>
    <cellStyle name="Normal 86 3 2 3 2 2 2 2 4" xfId="34304"/>
    <cellStyle name="Normal 86 3 2 3 2 2 2 3" xfId="14199"/>
    <cellStyle name="Normal 86 3 2 3 2 2 2 3 2" xfId="37620"/>
    <cellStyle name="Normal 86 3 2 3 2 2 2 4" xfId="20408"/>
    <cellStyle name="Normal 86 3 2 3 2 2 2 4 2" xfId="42943"/>
    <cellStyle name="Normal 86 3 2 3 2 2 2 5" xfId="30988"/>
    <cellStyle name="Normal 86 3 2 3 2 2 3" xfId="9153"/>
    <cellStyle name="Normal 86 3 2 3 2 2 3 2" xfId="15857"/>
    <cellStyle name="Normal 86 3 2 3 2 2 3 2 2" xfId="39278"/>
    <cellStyle name="Normal 86 3 2 3 2 2 3 3" xfId="21506"/>
    <cellStyle name="Normal 86 3 2 3 2 2 3 3 2" xfId="43957"/>
    <cellStyle name="Normal 86 3 2 3 2 2 3 4" xfId="32646"/>
    <cellStyle name="Normal 86 3 2 3 2 2 4" xfId="12541"/>
    <cellStyle name="Normal 86 3 2 3 2 2 4 2" xfId="22421"/>
    <cellStyle name="Normal 86 3 2 3 2 2 4 2 2" xfId="44843"/>
    <cellStyle name="Normal 86 3 2 3 2 2 4 3" xfId="35962"/>
    <cellStyle name="Normal 86 3 2 3 2 2 5" xfId="19569"/>
    <cellStyle name="Normal 86 3 2 3 2 2 5 2" xfId="42111"/>
    <cellStyle name="Normal 86 3 2 3 2 2 6" xfId="29330"/>
    <cellStyle name="Normal 86 3 2 3 2 3" xfId="6580"/>
    <cellStyle name="Normal 86 3 2 3 2 3 2" xfId="9914"/>
    <cellStyle name="Normal 86 3 2 3 2 3 2 2" xfId="16618"/>
    <cellStyle name="Normal 86 3 2 3 2 3 2 2 2" xfId="40039"/>
    <cellStyle name="Normal 86 3 2 3 2 3 2 3" xfId="22828"/>
    <cellStyle name="Normal 86 3 2 3 2 3 2 3 2" xfId="45250"/>
    <cellStyle name="Normal 86 3 2 3 2 3 2 4" xfId="33407"/>
    <cellStyle name="Normal 86 3 2 3 2 3 3" xfId="13302"/>
    <cellStyle name="Normal 86 3 2 3 2 3 3 2" xfId="36723"/>
    <cellStyle name="Normal 86 3 2 3 2 3 4" xfId="19992"/>
    <cellStyle name="Normal 86 3 2 3 2 3 4 2" xfId="42527"/>
    <cellStyle name="Normal 86 3 2 3 2 3 5" xfId="30091"/>
    <cellStyle name="Normal 86 3 2 3 2 4" xfId="8247"/>
    <cellStyle name="Normal 86 3 2 3 2 4 2" xfId="14960"/>
    <cellStyle name="Normal 86 3 2 3 2 4 2 2" xfId="38381"/>
    <cellStyle name="Normal 86 3 2 3 2 4 3" xfId="21047"/>
    <cellStyle name="Normal 86 3 2 3 2 4 3 2" xfId="43498"/>
    <cellStyle name="Normal 86 3 2 3 2 4 4" xfId="31749"/>
    <cellStyle name="Normal 86 3 2 3 2 5" xfId="11642"/>
    <cellStyle name="Normal 86 3 2 3 2 5 2" xfId="21997"/>
    <cellStyle name="Normal 86 3 2 3 2 5 2 2" xfId="44429"/>
    <cellStyle name="Normal 86 3 2 3 2 5 3" xfId="35065"/>
    <cellStyle name="Normal 86 3 2 3 2 6" xfId="18893"/>
    <cellStyle name="Normal 86 3 2 3 2 6 2" xfId="41686"/>
    <cellStyle name="Normal 86 3 2 3 2 7" xfId="26029"/>
    <cellStyle name="Normal 86 3 2 3 2 7 2" xfId="48274"/>
    <cellStyle name="Normal 86 3 2 3 2 8" xfId="28433"/>
    <cellStyle name="Normal 86 3 2 3 3" xfId="2813"/>
    <cellStyle name="Normal 86 3 2 3 3 2" xfId="5905"/>
    <cellStyle name="Normal 86 3 2 3 3 2 2" xfId="7687"/>
    <cellStyle name="Normal 86 3 2 3 3 2 2 2" xfId="11016"/>
    <cellStyle name="Normal 86 3 2 3 3 2 2 2 2" xfId="17720"/>
    <cellStyle name="Normal 86 3 2 3 3 2 2 2 2 2" xfId="41141"/>
    <cellStyle name="Normal 86 3 2 3 3 2 2 2 3" xfId="34509"/>
    <cellStyle name="Normal 86 3 2 3 3 2 2 3" xfId="14404"/>
    <cellStyle name="Normal 86 3 2 3 3 2 2 3 2" xfId="37825"/>
    <cellStyle name="Normal 86 3 2 3 3 2 2 4" xfId="23028"/>
    <cellStyle name="Normal 86 3 2 3 3 2 2 4 2" xfId="45450"/>
    <cellStyle name="Normal 86 3 2 3 3 2 2 5" xfId="31193"/>
    <cellStyle name="Normal 86 3 2 3 3 2 3" xfId="9358"/>
    <cellStyle name="Normal 86 3 2 3 3 2 3 2" xfId="16062"/>
    <cellStyle name="Normal 86 3 2 3 3 2 3 2 2" xfId="39483"/>
    <cellStyle name="Normal 86 3 2 3 3 2 3 3" xfId="32851"/>
    <cellStyle name="Normal 86 3 2 3 3 2 4" xfId="12746"/>
    <cellStyle name="Normal 86 3 2 3 3 2 4 2" xfId="36167"/>
    <cellStyle name="Normal 86 3 2 3 3 2 5" xfId="20200"/>
    <cellStyle name="Normal 86 3 2 3 3 2 5 2" xfId="42735"/>
    <cellStyle name="Normal 86 3 2 3 3 2 6" xfId="29535"/>
    <cellStyle name="Normal 86 3 2 3 3 3" xfId="6788"/>
    <cellStyle name="Normal 86 3 2 3 3 3 2" xfId="10120"/>
    <cellStyle name="Normal 86 3 2 3 3 3 2 2" xfId="16824"/>
    <cellStyle name="Normal 86 3 2 3 3 3 2 2 2" xfId="40245"/>
    <cellStyle name="Normal 86 3 2 3 3 3 2 3" xfId="33613"/>
    <cellStyle name="Normal 86 3 2 3 3 3 3" xfId="13508"/>
    <cellStyle name="Normal 86 3 2 3 3 3 3 2" xfId="36929"/>
    <cellStyle name="Normal 86 3 2 3 3 3 4" xfId="21505"/>
    <cellStyle name="Normal 86 3 2 3 3 3 4 2" xfId="43956"/>
    <cellStyle name="Normal 86 3 2 3 3 3 5" xfId="30297"/>
    <cellStyle name="Normal 86 3 2 3 3 4" xfId="8454"/>
    <cellStyle name="Normal 86 3 2 3 3 4 2" xfId="15166"/>
    <cellStyle name="Normal 86 3 2 3 3 4 2 2" xfId="38587"/>
    <cellStyle name="Normal 86 3 2 3 3 4 3" xfId="22211"/>
    <cellStyle name="Normal 86 3 2 3 3 4 3 2" xfId="44635"/>
    <cellStyle name="Normal 86 3 2 3 3 4 4" xfId="31955"/>
    <cellStyle name="Normal 86 3 2 3 3 5" xfId="11848"/>
    <cellStyle name="Normal 86 3 2 3 3 5 2" xfId="35271"/>
    <cellStyle name="Normal 86 3 2 3 3 6" xfId="19350"/>
    <cellStyle name="Normal 86 3 2 3 3 6 2" xfId="41903"/>
    <cellStyle name="Normal 86 3 2 3 3 7" xfId="28639"/>
    <cellStyle name="Normal 86 3 2 3 4" xfId="4304"/>
    <cellStyle name="Normal 86 3 2 3 4 2" xfId="7182"/>
    <cellStyle name="Normal 86 3 2 3 4 2 2" xfId="10514"/>
    <cellStyle name="Normal 86 3 2 3 4 2 2 2" xfId="17218"/>
    <cellStyle name="Normal 86 3 2 3 4 2 2 2 2" xfId="40639"/>
    <cellStyle name="Normal 86 3 2 3 4 2 2 3" xfId="34007"/>
    <cellStyle name="Normal 86 3 2 3 4 2 3" xfId="13902"/>
    <cellStyle name="Normal 86 3 2 3 4 2 3 2" xfId="37323"/>
    <cellStyle name="Normal 86 3 2 3 4 2 4" xfId="22622"/>
    <cellStyle name="Normal 86 3 2 3 4 2 4 2" xfId="45044"/>
    <cellStyle name="Normal 86 3 2 3 4 2 5" xfId="30691"/>
    <cellStyle name="Normal 86 3 2 3 4 3" xfId="8849"/>
    <cellStyle name="Normal 86 3 2 3 4 3 2" xfId="15560"/>
    <cellStyle name="Normal 86 3 2 3 4 3 2 2" xfId="38981"/>
    <cellStyle name="Normal 86 3 2 3 4 3 3" xfId="32349"/>
    <cellStyle name="Normal 86 3 2 3 4 4" xfId="12242"/>
    <cellStyle name="Normal 86 3 2 3 4 4 2" xfId="35665"/>
    <cellStyle name="Normal 86 3 2 3 4 5" xfId="19782"/>
    <cellStyle name="Normal 86 3 2 3 4 5 2" xfId="42319"/>
    <cellStyle name="Normal 86 3 2 3 4 6" xfId="29033"/>
    <cellStyle name="Normal 86 3 2 3 5" xfId="6315"/>
    <cellStyle name="Normal 86 3 2 3 5 2" xfId="9649"/>
    <cellStyle name="Normal 86 3 2 3 5 2 2" xfId="16353"/>
    <cellStyle name="Normal 86 3 2 3 5 2 2 2" xfId="39774"/>
    <cellStyle name="Normal 86 3 2 3 5 2 3" xfId="33142"/>
    <cellStyle name="Normal 86 3 2 3 5 3" xfId="13037"/>
    <cellStyle name="Normal 86 3 2 3 5 3 2" xfId="36458"/>
    <cellStyle name="Normal 86 3 2 3 5 4" xfId="21046"/>
    <cellStyle name="Normal 86 3 2 3 5 4 2" xfId="43497"/>
    <cellStyle name="Normal 86 3 2 3 5 5" xfId="29826"/>
    <cellStyle name="Normal 86 3 2 3 6" xfId="7981"/>
    <cellStyle name="Normal 86 3 2 3 6 2" xfId="14695"/>
    <cellStyle name="Normal 86 3 2 3 6 2 2" xfId="38116"/>
    <cellStyle name="Normal 86 3 2 3 6 3" xfId="21772"/>
    <cellStyle name="Normal 86 3 2 3 6 3 2" xfId="44221"/>
    <cellStyle name="Normal 86 3 2 3 6 4" xfId="31484"/>
    <cellStyle name="Normal 86 3 2 3 7" xfId="11377"/>
    <cellStyle name="Normal 86 3 2 3 7 2" xfId="34800"/>
    <cellStyle name="Normal 86 3 2 3 8" xfId="18166"/>
    <cellStyle name="Normal 86 3 2 3 8 2" xfId="41451"/>
    <cellStyle name="Normal 86 3 2 3 9" xfId="23798"/>
    <cellStyle name="Normal 86 3 2 3 9 2" xfId="46087"/>
    <cellStyle name="Normal 86 3 2 4" xfId="2421"/>
    <cellStyle name="Normal 86 3 2 4 2" xfId="5655"/>
    <cellStyle name="Normal 86 3 2 4 2 2" xfId="7477"/>
    <cellStyle name="Normal 86 3 2 4 2 2 2" xfId="10808"/>
    <cellStyle name="Normal 86 3 2 4 2 2 2 2" xfId="17512"/>
    <cellStyle name="Normal 86 3 2 4 2 2 2 2 2" xfId="40933"/>
    <cellStyle name="Normal 86 3 2 4 2 2 2 3" xfId="23230"/>
    <cellStyle name="Normal 86 3 2 4 2 2 2 3 2" xfId="45652"/>
    <cellStyle name="Normal 86 3 2 4 2 2 2 4" xfId="34301"/>
    <cellStyle name="Normal 86 3 2 4 2 2 3" xfId="14196"/>
    <cellStyle name="Normal 86 3 2 4 2 2 3 2" xfId="37617"/>
    <cellStyle name="Normal 86 3 2 4 2 2 4" xfId="20405"/>
    <cellStyle name="Normal 86 3 2 4 2 2 4 2" xfId="42940"/>
    <cellStyle name="Normal 86 3 2 4 2 2 5" xfId="30985"/>
    <cellStyle name="Normal 86 3 2 4 2 3" xfId="9150"/>
    <cellStyle name="Normal 86 3 2 4 2 3 2" xfId="15854"/>
    <cellStyle name="Normal 86 3 2 4 2 3 2 2" xfId="39275"/>
    <cellStyle name="Normal 86 3 2 4 2 3 3" xfId="21507"/>
    <cellStyle name="Normal 86 3 2 4 2 3 3 2" xfId="43958"/>
    <cellStyle name="Normal 86 3 2 4 2 3 4" xfId="32643"/>
    <cellStyle name="Normal 86 3 2 4 2 4" xfId="12538"/>
    <cellStyle name="Normal 86 3 2 4 2 4 2" xfId="22418"/>
    <cellStyle name="Normal 86 3 2 4 2 4 2 2" xfId="44840"/>
    <cellStyle name="Normal 86 3 2 4 2 4 3" xfId="35959"/>
    <cellStyle name="Normal 86 3 2 4 2 5" xfId="19566"/>
    <cellStyle name="Normal 86 3 2 4 2 5 2" xfId="42108"/>
    <cellStyle name="Normal 86 3 2 4 2 6" xfId="29327"/>
    <cellStyle name="Normal 86 3 2 4 3" xfId="6577"/>
    <cellStyle name="Normal 86 3 2 4 3 2" xfId="9911"/>
    <cellStyle name="Normal 86 3 2 4 3 2 2" xfId="16615"/>
    <cellStyle name="Normal 86 3 2 4 3 2 2 2" xfId="40036"/>
    <cellStyle name="Normal 86 3 2 4 3 2 3" xfId="22825"/>
    <cellStyle name="Normal 86 3 2 4 3 2 3 2" xfId="45247"/>
    <cellStyle name="Normal 86 3 2 4 3 2 4" xfId="33404"/>
    <cellStyle name="Normal 86 3 2 4 3 3" xfId="13299"/>
    <cellStyle name="Normal 86 3 2 4 3 3 2" xfId="36720"/>
    <cellStyle name="Normal 86 3 2 4 3 4" xfId="19989"/>
    <cellStyle name="Normal 86 3 2 4 3 4 2" xfId="42524"/>
    <cellStyle name="Normal 86 3 2 4 3 5" xfId="30088"/>
    <cellStyle name="Normal 86 3 2 4 4" xfId="8244"/>
    <cellStyle name="Normal 86 3 2 4 4 2" xfId="14957"/>
    <cellStyle name="Normal 86 3 2 4 4 2 2" xfId="38378"/>
    <cellStyle name="Normal 86 3 2 4 4 3" xfId="21048"/>
    <cellStyle name="Normal 86 3 2 4 4 3 2" xfId="43499"/>
    <cellStyle name="Normal 86 3 2 4 4 4" xfId="31746"/>
    <cellStyle name="Normal 86 3 2 4 5" xfId="11639"/>
    <cellStyle name="Normal 86 3 2 4 5 2" xfId="21994"/>
    <cellStyle name="Normal 86 3 2 4 5 2 2" xfId="44426"/>
    <cellStyle name="Normal 86 3 2 4 5 3" xfId="35062"/>
    <cellStyle name="Normal 86 3 2 4 6" xfId="18890"/>
    <cellStyle name="Normal 86 3 2 4 6 2" xfId="41683"/>
    <cellStyle name="Normal 86 3 2 4 7" xfId="26026"/>
    <cellStyle name="Normal 86 3 2 4 7 2" xfId="48271"/>
    <cellStyle name="Normal 86 3 2 4 8" xfId="28430"/>
    <cellStyle name="Normal 86 3 2 5" xfId="2681"/>
    <cellStyle name="Normal 86 3 2 5 2" xfId="5774"/>
    <cellStyle name="Normal 86 3 2 5 2 2" xfId="7556"/>
    <cellStyle name="Normal 86 3 2 5 2 2 2" xfId="10885"/>
    <cellStyle name="Normal 86 3 2 5 2 2 2 2" xfId="17589"/>
    <cellStyle name="Normal 86 3 2 5 2 2 2 2 2" xfId="41010"/>
    <cellStyle name="Normal 86 3 2 5 2 2 2 3" xfId="34378"/>
    <cellStyle name="Normal 86 3 2 5 2 2 3" xfId="14273"/>
    <cellStyle name="Normal 86 3 2 5 2 2 3 2" xfId="37694"/>
    <cellStyle name="Normal 86 3 2 5 2 2 4" xfId="20659"/>
    <cellStyle name="Normal 86 3 2 5 2 2 4 2" xfId="43110"/>
    <cellStyle name="Normal 86 3 2 5 2 2 5" xfId="31062"/>
    <cellStyle name="Normal 86 3 2 5 2 3" xfId="9227"/>
    <cellStyle name="Normal 86 3 2 5 2 3 2" xfId="15931"/>
    <cellStyle name="Normal 86 3 2 5 2 3 2 2" xfId="39352"/>
    <cellStyle name="Normal 86 3 2 5 2 3 3" xfId="21577"/>
    <cellStyle name="Normal 86 3 2 5 2 3 3 2" xfId="44028"/>
    <cellStyle name="Normal 86 3 2 5 2 3 4" xfId="32720"/>
    <cellStyle name="Normal 86 3 2 5 2 4" xfId="12615"/>
    <cellStyle name="Normal 86 3 2 5 2 4 2" xfId="23025"/>
    <cellStyle name="Normal 86 3 2 5 2 4 2 2" xfId="45447"/>
    <cellStyle name="Normal 86 3 2 5 2 4 3" xfId="36036"/>
    <cellStyle name="Normal 86 3 2 5 2 5" xfId="20197"/>
    <cellStyle name="Normal 86 3 2 5 2 5 2" xfId="42732"/>
    <cellStyle name="Normal 86 3 2 5 2 6" xfId="29404"/>
    <cellStyle name="Normal 86 3 2 5 3" xfId="6657"/>
    <cellStyle name="Normal 86 3 2 5 3 2" xfId="9989"/>
    <cellStyle name="Normal 86 3 2 5 3 2 2" xfId="16693"/>
    <cellStyle name="Normal 86 3 2 5 3 2 2 2" xfId="40114"/>
    <cellStyle name="Normal 86 3 2 5 3 2 3" xfId="33482"/>
    <cellStyle name="Normal 86 3 2 5 3 3" xfId="13377"/>
    <cellStyle name="Normal 86 3 2 5 3 3 2" xfId="36798"/>
    <cellStyle name="Normal 86 3 2 5 3 4" xfId="20561"/>
    <cellStyle name="Normal 86 3 2 5 3 4 2" xfId="43014"/>
    <cellStyle name="Normal 86 3 2 5 3 5" xfId="30166"/>
    <cellStyle name="Normal 86 3 2 5 4" xfId="8323"/>
    <cellStyle name="Normal 86 3 2 5 4 2" xfId="15035"/>
    <cellStyle name="Normal 86 3 2 5 4 2 2" xfId="38456"/>
    <cellStyle name="Normal 86 3 2 5 4 3" xfId="21118"/>
    <cellStyle name="Normal 86 3 2 5 4 3 2" xfId="43569"/>
    <cellStyle name="Normal 86 3 2 5 4 4" xfId="31824"/>
    <cellStyle name="Normal 86 3 2 5 5" xfId="11717"/>
    <cellStyle name="Normal 86 3 2 5 5 2" xfId="22208"/>
    <cellStyle name="Normal 86 3 2 5 5 2 2" xfId="44632"/>
    <cellStyle name="Normal 86 3 2 5 5 3" xfId="35140"/>
    <cellStyle name="Normal 86 3 2 5 6" xfId="19347"/>
    <cellStyle name="Normal 86 3 2 5 6 2" xfId="41900"/>
    <cellStyle name="Normal 86 3 2 5 7" xfId="28508"/>
    <cellStyle name="Normal 86 3 2 6" xfId="4301"/>
    <cellStyle name="Normal 86 3 2 6 2" xfId="7179"/>
    <cellStyle name="Normal 86 3 2 6 2 2" xfId="10511"/>
    <cellStyle name="Normal 86 3 2 6 2 2 2" xfId="17215"/>
    <cellStyle name="Normal 86 3 2 6 2 2 2 2" xfId="40636"/>
    <cellStyle name="Normal 86 3 2 6 2 2 3" xfId="34004"/>
    <cellStyle name="Normal 86 3 2 6 2 3" xfId="13899"/>
    <cellStyle name="Normal 86 3 2 6 2 3 2" xfId="37320"/>
    <cellStyle name="Normal 86 3 2 6 2 4" xfId="20610"/>
    <cellStyle name="Normal 86 3 2 6 2 4 2" xfId="43061"/>
    <cellStyle name="Normal 86 3 2 6 2 5" xfId="30688"/>
    <cellStyle name="Normal 86 3 2 6 3" xfId="8846"/>
    <cellStyle name="Normal 86 3 2 6 3 2" xfId="15557"/>
    <cellStyle name="Normal 86 3 2 6 3 2 2" xfId="38978"/>
    <cellStyle name="Normal 86 3 2 6 3 3" xfId="21500"/>
    <cellStyle name="Normal 86 3 2 6 3 3 2" xfId="43951"/>
    <cellStyle name="Normal 86 3 2 6 3 4" xfId="32346"/>
    <cellStyle name="Normal 86 3 2 6 4" xfId="12239"/>
    <cellStyle name="Normal 86 3 2 6 4 2" xfId="22619"/>
    <cellStyle name="Normal 86 3 2 6 4 2 2" xfId="45041"/>
    <cellStyle name="Normal 86 3 2 6 4 3" xfId="35662"/>
    <cellStyle name="Normal 86 3 2 6 5" xfId="19779"/>
    <cellStyle name="Normal 86 3 2 6 5 2" xfId="42316"/>
    <cellStyle name="Normal 86 3 2 6 6" xfId="29030"/>
    <cellStyle name="Normal 86 3 2 7" xfId="6184"/>
    <cellStyle name="Normal 86 3 2 7 2" xfId="9518"/>
    <cellStyle name="Normal 86 3 2 7 2 2" xfId="16222"/>
    <cellStyle name="Normal 86 3 2 7 2 2 2" xfId="39643"/>
    <cellStyle name="Normal 86 3 2 7 2 3" xfId="33011"/>
    <cellStyle name="Normal 86 3 2 7 3" xfId="12906"/>
    <cellStyle name="Normal 86 3 2 7 3 2" xfId="36327"/>
    <cellStyle name="Normal 86 3 2 7 4" xfId="20512"/>
    <cellStyle name="Normal 86 3 2 7 4 2" xfId="42965"/>
    <cellStyle name="Normal 86 3 2 7 5" xfId="29695"/>
    <cellStyle name="Normal 86 3 2 8" xfId="7850"/>
    <cellStyle name="Normal 86 3 2 8 2" xfId="14564"/>
    <cellStyle name="Normal 86 3 2 8 2 2" xfId="37985"/>
    <cellStyle name="Normal 86 3 2 8 3" xfId="21041"/>
    <cellStyle name="Normal 86 3 2 8 3 2" xfId="43492"/>
    <cellStyle name="Normal 86 3 2 8 4" xfId="31353"/>
    <cellStyle name="Normal 86 3 2 9" xfId="11246"/>
    <cellStyle name="Normal 86 3 2 9 2" xfId="21769"/>
    <cellStyle name="Normal 86 3 2 9 2 2" xfId="44218"/>
    <cellStyle name="Normal 86 3 2 9 3" xfId="34669"/>
    <cellStyle name="Normal 86 3 3" xfId="1686"/>
    <cellStyle name="Normal 86 3 3 10" xfId="23799"/>
    <cellStyle name="Normal 86 3 3 10 2" xfId="46088"/>
    <cellStyle name="Normal 86 3 3 11" xfId="28100"/>
    <cellStyle name="Normal 86 3 3 2" xfId="1879"/>
    <cellStyle name="Normal 86 3 3 2 10" xfId="28231"/>
    <cellStyle name="Normal 86 3 3 2 2" xfId="2426"/>
    <cellStyle name="Normal 86 3 3 2 2 2" xfId="5660"/>
    <cellStyle name="Normal 86 3 3 2 2 2 2" xfId="7482"/>
    <cellStyle name="Normal 86 3 3 2 2 2 2 2" xfId="10813"/>
    <cellStyle name="Normal 86 3 3 2 2 2 2 2 2" xfId="17517"/>
    <cellStyle name="Normal 86 3 3 2 2 2 2 2 2 2" xfId="40938"/>
    <cellStyle name="Normal 86 3 3 2 2 2 2 2 3" xfId="23235"/>
    <cellStyle name="Normal 86 3 3 2 2 2 2 2 3 2" xfId="45657"/>
    <cellStyle name="Normal 86 3 3 2 2 2 2 2 4" xfId="34306"/>
    <cellStyle name="Normal 86 3 3 2 2 2 2 3" xfId="14201"/>
    <cellStyle name="Normal 86 3 3 2 2 2 2 3 2" xfId="37622"/>
    <cellStyle name="Normal 86 3 3 2 2 2 2 4" xfId="20410"/>
    <cellStyle name="Normal 86 3 3 2 2 2 2 4 2" xfId="42945"/>
    <cellStyle name="Normal 86 3 3 2 2 2 2 5" xfId="30990"/>
    <cellStyle name="Normal 86 3 3 2 2 2 3" xfId="9155"/>
    <cellStyle name="Normal 86 3 3 2 2 2 3 2" xfId="15859"/>
    <cellStyle name="Normal 86 3 3 2 2 2 3 2 2" xfId="39280"/>
    <cellStyle name="Normal 86 3 3 2 2 2 3 3" xfId="21510"/>
    <cellStyle name="Normal 86 3 3 2 2 2 3 3 2" xfId="43961"/>
    <cellStyle name="Normal 86 3 3 2 2 2 3 4" xfId="32648"/>
    <cellStyle name="Normal 86 3 3 2 2 2 4" xfId="12543"/>
    <cellStyle name="Normal 86 3 3 2 2 2 4 2" xfId="22423"/>
    <cellStyle name="Normal 86 3 3 2 2 2 4 2 2" xfId="44845"/>
    <cellStyle name="Normal 86 3 3 2 2 2 4 3" xfId="35964"/>
    <cellStyle name="Normal 86 3 3 2 2 2 5" xfId="19571"/>
    <cellStyle name="Normal 86 3 3 2 2 2 5 2" xfId="42113"/>
    <cellStyle name="Normal 86 3 3 2 2 2 6" xfId="29332"/>
    <cellStyle name="Normal 86 3 3 2 2 3" xfId="6582"/>
    <cellStyle name="Normal 86 3 3 2 2 3 2" xfId="9916"/>
    <cellStyle name="Normal 86 3 3 2 2 3 2 2" xfId="16620"/>
    <cellStyle name="Normal 86 3 3 2 2 3 2 2 2" xfId="40041"/>
    <cellStyle name="Normal 86 3 3 2 2 3 2 3" xfId="22830"/>
    <cellStyle name="Normal 86 3 3 2 2 3 2 3 2" xfId="45252"/>
    <cellStyle name="Normal 86 3 3 2 2 3 2 4" xfId="33409"/>
    <cellStyle name="Normal 86 3 3 2 2 3 3" xfId="13304"/>
    <cellStyle name="Normal 86 3 3 2 2 3 3 2" xfId="36725"/>
    <cellStyle name="Normal 86 3 3 2 2 3 4" xfId="19994"/>
    <cellStyle name="Normal 86 3 3 2 2 3 4 2" xfId="42529"/>
    <cellStyle name="Normal 86 3 3 2 2 3 5" xfId="30093"/>
    <cellStyle name="Normal 86 3 3 2 2 4" xfId="8249"/>
    <cellStyle name="Normal 86 3 3 2 2 4 2" xfId="14962"/>
    <cellStyle name="Normal 86 3 3 2 2 4 2 2" xfId="38383"/>
    <cellStyle name="Normal 86 3 3 2 2 4 3" xfId="21051"/>
    <cellStyle name="Normal 86 3 3 2 2 4 3 2" xfId="43502"/>
    <cellStyle name="Normal 86 3 3 2 2 4 4" xfId="31751"/>
    <cellStyle name="Normal 86 3 3 2 2 5" xfId="11644"/>
    <cellStyle name="Normal 86 3 3 2 2 5 2" xfId="21999"/>
    <cellStyle name="Normal 86 3 3 2 2 5 2 2" xfId="44431"/>
    <cellStyle name="Normal 86 3 3 2 2 5 3" xfId="35067"/>
    <cellStyle name="Normal 86 3 3 2 2 6" xfId="18895"/>
    <cellStyle name="Normal 86 3 3 2 2 6 2" xfId="41688"/>
    <cellStyle name="Normal 86 3 3 2 2 7" xfId="26031"/>
    <cellStyle name="Normal 86 3 3 2 2 7 2" xfId="48276"/>
    <cellStyle name="Normal 86 3 3 2 2 8" xfId="28435"/>
    <cellStyle name="Normal 86 3 3 2 3" xfId="2876"/>
    <cellStyle name="Normal 86 3 3 2 3 2" xfId="5968"/>
    <cellStyle name="Normal 86 3 3 2 3 2 2" xfId="7750"/>
    <cellStyle name="Normal 86 3 3 2 3 2 2 2" xfId="11079"/>
    <cellStyle name="Normal 86 3 3 2 3 2 2 2 2" xfId="17783"/>
    <cellStyle name="Normal 86 3 3 2 3 2 2 2 2 2" xfId="41204"/>
    <cellStyle name="Normal 86 3 3 2 3 2 2 2 3" xfId="34572"/>
    <cellStyle name="Normal 86 3 3 2 3 2 2 3" xfId="14467"/>
    <cellStyle name="Normal 86 3 3 2 3 2 2 3 2" xfId="37888"/>
    <cellStyle name="Normal 86 3 3 2 3 2 2 4" xfId="23030"/>
    <cellStyle name="Normal 86 3 3 2 3 2 2 4 2" xfId="45452"/>
    <cellStyle name="Normal 86 3 3 2 3 2 2 5" xfId="31256"/>
    <cellStyle name="Normal 86 3 3 2 3 2 3" xfId="9421"/>
    <cellStyle name="Normal 86 3 3 2 3 2 3 2" xfId="16125"/>
    <cellStyle name="Normal 86 3 3 2 3 2 3 2 2" xfId="39546"/>
    <cellStyle name="Normal 86 3 3 2 3 2 3 3" xfId="32914"/>
    <cellStyle name="Normal 86 3 3 2 3 2 4" xfId="12809"/>
    <cellStyle name="Normal 86 3 3 2 3 2 4 2" xfId="36230"/>
    <cellStyle name="Normal 86 3 3 2 3 2 5" xfId="20202"/>
    <cellStyle name="Normal 86 3 3 2 3 2 5 2" xfId="42737"/>
    <cellStyle name="Normal 86 3 3 2 3 2 6" xfId="29598"/>
    <cellStyle name="Normal 86 3 3 2 3 3" xfId="6851"/>
    <cellStyle name="Normal 86 3 3 2 3 3 2" xfId="10183"/>
    <cellStyle name="Normal 86 3 3 2 3 3 2 2" xfId="16887"/>
    <cellStyle name="Normal 86 3 3 2 3 3 2 2 2" xfId="40308"/>
    <cellStyle name="Normal 86 3 3 2 3 3 2 3" xfId="33676"/>
    <cellStyle name="Normal 86 3 3 2 3 3 3" xfId="13571"/>
    <cellStyle name="Normal 86 3 3 2 3 3 3 2" xfId="36992"/>
    <cellStyle name="Normal 86 3 3 2 3 3 4" xfId="21509"/>
    <cellStyle name="Normal 86 3 3 2 3 3 4 2" xfId="43960"/>
    <cellStyle name="Normal 86 3 3 2 3 3 5" xfId="30360"/>
    <cellStyle name="Normal 86 3 3 2 3 4" xfId="8517"/>
    <cellStyle name="Normal 86 3 3 2 3 4 2" xfId="15229"/>
    <cellStyle name="Normal 86 3 3 2 3 4 2 2" xfId="38650"/>
    <cellStyle name="Normal 86 3 3 2 3 4 3" xfId="22213"/>
    <cellStyle name="Normal 86 3 3 2 3 4 3 2" xfId="44637"/>
    <cellStyle name="Normal 86 3 3 2 3 4 4" xfId="32018"/>
    <cellStyle name="Normal 86 3 3 2 3 5" xfId="11911"/>
    <cellStyle name="Normal 86 3 3 2 3 5 2" xfId="35334"/>
    <cellStyle name="Normal 86 3 3 2 3 6" xfId="19352"/>
    <cellStyle name="Normal 86 3 3 2 3 6 2" xfId="41905"/>
    <cellStyle name="Normal 86 3 3 2 3 7" xfId="28702"/>
    <cellStyle name="Normal 86 3 3 2 4" xfId="4306"/>
    <cellStyle name="Normal 86 3 3 2 4 2" xfId="7184"/>
    <cellStyle name="Normal 86 3 3 2 4 2 2" xfId="10516"/>
    <cellStyle name="Normal 86 3 3 2 4 2 2 2" xfId="17220"/>
    <cellStyle name="Normal 86 3 3 2 4 2 2 2 2" xfId="40641"/>
    <cellStyle name="Normal 86 3 3 2 4 2 2 3" xfId="34009"/>
    <cellStyle name="Normal 86 3 3 2 4 2 3" xfId="13904"/>
    <cellStyle name="Normal 86 3 3 2 4 2 3 2" xfId="37325"/>
    <cellStyle name="Normal 86 3 3 2 4 2 4" xfId="22624"/>
    <cellStyle name="Normal 86 3 3 2 4 2 4 2" xfId="45046"/>
    <cellStyle name="Normal 86 3 3 2 4 2 5" xfId="30693"/>
    <cellStyle name="Normal 86 3 3 2 4 3" xfId="8851"/>
    <cellStyle name="Normal 86 3 3 2 4 3 2" xfId="15562"/>
    <cellStyle name="Normal 86 3 3 2 4 3 2 2" xfId="38983"/>
    <cellStyle name="Normal 86 3 3 2 4 3 3" xfId="32351"/>
    <cellStyle name="Normal 86 3 3 2 4 4" xfId="12244"/>
    <cellStyle name="Normal 86 3 3 2 4 4 2" xfId="35667"/>
    <cellStyle name="Normal 86 3 3 2 4 5" xfId="19784"/>
    <cellStyle name="Normal 86 3 3 2 4 5 2" xfId="42321"/>
    <cellStyle name="Normal 86 3 3 2 4 6" xfId="29035"/>
    <cellStyle name="Normal 86 3 3 2 5" xfId="6378"/>
    <cellStyle name="Normal 86 3 3 2 5 2" xfId="9712"/>
    <cellStyle name="Normal 86 3 3 2 5 2 2" xfId="16416"/>
    <cellStyle name="Normal 86 3 3 2 5 2 2 2" xfId="39837"/>
    <cellStyle name="Normal 86 3 3 2 5 2 3" xfId="33205"/>
    <cellStyle name="Normal 86 3 3 2 5 3" xfId="13100"/>
    <cellStyle name="Normal 86 3 3 2 5 3 2" xfId="36521"/>
    <cellStyle name="Normal 86 3 3 2 5 4" xfId="21050"/>
    <cellStyle name="Normal 86 3 3 2 5 4 2" xfId="43501"/>
    <cellStyle name="Normal 86 3 3 2 5 5" xfId="29889"/>
    <cellStyle name="Normal 86 3 3 2 6" xfId="8044"/>
    <cellStyle name="Normal 86 3 3 2 6 2" xfId="14758"/>
    <cellStyle name="Normal 86 3 3 2 6 2 2" xfId="38179"/>
    <cellStyle name="Normal 86 3 3 2 6 3" xfId="21774"/>
    <cellStyle name="Normal 86 3 3 2 6 3 2" xfId="44223"/>
    <cellStyle name="Normal 86 3 3 2 6 4" xfId="31547"/>
    <cellStyle name="Normal 86 3 3 2 7" xfId="11440"/>
    <cellStyle name="Normal 86 3 3 2 7 2" xfId="34863"/>
    <cellStyle name="Normal 86 3 3 2 8" xfId="18168"/>
    <cellStyle name="Normal 86 3 3 2 8 2" xfId="41453"/>
    <cellStyle name="Normal 86 3 3 2 9" xfId="23800"/>
    <cellStyle name="Normal 86 3 3 2 9 2" xfId="46089"/>
    <cellStyle name="Normal 86 3 3 3" xfId="2425"/>
    <cellStyle name="Normal 86 3 3 3 2" xfId="5659"/>
    <cellStyle name="Normal 86 3 3 3 2 2" xfId="7481"/>
    <cellStyle name="Normal 86 3 3 3 2 2 2" xfId="10812"/>
    <cellStyle name="Normal 86 3 3 3 2 2 2 2" xfId="17516"/>
    <cellStyle name="Normal 86 3 3 3 2 2 2 2 2" xfId="40937"/>
    <cellStyle name="Normal 86 3 3 3 2 2 2 3" xfId="23234"/>
    <cellStyle name="Normal 86 3 3 3 2 2 2 3 2" xfId="45656"/>
    <cellStyle name="Normal 86 3 3 3 2 2 2 4" xfId="34305"/>
    <cellStyle name="Normal 86 3 3 3 2 2 3" xfId="14200"/>
    <cellStyle name="Normal 86 3 3 3 2 2 3 2" xfId="37621"/>
    <cellStyle name="Normal 86 3 3 3 2 2 4" xfId="20409"/>
    <cellStyle name="Normal 86 3 3 3 2 2 4 2" xfId="42944"/>
    <cellStyle name="Normal 86 3 3 3 2 2 5" xfId="30989"/>
    <cellStyle name="Normal 86 3 3 3 2 3" xfId="9154"/>
    <cellStyle name="Normal 86 3 3 3 2 3 2" xfId="15858"/>
    <cellStyle name="Normal 86 3 3 3 2 3 2 2" xfId="39279"/>
    <cellStyle name="Normal 86 3 3 3 2 3 3" xfId="21511"/>
    <cellStyle name="Normal 86 3 3 3 2 3 3 2" xfId="43962"/>
    <cellStyle name="Normal 86 3 3 3 2 3 4" xfId="32647"/>
    <cellStyle name="Normal 86 3 3 3 2 4" xfId="12542"/>
    <cellStyle name="Normal 86 3 3 3 2 4 2" xfId="22422"/>
    <cellStyle name="Normal 86 3 3 3 2 4 2 2" xfId="44844"/>
    <cellStyle name="Normal 86 3 3 3 2 4 3" xfId="35963"/>
    <cellStyle name="Normal 86 3 3 3 2 5" xfId="19570"/>
    <cellStyle name="Normal 86 3 3 3 2 5 2" xfId="42112"/>
    <cellStyle name="Normal 86 3 3 3 2 6" xfId="29331"/>
    <cellStyle name="Normal 86 3 3 3 3" xfId="6581"/>
    <cellStyle name="Normal 86 3 3 3 3 2" xfId="9915"/>
    <cellStyle name="Normal 86 3 3 3 3 2 2" xfId="16619"/>
    <cellStyle name="Normal 86 3 3 3 3 2 2 2" xfId="40040"/>
    <cellStyle name="Normal 86 3 3 3 3 2 3" xfId="22829"/>
    <cellStyle name="Normal 86 3 3 3 3 2 3 2" xfId="45251"/>
    <cellStyle name="Normal 86 3 3 3 3 2 4" xfId="33408"/>
    <cellStyle name="Normal 86 3 3 3 3 3" xfId="13303"/>
    <cellStyle name="Normal 86 3 3 3 3 3 2" xfId="36724"/>
    <cellStyle name="Normal 86 3 3 3 3 4" xfId="19993"/>
    <cellStyle name="Normal 86 3 3 3 3 4 2" xfId="42528"/>
    <cellStyle name="Normal 86 3 3 3 3 5" xfId="30092"/>
    <cellStyle name="Normal 86 3 3 3 4" xfId="8248"/>
    <cellStyle name="Normal 86 3 3 3 4 2" xfId="14961"/>
    <cellStyle name="Normal 86 3 3 3 4 2 2" xfId="38382"/>
    <cellStyle name="Normal 86 3 3 3 4 3" xfId="21052"/>
    <cellStyle name="Normal 86 3 3 3 4 3 2" xfId="43503"/>
    <cellStyle name="Normal 86 3 3 3 4 4" xfId="31750"/>
    <cellStyle name="Normal 86 3 3 3 5" xfId="11643"/>
    <cellStyle name="Normal 86 3 3 3 5 2" xfId="21998"/>
    <cellStyle name="Normal 86 3 3 3 5 2 2" xfId="44430"/>
    <cellStyle name="Normal 86 3 3 3 5 3" xfId="35066"/>
    <cellStyle name="Normal 86 3 3 3 6" xfId="18894"/>
    <cellStyle name="Normal 86 3 3 3 6 2" xfId="41687"/>
    <cellStyle name="Normal 86 3 3 3 7" xfId="26030"/>
    <cellStyle name="Normal 86 3 3 3 7 2" xfId="48275"/>
    <cellStyle name="Normal 86 3 3 3 8" xfId="28434"/>
    <cellStyle name="Normal 86 3 3 4" xfId="2744"/>
    <cellStyle name="Normal 86 3 3 4 2" xfId="5837"/>
    <cellStyle name="Normal 86 3 3 4 2 2" xfId="7619"/>
    <cellStyle name="Normal 86 3 3 4 2 2 2" xfId="10948"/>
    <cellStyle name="Normal 86 3 3 4 2 2 2 2" xfId="17652"/>
    <cellStyle name="Normal 86 3 3 4 2 2 2 2 2" xfId="41073"/>
    <cellStyle name="Normal 86 3 3 4 2 2 2 3" xfId="34441"/>
    <cellStyle name="Normal 86 3 3 4 2 2 3" xfId="14336"/>
    <cellStyle name="Normal 86 3 3 4 2 2 3 2" xfId="37757"/>
    <cellStyle name="Normal 86 3 3 4 2 2 4" xfId="23029"/>
    <cellStyle name="Normal 86 3 3 4 2 2 4 2" xfId="45451"/>
    <cellStyle name="Normal 86 3 3 4 2 2 5" xfId="31125"/>
    <cellStyle name="Normal 86 3 3 4 2 3" xfId="9290"/>
    <cellStyle name="Normal 86 3 3 4 2 3 2" xfId="15994"/>
    <cellStyle name="Normal 86 3 3 4 2 3 2 2" xfId="39415"/>
    <cellStyle name="Normal 86 3 3 4 2 3 3" xfId="32783"/>
    <cellStyle name="Normal 86 3 3 4 2 4" xfId="12678"/>
    <cellStyle name="Normal 86 3 3 4 2 4 2" xfId="36099"/>
    <cellStyle name="Normal 86 3 3 4 2 5" xfId="20201"/>
    <cellStyle name="Normal 86 3 3 4 2 5 2" xfId="42736"/>
    <cellStyle name="Normal 86 3 3 4 2 6" xfId="29467"/>
    <cellStyle name="Normal 86 3 3 4 3" xfId="6720"/>
    <cellStyle name="Normal 86 3 3 4 3 2" xfId="10052"/>
    <cellStyle name="Normal 86 3 3 4 3 2 2" xfId="16756"/>
    <cellStyle name="Normal 86 3 3 4 3 2 2 2" xfId="40177"/>
    <cellStyle name="Normal 86 3 3 4 3 2 3" xfId="33545"/>
    <cellStyle name="Normal 86 3 3 4 3 3" xfId="13440"/>
    <cellStyle name="Normal 86 3 3 4 3 3 2" xfId="36861"/>
    <cellStyle name="Normal 86 3 3 4 3 4" xfId="21508"/>
    <cellStyle name="Normal 86 3 3 4 3 4 2" xfId="43959"/>
    <cellStyle name="Normal 86 3 3 4 3 5" xfId="30229"/>
    <cellStyle name="Normal 86 3 3 4 4" xfId="8386"/>
    <cellStyle name="Normal 86 3 3 4 4 2" xfId="15098"/>
    <cellStyle name="Normal 86 3 3 4 4 2 2" xfId="38519"/>
    <cellStyle name="Normal 86 3 3 4 4 3" xfId="22212"/>
    <cellStyle name="Normal 86 3 3 4 4 3 2" xfId="44636"/>
    <cellStyle name="Normal 86 3 3 4 4 4" xfId="31887"/>
    <cellStyle name="Normal 86 3 3 4 5" xfId="11780"/>
    <cellStyle name="Normal 86 3 3 4 5 2" xfId="35203"/>
    <cellStyle name="Normal 86 3 3 4 6" xfId="19351"/>
    <cellStyle name="Normal 86 3 3 4 6 2" xfId="41904"/>
    <cellStyle name="Normal 86 3 3 4 7" xfId="28571"/>
    <cellStyle name="Normal 86 3 3 5" xfId="4305"/>
    <cellStyle name="Normal 86 3 3 5 2" xfId="7183"/>
    <cellStyle name="Normal 86 3 3 5 2 2" xfId="10515"/>
    <cellStyle name="Normal 86 3 3 5 2 2 2" xfId="17219"/>
    <cellStyle name="Normal 86 3 3 5 2 2 2 2" xfId="40640"/>
    <cellStyle name="Normal 86 3 3 5 2 2 3" xfId="34008"/>
    <cellStyle name="Normal 86 3 3 5 2 3" xfId="13903"/>
    <cellStyle name="Normal 86 3 3 5 2 3 2" xfId="37324"/>
    <cellStyle name="Normal 86 3 3 5 2 4" xfId="22623"/>
    <cellStyle name="Normal 86 3 3 5 2 4 2" xfId="45045"/>
    <cellStyle name="Normal 86 3 3 5 2 5" xfId="30692"/>
    <cellStyle name="Normal 86 3 3 5 3" xfId="8850"/>
    <cellStyle name="Normal 86 3 3 5 3 2" xfId="15561"/>
    <cellStyle name="Normal 86 3 3 5 3 2 2" xfId="38982"/>
    <cellStyle name="Normal 86 3 3 5 3 3" xfId="32350"/>
    <cellStyle name="Normal 86 3 3 5 4" xfId="12243"/>
    <cellStyle name="Normal 86 3 3 5 4 2" xfId="35666"/>
    <cellStyle name="Normal 86 3 3 5 5" xfId="19783"/>
    <cellStyle name="Normal 86 3 3 5 5 2" xfId="42320"/>
    <cellStyle name="Normal 86 3 3 5 6" xfId="29034"/>
    <cellStyle name="Normal 86 3 3 6" xfId="6247"/>
    <cellStyle name="Normal 86 3 3 6 2" xfId="9581"/>
    <cellStyle name="Normal 86 3 3 6 2 2" xfId="16285"/>
    <cellStyle name="Normal 86 3 3 6 2 2 2" xfId="39706"/>
    <cellStyle name="Normal 86 3 3 6 2 3" xfId="33074"/>
    <cellStyle name="Normal 86 3 3 6 3" xfId="12969"/>
    <cellStyle name="Normal 86 3 3 6 3 2" xfId="36390"/>
    <cellStyle name="Normal 86 3 3 6 4" xfId="21049"/>
    <cellStyle name="Normal 86 3 3 6 4 2" xfId="43500"/>
    <cellStyle name="Normal 86 3 3 6 5" xfId="29758"/>
    <cellStyle name="Normal 86 3 3 7" xfId="7913"/>
    <cellStyle name="Normal 86 3 3 7 2" xfId="14627"/>
    <cellStyle name="Normal 86 3 3 7 2 2" xfId="38048"/>
    <cellStyle name="Normal 86 3 3 7 3" xfId="21773"/>
    <cellStyle name="Normal 86 3 3 7 3 2" xfId="44222"/>
    <cellStyle name="Normal 86 3 3 7 4" xfId="31416"/>
    <cellStyle name="Normal 86 3 3 8" xfId="11309"/>
    <cellStyle name="Normal 86 3 3 8 2" xfId="34732"/>
    <cellStyle name="Normal 86 3 3 9" xfId="18167"/>
    <cellStyle name="Normal 86 3 3 9 2" xfId="41452"/>
    <cellStyle name="Normal 86 3 4" xfId="1780"/>
    <cellStyle name="Normal 86 3 4 10" xfId="28132"/>
    <cellStyle name="Normal 86 3 4 2" xfId="2427"/>
    <cellStyle name="Normal 86 3 4 2 2" xfId="5661"/>
    <cellStyle name="Normal 86 3 4 2 2 2" xfId="7483"/>
    <cellStyle name="Normal 86 3 4 2 2 2 2" xfId="10814"/>
    <cellStyle name="Normal 86 3 4 2 2 2 2 2" xfId="17518"/>
    <cellStyle name="Normal 86 3 4 2 2 2 2 2 2" xfId="40939"/>
    <cellStyle name="Normal 86 3 4 2 2 2 2 3" xfId="23236"/>
    <cellStyle name="Normal 86 3 4 2 2 2 2 3 2" xfId="45658"/>
    <cellStyle name="Normal 86 3 4 2 2 2 2 4" xfId="34307"/>
    <cellStyle name="Normal 86 3 4 2 2 2 3" xfId="14202"/>
    <cellStyle name="Normal 86 3 4 2 2 2 3 2" xfId="37623"/>
    <cellStyle name="Normal 86 3 4 2 2 2 4" xfId="20411"/>
    <cellStyle name="Normal 86 3 4 2 2 2 4 2" xfId="42946"/>
    <cellStyle name="Normal 86 3 4 2 2 2 5" xfId="30991"/>
    <cellStyle name="Normal 86 3 4 2 2 3" xfId="9156"/>
    <cellStyle name="Normal 86 3 4 2 2 3 2" xfId="15860"/>
    <cellStyle name="Normal 86 3 4 2 2 3 2 2" xfId="39281"/>
    <cellStyle name="Normal 86 3 4 2 2 3 3" xfId="21513"/>
    <cellStyle name="Normal 86 3 4 2 2 3 3 2" xfId="43964"/>
    <cellStyle name="Normal 86 3 4 2 2 3 4" xfId="32649"/>
    <cellStyle name="Normal 86 3 4 2 2 4" xfId="12544"/>
    <cellStyle name="Normal 86 3 4 2 2 4 2" xfId="22424"/>
    <cellStyle name="Normal 86 3 4 2 2 4 2 2" xfId="44846"/>
    <cellStyle name="Normal 86 3 4 2 2 4 3" xfId="35965"/>
    <cellStyle name="Normal 86 3 4 2 2 5" xfId="19572"/>
    <cellStyle name="Normal 86 3 4 2 2 5 2" xfId="42114"/>
    <cellStyle name="Normal 86 3 4 2 2 6" xfId="29333"/>
    <cellStyle name="Normal 86 3 4 2 3" xfId="6583"/>
    <cellStyle name="Normal 86 3 4 2 3 2" xfId="9917"/>
    <cellStyle name="Normal 86 3 4 2 3 2 2" xfId="16621"/>
    <cellStyle name="Normal 86 3 4 2 3 2 2 2" xfId="40042"/>
    <cellStyle name="Normal 86 3 4 2 3 2 3" xfId="22831"/>
    <cellStyle name="Normal 86 3 4 2 3 2 3 2" xfId="45253"/>
    <cellStyle name="Normal 86 3 4 2 3 2 4" xfId="33410"/>
    <cellStyle name="Normal 86 3 4 2 3 3" xfId="13305"/>
    <cellStyle name="Normal 86 3 4 2 3 3 2" xfId="36726"/>
    <cellStyle name="Normal 86 3 4 2 3 4" xfId="19995"/>
    <cellStyle name="Normal 86 3 4 2 3 4 2" xfId="42530"/>
    <cellStyle name="Normal 86 3 4 2 3 5" xfId="30094"/>
    <cellStyle name="Normal 86 3 4 2 4" xfId="8250"/>
    <cellStyle name="Normal 86 3 4 2 4 2" xfId="14963"/>
    <cellStyle name="Normal 86 3 4 2 4 2 2" xfId="38384"/>
    <cellStyle name="Normal 86 3 4 2 4 3" xfId="21054"/>
    <cellStyle name="Normal 86 3 4 2 4 3 2" xfId="43505"/>
    <cellStyle name="Normal 86 3 4 2 4 4" xfId="31752"/>
    <cellStyle name="Normal 86 3 4 2 5" xfId="11645"/>
    <cellStyle name="Normal 86 3 4 2 5 2" xfId="22000"/>
    <cellStyle name="Normal 86 3 4 2 5 2 2" xfId="44432"/>
    <cellStyle name="Normal 86 3 4 2 5 3" xfId="35068"/>
    <cellStyle name="Normal 86 3 4 2 6" xfId="18896"/>
    <cellStyle name="Normal 86 3 4 2 6 2" xfId="41689"/>
    <cellStyle name="Normal 86 3 4 2 7" xfId="26032"/>
    <cellStyle name="Normal 86 3 4 2 7 2" xfId="48277"/>
    <cellStyle name="Normal 86 3 4 2 8" xfId="28436"/>
    <cellStyle name="Normal 86 3 4 3" xfId="2777"/>
    <cellStyle name="Normal 86 3 4 3 2" xfId="5869"/>
    <cellStyle name="Normal 86 3 4 3 2 2" xfId="7651"/>
    <cellStyle name="Normal 86 3 4 3 2 2 2" xfId="10980"/>
    <cellStyle name="Normal 86 3 4 3 2 2 2 2" xfId="17684"/>
    <cellStyle name="Normal 86 3 4 3 2 2 2 2 2" xfId="41105"/>
    <cellStyle name="Normal 86 3 4 3 2 2 2 3" xfId="34473"/>
    <cellStyle name="Normal 86 3 4 3 2 2 3" xfId="14368"/>
    <cellStyle name="Normal 86 3 4 3 2 2 3 2" xfId="37789"/>
    <cellStyle name="Normal 86 3 4 3 2 2 4" xfId="23031"/>
    <cellStyle name="Normal 86 3 4 3 2 2 4 2" xfId="45453"/>
    <cellStyle name="Normal 86 3 4 3 2 2 5" xfId="31157"/>
    <cellStyle name="Normal 86 3 4 3 2 3" xfId="9322"/>
    <cellStyle name="Normal 86 3 4 3 2 3 2" xfId="16026"/>
    <cellStyle name="Normal 86 3 4 3 2 3 2 2" xfId="39447"/>
    <cellStyle name="Normal 86 3 4 3 2 3 3" xfId="32815"/>
    <cellStyle name="Normal 86 3 4 3 2 4" xfId="12710"/>
    <cellStyle name="Normal 86 3 4 3 2 4 2" xfId="36131"/>
    <cellStyle name="Normal 86 3 4 3 2 5" xfId="20203"/>
    <cellStyle name="Normal 86 3 4 3 2 5 2" xfId="42738"/>
    <cellStyle name="Normal 86 3 4 3 2 6" xfId="29499"/>
    <cellStyle name="Normal 86 3 4 3 3" xfId="6752"/>
    <cellStyle name="Normal 86 3 4 3 3 2" xfId="10084"/>
    <cellStyle name="Normal 86 3 4 3 3 2 2" xfId="16788"/>
    <cellStyle name="Normal 86 3 4 3 3 2 2 2" xfId="40209"/>
    <cellStyle name="Normal 86 3 4 3 3 2 3" xfId="33577"/>
    <cellStyle name="Normal 86 3 4 3 3 3" xfId="13472"/>
    <cellStyle name="Normal 86 3 4 3 3 3 2" xfId="36893"/>
    <cellStyle name="Normal 86 3 4 3 3 4" xfId="21512"/>
    <cellStyle name="Normal 86 3 4 3 3 4 2" xfId="43963"/>
    <cellStyle name="Normal 86 3 4 3 3 5" xfId="30261"/>
    <cellStyle name="Normal 86 3 4 3 4" xfId="8418"/>
    <cellStyle name="Normal 86 3 4 3 4 2" xfId="15130"/>
    <cellStyle name="Normal 86 3 4 3 4 2 2" xfId="38551"/>
    <cellStyle name="Normal 86 3 4 3 4 3" xfId="22214"/>
    <cellStyle name="Normal 86 3 4 3 4 3 2" xfId="44638"/>
    <cellStyle name="Normal 86 3 4 3 4 4" xfId="31919"/>
    <cellStyle name="Normal 86 3 4 3 5" xfId="11812"/>
    <cellStyle name="Normal 86 3 4 3 5 2" xfId="35235"/>
    <cellStyle name="Normal 86 3 4 3 6" xfId="19353"/>
    <cellStyle name="Normal 86 3 4 3 6 2" xfId="41906"/>
    <cellStyle name="Normal 86 3 4 3 7" xfId="28603"/>
    <cellStyle name="Normal 86 3 4 4" xfId="4307"/>
    <cellStyle name="Normal 86 3 4 4 2" xfId="7185"/>
    <cellStyle name="Normal 86 3 4 4 2 2" xfId="10517"/>
    <cellStyle name="Normal 86 3 4 4 2 2 2" xfId="17221"/>
    <cellStyle name="Normal 86 3 4 4 2 2 2 2" xfId="40642"/>
    <cellStyle name="Normal 86 3 4 4 2 2 3" xfId="34010"/>
    <cellStyle name="Normal 86 3 4 4 2 3" xfId="13905"/>
    <cellStyle name="Normal 86 3 4 4 2 3 2" xfId="37326"/>
    <cellStyle name="Normal 86 3 4 4 2 4" xfId="22625"/>
    <cellStyle name="Normal 86 3 4 4 2 4 2" xfId="45047"/>
    <cellStyle name="Normal 86 3 4 4 2 5" xfId="30694"/>
    <cellStyle name="Normal 86 3 4 4 3" xfId="8852"/>
    <cellStyle name="Normal 86 3 4 4 3 2" xfId="15563"/>
    <cellStyle name="Normal 86 3 4 4 3 2 2" xfId="38984"/>
    <cellStyle name="Normal 86 3 4 4 3 3" xfId="32352"/>
    <cellStyle name="Normal 86 3 4 4 4" xfId="12245"/>
    <cellStyle name="Normal 86 3 4 4 4 2" xfId="35668"/>
    <cellStyle name="Normal 86 3 4 4 5" xfId="19785"/>
    <cellStyle name="Normal 86 3 4 4 5 2" xfId="42322"/>
    <cellStyle name="Normal 86 3 4 4 6" xfId="29036"/>
    <cellStyle name="Normal 86 3 4 5" xfId="6279"/>
    <cellStyle name="Normal 86 3 4 5 2" xfId="9613"/>
    <cellStyle name="Normal 86 3 4 5 2 2" xfId="16317"/>
    <cellStyle name="Normal 86 3 4 5 2 2 2" xfId="39738"/>
    <cellStyle name="Normal 86 3 4 5 2 3" xfId="33106"/>
    <cellStyle name="Normal 86 3 4 5 3" xfId="13001"/>
    <cellStyle name="Normal 86 3 4 5 3 2" xfId="36422"/>
    <cellStyle name="Normal 86 3 4 5 4" xfId="21053"/>
    <cellStyle name="Normal 86 3 4 5 4 2" xfId="43504"/>
    <cellStyle name="Normal 86 3 4 5 5" xfId="29790"/>
    <cellStyle name="Normal 86 3 4 6" xfId="7945"/>
    <cellStyle name="Normal 86 3 4 6 2" xfId="14659"/>
    <cellStyle name="Normal 86 3 4 6 2 2" xfId="38080"/>
    <cellStyle name="Normal 86 3 4 6 3" xfId="21775"/>
    <cellStyle name="Normal 86 3 4 6 3 2" xfId="44224"/>
    <cellStyle name="Normal 86 3 4 6 4" xfId="31448"/>
    <cellStyle name="Normal 86 3 4 7" xfId="11341"/>
    <cellStyle name="Normal 86 3 4 7 2" xfId="34764"/>
    <cellStyle name="Normal 86 3 4 8" xfId="18169"/>
    <cellStyle name="Normal 86 3 4 8 2" xfId="41454"/>
    <cellStyle name="Normal 86 3 4 9" xfId="23801"/>
    <cellStyle name="Normal 86 3 4 9 2" xfId="46090"/>
    <cellStyle name="Normal 86 3 5" xfId="2420"/>
    <cellStyle name="Normal 86 3 5 2" xfId="5654"/>
    <cellStyle name="Normal 86 3 5 2 2" xfId="7476"/>
    <cellStyle name="Normal 86 3 5 2 2 2" xfId="10807"/>
    <cellStyle name="Normal 86 3 5 2 2 2 2" xfId="17511"/>
    <cellStyle name="Normal 86 3 5 2 2 2 2 2" xfId="40932"/>
    <cellStyle name="Normal 86 3 5 2 2 2 3" xfId="23229"/>
    <cellStyle name="Normal 86 3 5 2 2 2 3 2" xfId="45651"/>
    <cellStyle name="Normal 86 3 5 2 2 2 4" xfId="34300"/>
    <cellStyle name="Normal 86 3 5 2 2 3" xfId="14195"/>
    <cellStyle name="Normal 86 3 5 2 2 3 2" xfId="37616"/>
    <cellStyle name="Normal 86 3 5 2 2 4" xfId="20404"/>
    <cellStyle name="Normal 86 3 5 2 2 4 2" xfId="42939"/>
    <cellStyle name="Normal 86 3 5 2 2 5" xfId="30984"/>
    <cellStyle name="Normal 86 3 5 2 3" xfId="9149"/>
    <cellStyle name="Normal 86 3 5 2 3 2" xfId="15853"/>
    <cellStyle name="Normal 86 3 5 2 3 2 2" xfId="39274"/>
    <cellStyle name="Normal 86 3 5 2 3 3" xfId="21514"/>
    <cellStyle name="Normal 86 3 5 2 3 3 2" xfId="43965"/>
    <cellStyle name="Normal 86 3 5 2 3 4" xfId="32642"/>
    <cellStyle name="Normal 86 3 5 2 4" xfId="12537"/>
    <cellStyle name="Normal 86 3 5 2 4 2" xfId="22417"/>
    <cellStyle name="Normal 86 3 5 2 4 2 2" xfId="44839"/>
    <cellStyle name="Normal 86 3 5 2 4 3" xfId="35958"/>
    <cellStyle name="Normal 86 3 5 2 5" xfId="19565"/>
    <cellStyle name="Normal 86 3 5 2 5 2" xfId="42107"/>
    <cellStyle name="Normal 86 3 5 2 6" xfId="29326"/>
    <cellStyle name="Normal 86 3 5 3" xfId="6576"/>
    <cellStyle name="Normal 86 3 5 3 2" xfId="9910"/>
    <cellStyle name="Normal 86 3 5 3 2 2" xfId="16614"/>
    <cellStyle name="Normal 86 3 5 3 2 2 2" xfId="40035"/>
    <cellStyle name="Normal 86 3 5 3 2 3" xfId="22824"/>
    <cellStyle name="Normal 86 3 5 3 2 3 2" xfId="45246"/>
    <cellStyle name="Normal 86 3 5 3 2 4" xfId="33403"/>
    <cellStyle name="Normal 86 3 5 3 3" xfId="13298"/>
    <cellStyle name="Normal 86 3 5 3 3 2" xfId="36719"/>
    <cellStyle name="Normal 86 3 5 3 4" xfId="19988"/>
    <cellStyle name="Normal 86 3 5 3 4 2" xfId="42523"/>
    <cellStyle name="Normal 86 3 5 3 5" xfId="30087"/>
    <cellStyle name="Normal 86 3 5 4" xfId="8243"/>
    <cellStyle name="Normal 86 3 5 4 2" xfId="14956"/>
    <cellStyle name="Normal 86 3 5 4 2 2" xfId="38377"/>
    <cellStyle name="Normal 86 3 5 4 3" xfId="21055"/>
    <cellStyle name="Normal 86 3 5 4 3 2" xfId="43506"/>
    <cellStyle name="Normal 86 3 5 4 4" xfId="31745"/>
    <cellStyle name="Normal 86 3 5 5" xfId="11638"/>
    <cellStyle name="Normal 86 3 5 5 2" xfId="21993"/>
    <cellStyle name="Normal 86 3 5 5 2 2" xfId="44425"/>
    <cellStyle name="Normal 86 3 5 5 3" xfId="35061"/>
    <cellStyle name="Normal 86 3 5 6" xfId="18889"/>
    <cellStyle name="Normal 86 3 5 6 2" xfId="41682"/>
    <cellStyle name="Normal 86 3 5 7" xfId="26025"/>
    <cellStyle name="Normal 86 3 5 7 2" xfId="48270"/>
    <cellStyle name="Normal 86 3 5 8" xfId="28429"/>
    <cellStyle name="Normal 86 3 6" xfId="2645"/>
    <cellStyle name="Normal 86 3 6 2" xfId="5738"/>
    <cellStyle name="Normal 86 3 6 2 2" xfId="7520"/>
    <cellStyle name="Normal 86 3 6 2 2 2" xfId="10849"/>
    <cellStyle name="Normal 86 3 6 2 2 2 2" xfId="17553"/>
    <cellStyle name="Normal 86 3 6 2 2 2 2 2" xfId="40974"/>
    <cellStyle name="Normal 86 3 6 2 2 2 3" xfId="34342"/>
    <cellStyle name="Normal 86 3 6 2 2 3" xfId="14237"/>
    <cellStyle name="Normal 86 3 6 2 2 3 2" xfId="37658"/>
    <cellStyle name="Normal 86 3 6 2 2 4" xfId="20658"/>
    <cellStyle name="Normal 86 3 6 2 2 4 2" xfId="43109"/>
    <cellStyle name="Normal 86 3 6 2 2 5" xfId="31026"/>
    <cellStyle name="Normal 86 3 6 2 3" xfId="9191"/>
    <cellStyle name="Normal 86 3 6 2 3 2" xfId="15895"/>
    <cellStyle name="Normal 86 3 6 2 3 2 2" xfId="39316"/>
    <cellStyle name="Normal 86 3 6 2 3 3" xfId="21576"/>
    <cellStyle name="Normal 86 3 6 2 3 3 2" xfId="44027"/>
    <cellStyle name="Normal 86 3 6 2 3 4" xfId="32684"/>
    <cellStyle name="Normal 86 3 6 2 4" xfId="12579"/>
    <cellStyle name="Normal 86 3 6 2 4 2" xfId="23024"/>
    <cellStyle name="Normal 86 3 6 2 4 2 2" xfId="45446"/>
    <cellStyle name="Normal 86 3 6 2 4 3" xfId="36000"/>
    <cellStyle name="Normal 86 3 6 2 5" xfId="20196"/>
    <cellStyle name="Normal 86 3 6 2 5 2" xfId="42731"/>
    <cellStyle name="Normal 86 3 6 2 6" xfId="29368"/>
    <cellStyle name="Normal 86 3 6 3" xfId="6621"/>
    <cellStyle name="Normal 86 3 6 3 2" xfId="9953"/>
    <cellStyle name="Normal 86 3 6 3 2 2" xfId="16657"/>
    <cellStyle name="Normal 86 3 6 3 2 2 2" xfId="40078"/>
    <cellStyle name="Normal 86 3 6 3 2 3" xfId="33446"/>
    <cellStyle name="Normal 86 3 6 3 3" xfId="13341"/>
    <cellStyle name="Normal 86 3 6 3 3 2" xfId="36762"/>
    <cellStyle name="Normal 86 3 6 3 4" xfId="20560"/>
    <cellStyle name="Normal 86 3 6 3 4 2" xfId="43013"/>
    <cellStyle name="Normal 86 3 6 3 5" xfId="30130"/>
    <cellStyle name="Normal 86 3 6 4" xfId="8287"/>
    <cellStyle name="Normal 86 3 6 4 2" xfId="14999"/>
    <cellStyle name="Normal 86 3 6 4 2 2" xfId="38420"/>
    <cellStyle name="Normal 86 3 6 4 3" xfId="21117"/>
    <cellStyle name="Normal 86 3 6 4 3 2" xfId="43568"/>
    <cellStyle name="Normal 86 3 6 4 4" xfId="31788"/>
    <cellStyle name="Normal 86 3 6 5" xfId="11681"/>
    <cellStyle name="Normal 86 3 6 5 2" xfId="22207"/>
    <cellStyle name="Normal 86 3 6 5 2 2" xfId="44631"/>
    <cellStyle name="Normal 86 3 6 5 3" xfId="35104"/>
    <cellStyle name="Normal 86 3 6 6" xfId="19346"/>
    <cellStyle name="Normal 86 3 6 6 2" xfId="41899"/>
    <cellStyle name="Normal 86 3 6 7" xfId="28472"/>
    <cellStyle name="Normal 86 3 7" xfId="4300"/>
    <cellStyle name="Normal 86 3 7 2" xfId="7178"/>
    <cellStyle name="Normal 86 3 7 2 2" xfId="10510"/>
    <cellStyle name="Normal 86 3 7 2 2 2" xfId="17214"/>
    <cellStyle name="Normal 86 3 7 2 2 2 2" xfId="40635"/>
    <cellStyle name="Normal 86 3 7 2 2 3" xfId="34003"/>
    <cellStyle name="Normal 86 3 7 2 3" xfId="13898"/>
    <cellStyle name="Normal 86 3 7 2 3 2" xfId="37319"/>
    <cellStyle name="Normal 86 3 7 2 4" xfId="20609"/>
    <cellStyle name="Normal 86 3 7 2 4 2" xfId="43060"/>
    <cellStyle name="Normal 86 3 7 2 5" xfId="30687"/>
    <cellStyle name="Normal 86 3 7 3" xfId="8845"/>
    <cellStyle name="Normal 86 3 7 3 2" xfId="15556"/>
    <cellStyle name="Normal 86 3 7 3 2 2" xfId="38977"/>
    <cellStyle name="Normal 86 3 7 3 3" xfId="21499"/>
    <cellStyle name="Normal 86 3 7 3 3 2" xfId="43950"/>
    <cellStyle name="Normal 86 3 7 3 4" xfId="32345"/>
    <cellStyle name="Normal 86 3 7 4" xfId="12238"/>
    <cellStyle name="Normal 86 3 7 4 2" xfId="22618"/>
    <cellStyle name="Normal 86 3 7 4 2 2" xfId="45040"/>
    <cellStyle name="Normal 86 3 7 4 3" xfId="35661"/>
    <cellStyle name="Normal 86 3 7 5" xfId="19778"/>
    <cellStyle name="Normal 86 3 7 5 2" xfId="42315"/>
    <cellStyle name="Normal 86 3 7 6" xfId="29029"/>
    <cellStyle name="Normal 86 3 8" xfId="6148"/>
    <cellStyle name="Normal 86 3 8 2" xfId="9482"/>
    <cellStyle name="Normal 86 3 8 2 2" xfId="16186"/>
    <cellStyle name="Normal 86 3 8 2 2 2" xfId="39607"/>
    <cellStyle name="Normal 86 3 8 2 3" xfId="32975"/>
    <cellStyle name="Normal 86 3 8 3" xfId="12870"/>
    <cellStyle name="Normal 86 3 8 3 2" xfId="36291"/>
    <cellStyle name="Normal 86 3 8 4" xfId="20511"/>
    <cellStyle name="Normal 86 3 8 4 2" xfId="42964"/>
    <cellStyle name="Normal 86 3 8 5" xfId="29659"/>
    <cellStyle name="Normal 86 3 9" xfId="7814"/>
    <cellStyle name="Normal 86 3 9 2" xfId="14528"/>
    <cellStyle name="Normal 86 3 9 2 2" xfId="37949"/>
    <cellStyle name="Normal 86 3 9 3" xfId="21040"/>
    <cellStyle name="Normal 86 3 9 3 2" xfId="43491"/>
    <cellStyle name="Normal 86 3 9 4" xfId="31317"/>
    <cellStyle name="Normal 86 4" xfId="1473"/>
    <cellStyle name="Normal 86 4 10" xfId="18170"/>
    <cellStyle name="Normal 86 4 10 2" xfId="41455"/>
    <cellStyle name="Normal 86 4 11" xfId="23802"/>
    <cellStyle name="Normal 86 4 11 2" xfId="46091"/>
    <cellStyle name="Normal 86 4 12" xfId="28009"/>
    <cellStyle name="Normal 86 4 2" xfId="1688"/>
    <cellStyle name="Normal 86 4 2 10" xfId="23803"/>
    <cellStyle name="Normal 86 4 2 10 2" xfId="46092"/>
    <cellStyle name="Normal 86 4 2 11" xfId="28102"/>
    <cellStyle name="Normal 86 4 2 2" xfId="1881"/>
    <cellStyle name="Normal 86 4 2 2 10" xfId="28233"/>
    <cellStyle name="Normal 86 4 2 2 2" xfId="2430"/>
    <cellStyle name="Normal 86 4 2 2 2 2" xfId="5664"/>
    <cellStyle name="Normal 86 4 2 2 2 2 2" xfId="7486"/>
    <cellStyle name="Normal 86 4 2 2 2 2 2 2" xfId="10817"/>
    <cellStyle name="Normal 86 4 2 2 2 2 2 2 2" xfId="17521"/>
    <cellStyle name="Normal 86 4 2 2 2 2 2 2 2 2" xfId="40942"/>
    <cellStyle name="Normal 86 4 2 2 2 2 2 2 3" xfId="23239"/>
    <cellStyle name="Normal 86 4 2 2 2 2 2 2 3 2" xfId="45661"/>
    <cellStyle name="Normal 86 4 2 2 2 2 2 2 4" xfId="34310"/>
    <cellStyle name="Normal 86 4 2 2 2 2 2 3" xfId="14205"/>
    <cellStyle name="Normal 86 4 2 2 2 2 2 3 2" xfId="37626"/>
    <cellStyle name="Normal 86 4 2 2 2 2 2 4" xfId="20414"/>
    <cellStyle name="Normal 86 4 2 2 2 2 2 4 2" xfId="42949"/>
    <cellStyle name="Normal 86 4 2 2 2 2 2 5" xfId="30994"/>
    <cellStyle name="Normal 86 4 2 2 2 2 3" xfId="9159"/>
    <cellStyle name="Normal 86 4 2 2 2 2 3 2" xfId="15863"/>
    <cellStyle name="Normal 86 4 2 2 2 2 3 2 2" xfId="39284"/>
    <cellStyle name="Normal 86 4 2 2 2 2 3 3" xfId="21518"/>
    <cellStyle name="Normal 86 4 2 2 2 2 3 3 2" xfId="43969"/>
    <cellStyle name="Normal 86 4 2 2 2 2 3 4" xfId="32652"/>
    <cellStyle name="Normal 86 4 2 2 2 2 4" xfId="12547"/>
    <cellStyle name="Normal 86 4 2 2 2 2 4 2" xfId="22427"/>
    <cellStyle name="Normal 86 4 2 2 2 2 4 2 2" xfId="44849"/>
    <cellStyle name="Normal 86 4 2 2 2 2 4 3" xfId="35968"/>
    <cellStyle name="Normal 86 4 2 2 2 2 5" xfId="19575"/>
    <cellStyle name="Normal 86 4 2 2 2 2 5 2" xfId="42117"/>
    <cellStyle name="Normal 86 4 2 2 2 2 6" xfId="29336"/>
    <cellStyle name="Normal 86 4 2 2 2 3" xfId="6586"/>
    <cellStyle name="Normal 86 4 2 2 2 3 2" xfId="9920"/>
    <cellStyle name="Normal 86 4 2 2 2 3 2 2" xfId="16624"/>
    <cellStyle name="Normal 86 4 2 2 2 3 2 2 2" xfId="40045"/>
    <cellStyle name="Normal 86 4 2 2 2 3 2 3" xfId="22834"/>
    <cellStyle name="Normal 86 4 2 2 2 3 2 3 2" xfId="45256"/>
    <cellStyle name="Normal 86 4 2 2 2 3 2 4" xfId="33413"/>
    <cellStyle name="Normal 86 4 2 2 2 3 3" xfId="13308"/>
    <cellStyle name="Normal 86 4 2 2 2 3 3 2" xfId="36729"/>
    <cellStyle name="Normal 86 4 2 2 2 3 4" xfId="19998"/>
    <cellStyle name="Normal 86 4 2 2 2 3 4 2" xfId="42533"/>
    <cellStyle name="Normal 86 4 2 2 2 3 5" xfId="30097"/>
    <cellStyle name="Normal 86 4 2 2 2 4" xfId="8253"/>
    <cellStyle name="Normal 86 4 2 2 2 4 2" xfId="14966"/>
    <cellStyle name="Normal 86 4 2 2 2 4 2 2" xfId="38387"/>
    <cellStyle name="Normal 86 4 2 2 2 4 3" xfId="21059"/>
    <cellStyle name="Normal 86 4 2 2 2 4 3 2" xfId="43510"/>
    <cellStyle name="Normal 86 4 2 2 2 4 4" xfId="31755"/>
    <cellStyle name="Normal 86 4 2 2 2 5" xfId="11648"/>
    <cellStyle name="Normal 86 4 2 2 2 5 2" xfId="22003"/>
    <cellStyle name="Normal 86 4 2 2 2 5 2 2" xfId="44435"/>
    <cellStyle name="Normal 86 4 2 2 2 5 3" xfId="35071"/>
    <cellStyle name="Normal 86 4 2 2 2 6" xfId="18899"/>
    <cellStyle name="Normal 86 4 2 2 2 6 2" xfId="41692"/>
    <cellStyle name="Normal 86 4 2 2 2 7" xfId="26035"/>
    <cellStyle name="Normal 86 4 2 2 2 7 2" xfId="48280"/>
    <cellStyle name="Normal 86 4 2 2 2 8" xfId="28439"/>
    <cellStyle name="Normal 86 4 2 2 3" xfId="2878"/>
    <cellStyle name="Normal 86 4 2 2 3 2" xfId="5970"/>
    <cellStyle name="Normal 86 4 2 2 3 2 2" xfId="7752"/>
    <cellStyle name="Normal 86 4 2 2 3 2 2 2" xfId="11081"/>
    <cellStyle name="Normal 86 4 2 2 3 2 2 2 2" xfId="17785"/>
    <cellStyle name="Normal 86 4 2 2 3 2 2 2 2 2" xfId="41206"/>
    <cellStyle name="Normal 86 4 2 2 3 2 2 2 3" xfId="34574"/>
    <cellStyle name="Normal 86 4 2 2 3 2 2 3" xfId="14469"/>
    <cellStyle name="Normal 86 4 2 2 3 2 2 3 2" xfId="37890"/>
    <cellStyle name="Normal 86 4 2 2 3 2 2 4" xfId="23034"/>
    <cellStyle name="Normal 86 4 2 2 3 2 2 4 2" xfId="45456"/>
    <cellStyle name="Normal 86 4 2 2 3 2 2 5" xfId="31258"/>
    <cellStyle name="Normal 86 4 2 2 3 2 3" xfId="9423"/>
    <cellStyle name="Normal 86 4 2 2 3 2 3 2" xfId="16127"/>
    <cellStyle name="Normal 86 4 2 2 3 2 3 2 2" xfId="39548"/>
    <cellStyle name="Normal 86 4 2 2 3 2 3 3" xfId="32916"/>
    <cellStyle name="Normal 86 4 2 2 3 2 4" xfId="12811"/>
    <cellStyle name="Normal 86 4 2 2 3 2 4 2" xfId="36232"/>
    <cellStyle name="Normal 86 4 2 2 3 2 5" xfId="20206"/>
    <cellStyle name="Normal 86 4 2 2 3 2 5 2" xfId="42741"/>
    <cellStyle name="Normal 86 4 2 2 3 2 6" xfId="29600"/>
    <cellStyle name="Normal 86 4 2 2 3 3" xfId="6853"/>
    <cellStyle name="Normal 86 4 2 2 3 3 2" xfId="10185"/>
    <cellStyle name="Normal 86 4 2 2 3 3 2 2" xfId="16889"/>
    <cellStyle name="Normal 86 4 2 2 3 3 2 2 2" xfId="40310"/>
    <cellStyle name="Normal 86 4 2 2 3 3 2 3" xfId="33678"/>
    <cellStyle name="Normal 86 4 2 2 3 3 3" xfId="13573"/>
    <cellStyle name="Normal 86 4 2 2 3 3 3 2" xfId="36994"/>
    <cellStyle name="Normal 86 4 2 2 3 3 4" xfId="21517"/>
    <cellStyle name="Normal 86 4 2 2 3 3 4 2" xfId="43968"/>
    <cellStyle name="Normal 86 4 2 2 3 3 5" xfId="30362"/>
    <cellStyle name="Normal 86 4 2 2 3 4" xfId="8519"/>
    <cellStyle name="Normal 86 4 2 2 3 4 2" xfId="15231"/>
    <cellStyle name="Normal 86 4 2 2 3 4 2 2" xfId="38652"/>
    <cellStyle name="Normal 86 4 2 2 3 4 3" xfId="22217"/>
    <cellStyle name="Normal 86 4 2 2 3 4 3 2" xfId="44641"/>
    <cellStyle name="Normal 86 4 2 2 3 4 4" xfId="32020"/>
    <cellStyle name="Normal 86 4 2 2 3 5" xfId="11913"/>
    <cellStyle name="Normal 86 4 2 2 3 5 2" xfId="35336"/>
    <cellStyle name="Normal 86 4 2 2 3 6" xfId="19356"/>
    <cellStyle name="Normal 86 4 2 2 3 6 2" xfId="41909"/>
    <cellStyle name="Normal 86 4 2 2 3 7" xfId="28704"/>
    <cellStyle name="Normal 86 4 2 2 4" xfId="4310"/>
    <cellStyle name="Normal 86 4 2 2 4 2" xfId="7188"/>
    <cellStyle name="Normal 86 4 2 2 4 2 2" xfId="10520"/>
    <cellStyle name="Normal 86 4 2 2 4 2 2 2" xfId="17224"/>
    <cellStyle name="Normal 86 4 2 2 4 2 2 2 2" xfId="40645"/>
    <cellStyle name="Normal 86 4 2 2 4 2 2 3" xfId="34013"/>
    <cellStyle name="Normal 86 4 2 2 4 2 3" xfId="13908"/>
    <cellStyle name="Normal 86 4 2 2 4 2 3 2" xfId="37329"/>
    <cellStyle name="Normal 86 4 2 2 4 2 4" xfId="22628"/>
    <cellStyle name="Normal 86 4 2 2 4 2 4 2" xfId="45050"/>
    <cellStyle name="Normal 86 4 2 2 4 2 5" xfId="30697"/>
    <cellStyle name="Normal 86 4 2 2 4 3" xfId="8855"/>
    <cellStyle name="Normal 86 4 2 2 4 3 2" xfId="15566"/>
    <cellStyle name="Normal 86 4 2 2 4 3 2 2" xfId="38987"/>
    <cellStyle name="Normal 86 4 2 2 4 3 3" xfId="32355"/>
    <cellStyle name="Normal 86 4 2 2 4 4" xfId="12248"/>
    <cellStyle name="Normal 86 4 2 2 4 4 2" xfId="35671"/>
    <cellStyle name="Normal 86 4 2 2 4 5" xfId="19788"/>
    <cellStyle name="Normal 86 4 2 2 4 5 2" xfId="42325"/>
    <cellStyle name="Normal 86 4 2 2 4 6" xfId="29039"/>
    <cellStyle name="Normal 86 4 2 2 5" xfId="6380"/>
    <cellStyle name="Normal 86 4 2 2 5 2" xfId="9714"/>
    <cellStyle name="Normal 86 4 2 2 5 2 2" xfId="16418"/>
    <cellStyle name="Normal 86 4 2 2 5 2 2 2" xfId="39839"/>
    <cellStyle name="Normal 86 4 2 2 5 2 3" xfId="33207"/>
    <cellStyle name="Normal 86 4 2 2 5 3" xfId="13102"/>
    <cellStyle name="Normal 86 4 2 2 5 3 2" xfId="36523"/>
    <cellStyle name="Normal 86 4 2 2 5 4" xfId="21058"/>
    <cellStyle name="Normal 86 4 2 2 5 4 2" xfId="43509"/>
    <cellStyle name="Normal 86 4 2 2 5 5" xfId="29891"/>
    <cellStyle name="Normal 86 4 2 2 6" xfId="8046"/>
    <cellStyle name="Normal 86 4 2 2 6 2" xfId="14760"/>
    <cellStyle name="Normal 86 4 2 2 6 2 2" xfId="38181"/>
    <cellStyle name="Normal 86 4 2 2 6 3" xfId="21778"/>
    <cellStyle name="Normal 86 4 2 2 6 3 2" xfId="44227"/>
    <cellStyle name="Normal 86 4 2 2 6 4" xfId="31549"/>
    <cellStyle name="Normal 86 4 2 2 7" xfId="11442"/>
    <cellStyle name="Normal 86 4 2 2 7 2" xfId="34865"/>
    <cellStyle name="Normal 86 4 2 2 8" xfId="18172"/>
    <cellStyle name="Normal 86 4 2 2 8 2" xfId="41457"/>
    <cellStyle name="Normal 86 4 2 2 9" xfId="23804"/>
    <cellStyle name="Normal 86 4 2 2 9 2" xfId="46093"/>
    <cellStyle name="Normal 86 4 2 3" xfId="2429"/>
    <cellStyle name="Normal 86 4 2 3 2" xfId="5663"/>
    <cellStyle name="Normal 86 4 2 3 2 2" xfId="7485"/>
    <cellStyle name="Normal 86 4 2 3 2 2 2" xfId="10816"/>
    <cellStyle name="Normal 86 4 2 3 2 2 2 2" xfId="17520"/>
    <cellStyle name="Normal 86 4 2 3 2 2 2 2 2" xfId="40941"/>
    <cellStyle name="Normal 86 4 2 3 2 2 2 3" xfId="23238"/>
    <cellStyle name="Normal 86 4 2 3 2 2 2 3 2" xfId="45660"/>
    <cellStyle name="Normal 86 4 2 3 2 2 2 4" xfId="34309"/>
    <cellStyle name="Normal 86 4 2 3 2 2 3" xfId="14204"/>
    <cellStyle name="Normal 86 4 2 3 2 2 3 2" xfId="37625"/>
    <cellStyle name="Normal 86 4 2 3 2 2 4" xfId="20413"/>
    <cellStyle name="Normal 86 4 2 3 2 2 4 2" xfId="42948"/>
    <cellStyle name="Normal 86 4 2 3 2 2 5" xfId="30993"/>
    <cellStyle name="Normal 86 4 2 3 2 3" xfId="9158"/>
    <cellStyle name="Normal 86 4 2 3 2 3 2" xfId="15862"/>
    <cellStyle name="Normal 86 4 2 3 2 3 2 2" xfId="39283"/>
    <cellStyle name="Normal 86 4 2 3 2 3 3" xfId="21519"/>
    <cellStyle name="Normal 86 4 2 3 2 3 3 2" xfId="43970"/>
    <cellStyle name="Normal 86 4 2 3 2 3 4" xfId="32651"/>
    <cellStyle name="Normal 86 4 2 3 2 4" xfId="12546"/>
    <cellStyle name="Normal 86 4 2 3 2 4 2" xfId="22426"/>
    <cellStyle name="Normal 86 4 2 3 2 4 2 2" xfId="44848"/>
    <cellStyle name="Normal 86 4 2 3 2 4 3" xfId="35967"/>
    <cellStyle name="Normal 86 4 2 3 2 5" xfId="19574"/>
    <cellStyle name="Normal 86 4 2 3 2 5 2" xfId="42116"/>
    <cellStyle name="Normal 86 4 2 3 2 6" xfId="29335"/>
    <cellStyle name="Normal 86 4 2 3 3" xfId="6585"/>
    <cellStyle name="Normal 86 4 2 3 3 2" xfId="9919"/>
    <cellStyle name="Normal 86 4 2 3 3 2 2" xfId="16623"/>
    <cellStyle name="Normal 86 4 2 3 3 2 2 2" xfId="40044"/>
    <cellStyle name="Normal 86 4 2 3 3 2 3" xfId="22833"/>
    <cellStyle name="Normal 86 4 2 3 3 2 3 2" xfId="45255"/>
    <cellStyle name="Normal 86 4 2 3 3 2 4" xfId="33412"/>
    <cellStyle name="Normal 86 4 2 3 3 3" xfId="13307"/>
    <cellStyle name="Normal 86 4 2 3 3 3 2" xfId="36728"/>
    <cellStyle name="Normal 86 4 2 3 3 4" xfId="19997"/>
    <cellStyle name="Normal 86 4 2 3 3 4 2" xfId="42532"/>
    <cellStyle name="Normal 86 4 2 3 3 5" xfId="30096"/>
    <cellStyle name="Normal 86 4 2 3 4" xfId="8252"/>
    <cellStyle name="Normal 86 4 2 3 4 2" xfId="14965"/>
    <cellStyle name="Normal 86 4 2 3 4 2 2" xfId="38386"/>
    <cellStyle name="Normal 86 4 2 3 4 3" xfId="21060"/>
    <cellStyle name="Normal 86 4 2 3 4 3 2" xfId="43511"/>
    <cellStyle name="Normal 86 4 2 3 4 4" xfId="31754"/>
    <cellStyle name="Normal 86 4 2 3 5" xfId="11647"/>
    <cellStyle name="Normal 86 4 2 3 5 2" xfId="22002"/>
    <cellStyle name="Normal 86 4 2 3 5 2 2" xfId="44434"/>
    <cellStyle name="Normal 86 4 2 3 5 3" xfId="35070"/>
    <cellStyle name="Normal 86 4 2 3 6" xfId="18898"/>
    <cellStyle name="Normal 86 4 2 3 6 2" xfId="41691"/>
    <cellStyle name="Normal 86 4 2 3 7" xfId="26034"/>
    <cellStyle name="Normal 86 4 2 3 7 2" xfId="48279"/>
    <cellStyle name="Normal 86 4 2 3 8" xfId="28438"/>
    <cellStyle name="Normal 86 4 2 4" xfId="2746"/>
    <cellStyle name="Normal 86 4 2 4 2" xfId="5839"/>
    <cellStyle name="Normal 86 4 2 4 2 2" xfId="7621"/>
    <cellStyle name="Normal 86 4 2 4 2 2 2" xfId="10950"/>
    <cellStyle name="Normal 86 4 2 4 2 2 2 2" xfId="17654"/>
    <cellStyle name="Normal 86 4 2 4 2 2 2 2 2" xfId="41075"/>
    <cellStyle name="Normal 86 4 2 4 2 2 2 3" xfId="34443"/>
    <cellStyle name="Normal 86 4 2 4 2 2 3" xfId="14338"/>
    <cellStyle name="Normal 86 4 2 4 2 2 3 2" xfId="37759"/>
    <cellStyle name="Normal 86 4 2 4 2 2 4" xfId="23033"/>
    <cellStyle name="Normal 86 4 2 4 2 2 4 2" xfId="45455"/>
    <cellStyle name="Normal 86 4 2 4 2 2 5" xfId="31127"/>
    <cellStyle name="Normal 86 4 2 4 2 3" xfId="9292"/>
    <cellStyle name="Normal 86 4 2 4 2 3 2" xfId="15996"/>
    <cellStyle name="Normal 86 4 2 4 2 3 2 2" xfId="39417"/>
    <cellStyle name="Normal 86 4 2 4 2 3 3" xfId="32785"/>
    <cellStyle name="Normal 86 4 2 4 2 4" xfId="12680"/>
    <cellStyle name="Normal 86 4 2 4 2 4 2" xfId="36101"/>
    <cellStyle name="Normal 86 4 2 4 2 5" xfId="20205"/>
    <cellStyle name="Normal 86 4 2 4 2 5 2" xfId="42740"/>
    <cellStyle name="Normal 86 4 2 4 2 6" xfId="29469"/>
    <cellStyle name="Normal 86 4 2 4 3" xfId="6722"/>
    <cellStyle name="Normal 86 4 2 4 3 2" xfId="10054"/>
    <cellStyle name="Normal 86 4 2 4 3 2 2" xfId="16758"/>
    <cellStyle name="Normal 86 4 2 4 3 2 2 2" xfId="40179"/>
    <cellStyle name="Normal 86 4 2 4 3 2 3" xfId="33547"/>
    <cellStyle name="Normal 86 4 2 4 3 3" xfId="13442"/>
    <cellStyle name="Normal 86 4 2 4 3 3 2" xfId="36863"/>
    <cellStyle name="Normal 86 4 2 4 3 4" xfId="21516"/>
    <cellStyle name="Normal 86 4 2 4 3 4 2" xfId="43967"/>
    <cellStyle name="Normal 86 4 2 4 3 5" xfId="30231"/>
    <cellStyle name="Normal 86 4 2 4 4" xfId="8388"/>
    <cellStyle name="Normal 86 4 2 4 4 2" xfId="15100"/>
    <cellStyle name="Normal 86 4 2 4 4 2 2" xfId="38521"/>
    <cellStyle name="Normal 86 4 2 4 4 3" xfId="22216"/>
    <cellStyle name="Normal 86 4 2 4 4 3 2" xfId="44640"/>
    <cellStyle name="Normal 86 4 2 4 4 4" xfId="31889"/>
    <cellStyle name="Normal 86 4 2 4 5" xfId="11782"/>
    <cellStyle name="Normal 86 4 2 4 5 2" xfId="35205"/>
    <cellStyle name="Normal 86 4 2 4 6" xfId="19355"/>
    <cellStyle name="Normal 86 4 2 4 6 2" xfId="41908"/>
    <cellStyle name="Normal 86 4 2 4 7" xfId="28573"/>
    <cellStyle name="Normal 86 4 2 5" xfId="4309"/>
    <cellStyle name="Normal 86 4 2 5 2" xfId="7187"/>
    <cellStyle name="Normal 86 4 2 5 2 2" xfId="10519"/>
    <cellStyle name="Normal 86 4 2 5 2 2 2" xfId="17223"/>
    <cellStyle name="Normal 86 4 2 5 2 2 2 2" xfId="40644"/>
    <cellStyle name="Normal 86 4 2 5 2 2 3" xfId="34012"/>
    <cellStyle name="Normal 86 4 2 5 2 3" xfId="13907"/>
    <cellStyle name="Normal 86 4 2 5 2 3 2" xfId="37328"/>
    <cellStyle name="Normal 86 4 2 5 2 4" xfId="22627"/>
    <cellStyle name="Normal 86 4 2 5 2 4 2" xfId="45049"/>
    <cellStyle name="Normal 86 4 2 5 2 5" xfId="30696"/>
    <cellStyle name="Normal 86 4 2 5 3" xfId="8854"/>
    <cellStyle name="Normal 86 4 2 5 3 2" xfId="15565"/>
    <cellStyle name="Normal 86 4 2 5 3 2 2" xfId="38986"/>
    <cellStyle name="Normal 86 4 2 5 3 3" xfId="32354"/>
    <cellStyle name="Normal 86 4 2 5 4" xfId="12247"/>
    <cellStyle name="Normal 86 4 2 5 4 2" xfId="35670"/>
    <cellStyle name="Normal 86 4 2 5 5" xfId="19787"/>
    <cellStyle name="Normal 86 4 2 5 5 2" xfId="42324"/>
    <cellStyle name="Normal 86 4 2 5 6" xfId="29038"/>
    <cellStyle name="Normal 86 4 2 6" xfId="6249"/>
    <cellStyle name="Normal 86 4 2 6 2" xfId="9583"/>
    <cellStyle name="Normal 86 4 2 6 2 2" xfId="16287"/>
    <cellStyle name="Normal 86 4 2 6 2 2 2" xfId="39708"/>
    <cellStyle name="Normal 86 4 2 6 2 3" xfId="33076"/>
    <cellStyle name="Normal 86 4 2 6 3" xfId="12971"/>
    <cellStyle name="Normal 86 4 2 6 3 2" xfId="36392"/>
    <cellStyle name="Normal 86 4 2 6 4" xfId="21057"/>
    <cellStyle name="Normal 86 4 2 6 4 2" xfId="43508"/>
    <cellStyle name="Normal 86 4 2 6 5" xfId="29760"/>
    <cellStyle name="Normal 86 4 2 7" xfId="7915"/>
    <cellStyle name="Normal 86 4 2 7 2" xfId="14629"/>
    <cellStyle name="Normal 86 4 2 7 2 2" xfId="38050"/>
    <cellStyle name="Normal 86 4 2 7 3" xfId="21777"/>
    <cellStyle name="Normal 86 4 2 7 3 2" xfId="44226"/>
    <cellStyle name="Normal 86 4 2 7 4" xfId="31418"/>
    <cellStyle name="Normal 86 4 2 8" xfId="11311"/>
    <cellStyle name="Normal 86 4 2 8 2" xfId="34734"/>
    <cellStyle name="Normal 86 4 2 9" xfId="18171"/>
    <cellStyle name="Normal 86 4 2 9 2" xfId="41456"/>
    <cellStyle name="Normal 86 4 3" xfId="1788"/>
    <cellStyle name="Normal 86 4 3 10" xfId="28140"/>
    <cellStyle name="Normal 86 4 3 2" xfId="2431"/>
    <cellStyle name="Normal 86 4 3 2 2" xfId="5665"/>
    <cellStyle name="Normal 86 4 3 2 2 2" xfId="7487"/>
    <cellStyle name="Normal 86 4 3 2 2 2 2" xfId="10818"/>
    <cellStyle name="Normal 86 4 3 2 2 2 2 2" xfId="17522"/>
    <cellStyle name="Normal 86 4 3 2 2 2 2 2 2" xfId="40943"/>
    <cellStyle name="Normal 86 4 3 2 2 2 2 3" xfId="23240"/>
    <cellStyle name="Normal 86 4 3 2 2 2 2 3 2" xfId="45662"/>
    <cellStyle name="Normal 86 4 3 2 2 2 2 4" xfId="34311"/>
    <cellStyle name="Normal 86 4 3 2 2 2 3" xfId="14206"/>
    <cellStyle name="Normal 86 4 3 2 2 2 3 2" xfId="37627"/>
    <cellStyle name="Normal 86 4 3 2 2 2 4" xfId="20415"/>
    <cellStyle name="Normal 86 4 3 2 2 2 4 2" xfId="42950"/>
    <cellStyle name="Normal 86 4 3 2 2 2 5" xfId="30995"/>
    <cellStyle name="Normal 86 4 3 2 2 3" xfId="9160"/>
    <cellStyle name="Normal 86 4 3 2 2 3 2" xfId="15864"/>
    <cellStyle name="Normal 86 4 3 2 2 3 2 2" xfId="39285"/>
    <cellStyle name="Normal 86 4 3 2 2 3 3" xfId="21521"/>
    <cellStyle name="Normal 86 4 3 2 2 3 3 2" xfId="43972"/>
    <cellStyle name="Normal 86 4 3 2 2 3 4" xfId="32653"/>
    <cellStyle name="Normal 86 4 3 2 2 4" xfId="12548"/>
    <cellStyle name="Normal 86 4 3 2 2 4 2" xfId="22428"/>
    <cellStyle name="Normal 86 4 3 2 2 4 2 2" xfId="44850"/>
    <cellStyle name="Normal 86 4 3 2 2 4 3" xfId="35969"/>
    <cellStyle name="Normal 86 4 3 2 2 5" xfId="19576"/>
    <cellStyle name="Normal 86 4 3 2 2 5 2" xfId="42118"/>
    <cellStyle name="Normal 86 4 3 2 2 6" xfId="29337"/>
    <cellStyle name="Normal 86 4 3 2 3" xfId="6587"/>
    <cellStyle name="Normal 86 4 3 2 3 2" xfId="9921"/>
    <cellStyle name="Normal 86 4 3 2 3 2 2" xfId="16625"/>
    <cellStyle name="Normal 86 4 3 2 3 2 2 2" xfId="40046"/>
    <cellStyle name="Normal 86 4 3 2 3 2 3" xfId="22835"/>
    <cellStyle name="Normal 86 4 3 2 3 2 3 2" xfId="45257"/>
    <cellStyle name="Normal 86 4 3 2 3 2 4" xfId="33414"/>
    <cellStyle name="Normal 86 4 3 2 3 3" xfId="13309"/>
    <cellStyle name="Normal 86 4 3 2 3 3 2" xfId="36730"/>
    <cellStyle name="Normal 86 4 3 2 3 4" xfId="19999"/>
    <cellStyle name="Normal 86 4 3 2 3 4 2" xfId="42534"/>
    <cellStyle name="Normal 86 4 3 2 3 5" xfId="30098"/>
    <cellStyle name="Normal 86 4 3 2 4" xfId="8254"/>
    <cellStyle name="Normal 86 4 3 2 4 2" xfId="14967"/>
    <cellStyle name="Normal 86 4 3 2 4 2 2" xfId="38388"/>
    <cellStyle name="Normal 86 4 3 2 4 3" xfId="21062"/>
    <cellStyle name="Normal 86 4 3 2 4 3 2" xfId="43513"/>
    <cellStyle name="Normal 86 4 3 2 4 4" xfId="31756"/>
    <cellStyle name="Normal 86 4 3 2 5" xfId="11649"/>
    <cellStyle name="Normal 86 4 3 2 5 2" xfId="22004"/>
    <cellStyle name="Normal 86 4 3 2 5 2 2" xfId="44436"/>
    <cellStyle name="Normal 86 4 3 2 5 3" xfId="35072"/>
    <cellStyle name="Normal 86 4 3 2 6" xfId="18900"/>
    <cellStyle name="Normal 86 4 3 2 6 2" xfId="41693"/>
    <cellStyle name="Normal 86 4 3 2 7" xfId="26036"/>
    <cellStyle name="Normal 86 4 3 2 7 2" xfId="48281"/>
    <cellStyle name="Normal 86 4 3 2 8" xfId="28440"/>
    <cellStyle name="Normal 86 4 3 3" xfId="2785"/>
    <cellStyle name="Normal 86 4 3 3 2" xfId="5877"/>
    <cellStyle name="Normal 86 4 3 3 2 2" xfId="7659"/>
    <cellStyle name="Normal 86 4 3 3 2 2 2" xfId="10988"/>
    <cellStyle name="Normal 86 4 3 3 2 2 2 2" xfId="17692"/>
    <cellStyle name="Normal 86 4 3 3 2 2 2 2 2" xfId="41113"/>
    <cellStyle name="Normal 86 4 3 3 2 2 2 3" xfId="34481"/>
    <cellStyle name="Normal 86 4 3 3 2 2 3" xfId="14376"/>
    <cellStyle name="Normal 86 4 3 3 2 2 3 2" xfId="37797"/>
    <cellStyle name="Normal 86 4 3 3 2 2 4" xfId="23035"/>
    <cellStyle name="Normal 86 4 3 3 2 2 4 2" xfId="45457"/>
    <cellStyle name="Normal 86 4 3 3 2 2 5" xfId="31165"/>
    <cellStyle name="Normal 86 4 3 3 2 3" xfId="9330"/>
    <cellStyle name="Normal 86 4 3 3 2 3 2" xfId="16034"/>
    <cellStyle name="Normal 86 4 3 3 2 3 2 2" xfId="39455"/>
    <cellStyle name="Normal 86 4 3 3 2 3 3" xfId="32823"/>
    <cellStyle name="Normal 86 4 3 3 2 4" xfId="12718"/>
    <cellStyle name="Normal 86 4 3 3 2 4 2" xfId="36139"/>
    <cellStyle name="Normal 86 4 3 3 2 5" xfId="20207"/>
    <cellStyle name="Normal 86 4 3 3 2 5 2" xfId="42742"/>
    <cellStyle name="Normal 86 4 3 3 2 6" xfId="29507"/>
    <cellStyle name="Normal 86 4 3 3 3" xfId="6760"/>
    <cellStyle name="Normal 86 4 3 3 3 2" xfId="10092"/>
    <cellStyle name="Normal 86 4 3 3 3 2 2" xfId="16796"/>
    <cellStyle name="Normal 86 4 3 3 3 2 2 2" xfId="40217"/>
    <cellStyle name="Normal 86 4 3 3 3 2 3" xfId="33585"/>
    <cellStyle name="Normal 86 4 3 3 3 3" xfId="13480"/>
    <cellStyle name="Normal 86 4 3 3 3 3 2" xfId="36901"/>
    <cellStyle name="Normal 86 4 3 3 3 4" xfId="21520"/>
    <cellStyle name="Normal 86 4 3 3 3 4 2" xfId="43971"/>
    <cellStyle name="Normal 86 4 3 3 3 5" xfId="30269"/>
    <cellStyle name="Normal 86 4 3 3 4" xfId="8426"/>
    <cellStyle name="Normal 86 4 3 3 4 2" xfId="15138"/>
    <cellStyle name="Normal 86 4 3 3 4 2 2" xfId="38559"/>
    <cellStyle name="Normal 86 4 3 3 4 3" xfId="22218"/>
    <cellStyle name="Normal 86 4 3 3 4 3 2" xfId="44642"/>
    <cellStyle name="Normal 86 4 3 3 4 4" xfId="31927"/>
    <cellStyle name="Normal 86 4 3 3 5" xfId="11820"/>
    <cellStyle name="Normal 86 4 3 3 5 2" xfId="35243"/>
    <cellStyle name="Normal 86 4 3 3 6" xfId="19357"/>
    <cellStyle name="Normal 86 4 3 3 6 2" xfId="41910"/>
    <cellStyle name="Normal 86 4 3 3 7" xfId="28611"/>
    <cellStyle name="Normal 86 4 3 4" xfId="4311"/>
    <cellStyle name="Normal 86 4 3 4 2" xfId="7189"/>
    <cellStyle name="Normal 86 4 3 4 2 2" xfId="10521"/>
    <cellStyle name="Normal 86 4 3 4 2 2 2" xfId="17225"/>
    <cellStyle name="Normal 86 4 3 4 2 2 2 2" xfId="40646"/>
    <cellStyle name="Normal 86 4 3 4 2 2 3" xfId="34014"/>
    <cellStyle name="Normal 86 4 3 4 2 3" xfId="13909"/>
    <cellStyle name="Normal 86 4 3 4 2 3 2" xfId="37330"/>
    <cellStyle name="Normal 86 4 3 4 2 4" xfId="22629"/>
    <cellStyle name="Normal 86 4 3 4 2 4 2" xfId="45051"/>
    <cellStyle name="Normal 86 4 3 4 2 5" xfId="30698"/>
    <cellStyle name="Normal 86 4 3 4 3" xfId="8856"/>
    <cellStyle name="Normal 86 4 3 4 3 2" xfId="15567"/>
    <cellStyle name="Normal 86 4 3 4 3 2 2" xfId="38988"/>
    <cellStyle name="Normal 86 4 3 4 3 3" xfId="32356"/>
    <cellStyle name="Normal 86 4 3 4 4" xfId="12249"/>
    <cellStyle name="Normal 86 4 3 4 4 2" xfId="35672"/>
    <cellStyle name="Normal 86 4 3 4 5" xfId="19789"/>
    <cellStyle name="Normal 86 4 3 4 5 2" xfId="42326"/>
    <cellStyle name="Normal 86 4 3 4 6" xfId="29040"/>
    <cellStyle name="Normal 86 4 3 5" xfId="6287"/>
    <cellStyle name="Normal 86 4 3 5 2" xfId="9621"/>
    <cellStyle name="Normal 86 4 3 5 2 2" xfId="16325"/>
    <cellStyle name="Normal 86 4 3 5 2 2 2" xfId="39746"/>
    <cellStyle name="Normal 86 4 3 5 2 3" xfId="33114"/>
    <cellStyle name="Normal 86 4 3 5 3" xfId="13009"/>
    <cellStyle name="Normal 86 4 3 5 3 2" xfId="36430"/>
    <cellStyle name="Normal 86 4 3 5 4" xfId="21061"/>
    <cellStyle name="Normal 86 4 3 5 4 2" xfId="43512"/>
    <cellStyle name="Normal 86 4 3 5 5" xfId="29798"/>
    <cellStyle name="Normal 86 4 3 6" xfId="7953"/>
    <cellStyle name="Normal 86 4 3 6 2" xfId="14667"/>
    <cellStyle name="Normal 86 4 3 6 2 2" xfId="38088"/>
    <cellStyle name="Normal 86 4 3 6 3" xfId="21779"/>
    <cellStyle name="Normal 86 4 3 6 3 2" xfId="44228"/>
    <cellStyle name="Normal 86 4 3 6 4" xfId="31456"/>
    <cellStyle name="Normal 86 4 3 7" xfId="11349"/>
    <cellStyle name="Normal 86 4 3 7 2" xfId="34772"/>
    <cellStyle name="Normal 86 4 3 8" xfId="18173"/>
    <cellStyle name="Normal 86 4 3 8 2" xfId="41458"/>
    <cellStyle name="Normal 86 4 3 9" xfId="23805"/>
    <cellStyle name="Normal 86 4 3 9 2" xfId="46094"/>
    <cellStyle name="Normal 86 4 4" xfId="2428"/>
    <cellStyle name="Normal 86 4 4 2" xfId="5662"/>
    <cellStyle name="Normal 86 4 4 2 2" xfId="7484"/>
    <cellStyle name="Normal 86 4 4 2 2 2" xfId="10815"/>
    <cellStyle name="Normal 86 4 4 2 2 2 2" xfId="17519"/>
    <cellStyle name="Normal 86 4 4 2 2 2 2 2" xfId="40940"/>
    <cellStyle name="Normal 86 4 4 2 2 2 3" xfId="23237"/>
    <cellStyle name="Normal 86 4 4 2 2 2 3 2" xfId="45659"/>
    <cellStyle name="Normal 86 4 4 2 2 2 4" xfId="34308"/>
    <cellStyle name="Normal 86 4 4 2 2 3" xfId="14203"/>
    <cellStyle name="Normal 86 4 4 2 2 3 2" xfId="37624"/>
    <cellStyle name="Normal 86 4 4 2 2 4" xfId="20412"/>
    <cellStyle name="Normal 86 4 4 2 2 4 2" xfId="42947"/>
    <cellStyle name="Normal 86 4 4 2 2 5" xfId="30992"/>
    <cellStyle name="Normal 86 4 4 2 3" xfId="9157"/>
    <cellStyle name="Normal 86 4 4 2 3 2" xfId="15861"/>
    <cellStyle name="Normal 86 4 4 2 3 2 2" xfId="39282"/>
    <cellStyle name="Normal 86 4 4 2 3 3" xfId="21522"/>
    <cellStyle name="Normal 86 4 4 2 3 3 2" xfId="43973"/>
    <cellStyle name="Normal 86 4 4 2 3 4" xfId="32650"/>
    <cellStyle name="Normal 86 4 4 2 4" xfId="12545"/>
    <cellStyle name="Normal 86 4 4 2 4 2" xfId="22425"/>
    <cellStyle name="Normal 86 4 4 2 4 2 2" xfId="44847"/>
    <cellStyle name="Normal 86 4 4 2 4 3" xfId="35966"/>
    <cellStyle name="Normal 86 4 4 2 5" xfId="19573"/>
    <cellStyle name="Normal 86 4 4 2 5 2" xfId="42115"/>
    <cellStyle name="Normal 86 4 4 2 6" xfId="29334"/>
    <cellStyle name="Normal 86 4 4 3" xfId="6584"/>
    <cellStyle name="Normal 86 4 4 3 2" xfId="9918"/>
    <cellStyle name="Normal 86 4 4 3 2 2" xfId="16622"/>
    <cellStyle name="Normal 86 4 4 3 2 2 2" xfId="40043"/>
    <cellStyle name="Normal 86 4 4 3 2 3" xfId="22832"/>
    <cellStyle name="Normal 86 4 4 3 2 3 2" xfId="45254"/>
    <cellStyle name="Normal 86 4 4 3 2 4" xfId="33411"/>
    <cellStyle name="Normal 86 4 4 3 3" xfId="13306"/>
    <cellStyle name="Normal 86 4 4 3 3 2" xfId="36727"/>
    <cellStyle name="Normal 86 4 4 3 4" xfId="19996"/>
    <cellStyle name="Normal 86 4 4 3 4 2" xfId="42531"/>
    <cellStyle name="Normal 86 4 4 3 5" xfId="30095"/>
    <cellStyle name="Normal 86 4 4 4" xfId="8251"/>
    <cellStyle name="Normal 86 4 4 4 2" xfId="14964"/>
    <cellStyle name="Normal 86 4 4 4 2 2" xfId="38385"/>
    <cellStyle name="Normal 86 4 4 4 3" xfId="21063"/>
    <cellStyle name="Normal 86 4 4 4 3 2" xfId="43514"/>
    <cellStyle name="Normal 86 4 4 4 4" xfId="31753"/>
    <cellStyle name="Normal 86 4 4 5" xfId="11646"/>
    <cellStyle name="Normal 86 4 4 5 2" xfId="22001"/>
    <cellStyle name="Normal 86 4 4 5 2 2" xfId="44433"/>
    <cellStyle name="Normal 86 4 4 5 3" xfId="35069"/>
    <cellStyle name="Normal 86 4 4 6" xfId="18897"/>
    <cellStyle name="Normal 86 4 4 6 2" xfId="41690"/>
    <cellStyle name="Normal 86 4 4 7" xfId="26033"/>
    <cellStyle name="Normal 86 4 4 7 2" xfId="48278"/>
    <cellStyle name="Normal 86 4 4 8" xfId="28437"/>
    <cellStyle name="Normal 86 4 5" xfId="2653"/>
    <cellStyle name="Normal 86 4 5 2" xfId="5746"/>
    <cellStyle name="Normal 86 4 5 2 2" xfId="7528"/>
    <cellStyle name="Normal 86 4 5 2 2 2" xfId="10857"/>
    <cellStyle name="Normal 86 4 5 2 2 2 2" xfId="17561"/>
    <cellStyle name="Normal 86 4 5 2 2 2 2 2" xfId="40982"/>
    <cellStyle name="Normal 86 4 5 2 2 2 3" xfId="34350"/>
    <cellStyle name="Normal 86 4 5 2 2 3" xfId="14245"/>
    <cellStyle name="Normal 86 4 5 2 2 3 2" xfId="37666"/>
    <cellStyle name="Normal 86 4 5 2 2 4" xfId="20660"/>
    <cellStyle name="Normal 86 4 5 2 2 4 2" xfId="43111"/>
    <cellStyle name="Normal 86 4 5 2 2 5" xfId="31034"/>
    <cellStyle name="Normal 86 4 5 2 3" xfId="9199"/>
    <cellStyle name="Normal 86 4 5 2 3 2" xfId="15903"/>
    <cellStyle name="Normal 86 4 5 2 3 2 2" xfId="39324"/>
    <cellStyle name="Normal 86 4 5 2 3 3" xfId="21578"/>
    <cellStyle name="Normal 86 4 5 2 3 3 2" xfId="44029"/>
    <cellStyle name="Normal 86 4 5 2 3 4" xfId="32692"/>
    <cellStyle name="Normal 86 4 5 2 4" xfId="12587"/>
    <cellStyle name="Normal 86 4 5 2 4 2" xfId="23032"/>
    <cellStyle name="Normal 86 4 5 2 4 2 2" xfId="45454"/>
    <cellStyle name="Normal 86 4 5 2 4 3" xfId="36008"/>
    <cellStyle name="Normal 86 4 5 2 5" xfId="20204"/>
    <cellStyle name="Normal 86 4 5 2 5 2" xfId="42739"/>
    <cellStyle name="Normal 86 4 5 2 6" xfId="29376"/>
    <cellStyle name="Normal 86 4 5 3" xfId="6629"/>
    <cellStyle name="Normal 86 4 5 3 2" xfId="9961"/>
    <cellStyle name="Normal 86 4 5 3 2 2" xfId="16665"/>
    <cellStyle name="Normal 86 4 5 3 2 2 2" xfId="40086"/>
    <cellStyle name="Normal 86 4 5 3 2 3" xfId="33454"/>
    <cellStyle name="Normal 86 4 5 3 3" xfId="13349"/>
    <cellStyle name="Normal 86 4 5 3 3 2" xfId="36770"/>
    <cellStyle name="Normal 86 4 5 3 4" xfId="20562"/>
    <cellStyle name="Normal 86 4 5 3 4 2" xfId="43015"/>
    <cellStyle name="Normal 86 4 5 3 5" xfId="30138"/>
    <cellStyle name="Normal 86 4 5 4" xfId="8295"/>
    <cellStyle name="Normal 86 4 5 4 2" xfId="15007"/>
    <cellStyle name="Normal 86 4 5 4 2 2" xfId="38428"/>
    <cellStyle name="Normal 86 4 5 4 3" xfId="21119"/>
    <cellStyle name="Normal 86 4 5 4 3 2" xfId="43570"/>
    <cellStyle name="Normal 86 4 5 4 4" xfId="31796"/>
    <cellStyle name="Normal 86 4 5 5" xfId="11689"/>
    <cellStyle name="Normal 86 4 5 5 2" xfId="22215"/>
    <cellStyle name="Normal 86 4 5 5 2 2" xfId="44639"/>
    <cellStyle name="Normal 86 4 5 5 3" xfId="35112"/>
    <cellStyle name="Normal 86 4 5 6" xfId="19354"/>
    <cellStyle name="Normal 86 4 5 6 2" xfId="41907"/>
    <cellStyle name="Normal 86 4 5 7" xfId="28480"/>
    <cellStyle name="Normal 86 4 6" xfId="4308"/>
    <cellStyle name="Normal 86 4 6 2" xfId="7186"/>
    <cellStyle name="Normal 86 4 6 2 2" xfId="10518"/>
    <cellStyle name="Normal 86 4 6 2 2 2" xfId="17222"/>
    <cellStyle name="Normal 86 4 6 2 2 2 2" xfId="40643"/>
    <cellStyle name="Normal 86 4 6 2 2 3" xfId="34011"/>
    <cellStyle name="Normal 86 4 6 2 3" xfId="13906"/>
    <cellStyle name="Normal 86 4 6 2 3 2" xfId="37327"/>
    <cellStyle name="Normal 86 4 6 2 4" xfId="20611"/>
    <cellStyle name="Normal 86 4 6 2 4 2" xfId="43062"/>
    <cellStyle name="Normal 86 4 6 2 5" xfId="30695"/>
    <cellStyle name="Normal 86 4 6 3" xfId="8853"/>
    <cellStyle name="Normal 86 4 6 3 2" xfId="15564"/>
    <cellStyle name="Normal 86 4 6 3 2 2" xfId="38985"/>
    <cellStyle name="Normal 86 4 6 3 3" xfId="21515"/>
    <cellStyle name="Normal 86 4 6 3 3 2" xfId="43966"/>
    <cellStyle name="Normal 86 4 6 3 4" xfId="32353"/>
    <cellStyle name="Normal 86 4 6 4" xfId="12246"/>
    <cellStyle name="Normal 86 4 6 4 2" xfId="22626"/>
    <cellStyle name="Normal 86 4 6 4 2 2" xfId="45048"/>
    <cellStyle name="Normal 86 4 6 4 3" xfId="35669"/>
    <cellStyle name="Normal 86 4 6 5" xfId="19786"/>
    <cellStyle name="Normal 86 4 6 5 2" xfId="42323"/>
    <cellStyle name="Normal 86 4 6 6" xfId="29037"/>
    <cellStyle name="Normal 86 4 7" xfId="6156"/>
    <cellStyle name="Normal 86 4 7 2" xfId="9490"/>
    <cellStyle name="Normal 86 4 7 2 2" xfId="16194"/>
    <cellStyle name="Normal 86 4 7 2 2 2" xfId="39615"/>
    <cellStyle name="Normal 86 4 7 2 3" xfId="32983"/>
    <cellStyle name="Normal 86 4 7 3" xfId="12878"/>
    <cellStyle name="Normal 86 4 7 3 2" xfId="36299"/>
    <cellStyle name="Normal 86 4 7 4" xfId="20513"/>
    <cellStyle name="Normal 86 4 7 4 2" xfId="42966"/>
    <cellStyle name="Normal 86 4 7 5" xfId="29667"/>
    <cellStyle name="Normal 86 4 8" xfId="7822"/>
    <cellStyle name="Normal 86 4 8 2" xfId="14536"/>
    <cellStyle name="Normal 86 4 8 2 2" xfId="37957"/>
    <cellStyle name="Normal 86 4 8 3" xfId="21056"/>
    <cellStyle name="Normal 86 4 8 3 2" xfId="43507"/>
    <cellStyle name="Normal 86 4 8 4" xfId="31325"/>
    <cellStyle name="Normal 86 4 9" xfId="11218"/>
    <cellStyle name="Normal 86 4 9 2" xfId="21776"/>
    <cellStyle name="Normal 86 4 9 2 2" xfId="44225"/>
    <cellStyle name="Normal 86 4 9 3" xfId="34641"/>
    <cellStyle name="Normal 86 5" xfId="1685"/>
    <cellStyle name="Normal 86 5 10" xfId="23806"/>
    <cellStyle name="Normal 86 5 10 2" xfId="46095"/>
    <cellStyle name="Normal 86 5 11" xfId="28099"/>
    <cellStyle name="Normal 86 5 2" xfId="1878"/>
    <cellStyle name="Normal 86 5 2 10" xfId="28230"/>
    <cellStyle name="Normal 86 5 2 2" xfId="2433"/>
    <cellStyle name="Normal 86 5 2 2 2" xfId="5667"/>
    <cellStyle name="Normal 86 5 2 2 2 2" xfId="7489"/>
    <cellStyle name="Normal 86 5 2 2 2 2 2" xfId="10820"/>
    <cellStyle name="Normal 86 5 2 2 2 2 2 2" xfId="17524"/>
    <cellStyle name="Normal 86 5 2 2 2 2 2 2 2" xfId="40945"/>
    <cellStyle name="Normal 86 5 2 2 2 2 2 3" xfId="23242"/>
    <cellStyle name="Normal 86 5 2 2 2 2 2 3 2" xfId="45664"/>
    <cellStyle name="Normal 86 5 2 2 2 2 2 4" xfId="34313"/>
    <cellStyle name="Normal 86 5 2 2 2 2 3" xfId="14208"/>
    <cellStyle name="Normal 86 5 2 2 2 2 3 2" xfId="37629"/>
    <cellStyle name="Normal 86 5 2 2 2 2 4" xfId="20417"/>
    <cellStyle name="Normal 86 5 2 2 2 2 4 2" xfId="42952"/>
    <cellStyle name="Normal 86 5 2 2 2 2 5" xfId="30997"/>
    <cellStyle name="Normal 86 5 2 2 2 3" xfId="9162"/>
    <cellStyle name="Normal 86 5 2 2 2 3 2" xfId="15866"/>
    <cellStyle name="Normal 86 5 2 2 2 3 2 2" xfId="39287"/>
    <cellStyle name="Normal 86 5 2 2 2 3 3" xfId="21525"/>
    <cellStyle name="Normal 86 5 2 2 2 3 3 2" xfId="43976"/>
    <cellStyle name="Normal 86 5 2 2 2 3 4" xfId="32655"/>
    <cellStyle name="Normal 86 5 2 2 2 4" xfId="12550"/>
    <cellStyle name="Normal 86 5 2 2 2 4 2" xfId="22430"/>
    <cellStyle name="Normal 86 5 2 2 2 4 2 2" xfId="44852"/>
    <cellStyle name="Normal 86 5 2 2 2 4 3" xfId="35971"/>
    <cellStyle name="Normal 86 5 2 2 2 5" xfId="19578"/>
    <cellStyle name="Normal 86 5 2 2 2 5 2" xfId="42120"/>
    <cellStyle name="Normal 86 5 2 2 2 6" xfId="29339"/>
    <cellStyle name="Normal 86 5 2 2 3" xfId="6589"/>
    <cellStyle name="Normal 86 5 2 2 3 2" xfId="9923"/>
    <cellStyle name="Normal 86 5 2 2 3 2 2" xfId="16627"/>
    <cellStyle name="Normal 86 5 2 2 3 2 2 2" xfId="40048"/>
    <cellStyle name="Normal 86 5 2 2 3 2 3" xfId="22837"/>
    <cellStyle name="Normal 86 5 2 2 3 2 3 2" xfId="45259"/>
    <cellStyle name="Normal 86 5 2 2 3 2 4" xfId="33416"/>
    <cellStyle name="Normal 86 5 2 2 3 3" xfId="13311"/>
    <cellStyle name="Normal 86 5 2 2 3 3 2" xfId="36732"/>
    <cellStyle name="Normal 86 5 2 2 3 4" xfId="20001"/>
    <cellStyle name="Normal 86 5 2 2 3 4 2" xfId="42536"/>
    <cellStyle name="Normal 86 5 2 2 3 5" xfId="30100"/>
    <cellStyle name="Normal 86 5 2 2 4" xfId="8256"/>
    <cellStyle name="Normal 86 5 2 2 4 2" xfId="14969"/>
    <cellStyle name="Normal 86 5 2 2 4 2 2" xfId="38390"/>
    <cellStyle name="Normal 86 5 2 2 4 3" xfId="21066"/>
    <cellStyle name="Normal 86 5 2 2 4 3 2" xfId="43517"/>
    <cellStyle name="Normal 86 5 2 2 4 4" xfId="31758"/>
    <cellStyle name="Normal 86 5 2 2 5" xfId="11651"/>
    <cellStyle name="Normal 86 5 2 2 5 2" xfId="22006"/>
    <cellStyle name="Normal 86 5 2 2 5 2 2" xfId="44438"/>
    <cellStyle name="Normal 86 5 2 2 5 3" xfId="35074"/>
    <cellStyle name="Normal 86 5 2 2 6" xfId="18902"/>
    <cellStyle name="Normal 86 5 2 2 6 2" xfId="41695"/>
    <cellStyle name="Normal 86 5 2 2 7" xfId="26038"/>
    <cellStyle name="Normal 86 5 2 2 7 2" xfId="48283"/>
    <cellStyle name="Normal 86 5 2 2 8" xfId="28442"/>
    <cellStyle name="Normal 86 5 2 3" xfId="2875"/>
    <cellStyle name="Normal 86 5 2 3 2" xfId="5967"/>
    <cellStyle name="Normal 86 5 2 3 2 2" xfId="7749"/>
    <cellStyle name="Normal 86 5 2 3 2 2 2" xfId="11078"/>
    <cellStyle name="Normal 86 5 2 3 2 2 2 2" xfId="17782"/>
    <cellStyle name="Normal 86 5 2 3 2 2 2 2 2" xfId="41203"/>
    <cellStyle name="Normal 86 5 2 3 2 2 2 3" xfId="34571"/>
    <cellStyle name="Normal 86 5 2 3 2 2 3" xfId="14466"/>
    <cellStyle name="Normal 86 5 2 3 2 2 3 2" xfId="37887"/>
    <cellStyle name="Normal 86 5 2 3 2 2 4" xfId="23037"/>
    <cellStyle name="Normal 86 5 2 3 2 2 4 2" xfId="45459"/>
    <cellStyle name="Normal 86 5 2 3 2 2 5" xfId="31255"/>
    <cellStyle name="Normal 86 5 2 3 2 3" xfId="9420"/>
    <cellStyle name="Normal 86 5 2 3 2 3 2" xfId="16124"/>
    <cellStyle name="Normal 86 5 2 3 2 3 2 2" xfId="39545"/>
    <cellStyle name="Normal 86 5 2 3 2 3 3" xfId="32913"/>
    <cellStyle name="Normal 86 5 2 3 2 4" xfId="12808"/>
    <cellStyle name="Normal 86 5 2 3 2 4 2" xfId="36229"/>
    <cellStyle name="Normal 86 5 2 3 2 5" xfId="20209"/>
    <cellStyle name="Normal 86 5 2 3 2 5 2" xfId="42744"/>
    <cellStyle name="Normal 86 5 2 3 2 6" xfId="29597"/>
    <cellStyle name="Normal 86 5 2 3 3" xfId="6850"/>
    <cellStyle name="Normal 86 5 2 3 3 2" xfId="10182"/>
    <cellStyle name="Normal 86 5 2 3 3 2 2" xfId="16886"/>
    <cellStyle name="Normal 86 5 2 3 3 2 2 2" xfId="40307"/>
    <cellStyle name="Normal 86 5 2 3 3 2 3" xfId="33675"/>
    <cellStyle name="Normal 86 5 2 3 3 3" xfId="13570"/>
    <cellStyle name="Normal 86 5 2 3 3 3 2" xfId="36991"/>
    <cellStyle name="Normal 86 5 2 3 3 4" xfId="21524"/>
    <cellStyle name="Normal 86 5 2 3 3 4 2" xfId="43975"/>
    <cellStyle name="Normal 86 5 2 3 3 5" xfId="30359"/>
    <cellStyle name="Normal 86 5 2 3 4" xfId="8516"/>
    <cellStyle name="Normal 86 5 2 3 4 2" xfId="15228"/>
    <cellStyle name="Normal 86 5 2 3 4 2 2" xfId="38649"/>
    <cellStyle name="Normal 86 5 2 3 4 3" xfId="22220"/>
    <cellStyle name="Normal 86 5 2 3 4 3 2" xfId="44644"/>
    <cellStyle name="Normal 86 5 2 3 4 4" xfId="32017"/>
    <cellStyle name="Normal 86 5 2 3 5" xfId="11910"/>
    <cellStyle name="Normal 86 5 2 3 5 2" xfId="35333"/>
    <cellStyle name="Normal 86 5 2 3 6" xfId="19359"/>
    <cellStyle name="Normal 86 5 2 3 6 2" xfId="41912"/>
    <cellStyle name="Normal 86 5 2 3 7" xfId="28701"/>
    <cellStyle name="Normal 86 5 2 4" xfId="4313"/>
    <cellStyle name="Normal 86 5 2 4 2" xfId="7191"/>
    <cellStyle name="Normal 86 5 2 4 2 2" xfId="10523"/>
    <cellStyle name="Normal 86 5 2 4 2 2 2" xfId="17227"/>
    <cellStyle name="Normal 86 5 2 4 2 2 2 2" xfId="40648"/>
    <cellStyle name="Normal 86 5 2 4 2 2 3" xfId="34016"/>
    <cellStyle name="Normal 86 5 2 4 2 3" xfId="13911"/>
    <cellStyle name="Normal 86 5 2 4 2 3 2" xfId="37332"/>
    <cellStyle name="Normal 86 5 2 4 2 4" xfId="22631"/>
    <cellStyle name="Normal 86 5 2 4 2 4 2" xfId="45053"/>
    <cellStyle name="Normal 86 5 2 4 2 5" xfId="30700"/>
    <cellStyle name="Normal 86 5 2 4 3" xfId="8858"/>
    <cellStyle name="Normal 86 5 2 4 3 2" xfId="15569"/>
    <cellStyle name="Normal 86 5 2 4 3 2 2" xfId="38990"/>
    <cellStyle name="Normal 86 5 2 4 3 3" xfId="32358"/>
    <cellStyle name="Normal 86 5 2 4 4" xfId="12251"/>
    <cellStyle name="Normal 86 5 2 4 4 2" xfId="35674"/>
    <cellStyle name="Normal 86 5 2 4 5" xfId="19791"/>
    <cellStyle name="Normal 86 5 2 4 5 2" xfId="42328"/>
    <cellStyle name="Normal 86 5 2 4 6" xfId="29042"/>
    <cellStyle name="Normal 86 5 2 5" xfId="6377"/>
    <cellStyle name="Normal 86 5 2 5 2" xfId="9711"/>
    <cellStyle name="Normal 86 5 2 5 2 2" xfId="16415"/>
    <cellStyle name="Normal 86 5 2 5 2 2 2" xfId="39836"/>
    <cellStyle name="Normal 86 5 2 5 2 3" xfId="33204"/>
    <cellStyle name="Normal 86 5 2 5 3" xfId="13099"/>
    <cellStyle name="Normal 86 5 2 5 3 2" xfId="36520"/>
    <cellStyle name="Normal 86 5 2 5 4" xfId="21065"/>
    <cellStyle name="Normal 86 5 2 5 4 2" xfId="43516"/>
    <cellStyle name="Normal 86 5 2 5 5" xfId="29888"/>
    <cellStyle name="Normal 86 5 2 6" xfId="8043"/>
    <cellStyle name="Normal 86 5 2 6 2" xfId="14757"/>
    <cellStyle name="Normal 86 5 2 6 2 2" xfId="38178"/>
    <cellStyle name="Normal 86 5 2 6 3" xfId="21781"/>
    <cellStyle name="Normal 86 5 2 6 3 2" xfId="44230"/>
    <cellStyle name="Normal 86 5 2 6 4" xfId="31546"/>
    <cellStyle name="Normal 86 5 2 7" xfId="11439"/>
    <cellStyle name="Normal 86 5 2 7 2" xfId="34862"/>
    <cellStyle name="Normal 86 5 2 8" xfId="18175"/>
    <cellStyle name="Normal 86 5 2 8 2" xfId="41460"/>
    <cellStyle name="Normal 86 5 2 9" xfId="23807"/>
    <cellStyle name="Normal 86 5 2 9 2" xfId="46096"/>
    <cellStyle name="Normal 86 5 3" xfId="2432"/>
    <cellStyle name="Normal 86 5 3 2" xfId="5666"/>
    <cellStyle name="Normal 86 5 3 2 2" xfId="7488"/>
    <cellStyle name="Normal 86 5 3 2 2 2" xfId="10819"/>
    <cellStyle name="Normal 86 5 3 2 2 2 2" xfId="17523"/>
    <cellStyle name="Normal 86 5 3 2 2 2 2 2" xfId="40944"/>
    <cellStyle name="Normal 86 5 3 2 2 2 3" xfId="23241"/>
    <cellStyle name="Normal 86 5 3 2 2 2 3 2" xfId="45663"/>
    <cellStyle name="Normal 86 5 3 2 2 2 4" xfId="34312"/>
    <cellStyle name="Normal 86 5 3 2 2 3" xfId="14207"/>
    <cellStyle name="Normal 86 5 3 2 2 3 2" xfId="37628"/>
    <cellStyle name="Normal 86 5 3 2 2 4" xfId="20416"/>
    <cellStyle name="Normal 86 5 3 2 2 4 2" xfId="42951"/>
    <cellStyle name="Normal 86 5 3 2 2 5" xfId="30996"/>
    <cellStyle name="Normal 86 5 3 2 3" xfId="9161"/>
    <cellStyle name="Normal 86 5 3 2 3 2" xfId="15865"/>
    <cellStyle name="Normal 86 5 3 2 3 2 2" xfId="39286"/>
    <cellStyle name="Normal 86 5 3 2 3 3" xfId="21526"/>
    <cellStyle name="Normal 86 5 3 2 3 3 2" xfId="43977"/>
    <cellStyle name="Normal 86 5 3 2 3 4" xfId="32654"/>
    <cellStyle name="Normal 86 5 3 2 4" xfId="12549"/>
    <cellStyle name="Normal 86 5 3 2 4 2" xfId="22429"/>
    <cellStyle name="Normal 86 5 3 2 4 2 2" xfId="44851"/>
    <cellStyle name="Normal 86 5 3 2 4 3" xfId="35970"/>
    <cellStyle name="Normal 86 5 3 2 5" xfId="19577"/>
    <cellStyle name="Normal 86 5 3 2 5 2" xfId="42119"/>
    <cellStyle name="Normal 86 5 3 2 6" xfId="29338"/>
    <cellStyle name="Normal 86 5 3 3" xfId="6588"/>
    <cellStyle name="Normal 86 5 3 3 2" xfId="9922"/>
    <cellStyle name="Normal 86 5 3 3 2 2" xfId="16626"/>
    <cellStyle name="Normal 86 5 3 3 2 2 2" xfId="40047"/>
    <cellStyle name="Normal 86 5 3 3 2 3" xfId="22836"/>
    <cellStyle name="Normal 86 5 3 3 2 3 2" xfId="45258"/>
    <cellStyle name="Normal 86 5 3 3 2 4" xfId="33415"/>
    <cellStyle name="Normal 86 5 3 3 3" xfId="13310"/>
    <cellStyle name="Normal 86 5 3 3 3 2" xfId="36731"/>
    <cellStyle name="Normal 86 5 3 3 4" xfId="20000"/>
    <cellStyle name="Normal 86 5 3 3 4 2" xfId="42535"/>
    <cellStyle name="Normal 86 5 3 3 5" xfId="30099"/>
    <cellStyle name="Normal 86 5 3 4" xfId="8255"/>
    <cellStyle name="Normal 86 5 3 4 2" xfId="14968"/>
    <cellStyle name="Normal 86 5 3 4 2 2" xfId="38389"/>
    <cellStyle name="Normal 86 5 3 4 3" xfId="21067"/>
    <cellStyle name="Normal 86 5 3 4 3 2" xfId="43518"/>
    <cellStyle name="Normal 86 5 3 4 4" xfId="31757"/>
    <cellStyle name="Normal 86 5 3 5" xfId="11650"/>
    <cellStyle name="Normal 86 5 3 5 2" xfId="22005"/>
    <cellStyle name="Normal 86 5 3 5 2 2" xfId="44437"/>
    <cellStyle name="Normal 86 5 3 5 3" xfId="35073"/>
    <cellStyle name="Normal 86 5 3 6" xfId="18901"/>
    <cellStyle name="Normal 86 5 3 6 2" xfId="41694"/>
    <cellStyle name="Normal 86 5 3 7" xfId="26037"/>
    <cellStyle name="Normal 86 5 3 7 2" xfId="48282"/>
    <cellStyle name="Normal 86 5 3 8" xfId="28441"/>
    <cellStyle name="Normal 86 5 4" xfId="2743"/>
    <cellStyle name="Normal 86 5 4 2" xfId="5836"/>
    <cellStyle name="Normal 86 5 4 2 2" xfId="7618"/>
    <cellStyle name="Normal 86 5 4 2 2 2" xfId="10947"/>
    <cellStyle name="Normal 86 5 4 2 2 2 2" xfId="17651"/>
    <cellStyle name="Normal 86 5 4 2 2 2 2 2" xfId="41072"/>
    <cellStyle name="Normal 86 5 4 2 2 2 3" xfId="34440"/>
    <cellStyle name="Normal 86 5 4 2 2 3" xfId="14335"/>
    <cellStyle name="Normal 86 5 4 2 2 3 2" xfId="37756"/>
    <cellStyle name="Normal 86 5 4 2 2 4" xfId="23036"/>
    <cellStyle name="Normal 86 5 4 2 2 4 2" xfId="45458"/>
    <cellStyle name="Normal 86 5 4 2 2 5" xfId="31124"/>
    <cellStyle name="Normal 86 5 4 2 3" xfId="9289"/>
    <cellStyle name="Normal 86 5 4 2 3 2" xfId="15993"/>
    <cellStyle name="Normal 86 5 4 2 3 2 2" xfId="39414"/>
    <cellStyle name="Normal 86 5 4 2 3 3" xfId="32782"/>
    <cellStyle name="Normal 86 5 4 2 4" xfId="12677"/>
    <cellStyle name="Normal 86 5 4 2 4 2" xfId="36098"/>
    <cellStyle name="Normal 86 5 4 2 5" xfId="20208"/>
    <cellStyle name="Normal 86 5 4 2 5 2" xfId="42743"/>
    <cellStyle name="Normal 86 5 4 2 6" xfId="29466"/>
    <cellStyle name="Normal 86 5 4 3" xfId="6719"/>
    <cellStyle name="Normal 86 5 4 3 2" xfId="10051"/>
    <cellStyle name="Normal 86 5 4 3 2 2" xfId="16755"/>
    <cellStyle name="Normal 86 5 4 3 2 2 2" xfId="40176"/>
    <cellStyle name="Normal 86 5 4 3 2 3" xfId="33544"/>
    <cellStyle name="Normal 86 5 4 3 3" xfId="13439"/>
    <cellStyle name="Normal 86 5 4 3 3 2" xfId="36860"/>
    <cellStyle name="Normal 86 5 4 3 4" xfId="21523"/>
    <cellStyle name="Normal 86 5 4 3 4 2" xfId="43974"/>
    <cellStyle name="Normal 86 5 4 3 5" xfId="30228"/>
    <cellStyle name="Normal 86 5 4 4" xfId="8385"/>
    <cellStyle name="Normal 86 5 4 4 2" xfId="15097"/>
    <cellStyle name="Normal 86 5 4 4 2 2" xfId="38518"/>
    <cellStyle name="Normal 86 5 4 4 3" xfId="22219"/>
    <cellStyle name="Normal 86 5 4 4 3 2" xfId="44643"/>
    <cellStyle name="Normal 86 5 4 4 4" xfId="31886"/>
    <cellStyle name="Normal 86 5 4 5" xfId="11779"/>
    <cellStyle name="Normal 86 5 4 5 2" xfId="35202"/>
    <cellStyle name="Normal 86 5 4 6" xfId="19358"/>
    <cellStyle name="Normal 86 5 4 6 2" xfId="41911"/>
    <cellStyle name="Normal 86 5 4 7" xfId="28570"/>
    <cellStyle name="Normal 86 5 5" xfId="4312"/>
    <cellStyle name="Normal 86 5 5 2" xfId="7190"/>
    <cellStyle name="Normal 86 5 5 2 2" xfId="10522"/>
    <cellStyle name="Normal 86 5 5 2 2 2" xfId="17226"/>
    <cellStyle name="Normal 86 5 5 2 2 2 2" xfId="40647"/>
    <cellStyle name="Normal 86 5 5 2 2 3" xfId="34015"/>
    <cellStyle name="Normal 86 5 5 2 3" xfId="13910"/>
    <cellStyle name="Normal 86 5 5 2 3 2" xfId="37331"/>
    <cellStyle name="Normal 86 5 5 2 4" xfId="22630"/>
    <cellStyle name="Normal 86 5 5 2 4 2" xfId="45052"/>
    <cellStyle name="Normal 86 5 5 2 5" xfId="30699"/>
    <cellStyle name="Normal 86 5 5 3" xfId="8857"/>
    <cellStyle name="Normal 86 5 5 3 2" xfId="15568"/>
    <cellStyle name="Normal 86 5 5 3 2 2" xfId="38989"/>
    <cellStyle name="Normal 86 5 5 3 3" xfId="32357"/>
    <cellStyle name="Normal 86 5 5 4" xfId="12250"/>
    <cellStyle name="Normal 86 5 5 4 2" xfId="35673"/>
    <cellStyle name="Normal 86 5 5 5" xfId="19790"/>
    <cellStyle name="Normal 86 5 5 5 2" xfId="42327"/>
    <cellStyle name="Normal 86 5 5 6" xfId="29041"/>
    <cellStyle name="Normal 86 5 6" xfId="6246"/>
    <cellStyle name="Normal 86 5 6 2" xfId="9580"/>
    <cellStyle name="Normal 86 5 6 2 2" xfId="16284"/>
    <cellStyle name="Normal 86 5 6 2 2 2" xfId="39705"/>
    <cellStyle name="Normal 86 5 6 2 3" xfId="33073"/>
    <cellStyle name="Normal 86 5 6 3" xfId="12968"/>
    <cellStyle name="Normal 86 5 6 3 2" xfId="36389"/>
    <cellStyle name="Normal 86 5 6 4" xfId="21064"/>
    <cellStyle name="Normal 86 5 6 4 2" xfId="43515"/>
    <cellStyle name="Normal 86 5 6 5" xfId="29757"/>
    <cellStyle name="Normal 86 5 7" xfId="7912"/>
    <cellStyle name="Normal 86 5 7 2" xfId="14626"/>
    <cellStyle name="Normal 86 5 7 2 2" xfId="38047"/>
    <cellStyle name="Normal 86 5 7 3" xfId="21780"/>
    <cellStyle name="Normal 86 5 7 3 2" xfId="44229"/>
    <cellStyle name="Normal 86 5 7 4" xfId="31415"/>
    <cellStyle name="Normal 86 5 8" xfId="11308"/>
    <cellStyle name="Normal 86 5 8 2" xfId="34731"/>
    <cellStyle name="Normal 86 5 9" xfId="18174"/>
    <cellStyle name="Normal 86 5 9 2" xfId="41459"/>
    <cellStyle name="Normal 86 6" xfId="1751"/>
    <cellStyle name="Normal 86 6 10" xfId="28104"/>
    <cellStyle name="Normal 86 6 2" xfId="2434"/>
    <cellStyle name="Normal 86 6 2 2" xfId="5668"/>
    <cellStyle name="Normal 86 6 2 2 2" xfId="7490"/>
    <cellStyle name="Normal 86 6 2 2 2 2" xfId="10821"/>
    <cellStyle name="Normal 86 6 2 2 2 2 2" xfId="17525"/>
    <cellStyle name="Normal 86 6 2 2 2 2 2 2" xfId="40946"/>
    <cellStyle name="Normal 86 6 2 2 2 2 3" xfId="23243"/>
    <cellStyle name="Normal 86 6 2 2 2 2 3 2" xfId="45665"/>
    <cellStyle name="Normal 86 6 2 2 2 2 4" xfId="34314"/>
    <cellStyle name="Normal 86 6 2 2 2 3" xfId="14209"/>
    <cellStyle name="Normal 86 6 2 2 2 3 2" xfId="37630"/>
    <cellStyle name="Normal 86 6 2 2 2 4" xfId="20418"/>
    <cellStyle name="Normal 86 6 2 2 2 4 2" xfId="42953"/>
    <cellStyle name="Normal 86 6 2 2 2 5" xfId="30998"/>
    <cellStyle name="Normal 86 6 2 2 3" xfId="9163"/>
    <cellStyle name="Normal 86 6 2 2 3 2" xfId="15867"/>
    <cellStyle name="Normal 86 6 2 2 3 2 2" xfId="39288"/>
    <cellStyle name="Normal 86 6 2 2 3 3" xfId="21528"/>
    <cellStyle name="Normal 86 6 2 2 3 3 2" xfId="43979"/>
    <cellStyle name="Normal 86 6 2 2 3 4" xfId="32656"/>
    <cellStyle name="Normal 86 6 2 2 4" xfId="12551"/>
    <cellStyle name="Normal 86 6 2 2 4 2" xfId="22431"/>
    <cellStyle name="Normal 86 6 2 2 4 2 2" xfId="44853"/>
    <cellStyle name="Normal 86 6 2 2 4 3" xfId="35972"/>
    <cellStyle name="Normal 86 6 2 2 5" xfId="19579"/>
    <cellStyle name="Normal 86 6 2 2 5 2" xfId="42121"/>
    <cellStyle name="Normal 86 6 2 2 6" xfId="29340"/>
    <cellStyle name="Normal 86 6 2 3" xfId="6590"/>
    <cellStyle name="Normal 86 6 2 3 2" xfId="9924"/>
    <cellStyle name="Normal 86 6 2 3 2 2" xfId="16628"/>
    <cellStyle name="Normal 86 6 2 3 2 2 2" xfId="40049"/>
    <cellStyle name="Normal 86 6 2 3 2 3" xfId="22838"/>
    <cellStyle name="Normal 86 6 2 3 2 3 2" xfId="45260"/>
    <cellStyle name="Normal 86 6 2 3 2 4" xfId="33417"/>
    <cellStyle name="Normal 86 6 2 3 3" xfId="13312"/>
    <cellStyle name="Normal 86 6 2 3 3 2" xfId="36733"/>
    <cellStyle name="Normal 86 6 2 3 4" xfId="20002"/>
    <cellStyle name="Normal 86 6 2 3 4 2" xfId="42537"/>
    <cellStyle name="Normal 86 6 2 3 5" xfId="30101"/>
    <cellStyle name="Normal 86 6 2 4" xfId="8257"/>
    <cellStyle name="Normal 86 6 2 4 2" xfId="14970"/>
    <cellStyle name="Normal 86 6 2 4 2 2" xfId="38391"/>
    <cellStyle name="Normal 86 6 2 4 3" xfId="21069"/>
    <cellStyle name="Normal 86 6 2 4 3 2" xfId="43520"/>
    <cellStyle name="Normal 86 6 2 4 4" xfId="31759"/>
    <cellStyle name="Normal 86 6 2 5" xfId="11652"/>
    <cellStyle name="Normal 86 6 2 5 2" xfId="22007"/>
    <cellStyle name="Normal 86 6 2 5 2 2" xfId="44439"/>
    <cellStyle name="Normal 86 6 2 5 3" xfId="35075"/>
    <cellStyle name="Normal 86 6 2 6" xfId="18903"/>
    <cellStyle name="Normal 86 6 2 6 2" xfId="41696"/>
    <cellStyle name="Normal 86 6 2 7" xfId="26039"/>
    <cellStyle name="Normal 86 6 2 7 2" xfId="48284"/>
    <cellStyle name="Normal 86 6 2 8" xfId="28443"/>
    <cellStyle name="Normal 86 6 3" xfId="2749"/>
    <cellStyle name="Normal 86 6 3 2" xfId="5841"/>
    <cellStyle name="Normal 86 6 3 2 2" xfId="7623"/>
    <cellStyle name="Normal 86 6 3 2 2 2" xfId="10952"/>
    <cellStyle name="Normal 86 6 3 2 2 2 2" xfId="17656"/>
    <cellStyle name="Normal 86 6 3 2 2 2 2 2" xfId="41077"/>
    <cellStyle name="Normal 86 6 3 2 2 2 3" xfId="34445"/>
    <cellStyle name="Normal 86 6 3 2 2 3" xfId="14340"/>
    <cellStyle name="Normal 86 6 3 2 2 3 2" xfId="37761"/>
    <cellStyle name="Normal 86 6 3 2 2 4" xfId="23038"/>
    <cellStyle name="Normal 86 6 3 2 2 4 2" xfId="45460"/>
    <cellStyle name="Normal 86 6 3 2 2 5" xfId="31129"/>
    <cellStyle name="Normal 86 6 3 2 3" xfId="9294"/>
    <cellStyle name="Normal 86 6 3 2 3 2" xfId="15998"/>
    <cellStyle name="Normal 86 6 3 2 3 2 2" xfId="39419"/>
    <cellStyle name="Normal 86 6 3 2 3 3" xfId="32787"/>
    <cellStyle name="Normal 86 6 3 2 4" xfId="12682"/>
    <cellStyle name="Normal 86 6 3 2 4 2" xfId="36103"/>
    <cellStyle name="Normal 86 6 3 2 5" xfId="20210"/>
    <cellStyle name="Normal 86 6 3 2 5 2" xfId="42745"/>
    <cellStyle name="Normal 86 6 3 2 6" xfId="29471"/>
    <cellStyle name="Normal 86 6 3 3" xfId="6724"/>
    <cellStyle name="Normal 86 6 3 3 2" xfId="10056"/>
    <cellStyle name="Normal 86 6 3 3 2 2" xfId="16760"/>
    <cellStyle name="Normal 86 6 3 3 2 2 2" xfId="40181"/>
    <cellStyle name="Normal 86 6 3 3 2 3" xfId="33549"/>
    <cellStyle name="Normal 86 6 3 3 3" xfId="13444"/>
    <cellStyle name="Normal 86 6 3 3 3 2" xfId="36865"/>
    <cellStyle name="Normal 86 6 3 3 4" xfId="21527"/>
    <cellStyle name="Normal 86 6 3 3 4 2" xfId="43978"/>
    <cellStyle name="Normal 86 6 3 3 5" xfId="30233"/>
    <cellStyle name="Normal 86 6 3 4" xfId="8390"/>
    <cellStyle name="Normal 86 6 3 4 2" xfId="15102"/>
    <cellStyle name="Normal 86 6 3 4 2 2" xfId="38523"/>
    <cellStyle name="Normal 86 6 3 4 3" xfId="22221"/>
    <cellStyle name="Normal 86 6 3 4 3 2" xfId="44645"/>
    <cellStyle name="Normal 86 6 3 4 4" xfId="31891"/>
    <cellStyle name="Normal 86 6 3 5" xfId="11784"/>
    <cellStyle name="Normal 86 6 3 5 2" xfId="35207"/>
    <cellStyle name="Normal 86 6 3 6" xfId="19360"/>
    <cellStyle name="Normal 86 6 3 6 2" xfId="41913"/>
    <cellStyle name="Normal 86 6 3 7" xfId="28575"/>
    <cellStyle name="Normal 86 6 4" xfId="4314"/>
    <cellStyle name="Normal 86 6 4 2" xfId="7192"/>
    <cellStyle name="Normal 86 6 4 2 2" xfId="10524"/>
    <cellStyle name="Normal 86 6 4 2 2 2" xfId="17228"/>
    <cellStyle name="Normal 86 6 4 2 2 2 2" xfId="40649"/>
    <cellStyle name="Normal 86 6 4 2 2 3" xfId="34017"/>
    <cellStyle name="Normal 86 6 4 2 3" xfId="13912"/>
    <cellStyle name="Normal 86 6 4 2 3 2" xfId="37333"/>
    <cellStyle name="Normal 86 6 4 2 4" xfId="22632"/>
    <cellStyle name="Normal 86 6 4 2 4 2" xfId="45054"/>
    <cellStyle name="Normal 86 6 4 2 5" xfId="30701"/>
    <cellStyle name="Normal 86 6 4 3" xfId="8859"/>
    <cellStyle name="Normal 86 6 4 3 2" xfId="15570"/>
    <cellStyle name="Normal 86 6 4 3 2 2" xfId="38991"/>
    <cellStyle name="Normal 86 6 4 3 3" xfId="32359"/>
    <cellStyle name="Normal 86 6 4 4" xfId="12252"/>
    <cellStyle name="Normal 86 6 4 4 2" xfId="35675"/>
    <cellStyle name="Normal 86 6 4 5" xfId="19792"/>
    <cellStyle name="Normal 86 6 4 5 2" xfId="42329"/>
    <cellStyle name="Normal 86 6 4 6" xfId="29043"/>
    <cellStyle name="Normal 86 6 5" xfId="6251"/>
    <cellStyle name="Normal 86 6 5 2" xfId="9585"/>
    <cellStyle name="Normal 86 6 5 2 2" xfId="16289"/>
    <cellStyle name="Normal 86 6 5 2 2 2" xfId="39710"/>
    <cellStyle name="Normal 86 6 5 2 3" xfId="33078"/>
    <cellStyle name="Normal 86 6 5 3" xfId="12973"/>
    <cellStyle name="Normal 86 6 5 3 2" xfId="36394"/>
    <cellStyle name="Normal 86 6 5 4" xfId="21068"/>
    <cellStyle name="Normal 86 6 5 4 2" xfId="43519"/>
    <cellStyle name="Normal 86 6 5 5" xfId="29762"/>
    <cellStyle name="Normal 86 6 6" xfId="7917"/>
    <cellStyle name="Normal 86 6 6 2" xfId="14631"/>
    <cellStyle name="Normal 86 6 6 2 2" xfId="38052"/>
    <cellStyle name="Normal 86 6 6 3" xfId="21782"/>
    <cellStyle name="Normal 86 6 6 3 2" xfId="44231"/>
    <cellStyle name="Normal 86 6 6 4" xfId="31420"/>
    <cellStyle name="Normal 86 6 7" xfId="11313"/>
    <cellStyle name="Normal 86 6 7 2" xfId="34736"/>
    <cellStyle name="Normal 86 6 8" xfId="18176"/>
    <cellStyle name="Normal 86 6 8 2" xfId="41461"/>
    <cellStyle name="Normal 86 6 9" xfId="23808"/>
    <cellStyle name="Normal 86 6 9 2" xfId="46097"/>
    <cellStyle name="Normal 86 7" xfId="2418"/>
    <cellStyle name="Normal 86 7 2" xfId="4315"/>
    <cellStyle name="Normal 86 7 2 2" xfId="7193"/>
    <cellStyle name="Normal 86 7 2 2 2" xfId="10525"/>
    <cellStyle name="Normal 86 7 2 2 2 2" xfId="17229"/>
    <cellStyle name="Normal 86 7 2 2 2 2 2" xfId="40650"/>
    <cellStyle name="Normal 86 7 2 2 2 3" xfId="23228"/>
    <cellStyle name="Normal 86 7 2 2 2 3 2" xfId="45650"/>
    <cellStyle name="Normal 86 7 2 2 2 4" xfId="34018"/>
    <cellStyle name="Normal 86 7 2 2 3" xfId="13913"/>
    <cellStyle name="Normal 86 7 2 2 3 2" xfId="37334"/>
    <cellStyle name="Normal 86 7 2 2 4" xfId="20403"/>
    <cellStyle name="Normal 86 7 2 2 4 2" xfId="42938"/>
    <cellStyle name="Normal 86 7 2 2 5" xfId="30702"/>
    <cellStyle name="Normal 86 7 2 3" xfId="8860"/>
    <cellStyle name="Normal 86 7 2 3 2" xfId="15571"/>
    <cellStyle name="Normal 86 7 2 3 2 2" xfId="38992"/>
    <cellStyle name="Normal 86 7 2 3 3" xfId="21529"/>
    <cellStyle name="Normal 86 7 2 3 3 2" xfId="43980"/>
    <cellStyle name="Normal 86 7 2 3 4" xfId="32360"/>
    <cellStyle name="Normal 86 7 2 4" xfId="12253"/>
    <cellStyle name="Normal 86 7 2 4 2" xfId="22416"/>
    <cellStyle name="Normal 86 7 2 4 2 2" xfId="44838"/>
    <cellStyle name="Normal 86 7 2 4 3" xfId="35676"/>
    <cellStyle name="Normal 86 7 2 5" xfId="19564"/>
    <cellStyle name="Normal 86 7 2 5 2" xfId="42106"/>
    <cellStyle name="Normal 86 7 2 6" xfId="26040"/>
    <cellStyle name="Normal 86 7 2 6 2" xfId="48285"/>
    <cellStyle name="Normal 86 7 2 7" xfId="29044"/>
    <cellStyle name="Normal 86 7 3" xfId="6575"/>
    <cellStyle name="Normal 86 7 3 2" xfId="9909"/>
    <cellStyle name="Normal 86 7 3 2 2" xfId="16613"/>
    <cellStyle name="Normal 86 7 3 2 2 2" xfId="40034"/>
    <cellStyle name="Normal 86 7 3 2 3" xfId="22823"/>
    <cellStyle name="Normal 86 7 3 2 3 2" xfId="45245"/>
    <cellStyle name="Normal 86 7 3 2 4" xfId="33402"/>
    <cellStyle name="Normal 86 7 3 3" xfId="13297"/>
    <cellStyle name="Normal 86 7 3 3 2" xfId="36718"/>
    <cellStyle name="Normal 86 7 3 4" xfId="19987"/>
    <cellStyle name="Normal 86 7 3 4 2" xfId="42522"/>
    <cellStyle name="Normal 86 7 3 5" xfId="30086"/>
    <cellStyle name="Normal 86 7 4" xfId="8242"/>
    <cellStyle name="Normal 86 7 4 2" xfId="14955"/>
    <cellStyle name="Normal 86 7 4 2 2" xfId="38376"/>
    <cellStyle name="Normal 86 7 4 3" xfId="21070"/>
    <cellStyle name="Normal 86 7 4 3 2" xfId="43521"/>
    <cellStyle name="Normal 86 7 4 4" xfId="31744"/>
    <cellStyle name="Normal 86 7 5" xfId="11637"/>
    <cellStyle name="Normal 86 7 5 2" xfId="21992"/>
    <cellStyle name="Normal 86 7 5 2 2" xfId="44424"/>
    <cellStyle name="Normal 86 7 5 3" xfId="35060"/>
    <cellStyle name="Normal 86 7 6" xfId="18887"/>
    <cellStyle name="Normal 86 7 6 2" xfId="41681"/>
    <cellStyle name="Normal 86 7 7" xfId="23809"/>
    <cellStyle name="Normal 86 7 7 2" xfId="46098"/>
    <cellStyle name="Normal 86 7 8" xfId="28428"/>
    <cellStyle name="Normal 86 8" xfId="2616"/>
    <cellStyle name="Normal 86 8 2" xfId="5710"/>
    <cellStyle name="Normal 86 8 2 2" xfId="7493"/>
    <cellStyle name="Normal 86 8 2 2 2" xfId="10822"/>
    <cellStyle name="Normal 86 8 2 2 2 2" xfId="17526"/>
    <cellStyle name="Normal 86 8 2 2 2 2 2" xfId="40947"/>
    <cellStyle name="Normal 86 8 2 2 2 3" xfId="34315"/>
    <cellStyle name="Normal 86 8 2 2 3" xfId="14210"/>
    <cellStyle name="Normal 86 8 2 2 3 2" xfId="37631"/>
    <cellStyle name="Normal 86 8 2 2 4" xfId="20657"/>
    <cellStyle name="Normal 86 8 2 2 4 2" xfId="43108"/>
    <cellStyle name="Normal 86 8 2 2 5" xfId="30999"/>
    <cellStyle name="Normal 86 8 2 3" xfId="9164"/>
    <cellStyle name="Normal 86 8 2 3 2" xfId="15868"/>
    <cellStyle name="Normal 86 8 2 3 2 2" xfId="39289"/>
    <cellStyle name="Normal 86 8 2 3 3" xfId="21575"/>
    <cellStyle name="Normal 86 8 2 3 3 2" xfId="44026"/>
    <cellStyle name="Normal 86 8 2 3 4" xfId="32657"/>
    <cellStyle name="Normal 86 8 2 4" xfId="12552"/>
    <cellStyle name="Normal 86 8 2 4 2" xfId="23023"/>
    <cellStyle name="Normal 86 8 2 4 2 2" xfId="45445"/>
    <cellStyle name="Normal 86 8 2 4 3" xfId="35973"/>
    <cellStyle name="Normal 86 8 2 5" xfId="20195"/>
    <cellStyle name="Normal 86 8 2 5 2" xfId="42730"/>
    <cellStyle name="Normal 86 8 2 6" xfId="29341"/>
    <cellStyle name="Normal 86 8 3" xfId="6593"/>
    <cellStyle name="Normal 86 8 3 2" xfId="9925"/>
    <cellStyle name="Normal 86 8 3 2 2" xfId="16629"/>
    <cellStyle name="Normal 86 8 3 2 2 2" xfId="40050"/>
    <cellStyle name="Normal 86 8 3 2 3" xfId="33418"/>
    <cellStyle name="Normal 86 8 3 3" xfId="13313"/>
    <cellStyle name="Normal 86 8 3 3 2" xfId="36734"/>
    <cellStyle name="Normal 86 8 3 4" xfId="20559"/>
    <cellStyle name="Normal 86 8 3 4 2" xfId="43012"/>
    <cellStyle name="Normal 86 8 3 5" xfId="30102"/>
    <cellStyle name="Normal 86 8 4" xfId="8259"/>
    <cellStyle name="Normal 86 8 4 2" xfId="14971"/>
    <cellStyle name="Normal 86 8 4 2 2" xfId="38392"/>
    <cellStyle name="Normal 86 8 4 3" xfId="21116"/>
    <cellStyle name="Normal 86 8 4 3 2" xfId="43567"/>
    <cellStyle name="Normal 86 8 4 4" xfId="31760"/>
    <cellStyle name="Normal 86 8 5" xfId="11653"/>
    <cellStyle name="Normal 86 8 5 2" xfId="22206"/>
    <cellStyle name="Normal 86 8 5 2 2" xfId="44630"/>
    <cellStyle name="Normal 86 8 5 3" xfId="35076"/>
    <cellStyle name="Normal 86 8 6" xfId="19345"/>
    <cellStyle name="Normal 86 8 6 2" xfId="41898"/>
    <cellStyle name="Normal 86 8 7" xfId="28444"/>
    <cellStyle name="Normal 86 9" xfId="6120"/>
    <cellStyle name="Normal 86 9 2" xfId="9454"/>
    <cellStyle name="Normal 86 9 2 2" xfId="16158"/>
    <cellStyle name="Normal 86 9 2 2 2" xfId="39579"/>
    <cellStyle name="Normal 86 9 2 3" xfId="20608"/>
    <cellStyle name="Normal 86 9 2 3 2" xfId="43059"/>
    <cellStyle name="Normal 86 9 2 4" xfId="32947"/>
    <cellStyle name="Normal 86 9 3" xfId="12842"/>
    <cellStyle name="Normal 86 9 3 2" xfId="21498"/>
    <cellStyle name="Normal 86 9 3 2 2" xfId="43949"/>
    <cellStyle name="Normal 86 9 3 3" xfId="36263"/>
    <cellStyle name="Normal 86 9 4" xfId="19777"/>
    <cellStyle name="Normal 86 9 4 2" xfId="42314"/>
    <cellStyle name="Normal 86 9 5" xfId="29631"/>
    <cellStyle name="Normal 87" xfId="1065"/>
    <cellStyle name="Normal 87 2" xfId="18904"/>
    <cellStyle name="Normal 88" xfId="1169"/>
    <cellStyle name="Normal 88 2" xfId="4317"/>
    <cellStyle name="Normal 88 3" xfId="4316"/>
    <cellStyle name="Normal 89" xfId="1217"/>
    <cellStyle name="Normal 89 2" xfId="4319"/>
    <cellStyle name="Normal 89 3" xfId="4318"/>
    <cellStyle name="Normal 9" xfId="582"/>
    <cellStyle name="Normal 9 2" xfId="583"/>
    <cellStyle name="Normal 9 2 2" xfId="4320"/>
    <cellStyle name="Normal 9 3" xfId="1690"/>
    <cellStyle name="Normal 9 3 2" xfId="4322"/>
    <cellStyle name="Normal 9 3 2 2" xfId="18906"/>
    <cellStyle name="Normal 9 3 3" xfId="4323"/>
    <cellStyle name="Normal 9 3 4" xfId="4324"/>
    <cellStyle name="Normal 9 3 5" xfId="4321"/>
    <cellStyle name="Normal 9 4" xfId="1689"/>
    <cellStyle name="Normal 9 4 2" xfId="4326"/>
    <cellStyle name="Normal 9 4 3" xfId="4325"/>
    <cellStyle name="Normal 9 5" xfId="18905"/>
    <cellStyle name="Normal 9 5 2" xfId="22008"/>
    <cellStyle name="Normal 9 5 3" xfId="18158"/>
    <cellStyle name="Normal 90" xfId="1220"/>
    <cellStyle name="Normal 90 2" xfId="4328"/>
    <cellStyle name="Normal 90 3" xfId="4327"/>
    <cellStyle name="Normal 91" xfId="1067"/>
    <cellStyle name="Normal 91 2" xfId="18907"/>
    <cellStyle name="Normal 91 3" xfId="23368"/>
    <cellStyle name="Normal 92" xfId="1059"/>
    <cellStyle name="Normal 92 2" xfId="18908"/>
    <cellStyle name="Normal 92 3" xfId="23296"/>
    <cellStyle name="Normal 93" xfId="1064"/>
    <cellStyle name="Normal 93 2" xfId="18909"/>
    <cellStyle name="Normal 93 2 2" xfId="24386"/>
    <cellStyle name="Normal 94" xfId="1063"/>
    <cellStyle name="Normal 94 2" xfId="18910"/>
    <cellStyle name="Normal 94 2 2" xfId="26590"/>
    <cellStyle name="Normal 94 2 2 2" xfId="48835"/>
    <cellStyle name="Normal 94 2 3" xfId="24387"/>
    <cellStyle name="Normal 94 2 3 2" xfId="46632"/>
    <cellStyle name="Normal 95" xfId="1221"/>
    <cellStyle name="Normal 95 2" xfId="18911"/>
    <cellStyle name="Normal 96" xfId="1224"/>
    <cellStyle name="Normal 96 2" xfId="18912"/>
    <cellStyle name="Normal 97" xfId="1225"/>
    <cellStyle name="Normal 97 2" xfId="18913"/>
    <cellStyle name="Normal 98" xfId="1226"/>
    <cellStyle name="Normal 98 2" xfId="18914"/>
    <cellStyle name="Normal 99" xfId="1227"/>
    <cellStyle name="Normal 99 2" xfId="18915"/>
    <cellStyle name="Normal Bold" xfId="584"/>
    <cellStyle name="Normal Bold 2" xfId="4329"/>
    <cellStyle name="Normal Bold 3" xfId="5051"/>
    <cellStyle name="Normal_AMCCBLSH" xfId="49"/>
    <cellStyle name="Normal_Book3" xfId="50"/>
    <cellStyle name="Normal_DisclaimerSheet Samples" xfId="50293"/>
    <cellStyle name="Normal_intc(1).o" xfId="51"/>
    <cellStyle name="Normal_LSI Modelware_021111" xfId="52"/>
    <cellStyle name="Normale_Immat gennaio 1996" xfId="23369"/>
    <cellStyle name="NormalItalic" xfId="4330"/>
    <cellStyle name="Note" xfId="53" builtinId="10" customBuiltin="1"/>
    <cellStyle name="Note 10" xfId="2439"/>
    <cellStyle name="Note 10 2" xfId="4332"/>
    <cellStyle name="Note 10 2 2" xfId="18917"/>
    <cellStyle name="Note 10 3" xfId="18916"/>
    <cellStyle name="Note 11" xfId="4333"/>
    <cellStyle name="Note 11 2" xfId="4334"/>
    <cellStyle name="Note 12" xfId="4335"/>
    <cellStyle name="Note 12 2" xfId="4336"/>
    <cellStyle name="Note 13" xfId="4337"/>
    <cellStyle name="Note 13 2" xfId="4338"/>
    <cellStyle name="Note 14" xfId="4331"/>
    <cellStyle name="Note 15" xfId="6107"/>
    <cellStyle name="Note 15 2" xfId="7773"/>
    <cellStyle name="Note 15 2 2" xfId="11102"/>
    <cellStyle name="Note 15 2 2 2" xfId="17806"/>
    <cellStyle name="Note 15 2 2 2 2" xfId="41227"/>
    <cellStyle name="Note 15 2 2 3" xfId="34595"/>
    <cellStyle name="Note 15 2 3" xfId="14490"/>
    <cellStyle name="Note 15 2 3 2" xfId="37911"/>
    <cellStyle name="Note 15 2 4" xfId="31279"/>
    <cellStyle name="Note 15 3" xfId="9444"/>
    <cellStyle name="Note 15 3 2" xfId="16148"/>
    <cellStyle name="Note 15 3 2 2" xfId="39569"/>
    <cellStyle name="Note 15 3 3" xfId="32937"/>
    <cellStyle name="Note 15 4" xfId="12832"/>
    <cellStyle name="Note 15 4 2" xfId="36253"/>
    <cellStyle name="Note 15 5" xfId="29621"/>
    <cellStyle name="Note 2" xfId="585"/>
    <cellStyle name="Note 2 2" xfId="586"/>
    <cellStyle name="Note 2 2 2" xfId="587"/>
    <cellStyle name="Note 2 2 2 2" xfId="4339"/>
    <cellStyle name="Note 2 2 3" xfId="1692"/>
    <cellStyle name="Note 2 2 3 2" xfId="18918"/>
    <cellStyle name="Note 2 2 4" xfId="1691"/>
    <cellStyle name="Note 2 2 4 2" xfId="2442"/>
    <cellStyle name="Note 2 2 4 3" xfId="2441"/>
    <cellStyle name="Note 2 2 4 4" xfId="5396"/>
    <cellStyle name="Note 2 2 5" xfId="2440"/>
    <cellStyle name="Note 2 3" xfId="588"/>
    <cellStyle name="Note 2 3 2" xfId="4341"/>
    <cellStyle name="Note 2 3 3" xfId="4342"/>
    <cellStyle name="Note 2 3 4" xfId="4340"/>
    <cellStyle name="Note 2 4" xfId="4343"/>
    <cellStyle name="Note 2 4 2" xfId="23818"/>
    <cellStyle name="Note 2 4 3" xfId="23267"/>
    <cellStyle name="Note 3" xfId="589"/>
    <cellStyle name="Note 3 2" xfId="802"/>
    <cellStyle name="Note 3 2 2" xfId="5273"/>
    <cellStyle name="Note 3 3" xfId="5309"/>
    <cellStyle name="Note 4" xfId="927"/>
    <cellStyle name="Note 4 2" xfId="928"/>
    <cellStyle name="Note 4 2 2" xfId="4344"/>
    <cellStyle name="Note 4 2 2 2" xfId="5680"/>
    <cellStyle name="Note 4 2 2 2 2" xfId="23817"/>
    <cellStyle name="Note 4 3" xfId="4345"/>
    <cellStyle name="Note 4 3 2" xfId="6029"/>
    <cellStyle name="Note 4 3 2 2" xfId="23816"/>
    <cellStyle name="Note 5" xfId="929"/>
    <cellStyle name="Note 5 2" xfId="930"/>
    <cellStyle name="Note 5 2 2" xfId="5685"/>
    <cellStyle name="Note 5 3" xfId="5442"/>
    <cellStyle name="Note 5 4" xfId="24385"/>
    <cellStyle name="Note 5 4 2" xfId="26589"/>
    <cellStyle name="Note 5 4 2 2" xfId="48834"/>
    <cellStyle name="Note 5 4 3" xfId="46631"/>
    <cellStyle name="Note 6" xfId="1137"/>
    <cellStyle name="Note 6 2" xfId="1138"/>
    <cellStyle name="Note 6 2 2" xfId="5687"/>
    <cellStyle name="Note 6 3" xfId="6021"/>
    <cellStyle name="Note 7" xfId="1139"/>
    <cellStyle name="Note 7 2" xfId="1374"/>
    <cellStyle name="Note 7 2 2" xfId="5212"/>
    <cellStyle name="Note 7 3" xfId="4346"/>
    <cellStyle name="Note 8" xfId="2444"/>
    <cellStyle name="Note 8 2" xfId="2445"/>
    <cellStyle name="Note 8 2 2" xfId="18180"/>
    <cellStyle name="Note 8 2 2 2" xfId="18921"/>
    <cellStyle name="Note 8 2 3" xfId="18920"/>
    <cellStyle name="Note 8 3" xfId="2446"/>
    <cellStyle name="Note 8 3 2" xfId="18181"/>
    <cellStyle name="Note 8 3 2 2" xfId="18923"/>
    <cellStyle name="Note 8 3 3" xfId="18922"/>
    <cellStyle name="Note 8 4" xfId="18182"/>
    <cellStyle name="Note 8 4 2" xfId="18924"/>
    <cellStyle name="Note 8 5" xfId="18919"/>
    <cellStyle name="Note 9" xfId="2447"/>
    <cellStyle name="Note 9 2" xfId="4347"/>
    <cellStyle name="Note 9 2 2" xfId="18926"/>
    <cellStyle name="Note 9 3" xfId="18925"/>
    <cellStyle name="Notes" xfId="5052"/>
    <cellStyle name="num,nodecpts" xfId="5053"/>
    <cellStyle name="number" xfId="590"/>
    <cellStyle name="number 2" xfId="1141"/>
    <cellStyle name="Number 2 10" xfId="2443"/>
    <cellStyle name="number 2 11" xfId="5324"/>
    <cellStyle name="number 2 12" xfId="6002"/>
    <cellStyle name="Number 2 13" xfId="4348"/>
    <cellStyle name="Number 2 14" xfId="6059"/>
    <cellStyle name="Number 2 15" xfId="6070"/>
    <cellStyle name="Number 2 16" xfId="4640"/>
    <cellStyle name="Number 2 17" xfId="6071"/>
    <cellStyle name="Number 2 18" xfId="23810"/>
    <cellStyle name="Number 2 19" xfId="23815"/>
    <cellStyle name="number 2 2" xfId="1694"/>
    <cellStyle name="Number 2 2 2" xfId="5169"/>
    <cellStyle name="Number 2 3" xfId="1693"/>
    <cellStyle name="Number 2 4" xfId="1568"/>
    <cellStyle name="Number 2 5" xfId="1684"/>
    <cellStyle name="Number 2 6" xfId="2448"/>
    <cellStyle name="Number 2 6 2" xfId="5669"/>
    <cellStyle name="number 2 6 3" xfId="4349"/>
    <cellStyle name="number 2 6 4" xfId="6060"/>
    <cellStyle name="number 2 6 5" xfId="2995"/>
    <cellStyle name="number 2 6 6" xfId="6069"/>
    <cellStyle name="number 2 6 7" xfId="4488"/>
    <cellStyle name="number 2 6 8" xfId="23811"/>
    <cellStyle name="number 2 6 9" xfId="23342"/>
    <cellStyle name="Number 2 7" xfId="1975"/>
    <cellStyle name="Number 2 8" xfId="2415"/>
    <cellStyle name="Number 2 9" xfId="2042"/>
    <cellStyle name="Number 3" xfId="1140"/>
    <cellStyle name="Number 4" xfId="1296"/>
    <cellStyle name="Number 5" xfId="1522"/>
    <cellStyle name="Number 6" xfId="1695"/>
    <cellStyle name="Number 7" xfId="1696"/>
    <cellStyle name="Number 8" xfId="1697"/>
    <cellStyle name="Number 9" xfId="6113"/>
    <cellStyle name="Numbers" xfId="5054"/>
    <cellStyle name="Numbers [0]" xfId="5055"/>
    <cellStyle name="Œ…‹æØ‚è [0.00]_GE 3 MINIMUM" xfId="591"/>
    <cellStyle name="Œ…‹æØ‚è_GE 3 MINIMUM" xfId="592"/>
    <cellStyle name="Onedec_FT Valuation " xfId="54"/>
    <cellStyle name="OneDecimal" xfId="4350"/>
    <cellStyle name="Other%" xfId="4351"/>
    <cellStyle name="outh America" xfId="593"/>
    <cellStyle name="Output" xfId="55" builtinId="21" customBuiltin="1"/>
    <cellStyle name="Output 2" xfId="594"/>
    <cellStyle name="Output 3" xfId="1142"/>
    <cellStyle name="Output 3 2" xfId="4354"/>
    <cellStyle name="Output 3 3" xfId="4353"/>
    <cellStyle name="Output 3 4" xfId="23317"/>
    <cellStyle name="Output 4" xfId="4352"/>
    <cellStyle name="Output 5" xfId="6081"/>
    <cellStyle name="Override" xfId="5056"/>
    <cellStyle name="p " xfId="56"/>
    <cellStyle name="Pass" xfId="595"/>
    <cellStyle name="Pass 2" xfId="931"/>
    <cellStyle name="Pass 2 2" xfId="4356"/>
    <cellStyle name="Pass 2 3" xfId="4357"/>
    <cellStyle name="Pass 2 4" xfId="4355"/>
    <cellStyle name="Pass 3" xfId="2303"/>
    <cellStyle name="Pec (2dec,fs)" xfId="5057"/>
    <cellStyle name="Percent" xfId="57" builtinId="5"/>
    <cellStyle name="Percent (1)" xfId="4359"/>
    <cellStyle name="Percent [2]" xfId="596"/>
    <cellStyle name="Percent [2] 10" xfId="50280"/>
    <cellStyle name="Percent [2] 10 2" xfId="50281"/>
    <cellStyle name="Percent [2] 2" xfId="597"/>
    <cellStyle name="Percent [2] 2 2" xfId="598"/>
    <cellStyle name="Percent [2] 2 2 2" xfId="599"/>
    <cellStyle name="Percent [2] 2 2 2 2" xfId="4360"/>
    <cellStyle name="Percent [2] 2 2 3" xfId="4361"/>
    <cellStyle name="Percent [2] 2 3" xfId="600"/>
    <cellStyle name="Percent [2] 2 3 2" xfId="4362"/>
    <cellStyle name="Percent [2] 2 4" xfId="4363"/>
    <cellStyle name="Percent [2] 3" xfId="601"/>
    <cellStyle name="Percent [2] 3 2" xfId="602"/>
    <cellStyle name="Percent [2] 3 2 2" xfId="4364"/>
    <cellStyle name="Percent [2] 3 3" xfId="4365"/>
    <cellStyle name="Percent [2] 4" xfId="603"/>
    <cellStyle name="Percent [2] 4 2" xfId="2304"/>
    <cellStyle name="Percent [2] 4 2 2" xfId="5679"/>
    <cellStyle name="Percent [2] 4 3" xfId="5372"/>
    <cellStyle name="Percent [2] 5" xfId="604"/>
    <cellStyle name="Percent [2] 5 2" xfId="803"/>
    <cellStyle name="Percent [2] 5 2 2" xfId="6042"/>
    <cellStyle name="Percent [2] 5 3" xfId="5392"/>
    <cellStyle name="Percent [2] 6" xfId="2307"/>
    <cellStyle name="Percent [2] 6 2" xfId="2308"/>
    <cellStyle name="Percent [2] 6 2 2" xfId="18306"/>
    <cellStyle name="Percent [2] 6 3" xfId="18305"/>
    <cellStyle name="Percent [2] 7" xfId="2309"/>
    <cellStyle name="Percent [2] 7 2" xfId="2312"/>
    <cellStyle name="Percent [2] 7 2 2" xfId="18308"/>
    <cellStyle name="Percent [2] 7 3" xfId="18307"/>
    <cellStyle name="Percent [2] 8" xfId="2313"/>
    <cellStyle name="Percent [2] 8 2" xfId="4366"/>
    <cellStyle name="Percent [2] 9" xfId="18159"/>
    <cellStyle name="Percent [2] 9 2" xfId="50282"/>
    <cellStyle name="Percent 10" xfId="74"/>
    <cellStyle name="Percent 10 2" xfId="605"/>
    <cellStyle name="Percent 10 2 2" xfId="606"/>
    <cellStyle name="Percent 10 2 2 2" xfId="4368"/>
    <cellStyle name="Percent 10 2 2 3" xfId="4367"/>
    <cellStyle name="Percent 10 2 3" xfId="1172"/>
    <cellStyle name="Percent 10 2 3 2" xfId="18930"/>
    <cellStyle name="Percent 10 2 4" xfId="1144"/>
    <cellStyle name="Percent 10 2 5" xfId="18929"/>
    <cellStyle name="Percent 10 3" xfId="607"/>
    <cellStyle name="Percent 10 3 2" xfId="608"/>
    <cellStyle name="Percent 10 3 2 2" xfId="4369"/>
    <cellStyle name="Percent 10 3 3" xfId="4370"/>
    <cellStyle name="Percent 10 4" xfId="609"/>
    <cellStyle name="Percent 10 4 2" xfId="4372"/>
    <cellStyle name="Percent 10 4 3" xfId="4373"/>
    <cellStyle name="Percent 10 4 4" xfId="4371"/>
    <cellStyle name="Percent 10 5" xfId="1143"/>
    <cellStyle name="Percent 10 5 2" xfId="4374"/>
    <cellStyle name="Percent 10 5 2 2" xfId="23528"/>
    <cellStyle name="Percent 10 5 2 2 2" xfId="45862"/>
    <cellStyle name="Percent 10 5 3" xfId="4375"/>
    <cellStyle name="Percent 10 5 4" xfId="4376"/>
    <cellStyle name="Percent 10 5 5" xfId="5171"/>
    <cellStyle name="Percent 10 5 5 2" xfId="7227"/>
    <cellStyle name="Percent 10 5 5 2 2" xfId="10558"/>
    <cellStyle name="Percent 10 5 5 2 2 2" xfId="17262"/>
    <cellStyle name="Percent 10 5 5 2 2 2 2" xfId="40683"/>
    <cellStyle name="Percent 10 5 5 2 2 3" xfId="34051"/>
    <cellStyle name="Percent 10 5 5 2 3" xfId="13946"/>
    <cellStyle name="Percent 10 5 5 2 3 2" xfId="37367"/>
    <cellStyle name="Percent 10 5 5 2 4" xfId="26069"/>
    <cellStyle name="Percent 10 5 5 2 4 2" xfId="48314"/>
    <cellStyle name="Percent 10 5 5 2 5" xfId="30735"/>
    <cellStyle name="Percent 10 5 5 3" xfId="8898"/>
    <cellStyle name="Percent 10 5 5 3 2" xfId="15604"/>
    <cellStyle name="Percent 10 5 5 3 2 2" xfId="39025"/>
    <cellStyle name="Percent 10 5 5 3 3" xfId="32393"/>
    <cellStyle name="Percent 10 5 5 4" xfId="12287"/>
    <cellStyle name="Percent 10 5 5 4 2" xfId="35709"/>
    <cellStyle name="Percent 10 5 5 5" xfId="23859"/>
    <cellStyle name="Percent 10 5 5 5 2" xfId="46122"/>
    <cellStyle name="Percent 10 5 5 6" xfId="29077"/>
    <cellStyle name="Percent 10 5 6" xfId="23477"/>
    <cellStyle name="Percent 10 5 6 2" xfId="45819"/>
    <cellStyle name="Percent 10 6" xfId="18928"/>
    <cellStyle name="Percent 100" xfId="2449"/>
    <cellStyle name="Percent 100 2" xfId="18184"/>
    <cellStyle name="Percent 100 2 2" xfId="18932"/>
    <cellStyle name="Percent 100 3" xfId="18931"/>
    <cellStyle name="Percent 101" xfId="2450"/>
    <cellStyle name="Percent 101 2" xfId="18185"/>
    <cellStyle name="Percent 101 2 2" xfId="18934"/>
    <cellStyle name="Percent 101 3" xfId="18933"/>
    <cellStyle name="Percent 102" xfId="2451"/>
    <cellStyle name="Percent 102 2" xfId="18186"/>
    <cellStyle name="Percent 102 2 2" xfId="18936"/>
    <cellStyle name="Percent 102 3" xfId="18935"/>
    <cellStyle name="Percent 103" xfId="2452"/>
    <cellStyle name="Percent 103 2" xfId="18187"/>
    <cellStyle name="Percent 103 2 2" xfId="18938"/>
    <cellStyle name="Percent 103 3" xfId="18937"/>
    <cellStyle name="Percent 104" xfId="2453"/>
    <cellStyle name="Percent 104 2" xfId="18188"/>
    <cellStyle name="Percent 104 2 2" xfId="18940"/>
    <cellStyle name="Percent 104 3" xfId="18939"/>
    <cellStyle name="Percent 105" xfId="2454"/>
    <cellStyle name="Percent 105 2" xfId="18189"/>
    <cellStyle name="Percent 105 2 2" xfId="18942"/>
    <cellStyle name="Percent 105 3" xfId="18941"/>
    <cellStyle name="Percent 106" xfId="2455"/>
    <cellStyle name="Percent 106 2" xfId="18190"/>
    <cellStyle name="Percent 106 2 2" xfId="18944"/>
    <cellStyle name="Percent 106 3" xfId="18943"/>
    <cellStyle name="Percent 107" xfId="4377"/>
    <cellStyle name="Percent 107 2" xfId="18945"/>
    <cellStyle name="Percent 108" xfId="4378"/>
    <cellStyle name="Percent 108 2" xfId="18946"/>
    <cellStyle name="Percent 109" xfId="4379"/>
    <cellStyle name="Percent 109 2" xfId="18947"/>
    <cellStyle name="Percent 11" xfId="610"/>
    <cellStyle name="Percent 11 2" xfId="611"/>
    <cellStyle name="Percent 11 2 2" xfId="612"/>
    <cellStyle name="Percent 11 2 2 2" xfId="4380"/>
    <cellStyle name="Percent 11 2 3" xfId="4381"/>
    <cellStyle name="Percent 11 3" xfId="613"/>
    <cellStyle name="Percent 11 3 2" xfId="614"/>
    <cellStyle name="Percent 11 3 2 2" xfId="4382"/>
    <cellStyle name="Percent 11 3 3" xfId="4383"/>
    <cellStyle name="Percent 11 4" xfId="615"/>
    <cellStyle name="Percent 11 4 2" xfId="4384"/>
    <cellStyle name="Percent 11 5" xfId="4385"/>
    <cellStyle name="Percent 11 5 2" xfId="4386"/>
    <cellStyle name="Percent 11 6" xfId="4387"/>
    <cellStyle name="Percent 110" xfId="4388"/>
    <cellStyle name="Percent 110 2" xfId="18948"/>
    <cellStyle name="Percent 111" xfId="4389"/>
    <cellStyle name="Percent 111 2" xfId="18949"/>
    <cellStyle name="Percent 112" xfId="4390"/>
    <cellStyle name="Percent 112 2" xfId="18950"/>
    <cellStyle name="Percent 113" xfId="4391"/>
    <cellStyle name="Percent 113 2" xfId="18951"/>
    <cellStyle name="Percent 114" xfId="4392"/>
    <cellStyle name="Percent 114 2" xfId="18952"/>
    <cellStyle name="Percent 115" xfId="4393"/>
    <cellStyle name="Percent 115 2" xfId="18953"/>
    <cellStyle name="Percent 116" xfId="4394"/>
    <cellStyle name="Percent 116 2" xfId="18954"/>
    <cellStyle name="Percent 117" xfId="4395"/>
    <cellStyle name="Percent 117 2" xfId="19361"/>
    <cellStyle name="Percent 118" xfId="4396"/>
    <cellStyle name="Percent 118 2" xfId="19362"/>
    <cellStyle name="Percent 119" xfId="4397"/>
    <cellStyle name="Percent 119 2" xfId="19363"/>
    <cellStyle name="Percent 12" xfId="616"/>
    <cellStyle name="Percent 12 2" xfId="617"/>
    <cellStyle name="Percent 12 2 2" xfId="618"/>
    <cellStyle name="Percent 12 2 2 2" xfId="4398"/>
    <cellStyle name="Percent 12 2 3" xfId="4399"/>
    <cellStyle name="Percent 12 3" xfId="619"/>
    <cellStyle name="Percent 12 3 2" xfId="620"/>
    <cellStyle name="Percent 12 3 2 2" xfId="4400"/>
    <cellStyle name="Percent 12 3 3" xfId="4401"/>
    <cellStyle name="Percent 12 4" xfId="621"/>
    <cellStyle name="Percent 12 4 2" xfId="4402"/>
    <cellStyle name="Percent 12 5" xfId="4403"/>
    <cellStyle name="Percent 120" xfId="4404"/>
    <cellStyle name="Percent 120 2" xfId="19364"/>
    <cellStyle name="Percent 121" xfId="4405"/>
    <cellStyle name="Percent 121 2" xfId="19365"/>
    <cellStyle name="Percent 122" xfId="4406"/>
    <cellStyle name="Percent 123" xfId="4407"/>
    <cellStyle name="Percent 124" xfId="4408"/>
    <cellStyle name="Percent 125" xfId="4409"/>
    <cellStyle name="Percent 126" xfId="4410"/>
    <cellStyle name="Percent 127" xfId="4411"/>
    <cellStyle name="Percent 128" xfId="4412"/>
    <cellStyle name="Percent 129" xfId="4413"/>
    <cellStyle name="Percent 13" xfId="622"/>
    <cellStyle name="Percent 13 2" xfId="623"/>
    <cellStyle name="Percent 13 2 2" xfId="4414"/>
    <cellStyle name="Percent 13 3" xfId="932"/>
    <cellStyle name="Percent 13 3 2" xfId="18957"/>
    <cellStyle name="Percent 13 4" xfId="18956"/>
    <cellStyle name="Percent 130" xfId="4415"/>
    <cellStyle name="Percent 131" xfId="4416"/>
    <cellStyle name="Percent 132" xfId="4417"/>
    <cellStyle name="Percent 133" xfId="4418"/>
    <cellStyle name="Percent 134" xfId="4419"/>
    <cellStyle name="Percent 135" xfId="4812"/>
    <cellStyle name="Percent 136" xfId="5181"/>
    <cellStyle name="Percent 137" xfId="4358"/>
    <cellStyle name="Percent 138" xfId="5243"/>
    <cellStyle name="Percent 139" xfId="5242"/>
    <cellStyle name="Percent 14" xfId="624"/>
    <cellStyle name="Percent 14 2" xfId="625"/>
    <cellStyle name="Percent 14 2 2" xfId="4420"/>
    <cellStyle name="Percent 14 3" xfId="933"/>
    <cellStyle name="Percent 14 3 2" xfId="18959"/>
    <cellStyle name="Percent 14 4" xfId="18958"/>
    <cellStyle name="Percent 140" xfId="6035"/>
    <cellStyle name="Percent 141" xfId="5235"/>
    <cellStyle name="Percent 142" xfId="5512"/>
    <cellStyle name="Percent 143" xfId="5316"/>
    <cellStyle name="Percent 144" xfId="6006"/>
    <cellStyle name="Percent 145" xfId="5274"/>
    <cellStyle name="Percent 146" xfId="6012"/>
    <cellStyle name="Percent 147" xfId="5653"/>
    <cellStyle name="Percent 148" xfId="6039"/>
    <cellStyle name="Percent 149" xfId="5232"/>
    <cellStyle name="Percent 15" xfId="626"/>
    <cellStyle name="Percent 15 2" xfId="627"/>
    <cellStyle name="Percent 15 2 2" xfId="4421"/>
    <cellStyle name="Percent 15 3" xfId="934"/>
    <cellStyle name="Percent 15 3 2" xfId="18962"/>
    <cellStyle name="Percent 15 4" xfId="18960"/>
    <cellStyle name="Percent 150" xfId="6003"/>
    <cellStyle name="Percent 151" xfId="6037"/>
    <cellStyle name="Percent 152" xfId="5196"/>
    <cellStyle name="Percent 153" xfId="5406"/>
    <cellStyle name="Percent 154" xfId="6043"/>
    <cellStyle name="Percent 155" xfId="5276"/>
    <cellStyle name="Percent 156" xfId="6038"/>
    <cellStyle name="Percent 157" xfId="6009"/>
    <cellStyle name="Percent 158" xfId="2888"/>
    <cellStyle name="Percent 158 2" xfId="6859"/>
    <cellStyle name="Percent 158 2 2" xfId="10191"/>
    <cellStyle name="Percent 158 2 2 2" xfId="16895"/>
    <cellStyle name="Percent 158 2 2 2 2" xfId="40316"/>
    <cellStyle name="Percent 158 2 2 3" xfId="33684"/>
    <cellStyle name="Percent 158 2 3" xfId="13579"/>
    <cellStyle name="Percent 158 2 3 2" xfId="37000"/>
    <cellStyle name="Percent 158 2 4" xfId="30368"/>
    <cellStyle name="Percent 158 3" xfId="8525"/>
    <cellStyle name="Percent 158 3 2" xfId="15237"/>
    <cellStyle name="Percent 158 3 2 2" xfId="38658"/>
    <cellStyle name="Percent 158 3 3" xfId="32026"/>
    <cellStyle name="Percent 158 4" xfId="11919"/>
    <cellStyle name="Percent 158 4 2" xfId="35342"/>
    <cellStyle name="Percent 158 5" xfId="28710"/>
    <cellStyle name="Percent 159" xfId="4804"/>
    <cellStyle name="Percent 159 2" xfId="7195"/>
    <cellStyle name="Percent 159 2 2" xfId="10527"/>
    <cellStyle name="Percent 159 2 2 2" xfId="17231"/>
    <cellStyle name="Percent 159 2 2 2 2" xfId="40652"/>
    <cellStyle name="Percent 159 2 2 3" xfId="34020"/>
    <cellStyle name="Percent 159 2 3" xfId="13915"/>
    <cellStyle name="Percent 159 2 3 2" xfId="37336"/>
    <cellStyle name="Percent 159 2 4" xfId="30704"/>
    <cellStyle name="Percent 159 3" xfId="8864"/>
    <cellStyle name="Percent 159 3 2" xfId="15573"/>
    <cellStyle name="Percent 159 3 2 2" xfId="38994"/>
    <cellStyle name="Percent 159 3 3" xfId="32362"/>
    <cellStyle name="Percent 159 4" xfId="12255"/>
    <cellStyle name="Percent 159 4 2" xfId="35678"/>
    <cellStyle name="Percent 159 5" xfId="29046"/>
    <cellStyle name="Percent 16" xfId="628"/>
    <cellStyle name="Percent 16 2" xfId="629"/>
    <cellStyle name="Percent 16 2 2" xfId="4422"/>
    <cellStyle name="Percent 16 3" xfId="935"/>
    <cellStyle name="Percent 16 3 2" xfId="18965"/>
    <cellStyle name="Percent 16 4" xfId="18963"/>
    <cellStyle name="Percent 160" xfId="6066"/>
    <cellStyle name="Percent 160 2" xfId="7759"/>
    <cellStyle name="Percent 160 2 2" xfId="11088"/>
    <cellStyle name="Percent 160 2 2 2" xfId="17792"/>
    <cellStyle name="Percent 160 2 2 2 2" xfId="41213"/>
    <cellStyle name="Percent 160 2 2 3" xfId="34581"/>
    <cellStyle name="Percent 160 2 3" xfId="14476"/>
    <cellStyle name="Percent 160 2 3 2" xfId="37897"/>
    <cellStyle name="Percent 160 2 4" xfId="31265"/>
    <cellStyle name="Percent 160 3" xfId="9430"/>
    <cellStyle name="Percent 160 3 2" xfId="16134"/>
    <cellStyle name="Percent 160 3 2 2" xfId="39555"/>
    <cellStyle name="Percent 160 3 3" xfId="32923"/>
    <cellStyle name="Percent 160 4" xfId="12818"/>
    <cellStyle name="Percent 160 4 2" xfId="36239"/>
    <cellStyle name="Percent 160 5" xfId="29607"/>
    <cellStyle name="Percent 161" xfId="3795"/>
    <cellStyle name="Percent 161 2" xfId="6935"/>
    <cellStyle name="Percent 161 2 2" xfId="10267"/>
    <cellStyle name="Percent 161 2 2 2" xfId="16971"/>
    <cellStyle name="Percent 161 2 2 2 2" xfId="40392"/>
    <cellStyle name="Percent 161 2 2 3" xfId="33760"/>
    <cellStyle name="Percent 161 2 3" xfId="13655"/>
    <cellStyle name="Percent 161 2 3 2" xfId="37076"/>
    <cellStyle name="Percent 161 2 4" xfId="30444"/>
    <cellStyle name="Percent 161 3" xfId="8602"/>
    <cellStyle name="Percent 161 3 2" xfId="15313"/>
    <cellStyle name="Percent 161 3 2 2" xfId="38734"/>
    <cellStyle name="Percent 161 3 3" xfId="32102"/>
    <cellStyle name="Percent 161 4" xfId="11995"/>
    <cellStyle name="Percent 161 4 2" xfId="35418"/>
    <cellStyle name="Percent 161 5" xfId="28786"/>
    <cellStyle name="Percent 162" xfId="6062"/>
    <cellStyle name="Percent 162 2" xfId="7755"/>
    <cellStyle name="Percent 162 2 2" xfId="11084"/>
    <cellStyle name="Percent 162 2 2 2" xfId="17788"/>
    <cellStyle name="Percent 162 2 2 2 2" xfId="41209"/>
    <cellStyle name="Percent 162 2 2 3" xfId="34577"/>
    <cellStyle name="Percent 162 2 3" xfId="14472"/>
    <cellStyle name="Percent 162 2 3 2" xfId="37893"/>
    <cellStyle name="Percent 162 2 4" xfId="31261"/>
    <cellStyle name="Percent 162 3" xfId="9426"/>
    <cellStyle name="Percent 162 3 2" xfId="16130"/>
    <cellStyle name="Percent 162 3 2 2" xfId="39551"/>
    <cellStyle name="Percent 162 3 3" xfId="32919"/>
    <cellStyle name="Percent 162 4" xfId="12814"/>
    <cellStyle name="Percent 162 4 2" xfId="36235"/>
    <cellStyle name="Percent 162 5" xfId="29603"/>
    <cellStyle name="Percent 163" xfId="6110"/>
    <cellStyle name="Percent 163 2" xfId="7776"/>
    <cellStyle name="Percent 163 2 2" xfId="11105"/>
    <cellStyle name="Percent 163 2 2 2" xfId="17809"/>
    <cellStyle name="Percent 163 2 2 2 2" xfId="41230"/>
    <cellStyle name="Percent 163 2 2 3" xfId="34598"/>
    <cellStyle name="Percent 163 2 3" xfId="14493"/>
    <cellStyle name="Percent 163 2 3 2" xfId="37914"/>
    <cellStyle name="Percent 163 2 4" xfId="31282"/>
    <cellStyle name="Percent 163 3" xfId="9447"/>
    <cellStyle name="Percent 163 3 2" xfId="16151"/>
    <cellStyle name="Percent 163 3 2 2" xfId="39572"/>
    <cellStyle name="Percent 163 3 3" xfId="32940"/>
    <cellStyle name="Percent 163 4" xfId="12835"/>
    <cellStyle name="Percent 163 4 2" xfId="36256"/>
    <cellStyle name="Percent 163 5" xfId="29624"/>
    <cellStyle name="Percent 17" xfId="630"/>
    <cellStyle name="Percent 17 2" xfId="631"/>
    <cellStyle name="Percent 17 2 2" xfId="1375"/>
    <cellStyle name="Percent 17 2 2 2" xfId="5373"/>
    <cellStyle name="Percent 17 2 3" xfId="5391"/>
    <cellStyle name="Percent 17 3" xfId="936"/>
    <cellStyle name="Percent 17 3 2" xfId="5347"/>
    <cellStyle name="Percent 17 4" xfId="5239"/>
    <cellStyle name="Percent 18" xfId="632"/>
    <cellStyle name="Percent 18 2" xfId="633"/>
    <cellStyle name="Percent 18 2 2" xfId="634"/>
    <cellStyle name="Percent 18 2 2 2" xfId="4423"/>
    <cellStyle name="Percent 18 2 3" xfId="4424"/>
    <cellStyle name="Percent 18 3" xfId="635"/>
    <cellStyle name="Percent 18 3 2" xfId="4425"/>
    <cellStyle name="Percent 18 4" xfId="4426"/>
    <cellStyle name="Percent 19" xfId="636"/>
    <cellStyle name="Percent 19 2" xfId="637"/>
    <cellStyle name="Percent 19 2 2" xfId="638"/>
    <cellStyle name="Percent 19 2 2 2" xfId="4427"/>
    <cellStyle name="Percent 19 2 3" xfId="4428"/>
    <cellStyle name="Percent 19 3" xfId="639"/>
    <cellStyle name="Percent 19 3 2" xfId="4429"/>
    <cellStyle name="Percent 19 4" xfId="4430"/>
    <cellStyle name="Percent 2" xfId="640"/>
    <cellStyle name="Percent 2 2" xfId="641"/>
    <cellStyle name="Percent 2 2 2" xfId="857"/>
    <cellStyle name="Percent 2 2 2 2" xfId="5173"/>
    <cellStyle name="Percent 2 2 2 3" xfId="5108"/>
    <cellStyle name="Percent 2 2 2 3 2" xfId="7217"/>
    <cellStyle name="Percent 2 2 2 3 2 2" xfId="10548"/>
    <cellStyle name="Percent 2 2 2 3 2 2 2" xfId="17252"/>
    <cellStyle name="Percent 2 2 2 3 2 2 2 2" xfId="40673"/>
    <cellStyle name="Percent 2 2 2 3 2 2 3" xfId="34041"/>
    <cellStyle name="Percent 2 2 2 3 2 3" xfId="13936"/>
    <cellStyle name="Percent 2 2 2 3 2 3 2" xfId="37357"/>
    <cellStyle name="Percent 2 2 2 3 2 4" xfId="26059"/>
    <cellStyle name="Percent 2 2 2 3 2 4 2" xfId="48304"/>
    <cellStyle name="Percent 2 2 2 3 2 5" xfId="30725"/>
    <cellStyle name="Percent 2 2 2 3 3" xfId="8887"/>
    <cellStyle name="Percent 2 2 2 3 3 2" xfId="15594"/>
    <cellStyle name="Percent 2 2 2 3 3 2 2" xfId="39015"/>
    <cellStyle name="Percent 2 2 2 3 3 3" xfId="32383"/>
    <cellStyle name="Percent 2 2 2 3 4" xfId="12277"/>
    <cellStyle name="Percent 2 2 2 3 4 2" xfId="35699"/>
    <cellStyle name="Percent 2 2 2 3 5" xfId="23518"/>
    <cellStyle name="Percent 2 2 2 3 5 2" xfId="45852"/>
    <cellStyle name="Percent 2 2 2 3 6" xfId="29067"/>
    <cellStyle name="Percent 2 2 2 4" xfId="23354"/>
    <cellStyle name="Percent 2 2 2 4 2" xfId="45720"/>
    <cellStyle name="Percent 2 2 3" xfId="1699"/>
    <cellStyle name="Percent 2 2 3 2" xfId="4431"/>
    <cellStyle name="Percent 2 2 3 3" xfId="5172"/>
    <cellStyle name="Percent 2 2 4" xfId="4817"/>
    <cellStyle name="Percent 2 2 4 2" xfId="7200"/>
    <cellStyle name="Percent 2 2 4 2 2" xfId="10532"/>
    <cellStyle name="Percent 2 2 4 2 2 2" xfId="17236"/>
    <cellStyle name="Percent 2 2 4 2 2 2 2" xfId="40657"/>
    <cellStyle name="Percent 2 2 4 2 2 3" xfId="34025"/>
    <cellStyle name="Percent 2 2 4 2 3" xfId="13920"/>
    <cellStyle name="Percent 2 2 4 2 3 2" xfId="37341"/>
    <cellStyle name="Percent 2 2 4 2 4" xfId="26043"/>
    <cellStyle name="Percent 2 2 4 2 4 2" xfId="48288"/>
    <cellStyle name="Percent 2 2 4 2 5" xfId="30709"/>
    <cellStyle name="Percent 2 2 4 3" xfId="8869"/>
    <cellStyle name="Percent 2 2 4 3 2" xfId="15578"/>
    <cellStyle name="Percent 2 2 4 3 2 2" xfId="38999"/>
    <cellStyle name="Percent 2 2 4 3 3" xfId="32367"/>
    <cellStyle name="Percent 2 2 4 4" xfId="12260"/>
    <cellStyle name="Percent 2 2 4 4 2" xfId="35683"/>
    <cellStyle name="Percent 2 2 4 5" xfId="23499"/>
    <cellStyle name="Percent 2 2 4 5 2" xfId="45836"/>
    <cellStyle name="Percent 2 2 4 6" xfId="29051"/>
    <cellStyle name="Percent 2 2 5" xfId="23284"/>
    <cellStyle name="Percent 2 2 5 2" xfId="45684"/>
    <cellStyle name="Percent 2 3" xfId="937"/>
    <cellStyle name="Percent 2 3 2" xfId="1201"/>
    <cellStyle name="Percent 2 3 2 2" xfId="5174"/>
    <cellStyle name="Percent 2 3 2 3" xfId="5109"/>
    <cellStyle name="Percent 2 3 2 3 2" xfId="7218"/>
    <cellStyle name="Percent 2 3 2 3 2 2" xfId="10549"/>
    <cellStyle name="Percent 2 3 2 3 2 2 2" xfId="17253"/>
    <cellStyle name="Percent 2 3 2 3 2 2 2 2" xfId="40674"/>
    <cellStyle name="Percent 2 3 2 3 2 2 3" xfId="34042"/>
    <cellStyle name="Percent 2 3 2 3 2 3" xfId="13937"/>
    <cellStyle name="Percent 2 3 2 3 2 3 2" xfId="37358"/>
    <cellStyle name="Percent 2 3 2 3 2 4" xfId="26060"/>
    <cellStyle name="Percent 2 3 2 3 2 4 2" xfId="48305"/>
    <cellStyle name="Percent 2 3 2 3 2 5" xfId="30726"/>
    <cellStyle name="Percent 2 3 2 3 3" xfId="8888"/>
    <cellStyle name="Percent 2 3 2 3 3 2" xfId="15595"/>
    <cellStyle name="Percent 2 3 2 3 3 2 2" xfId="39016"/>
    <cellStyle name="Percent 2 3 2 3 3 3" xfId="32384"/>
    <cellStyle name="Percent 2 3 2 3 4" xfId="12278"/>
    <cellStyle name="Percent 2 3 2 3 4 2" xfId="35700"/>
    <cellStyle name="Percent 2 3 2 3 5" xfId="23519"/>
    <cellStyle name="Percent 2 3 2 3 5 2" xfId="45853"/>
    <cellStyle name="Percent 2 3 2 3 6" xfId="29068"/>
    <cellStyle name="Percent 2 3 2 4" xfId="23355"/>
    <cellStyle name="Percent 2 3 2 4 2" xfId="45721"/>
    <cellStyle name="Percent 2 3 3" xfId="1145"/>
    <cellStyle name="Percent 2 3 3 2" xfId="4432"/>
    <cellStyle name="Percent 2 3 4" xfId="4818"/>
    <cellStyle name="Percent 2 3 4 2" xfId="7201"/>
    <cellStyle name="Percent 2 3 4 2 2" xfId="10533"/>
    <cellStyle name="Percent 2 3 4 2 2 2" xfId="17237"/>
    <cellStyle name="Percent 2 3 4 2 2 2 2" xfId="40658"/>
    <cellStyle name="Percent 2 3 4 2 2 3" xfId="34026"/>
    <cellStyle name="Percent 2 3 4 2 3" xfId="13921"/>
    <cellStyle name="Percent 2 3 4 2 3 2" xfId="37342"/>
    <cellStyle name="Percent 2 3 4 2 4" xfId="26044"/>
    <cellStyle name="Percent 2 3 4 2 4 2" xfId="48289"/>
    <cellStyle name="Percent 2 3 4 2 5" xfId="30710"/>
    <cellStyle name="Percent 2 3 4 3" xfId="8870"/>
    <cellStyle name="Percent 2 3 4 3 2" xfId="15579"/>
    <cellStyle name="Percent 2 3 4 3 2 2" xfId="39000"/>
    <cellStyle name="Percent 2 3 4 3 3" xfId="32368"/>
    <cellStyle name="Percent 2 3 4 4" xfId="12261"/>
    <cellStyle name="Percent 2 3 4 4 2" xfId="35684"/>
    <cellStyle name="Percent 2 3 4 5" xfId="18980"/>
    <cellStyle name="Percent 2 3 4 6" xfId="23500"/>
    <cellStyle name="Percent 2 3 4 6 2" xfId="45837"/>
    <cellStyle name="Percent 2 3 4 7" xfId="29052"/>
    <cellStyle name="Percent 2 3 5" xfId="23285"/>
    <cellStyle name="Percent 2 3 5 2" xfId="45685"/>
    <cellStyle name="Percent 2 4" xfId="4433"/>
    <cellStyle name="Percent 2 5" xfId="4434"/>
    <cellStyle name="Percent 2 5 2" xfId="5058"/>
    <cellStyle name="Percent 2_Pivot Table Tips" xfId="1700"/>
    <cellStyle name="Percent 20" xfId="642"/>
    <cellStyle name="Percent 20 2" xfId="643"/>
    <cellStyle name="Percent 20 2 2" xfId="644"/>
    <cellStyle name="Percent 20 2 2 2" xfId="4435"/>
    <cellStyle name="Percent 20 2 3" xfId="4436"/>
    <cellStyle name="Percent 20 3" xfId="645"/>
    <cellStyle name="Percent 20 3 2" xfId="4437"/>
    <cellStyle name="Percent 20 4" xfId="4438"/>
    <cellStyle name="Percent 21" xfId="646"/>
    <cellStyle name="Percent 21 2" xfId="647"/>
    <cellStyle name="Percent 21 2 2" xfId="1376"/>
    <cellStyle name="Percent 21 2 2 2" xfId="5390"/>
    <cellStyle name="Percent 21 2 3" xfId="5337"/>
    <cellStyle name="Percent 21 3" xfId="1173"/>
    <cellStyle name="Percent 21 3 2" xfId="5333"/>
    <cellStyle name="Percent 21 4" xfId="1146"/>
    <cellStyle name="Percent 21 4 10" xfId="6127"/>
    <cellStyle name="Percent 21 4 10 2" xfId="9461"/>
    <cellStyle name="Percent 21 4 10 2 2" xfId="16165"/>
    <cellStyle name="Percent 21 4 10 2 2 2" xfId="39586"/>
    <cellStyle name="Percent 21 4 10 2 3" xfId="32954"/>
    <cellStyle name="Percent 21 4 10 3" xfId="12849"/>
    <cellStyle name="Percent 21 4 10 3 2" xfId="36270"/>
    <cellStyle name="Percent 21 4 10 4" xfId="29638"/>
    <cellStyle name="Percent 21 4 11" xfId="7792"/>
    <cellStyle name="Percent 21 4 11 2" xfId="14507"/>
    <cellStyle name="Percent 21 4 11 2 2" xfId="37928"/>
    <cellStyle name="Percent 21 4 11 3" xfId="31296"/>
    <cellStyle name="Percent 21 4 12" xfId="11189"/>
    <cellStyle name="Percent 21 4 12 2" xfId="34612"/>
    <cellStyle name="Percent 21 4 13" xfId="27980"/>
    <cellStyle name="Percent 21 4 2" xfId="1468"/>
    <cellStyle name="Percent 21 4 2 10" xfId="11217"/>
    <cellStyle name="Percent 21 4 2 10 2" xfId="34640"/>
    <cellStyle name="Percent 21 4 2 11" xfId="28008"/>
    <cellStyle name="Percent 21 4 2 2" xfId="1508"/>
    <cellStyle name="Percent 21 4 2 2 10" xfId="28044"/>
    <cellStyle name="Percent 21 4 2 2 2" xfId="1703"/>
    <cellStyle name="Percent 21 4 2 2 3" xfId="1823"/>
    <cellStyle name="Percent 21 4 2 2 3 2" xfId="2475"/>
    <cellStyle name="Percent 21 4 2 2 3 3" xfId="2820"/>
    <cellStyle name="Percent 21 4 2 2 3 3 2" xfId="5912"/>
    <cellStyle name="Percent 21 4 2 2 3 3 2 2" xfId="7694"/>
    <cellStyle name="Percent 21 4 2 2 3 3 2 2 2" xfId="11023"/>
    <cellStyle name="Percent 21 4 2 2 3 3 2 2 2 2" xfId="17727"/>
    <cellStyle name="Percent 21 4 2 2 3 3 2 2 2 2 2" xfId="41148"/>
    <cellStyle name="Percent 21 4 2 2 3 3 2 2 2 3" xfId="34516"/>
    <cellStyle name="Percent 21 4 2 2 3 3 2 2 3" xfId="14411"/>
    <cellStyle name="Percent 21 4 2 2 3 3 2 2 3 2" xfId="37832"/>
    <cellStyle name="Percent 21 4 2 2 3 3 2 2 4" xfId="31200"/>
    <cellStyle name="Percent 21 4 2 2 3 3 2 3" xfId="9365"/>
    <cellStyle name="Percent 21 4 2 2 3 3 2 3 2" xfId="16069"/>
    <cellStyle name="Percent 21 4 2 2 3 3 2 3 2 2" xfId="39490"/>
    <cellStyle name="Percent 21 4 2 2 3 3 2 3 3" xfId="32858"/>
    <cellStyle name="Percent 21 4 2 2 3 3 2 4" xfId="12753"/>
    <cellStyle name="Percent 21 4 2 2 3 3 2 4 2" xfId="36174"/>
    <cellStyle name="Percent 21 4 2 2 3 3 2 5" xfId="29542"/>
    <cellStyle name="Percent 21 4 2 2 3 3 3" xfId="6795"/>
    <cellStyle name="Percent 21 4 2 2 3 3 3 2" xfId="10127"/>
    <cellStyle name="Percent 21 4 2 2 3 3 3 2 2" xfId="16831"/>
    <cellStyle name="Percent 21 4 2 2 3 3 3 2 2 2" xfId="40252"/>
    <cellStyle name="Percent 21 4 2 2 3 3 3 2 3" xfId="33620"/>
    <cellStyle name="Percent 21 4 2 2 3 3 3 3" xfId="13515"/>
    <cellStyle name="Percent 21 4 2 2 3 3 3 3 2" xfId="36936"/>
    <cellStyle name="Percent 21 4 2 2 3 3 3 4" xfId="30304"/>
    <cellStyle name="Percent 21 4 2 2 3 3 4" xfId="8461"/>
    <cellStyle name="Percent 21 4 2 2 3 3 4 2" xfId="15173"/>
    <cellStyle name="Percent 21 4 2 2 3 3 4 2 2" xfId="38594"/>
    <cellStyle name="Percent 21 4 2 2 3 3 4 3" xfId="31962"/>
    <cellStyle name="Percent 21 4 2 2 3 3 5" xfId="11855"/>
    <cellStyle name="Percent 21 4 2 2 3 3 5 2" xfId="35278"/>
    <cellStyle name="Percent 21 4 2 2 3 3 6" xfId="28646"/>
    <cellStyle name="Percent 21 4 2 2 3 4" xfId="5434"/>
    <cellStyle name="Percent 21 4 2 2 3 4 2" xfId="7286"/>
    <cellStyle name="Percent 21 4 2 2 3 4 2 2" xfId="10617"/>
    <cellStyle name="Percent 21 4 2 2 3 4 2 2 2" xfId="17321"/>
    <cellStyle name="Percent 21 4 2 2 3 4 2 2 2 2" xfId="40742"/>
    <cellStyle name="Percent 21 4 2 2 3 4 2 2 3" xfId="34110"/>
    <cellStyle name="Percent 21 4 2 2 3 4 2 3" xfId="14005"/>
    <cellStyle name="Percent 21 4 2 2 3 4 2 3 2" xfId="37426"/>
    <cellStyle name="Percent 21 4 2 2 3 4 2 4" xfId="30794"/>
    <cellStyle name="Percent 21 4 2 2 3 4 3" xfId="8959"/>
    <cellStyle name="Percent 21 4 2 2 3 4 3 2" xfId="15663"/>
    <cellStyle name="Percent 21 4 2 2 3 4 3 2 2" xfId="39084"/>
    <cellStyle name="Percent 21 4 2 2 3 4 3 3" xfId="32452"/>
    <cellStyle name="Percent 21 4 2 2 3 4 4" xfId="12347"/>
    <cellStyle name="Percent 21 4 2 2 3 4 4 2" xfId="35768"/>
    <cellStyle name="Percent 21 4 2 2 3 4 5" xfId="29136"/>
    <cellStyle name="Percent 21 4 2 2 3 5" xfId="6322"/>
    <cellStyle name="Percent 21 4 2 2 3 5 2" xfId="9656"/>
    <cellStyle name="Percent 21 4 2 2 3 5 2 2" xfId="16360"/>
    <cellStyle name="Percent 21 4 2 2 3 5 2 2 2" xfId="39781"/>
    <cellStyle name="Percent 21 4 2 2 3 5 2 3" xfId="33149"/>
    <cellStyle name="Percent 21 4 2 2 3 5 3" xfId="13044"/>
    <cellStyle name="Percent 21 4 2 2 3 5 3 2" xfId="36465"/>
    <cellStyle name="Percent 21 4 2 2 3 5 4" xfId="29833"/>
    <cellStyle name="Percent 21 4 2 2 3 6" xfId="7988"/>
    <cellStyle name="Percent 21 4 2 2 3 6 2" xfId="14702"/>
    <cellStyle name="Percent 21 4 2 2 3 6 2 2" xfId="38123"/>
    <cellStyle name="Percent 21 4 2 2 3 6 3" xfId="31491"/>
    <cellStyle name="Percent 21 4 2 2 3 7" xfId="11384"/>
    <cellStyle name="Percent 21 4 2 2 3 7 2" xfId="34807"/>
    <cellStyle name="Percent 21 4 2 2 3 8" xfId="28175"/>
    <cellStyle name="Percent 21 4 2 2 4" xfId="2476"/>
    <cellStyle name="Percent 21 4 2 2 4 2" xfId="18227"/>
    <cellStyle name="Percent 21 4 2 2 5" xfId="2688"/>
    <cellStyle name="Percent 21 4 2 2 5 2" xfId="5781"/>
    <cellStyle name="Percent 21 4 2 2 5 2 2" xfId="7563"/>
    <cellStyle name="Percent 21 4 2 2 5 2 2 2" xfId="10892"/>
    <cellStyle name="Percent 21 4 2 2 5 2 2 2 2" xfId="17596"/>
    <cellStyle name="Percent 21 4 2 2 5 2 2 2 2 2" xfId="41017"/>
    <cellStyle name="Percent 21 4 2 2 5 2 2 2 3" xfId="34385"/>
    <cellStyle name="Percent 21 4 2 2 5 2 2 3" xfId="14280"/>
    <cellStyle name="Percent 21 4 2 2 5 2 2 3 2" xfId="37701"/>
    <cellStyle name="Percent 21 4 2 2 5 2 2 4" xfId="31069"/>
    <cellStyle name="Percent 21 4 2 2 5 2 3" xfId="9234"/>
    <cellStyle name="Percent 21 4 2 2 5 2 3 2" xfId="15938"/>
    <cellStyle name="Percent 21 4 2 2 5 2 3 2 2" xfId="39359"/>
    <cellStyle name="Percent 21 4 2 2 5 2 3 3" xfId="32727"/>
    <cellStyle name="Percent 21 4 2 2 5 2 4" xfId="12622"/>
    <cellStyle name="Percent 21 4 2 2 5 2 4 2" xfId="36043"/>
    <cellStyle name="Percent 21 4 2 2 5 2 5" xfId="17878"/>
    <cellStyle name="Percent 21 4 2 2 5 2 6" xfId="29411"/>
    <cellStyle name="Percent 21 4 2 2 5 3" xfId="6664"/>
    <cellStyle name="Percent 21 4 2 2 5 3 2" xfId="9996"/>
    <cellStyle name="Percent 21 4 2 2 5 3 2 2" xfId="16700"/>
    <cellStyle name="Percent 21 4 2 2 5 3 2 2 2" xfId="40121"/>
    <cellStyle name="Percent 21 4 2 2 5 3 2 3" xfId="33489"/>
    <cellStyle name="Percent 21 4 2 2 5 3 3" xfId="13384"/>
    <cellStyle name="Percent 21 4 2 2 5 3 3 2" xfId="36805"/>
    <cellStyle name="Percent 21 4 2 2 5 3 4" xfId="30173"/>
    <cellStyle name="Percent 21 4 2 2 5 4" xfId="8330"/>
    <cellStyle name="Percent 21 4 2 2 5 4 2" xfId="15042"/>
    <cellStyle name="Percent 21 4 2 2 5 4 2 2" xfId="38463"/>
    <cellStyle name="Percent 21 4 2 2 5 4 3" xfId="31831"/>
    <cellStyle name="Percent 21 4 2 2 5 5" xfId="11724"/>
    <cellStyle name="Percent 21 4 2 2 5 5 2" xfId="35147"/>
    <cellStyle name="Percent 21 4 2 2 5 6" xfId="20442"/>
    <cellStyle name="Percent 21 4 2 2 5 7" xfId="28515"/>
    <cellStyle name="Percent 21 4 2 2 6" xfId="5368"/>
    <cellStyle name="Percent 21 4 2 2 6 2" xfId="7255"/>
    <cellStyle name="Percent 21 4 2 2 6 2 2" xfId="10586"/>
    <cellStyle name="Percent 21 4 2 2 6 2 2 2" xfId="17290"/>
    <cellStyle name="Percent 21 4 2 2 6 2 2 2 2" xfId="40711"/>
    <cellStyle name="Percent 21 4 2 2 6 2 2 3" xfId="34079"/>
    <cellStyle name="Percent 21 4 2 2 6 2 3" xfId="13974"/>
    <cellStyle name="Percent 21 4 2 2 6 2 3 2" xfId="37395"/>
    <cellStyle name="Percent 21 4 2 2 6 2 4" xfId="30763"/>
    <cellStyle name="Percent 21 4 2 2 6 3" xfId="8928"/>
    <cellStyle name="Percent 21 4 2 2 6 3 2" xfId="15632"/>
    <cellStyle name="Percent 21 4 2 2 6 3 2 2" xfId="39053"/>
    <cellStyle name="Percent 21 4 2 2 6 3 3" xfId="32421"/>
    <cellStyle name="Percent 21 4 2 2 6 4" xfId="12315"/>
    <cellStyle name="Percent 21 4 2 2 6 4 2" xfId="35737"/>
    <cellStyle name="Percent 21 4 2 2 6 5" xfId="29105"/>
    <cellStyle name="Percent 21 4 2 2 7" xfId="6191"/>
    <cellStyle name="Percent 21 4 2 2 7 2" xfId="9525"/>
    <cellStyle name="Percent 21 4 2 2 7 2 2" xfId="16229"/>
    <cellStyle name="Percent 21 4 2 2 7 2 2 2" xfId="39650"/>
    <cellStyle name="Percent 21 4 2 2 7 2 3" xfId="33018"/>
    <cellStyle name="Percent 21 4 2 2 7 3" xfId="12913"/>
    <cellStyle name="Percent 21 4 2 2 7 3 2" xfId="36334"/>
    <cellStyle name="Percent 21 4 2 2 7 4" xfId="29702"/>
    <cellStyle name="Percent 21 4 2 2 8" xfId="7857"/>
    <cellStyle name="Percent 21 4 2 2 8 2" xfId="14571"/>
    <cellStyle name="Percent 21 4 2 2 8 2 2" xfId="37992"/>
    <cellStyle name="Percent 21 4 2 2 8 3" xfId="31360"/>
    <cellStyle name="Percent 21 4 2 2 9" xfId="11253"/>
    <cellStyle name="Percent 21 4 2 2 9 2" xfId="34676"/>
    <cellStyle name="Percent 21 4 2 3" xfId="1702"/>
    <cellStyle name="Percent 21 4 2 4" xfId="1787"/>
    <cellStyle name="Percent 21 4 2 4 2" xfId="2477"/>
    <cellStyle name="Percent 21 4 2 4 3" xfId="2784"/>
    <cellStyle name="Percent 21 4 2 4 3 2" xfId="5876"/>
    <cellStyle name="Percent 21 4 2 4 3 2 2" xfId="7658"/>
    <cellStyle name="Percent 21 4 2 4 3 2 2 2" xfId="10987"/>
    <cellStyle name="Percent 21 4 2 4 3 2 2 2 2" xfId="17691"/>
    <cellStyle name="Percent 21 4 2 4 3 2 2 2 2 2" xfId="41112"/>
    <cellStyle name="Percent 21 4 2 4 3 2 2 2 3" xfId="34480"/>
    <cellStyle name="Percent 21 4 2 4 3 2 2 3" xfId="14375"/>
    <cellStyle name="Percent 21 4 2 4 3 2 2 3 2" xfId="37796"/>
    <cellStyle name="Percent 21 4 2 4 3 2 2 4" xfId="31164"/>
    <cellStyle name="Percent 21 4 2 4 3 2 3" xfId="9329"/>
    <cellStyle name="Percent 21 4 2 4 3 2 3 2" xfId="16033"/>
    <cellStyle name="Percent 21 4 2 4 3 2 3 2 2" xfId="39454"/>
    <cellStyle name="Percent 21 4 2 4 3 2 3 3" xfId="32822"/>
    <cellStyle name="Percent 21 4 2 4 3 2 4" xfId="12717"/>
    <cellStyle name="Percent 21 4 2 4 3 2 4 2" xfId="36138"/>
    <cellStyle name="Percent 21 4 2 4 3 2 5" xfId="29506"/>
    <cellStyle name="Percent 21 4 2 4 3 3" xfId="6759"/>
    <cellStyle name="Percent 21 4 2 4 3 3 2" xfId="10091"/>
    <cellStyle name="Percent 21 4 2 4 3 3 2 2" xfId="16795"/>
    <cellStyle name="Percent 21 4 2 4 3 3 2 2 2" xfId="40216"/>
    <cellStyle name="Percent 21 4 2 4 3 3 2 3" xfId="33584"/>
    <cellStyle name="Percent 21 4 2 4 3 3 3" xfId="13479"/>
    <cellStyle name="Percent 21 4 2 4 3 3 3 2" xfId="36900"/>
    <cellStyle name="Percent 21 4 2 4 3 3 4" xfId="30268"/>
    <cellStyle name="Percent 21 4 2 4 3 4" xfId="8425"/>
    <cellStyle name="Percent 21 4 2 4 3 4 2" xfId="15137"/>
    <cellStyle name="Percent 21 4 2 4 3 4 2 2" xfId="38558"/>
    <cellStyle name="Percent 21 4 2 4 3 4 3" xfId="31926"/>
    <cellStyle name="Percent 21 4 2 4 3 5" xfId="11819"/>
    <cellStyle name="Percent 21 4 2 4 3 5 2" xfId="35242"/>
    <cellStyle name="Percent 21 4 2 4 3 6" xfId="28610"/>
    <cellStyle name="Percent 21 4 2 4 4" xfId="5419"/>
    <cellStyle name="Percent 21 4 2 4 4 2" xfId="7273"/>
    <cellStyle name="Percent 21 4 2 4 4 2 2" xfId="10604"/>
    <cellStyle name="Percent 21 4 2 4 4 2 2 2" xfId="17308"/>
    <cellStyle name="Percent 21 4 2 4 4 2 2 2 2" xfId="40729"/>
    <cellStyle name="Percent 21 4 2 4 4 2 2 3" xfId="34097"/>
    <cellStyle name="Percent 21 4 2 4 4 2 3" xfId="13992"/>
    <cellStyle name="Percent 21 4 2 4 4 2 3 2" xfId="37413"/>
    <cellStyle name="Percent 21 4 2 4 4 2 4" xfId="30781"/>
    <cellStyle name="Percent 21 4 2 4 4 3" xfId="8946"/>
    <cellStyle name="Percent 21 4 2 4 4 3 2" xfId="15650"/>
    <cellStyle name="Percent 21 4 2 4 4 3 2 2" xfId="39071"/>
    <cellStyle name="Percent 21 4 2 4 4 3 3" xfId="32439"/>
    <cellStyle name="Percent 21 4 2 4 4 4" xfId="12333"/>
    <cellStyle name="Percent 21 4 2 4 4 4 2" xfId="35755"/>
    <cellStyle name="Percent 21 4 2 4 4 5" xfId="29123"/>
    <cellStyle name="Percent 21 4 2 4 5" xfId="6286"/>
    <cellStyle name="Percent 21 4 2 4 5 2" xfId="9620"/>
    <cellStyle name="Percent 21 4 2 4 5 2 2" xfId="16324"/>
    <cellStyle name="Percent 21 4 2 4 5 2 2 2" xfId="39745"/>
    <cellStyle name="Percent 21 4 2 4 5 2 3" xfId="33113"/>
    <cellStyle name="Percent 21 4 2 4 5 3" xfId="13008"/>
    <cellStyle name="Percent 21 4 2 4 5 3 2" xfId="36429"/>
    <cellStyle name="Percent 21 4 2 4 5 4" xfId="29797"/>
    <cellStyle name="Percent 21 4 2 4 6" xfId="7952"/>
    <cellStyle name="Percent 21 4 2 4 6 2" xfId="14666"/>
    <cellStyle name="Percent 21 4 2 4 6 2 2" xfId="38087"/>
    <cellStyle name="Percent 21 4 2 4 6 3" xfId="31455"/>
    <cellStyle name="Percent 21 4 2 4 7" xfId="11348"/>
    <cellStyle name="Percent 21 4 2 4 7 2" xfId="34771"/>
    <cellStyle name="Percent 21 4 2 4 8" xfId="28139"/>
    <cellStyle name="Percent 21 4 2 5" xfId="2478"/>
    <cellStyle name="Percent 21 4 2 5 2" xfId="18232"/>
    <cellStyle name="Percent 21 4 2 6" xfId="2652"/>
    <cellStyle name="Percent 21 4 2 6 2" xfId="5745"/>
    <cellStyle name="Percent 21 4 2 6 2 2" xfId="7527"/>
    <cellStyle name="Percent 21 4 2 6 2 2 2" xfId="10856"/>
    <cellStyle name="Percent 21 4 2 6 2 2 2 2" xfId="17560"/>
    <cellStyle name="Percent 21 4 2 6 2 2 2 2 2" xfId="40981"/>
    <cellStyle name="Percent 21 4 2 6 2 2 2 3" xfId="34349"/>
    <cellStyle name="Percent 21 4 2 6 2 2 3" xfId="14244"/>
    <cellStyle name="Percent 21 4 2 6 2 2 3 2" xfId="37665"/>
    <cellStyle name="Percent 21 4 2 6 2 2 4" xfId="31033"/>
    <cellStyle name="Percent 21 4 2 6 2 3" xfId="9198"/>
    <cellStyle name="Percent 21 4 2 6 2 3 2" xfId="15902"/>
    <cellStyle name="Percent 21 4 2 6 2 3 2 2" xfId="39323"/>
    <cellStyle name="Percent 21 4 2 6 2 3 3" xfId="32691"/>
    <cellStyle name="Percent 21 4 2 6 2 4" xfId="12586"/>
    <cellStyle name="Percent 21 4 2 6 2 4 2" xfId="36007"/>
    <cellStyle name="Percent 21 4 2 6 2 5" xfId="18309"/>
    <cellStyle name="Percent 21 4 2 6 2 6" xfId="29375"/>
    <cellStyle name="Percent 21 4 2 6 3" xfId="6628"/>
    <cellStyle name="Percent 21 4 2 6 3 2" xfId="9960"/>
    <cellStyle name="Percent 21 4 2 6 3 2 2" xfId="16664"/>
    <cellStyle name="Percent 21 4 2 6 3 2 2 2" xfId="40085"/>
    <cellStyle name="Percent 21 4 2 6 3 2 3" xfId="33453"/>
    <cellStyle name="Percent 21 4 2 6 3 3" xfId="13348"/>
    <cellStyle name="Percent 21 4 2 6 3 3 2" xfId="36769"/>
    <cellStyle name="Percent 21 4 2 6 3 4" xfId="30137"/>
    <cellStyle name="Percent 21 4 2 6 4" xfId="8294"/>
    <cellStyle name="Percent 21 4 2 6 4 2" xfId="15006"/>
    <cellStyle name="Percent 21 4 2 6 4 2 2" xfId="38427"/>
    <cellStyle name="Percent 21 4 2 6 4 3" xfId="31795"/>
    <cellStyle name="Percent 21 4 2 6 5" xfId="11688"/>
    <cellStyle name="Percent 21 4 2 6 5 2" xfId="35111"/>
    <cellStyle name="Percent 21 4 2 6 6" xfId="20503"/>
    <cellStyle name="Percent 21 4 2 6 7" xfId="28479"/>
    <cellStyle name="Percent 21 4 2 7" xfId="5351"/>
    <cellStyle name="Percent 21 4 2 7 2" xfId="7242"/>
    <cellStyle name="Percent 21 4 2 7 2 2" xfId="10573"/>
    <cellStyle name="Percent 21 4 2 7 2 2 2" xfId="17277"/>
    <cellStyle name="Percent 21 4 2 7 2 2 2 2" xfId="40698"/>
    <cellStyle name="Percent 21 4 2 7 2 2 3" xfId="34066"/>
    <cellStyle name="Percent 21 4 2 7 2 3" xfId="13961"/>
    <cellStyle name="Percent 21 4 2 7 2 3 2" xfId="37382"/>
    <cellStyle name="Percent 21 4 2 7 2 4" xfId="30750"/>
    <cellStyle name="Percent 21 4 2 7 3" xfId="8915"/>
    <cellStyle name="Percent 21 4 2 7 3 2" xfId="15619"/>
    <cellStyle name="Percent 21 4 2 7 3 2 2" xfId="39040"/>
    <cellStyle name="Percent 21 4 2 7 3 3" xfId="32408"/>
    <cellStyle name="Percent 21 4 2 7 4" xfId="12302"/>
    <cellStyle name="Percent 21 4 2 7 4 2" xfId="35724"/>
    <cellStyle name="Percent 21 4 2 7 5" xfId="29092"/>
    <cellStyle name="Percent 21 4 2 8" xfId="6155"/>
    <cellStyle name="Percent 21 4 2 8 2" xfId="9489"/>
    <cellStyle name="Percent 21 4 2 8 2 2" xfId="16193"/>
    <cellStyle name="Percent 21 4 2 8 2 2 2" xfId="39614"/>
    <cellStyle name="Percent 21 4 2 8 2 3" xfId="32982"/>
    <cellStyle name="Percent 21 4 2 8 3" xfId="12877"/>
    <cellStyle name="Percent 21 4 2 8 3 2" xfId="36298"/>
    <cellStyle name="Percent 21 4 2 8 4" xfId="29666"/>
    <cellStyle name="Percent 21 4 2 9" xfId="7821"/>
    <cellStyle name="Percent 21 4 2 9 2" xfId="14535"/>
    <cellStyle name="Percent 21 4 2 9 2 2" xfId="37956"/>
    <cellStyle name="Percent 21 4 2 9 3" xfId="31324"/>
    <cellStyle name="Percent 21 4 3" xfId="1480"/>
    <cellStyle name="Percent 21 4 3 10" xfId="28016"/>
    <cellStyle name="Percent 21 4 3 2" xfId="1704"/>
    <cellStyle name="Percent 21 4 3 3" xfId="1795"/>
    <cellStyle name="Percent 21 4 3 3 2" xfId="2479"/>
    <cellStyle name="Percent 21 4 3 3 3" xfId="2792"/>
    <cellStyle name="Percent 21 4 3 3 3 2" xfId="5884"/>
    <cellStyle name="Percent 21 4 3 3 3 2 2" xfId="7666"/>
    <cellStyle name="Percent 21 4 3 3 3 2 2 2" xfId="10995"/>
    <cellStyle name="Percent 21 4 3 3 3 2 2 2 2" xfId="17699"/>
    <cellStyle name="Percent 21 4 3 3 3 2 2 2 2 2" xfId="41120"/>
    <cellStyle name="Percent 21 4 3 3 3 2 2 2 3" xfId="34488"/>
    <cellStyle name="Percent 21 4 3 3 3 2 2 3" xfId="14383"/>
    <cellStyle name="Percent 21 4 3 3 3 2 2 3 2" xfId="37804"/>
    <cellStyle name="Percent 21 4 3 3 3 2 2 4" xfId="31172"/>
    <cellStyle name="Percent 21 4 3 3 3 2 3" xfId="9337"/>
    <cellStyle name="Percent 21 4 3 3 3 2 3 2" xfId="16041"/>
    <cellStyle name="Percent 21 4 3 3 3 2 3 2 2" xfId="39462"/>
    <cellStyle name="Percent 21 4 3 3 3 2 3 3" xfId="32830"/>
    <cellStyle name="Percent 21 4 3 3 3 2 4" xfId="12725"/>
    <cellStyle name="Percent 21 4 3 3 3 2 4 2" xfId="36146"/>
    <cellStyle name="Percent 21 4 3 3 3 2 5" xfId="29514"/>
    <cellStyle name="Percent 21 4 3 3 3 3" xfId="6767"/>
    <cellStyle name="Percent 21 4 3 3 3 3 2" xfId="10099"/>
    <cellStyle name="Percent 21 4 3 3 3 3 2 2" xfId="16803"/>
    <cellStyle name="Percent 21 4 3 3 3 3 2 2 2" xfId="40224"/>
    <cellStyle name="Percent 21 4 3 3 3 3 2 3" xfId="33592"/>
    <cellStyle name="Percent 21 4 3 3 3 3 3" xfId="13487"/>
    <cellStyle name="Percent 21 4 3 3 3 3 3 2" xfId="36908"/>
    <cellStyle name="Percent 21 4 3 3 3 3 4" xfId="30276"/>
    <cellStyle name="Percent 21 4 3 3 3 4" xfId="8433"/>
    <cellStyle name="Percent 21 4 3 3 3 4 2" xfId="15145"/>
    <cellStyle name="Percent 21 4 3 3 3 4 2 2" xfId="38566"/>
    <cellStyle name="Percent 21 4 3 3 3 4 3" xfId="31934"/>
    <cellStyle name="Percent 21 4 3 3 3 5" xfId="11827"/>
    <cellStyle name="Percent 21 4 3 3 3 5 2" xfId="35250"/>
    <cellStyle name="Percent 21 4 3 3 3 6" xfId="28618"/>
    <cellStyle name="Percent 21 4 3 3 4" xfId="5422"/>
    <cellStyle name="Percent 21 4 3 3 4 2" xfId="7275"/>
    <cellStyle name="Percent 21 4 3 3 4 2 2" xfId="10606"/>
    <cellStyle name="Percent 21 4 3 3 4 2 2 2" xfId="17310"/>
    <cellStyle name="Percent 21 4 3 3 4 2 2 2 2" xfId="40731"/>
    <cellStyle name="Percent 21 4 3 3 4 2 2 3" xfId="34099"/>
    <cellStyle name="Percent 21 4 3 3 4 2 3" xfId="13994"/>
    <cellStyle name="Percent 21 4 3 3 4 2 3 2" xfId="37415"/>
    <cellStyle name="Percent 21 4 3 3 4 2 4" xfId="30783"/>
    <cellStyle name="Percent 21 4 3 3 4 3" xfId="8948"/>
    <cellStyle name="Percent 21 4 3 3 4 3 2" xfId="15652"/>
    <cellStyle name="Percent 21 4 3 3 4 3 2 2" xfId="39073"/>
    <cellStyle name="Percent 21 4 3 3 4 3 3" xfId="32441"/>
    <cellStyle name="Percent 21 4 3 3 4 4" xfId="12335"/>
    <cellStyle name="Percent 21 4 3 3 4 4 2" xfId="35757"/>
    <cellStyle name="Percent 21 4 3 3 4 5" xfId="29125"/>
    <cellStyle name="Percent 21 4 3 3 5" xfId="6294"/>
    <cellStyle name="Percent 21 4 3 3 5 2" xfId="9628"/>
    <cellStyle name="Percent 21 4 3 3 5 2 2" xfId="16332"/>
    <cellStyle name="Percent 21 4 3 3 5 2 2 2" xfId="39753"/>
    <cellStyle name="Percent 21 4 3 3 5 2 3" xfId="33121"/>
    <cellStyle name="Percent 21 4 3 3 5 3" xfId="13016"/>
    <cellStyle name="Percent 21 4 3 3 5 3 2" xfId="36437"/>
    <cellStyle name="Percent 21 4 3 3 5 4" xfId="29805"/>
    <cellStyle name="Percent 21 4 3 3 6" xfId="7960"/>
    <cellStyle name="Percent 21 4 3 3 6 2" xfId="14674"/>
    <cellStyle name="Percent 21 4 3 3 6 2 2" xfId="38095"/>
    <cellStyle name="Percent 21 4 3 3 6 3" xfId="31463"/>
    <cellStyle name="Percent 21 4 3 3 7" xfId="11356"/>
    <cellStyle name="Percent 21 4 3 3 7 2" xfId="34779"/>
    <cellStyle name="Percent 21 4 3 3 8" xfId="28147"/>
    <cellStyle name="Percent 21 4 3 4" xfId="2480"/>
    <cellStyle name="Percent 21 4 3 4 2" xfId="18238"/>
    <cellStyle name="Percent 21 4 3 5" xfId="2660"/>
    <cellStyle name="Percent 21 4 3 5 2" xfId="5753"/>
    <cellStyle name="Percent 21 4 3 5 2 2" xfId="7535"/>
    <cellStyle name="Percent 21 4 3 5 2 2 2" xfId="10864"/>
    <cellStyle name="Percent 21 4 3 5 2 2 2 2" xfId="17568"/>
    <cellStyle name="Percent 21 4 3 5 2 2 2 2 2" xfId="40989"/>
    <cellStyle name="Percent 21 4 3 5 2 2 2 3" xfId="34357"/>
    <cellStyle name="Percent 21 4 3 5 2 2 3" xfId="14252"/>
    <cellStyle name="Percent 21 4 3 5 2 2 3 2" xfId="37673"/>
    <cellStyle name="Percent 21 4 3 5 2 2 4" xfId="31041"/>
    <cellStyle name="Percent 21 4 3 5 2 3" xfId="9206"/>
    <cellStyle name="Percent 21 4 3 5 2 3 2" xfId="15910"/>
    <cellStyle name="Percent 21 4 3 5 2 3 2 2" xfId="39331"/>
    <cellStyle name="Percent 21 4 3 5 2 3 3" xfId="32699"/>
    <cellStyle name="Percent 21 4 3 5 2 4" xfId="12594"/>
    <cellStyle name="Percent 21 4 3 5 2 4 2" xfId="36015"/>
    <cellStyle name="Percent 21 4 3 5 2 5" xfId="18310"/>
    <cellStyle name="Percent 21 4 3 5 2 6" xfId="29383"/>
    <cellStyle name="Percent 21 4 3 5 3" xfId="6636"/>
    <cellStyle name="Percent 21 4 3 5 3 2" xfId="9968"/>
    <cellStyle name="Percent 21 4 3 5 3 2 2" xfId="16672"/>
    <cellStyle name="Percent 21 4 3 5 3 2 2 2" xfId="40093"/>
    <cellStyle name="Percent 21 4 3 5 3 2 3" xfId="33461"/>
    <cellStyle name="Percent 21 4 3 5 3 3" xfId="13356"/>
    <cellStyle name="Percent 21 4 3 5 3 3 2" xfId="36777"/>
    <cellStyle name="Percent 21 4 3 5 3 4" xfId="30145"/>
    <cellStyle name="Percent 21 4 3 5 4" xfId="8302"/>
    <cellStyle name="Percent 21 4 3 5 4 2" xfId="15014"/>
    <cellStyle name="Percent 21 4 3 5 4 2 2" xfId="38435"/>
    <cellStyle name="Percent 21 4 3 5 4 3" xfId="31803"/>
    <cellStyle name="Percent 21 4 3 5 5" xfId="11696"/>
    <cellStyle name="Percent 21 4 3 5 5 2" xfId="35119"/>
    <cellStyle name="Percent 21 4 3 5 6" xfId="20463"/>
    <cellStyle name="Percent 21 4 3 5 7" xfId="28487"/>
    <cellStyle name="Percent 21 4 3 6" xfId="5353"/>
    <cellStyle name="Percent 21 4 3 6 2" xfId="7244"/>
    <cellStyle name="Percent 21 4 3 6 2 2" xfId="10575"/>
    <cellStyle name="Percent 21 4 3 6 2 2 2" xfId="17279"/>
    <cellStyle name="Percent 21 4 3 6 2 2 2 2" xfId="40700"/>
    <cellStyle name="Percent 21 4 3 6 2 2 3" xfId="34068"/>
    <cellStyle name="Percent 21 4 3 6 2 3" xfId="13963"/>
    <cellStyle name="Percent 21 4 3 6 2 3 2" xfId="37384"/>
    <cellStyle name="Percent 21 4 3 6 2 4" xfId="30752"/>
    <cellStyle name="Percent 21 4 3 6 3" xfId="8917"/>
    <cellStyle name="Percent 21 4 3 6 3 2" xfId="15621"/>
    <cellStyle name="Percent 21 4 3 6 3 2 2" xfId="39042"/>
    <cellStyle name="Percent 21 4 3 6 3 3" xfId="32410"/>
    <cellStyle name="Percent 21 4 3 6 4" xfId="12304"/>
    <cellStyle name="Percent 21 4 3 6 4 2" xfId="35726"/>
    <cellStyle name="Percent 21 4 3 6 5" xfId="29094"/>
    <cellStyle name="Percent 21 4 3 7" xfId="6163"/>
    <cellStyle name="Percent 21 4 3 7 2" xfId="9497"/>
    <cellStyle name="Percent 21 4 3 7 2 2" xfId="16201"/>
    <cellStyle name="Percent 21 4 3 7 2 2 2" xfId="39622"/>
    <cellStyle name="Percent 21 4 3 7 2 3" xfId="32990"/>
    <cellStyle name="Percent 21 4 3 7 3" xfId="12885"/>
    <cellStyle name="Percent 21 4 3 7 3 2" xfId="36306"/>
    <cellStyle name="Percent 21 4 3 7 4" xfId="29674"/>
    <cellStyle name="Percent 21 4 3 8" xfId="7829"/>
    <cellStyle name="Percent 21 4 3 8 2" xfId="14543"/>
    <cellStyle name="Percent 21 4 3 8 2 2" xfId="37964"/>
    <cellStyle name="Percent 21 4 3 8 3" xfId="31332"/>
    <cellStyle name="Percent 21 4 3 9" xfId="11225"/>
    <cellStyle name="Percent 21 4 3 9 2" xfId="34648"/>
    <cellStyle name="Percent 21 4 4" xfId="1701"/>
    <cellStyle name="Percent 21 4 5" xfId="1758"/>
    <cellStyle name="Percent 21 4 5 2" xfId="2481"/>
    <cellStyle name="Percent 21 4 5 3" xfId="2756"/>
    <cellStyle name="Percent 21 4 5 3 2" xfId="5848"/>
    <cellStyle name="Percent 21 4 5 3 2 2" xfId="7630"/>
    <cellStyle name="Percent 21 4 5 3 2 2 2" xfId="10959"/>
    <cellStyle name="Percent 21 4 5 3 2 2 2 2" xfId="17663"/>
    <cellStyle name="Percent 21 4 5 3 2 2 2 2 2" xfId="41084"/>
    <cellStyle name="Percent 21 4 5 3 2 2 2 3" xfId="34452"/>
    <cellStyle name="Percent 21 4 5 3 2 2 3" xfId="14347"/>
    <cellStyle name="Percent 21 4 5 3 2 2 3 2" xfId="37768"/>
    <cellStyle name="Percent 21 4 5 3 2 2 4" xfId="31136"/>
    <cellStyle name="Percent 21 4 5 3 2 3" xfId="9301"/>
    <cellStyle name="Percent 21 4 5 3 2 3 2" xfId="16005"/>
    <cellStyle name="Percent 21 4 5 3 2 3 2 2" xfId="39426"/>
    <cellStyle name="Percent 21 4 5 3 2 3 3" xfId="32794"/>
    <cellStyle name="Percent 21 4 5 3 2 4" xfId="12689"/>
    <cellStyle name="Percent 21 4 5 3 2 4 2" xfId="36110"/>
    <cellStyle name="Percent 21 4 5 3 2 5" xfId="29478"/>
    <cellStyle name="Percent 21 4 5 3 3" xfId="6731"/>
    <cellStyle name="Percent 21 4 5 3 3 2" xfId="10063"/>
    <cellStyle name="Percent 21 4 5 3 3 2 2" xfId="16767"/>
    <cellStyle name="Percent 21 4 5 3 3 2 2 2" xfId="40188"/>
    <cellStyle name="Percent 21 4 5 3 3 2 3" xfId="33556"/>
    <cellStyle name="Percent 21 4 5 3 3 3" xfId="13451"/>
    <cellStyle name="Percent 21 4 5 3 3 3 2" xfId="36872"/>
    <cellStyle name="Percent 21 4 5 3 3 4" xfId="30240"/>
    <cellStyle name="Percent 21 4 5 3 4" xfId="8397"/>
    <cellStyle name="Percent 21 4 5 3 4 2" xfId="15109"/>
    <cellStyle name="Percent 21 4 5 3 4 2 2" xfId="38530"/>
    <cellStyle name="Percent 21 4 5 3 4 3" xfId="31898"/>
    <cellStyle name="Percent 21 4 5 3 5" xfId="11791"/>
    <cellStyle name="Percent 21 4 5 3 5 2" xfId="35214"/>
    <cellStyle name="Percent 21 4 5 3 6" xfId="28582"/>
    <cellStyle name="Percent 21 4 5 4" xfId="5408"/>
    <cellStyle name="Percent 21 4 5 4 2" xfId="7262"/>
    <cellStyle name="Percent 21 4 5 4 2 2" xfId="10593"/>
    <cellStyle name="Percent 21 4 5 4 2 2 2" xfId="17297"/>
    <cellStyle name="Percent 21 4 5 4 2 2 2 2" xfId="40718"/>
    <cellStyle name="Percent 21 4 5 4 2 2 3" xfId="34086"/>
    <cellStyle name="Percent 21 4 5 4 2 3" xfId="13981"/>
    <cellStyle name="Percent 21 4 5 4 2 3 2" xfId="37402"/>
    <cellStyle name="Percent 21 4 5 4 2 4" xfId="30770"/>
    <cellStyle name="Percent 21 4 5 4 3" xfId="8935"/>
    <cellStyle name="Percent 21 4 5 4 3 2" xfId="15639"/>
    <cellStyle name="Percent 21 4 5 4 3 2 2" xfId="39060"/>
    <cellStyle name="Percent 21 4 5 4 3 3" xfId="32428"/>
    <cellStyle name="Percent 21 4 5 4 4" xfId="12322"/>
    <cellStyle name="Percent 21 4 5 4 4 2" xfId="35744"/>
    <cellStyle name="Percent 21 4 5 4 5" xfId="29112"/>
    <cellStyle name="Percent 21 4 5 5" xfId="6258"/>
    <cellStyle name="Percent 21 4 5 5 2" xfId="9592"/>
    <cellStyle name="Percent 21 4 5 5 2 2" xfId="16296"/>
    <cellStyle name="Percent 21 4 5 5 2 2 2" xfId="39717"/>
    <cellStyle name="Percent 21 4 5 5 2 3" xfId="33085"/>
    <cellStyle name="Percent 21 4 5 5 3" xfId="12980"/>
    <cellStyle name="Percent 21 4 5 5 3 2" xfId="36401"/>
    <cellStyle name="Percent 21 4 5 5 4" xfId="29769"/>
    <cellStyle name="Percent 21 4 5 6" xfId="7924"/>
    <cellStyle name="Percent 21 4 5 6 2" xfId="14638"/>
    <cellStyle name="Percent 21 4 5 6 2 2" xfId="38059"/>
    <cellStyle name="Percent 21 4 5 6 3" xfId="31427"/>
    <cellStyle name="Percent 21 4 5 7" xfId="11320"/>
    <cellStyle name="Percent 21 4 5 7 2" xfId="34743"/>
    <cellStyle name="Percent 21 4 5 8" xfId="28111"/>
    <cellStyle name="Percent 21 4 6" xfId="2482"/>
    <cellStyle name="Percent 21 4 6 2" xfId="18242"/>
    <cellStyle name="Percent 21 4 7" xfId="2623"/>
    <cellStyle name="Percent 21 4 7 2" xfId="5717"/>
    <cellStyle name="Percent 21 4 7 2 2" xfId="7500"/>
    <cellStyle name="Percent 21 4 7 2 2 2" xfId="10829"/>
    <cellStyle name="Percent 21 4 7 2 2 2 2" xfId="17533"/>
    <cellStyle name="Percent 21 4 7 2 2 2 2 2" xfId="40954"/>
    <cellStyle name="Percent 21 4 7 2 2 2 3" xfId="34322"/>
    <cellStyle name="Percent 21 4 7 2 2 3" xfId="14217"/>
    <cellStyle name="Percent 21 4 7 2 2 3 2" xfId="37638"/>
    <cellStyle name="Percent 21 4 7 2 2 4" xfId="31006"/>
    <cellStyle name="Percent 21 4 7 2 3" xfId="9171"/>
    <cellStyle name="Percent 21 4 7 2 3 2" xfId="15875"/>
    <cellStyle name="Percent 21 4 7 2 3 2 2" xfId="39296"/>
    <cellStyle name="Percent 21 4 7 2 3 3" xfId="32664"/>
    <cellStyle name="Percent 21 4 7 2 4" xfId="12559"/>
    <cellStyle name="Percent 21 4 7 2 4 2" xfId="35980"/>
    <cellStyle name="Percent 21 4 7 2 5" xfId="17879"/>
    <cellStyle name="Percent 21 4 7 2 6" xfId="29348"/>
    <cellStyle name="Percent 21 4 7 3" xfId="6600"/>
    <cellStyle name="Percent 21 4 7 3 2" xfId="9932"/>
    <cellStyle name="Percent 21 4 7 3 2 2" xfId="16636"/>
    <cellStyle name="Percent 21 4 7 3 2 2 2" xfId="40057"/>
    <cellStyle name="Percent 21 4 7 3 2 3" xfId="33425"/>
    <cellStyle name="Percent 21 4 7 3 3" xfId="13320"/>
    <cellStyle name="Percent 21 4 7 3 3 2" xfId="36741"/>
    <cellStyle name="Percent 21 4 7 3 4" xfId="30109"/>
    <cellStyle name="Percent 21 4 7 4" xfId="8266"/>
    <cellStyle name="Percent 21 4 7 4 2" xfId="14978"/>
    <cellStyle name="Percent 21 4 7 4 2 2" xfId="38399"/>
    <cellStyle name="Percent 21 4 7 4 3" xfId="31767"/>
    <cellStyle name="Percent 21 4 7 5" xfId="11660"/>
    <cellStyle name="Percent 21 4 7 5 2" xfId="35083"/>
    <cellStyle name="Percent 21 4 7 6" xfId="20483"/>
    <cellStyle name="Percent 21 4 7 7" xfId="28451"/>
    <cellStyle name="Percent 21 4 8" xfId="5310"/>
    <cellStyle name="Percent 21 4 8 2" xfId="7231"/>
    <cellStyle name="Percent 21 4 8 2 2" xfId="10562"/>
    <cellStyle name="Percent 21 4 8 2 2 2" xfId="17266"/>
    <cellStyle name="Percent 21 4 8 2 2 2 2" xfId="40687"/>
    <cellStyle name="Percent 21 4 8 2 2 3" xfId="34055"/>
    <cellStyle name="Percent 21 4 8 2 3" xfId="13950"/>
    <cellStyle name="Percent 21 4 8 2 3 2" xfId="37371"/>
    <cellStyle name="Percent 21 4 8 2 4" xfId="30739"/>
    <cellStyle name="Percent 21 4 8 3" xfId="8903"/>
    <cellStyle name="Percent 21 4 8 3 2" xfId="15608"/>
    <cellStyle name="Percent 21 4 8 3 2 2" xfId="39029"/>
    <cellStyle name="Percent 21 4 8 3 3" xfId="32397"/>
    <cellStyle name="Percent 21 4 8 4" xfId="12291"/>
    <cellStyle name="Percent 21 4 8 4 2" xfId="35713"/>
    <cellStyle name="Percent 21 4 8 5" xfId="29081"/>
    <cellStyle name="Percent 21 4 9" xfId="4439"/>
    <cellStyle name="Percent 21 5" xfId="1297"/>
    <cellStyle name="Percent 21 5 10" xfId="11196"/>
    <cellStyle name="Percent 21 5 10 2" xfId="34619"/>
    <cellStyle name="Percent 21 5 11" xfId="27987"/>
    <cellStyle name="Percent 21 5 2" xfId="1487"/>
    <cellStyle name="Percent 21 5 2 10" xfId="28023"/>
    <cellStyle name="Percent 21 5 2 2" xfId="1706"/>
    <cellStyle name="Percent 21 5 2 3" xfId="1802"/>
    <cellStyle name="Percent 21 5 2 3 2" xfId="2483"/>
    <cellStyle name="Percent 21 5 2 3 3" xfId="2799"/>
    <cellStyle name="Percent 21 5 2 3 3 2" xfId="5891"/>
    <cellStyle name="Percent 21 5 2 3 3 2 2" xfId="7673"/>
    <cellStyle name="Percent 21 5 2 3 3 2 2 2" xfId="11002"/>
    <cellStyle name="Percent 21 5 2 3 3 2 2 2 2" xfId="17706"/>
    <cellStyle name="Percent 21 5 2 3 3 2 2 2 2 2" xfId="41127"/>
    <cellStyle name="Percent 21 5 2 3 3 2 2 2 3" xfId="34495"/>
    <cellStyle name="Percent 21 5 2 3 3 2 2 3" xfId="14390"/>
    <cellStyle name="Percent 21 5 2 3 3 2 2 3 2" xfId="37811"/>
    <cellStyle name="Percent 21 5 2 3 3 2 2 4" xfId="31179"/>
    <cellStyle name="Percent 21 5 2 3 3 2 3" xfId="9344"/>
    <cellStyle name="Percent 21 5 2 3 3 2 3 2" xfId="16048"/>
    <cellStyle name="Percent 21 5 2 3 3 2 3 2 2" xfId="39469"/>
    <cellStyle name="Percent 21 5 2 3 3 2 3 3" xfId="32837"/>
    <cellStyle name="Percent 21 5 2 3 3 2 4" xfId="12732"/>
    <cellStyle name="Percent 21 5 2 3 3 2 4 2" xfId="36153"/>
    <cellStyle name="Percent 21 5 2 3 3 2 5" xfId="29521"/>
    <cellStyle name="Percent 21 5 2 3 3 3" xfId="6774"/>
    <cellStyle name="Percent 21 5 2 3 3 3 2" xfId="10106"/>
    <cellStyle name="Percent 21 5 2 3 3 3 2 2" xfId="16810"/>
    <cellStyle name="Percent 21 5 2 3 3 3 2 2 2" xfId="40231"/>
    <cellStyle name="Percent 21 5 2 3 3 3 2 3" xfId="33599"/>
    <cellStyle name="Percent 21 5 2 3 3 3 3" xfId="13494"/>
    <cellStyle name="Percent 21 5 2 3 3 3 3 2" xfId="36915"/>
    <cellStyle name="Percent 21 5 2 3 3 3 4" xfId="30283"/>
    <cellStyle name="Percent 21 5 2 3 3 4" xfId="8440"/>
    <cellStyle name="Percent 21 5 2 3 3 4 2" xfId="15152"/>
    <cellStyle name="Percent 21 5 2 3 3 4 2 2" xfId="38573"/>
    <cellStyle name="Percent 21 5 2 3 3 4 3" xfId="31941"/>
    <cellStyle name="Percent 21 5 2 3 3 5" xfId="11834"/>
    <cellStyle name="Percent 21 5 2 3 3 5 2" xfId="35257"/>
    <cellStyle name="Percent 21 5 2 3 3 6" xfId="28625"/>
    <cellStyle name="Percent 21 5 2 3 4" xfId="5424"/>
    <cellStyle name="Percent 21 5 2 3 4 2" xfId="7277"/>
    <cellStyle name="Percent 21 5 2 3 4 2 2" xfId="10608"/>
    <cellStyle name="Percent 21 5 2 3 4 2 2 2" xfId="17312"/>
    <cellStyle name="Percent 21 5 2 3 4 2 2 2 2" xfId="40733"/>
    <cellStyle name="Percent 21 5 2 3 4 2 2 3" xfId="34101"/>
    <cellStyle name="Percent 21 5 2 3 4 2 3" xfId="13996"/>
    <cellStyle name="Percent 21 5 2 3 4 2 3 2" xfId="37417"/>
    <cellStyle name="Percent 21 5 2 3 4 2 4" xfId="30785"/>
    <cellStyle name="Percent 21 5 2 3 4 3" xfId="8950"/>
    <cellStyle name="Percent 21 5 2 3 4 3 2" xfId="15654"/>
    <cellStyle name="Percent 21 5 2 3 4 3 2 2" xfId="39075"/>
    <cellStyle name="Percent 21 5 2 3 4 3 3" xfId="32443"/>
    <cellStyle name="Percent 21 5 2 3 4 4" xfId="12337"/>
    <cellStyle name="Percent 21 5 2 3 4 4 2" xfId="35759"/>
    <cellStyle name="Percent 21 5 2 3 4 5" xfId="29127"/>
    <cellStyle name="Percent 21 5 2 3 5" xfId="6301"/>
    <cellStyle name="Percent 21 5 2 3 5 2" xfId="9635"/>
    <cellStyle name="Percent 21 5 2 3 5 2 2" xfId="16339"/>
    <cellStyle name="Percent 21 5 2 3 5 2 2 2" xfId="39760"/>
    <cellStyle name="Percent 21 5 2 3 5 2 3" xfId="33128"/>
    <cellStyle name="Percent 21 5 2 3 5 3" xfId="13023"/>
    <cellStyle name="Percent 21 5 2 3 5 3 2" xfId="36444"/>
    <cellStyle name="Percent 21 5 2 3 5 4" xfId="29812"/>
    <cellStyle name="Percent 21 5 2 3 6" xfId="7967"/>
    <cellStyle name="Percent 21 5 2 3 6 2" xfId="14681"/>
    <cellStyle name="Percent 21 5 2 3 6 2 2" xfId="38102"/>
    <cellStyle name="Percent 21 5 2 3 6 3" xfId="31470"/>
    <cellStyle name="Percent 21 5 2 3 7" xfId="11363"/>
    <cellStyle name="Percent 21 5 2 3 7 2" xfId="34786"/>
    <cellStyle name="Percent 21 5 2 3 8" xfId="28154"/>
    <cellStyle name="Percent 21 5 2 4" xfId="2484"/>
    <cellStyle name="Percent 21 5 2 4 2" xfId="18247"/>
    <cellStyle name="Percent 21 5 2 5" xfId="2667"/>
    <cellStyle name="Percent 21 5 2 5 2" xfId="5760"/>
    <cellStyle name="Percent 21 5 2 5 2 2" xfId="7542"/>
    <cellStyle name="Percent 21 5 2 5 2 2 2" xfId="10871"/>
    <cellStyle name="Percent 21 5 2 5 2 2 2 2" xfId="17575"/>
    <cellStyle name="Percent 21 5 2 5 2 2 2 2 2" xfId="40996"/>
    <cellStyle name="Percent 21 5 2 5 2 2 2 3" xfId="34364"/>
    <cellStyle name="Percent 21 5 2 5 2 2 3" xfId="14259"/>
    <cellStyle name="Percent 21 5 2 5 2 2 3 2" xfId="37680"/>
    <cellStyle name="Percent 21 5 2 5 2 2 4" xfId="31048"/>
    <cellStyle name="Percent 21 5 2 5 2 3" xfId="9213"/>
    <cellStyle name="Percent 21 5 2 5 2 3 2" xfId="15917"/>
    <cellStyle name="Percent 21 5 2 5 2 3 2 2" xfId="39338"/>
    <cellStyle name="Percent 21 5 2 5 2 3 3" xfId="32706"/>
    <cellStyle name="Percent 21 5 2 5 2 4" xfId="12601"/>
    <cellStyle name="Percent 21 5 2 5 2 4 2" xfId="36022"/>
    <cellStyle name="Percent 21 5 2 5 2 5" xfId="18405"/>
    <cellStyle name="Percent 21 5 2 5 2 6" xfId="29390"/>
    <cellStyle name="Percent 21 5 2 5 3" xfId="6643"/>
    <cellStyle name="Percent 21 5 2 5 3 2" xfId="9975"/>
    <cellStyle name="Percent 21 5 2 5 3 2 2" xfId="16679"/>
    <cellStyle name="Percent 21 5 2 5 3 2 2 2" xfId="40100"/>
    <cellStyle name="Percent 21 5 2 5 3 2 3" xfId="33468"/>
    <cellStyle name="Percent 21 5 2 5 3 3" xfId="13363"/>
    <cellStyle name="Percent 21 5 2 5 3 3 2" xfId="36784"/>
    <cellStyle name="Percent 21 5 2 5 3 4" xfId="30152"/>
    <cellStyle name="Percent 21 5 2 5 4" xfId="8309"/>
    <cellStyle name="Percent 21 5 2 5 4 2" xfId="15021"/>
    <cellStyle name="Percent 21 5 2 5 4 2 2" xfId="38442"/>
    <cellStyle name="Percent 21 5 2 5 4 3" xfId="31810"/>
    <cellStyle name="Percent 21 5 2 5 5" xfId="11703"/>
    <cellStyle name="Percent 21 5 2 5 5 2" xfId="35126"/>
    <cellStyle name="Percent 21 5 2 5 6" xfId="17942"/>
    <cellStyle name="Percent 21 5 2 5 7" xfId="28494"/>
    <cellStyle name="Percent 21 5 2 6" xfId="5357"/>
    <cellStyle name="Percent 21 5 2 6 2" xfId="7246"/>
    <cellStyle name="Percent 21 5 2 6 2 2" xfId="10577"/>
    <cellStyle name="Percent 21 5 2 6 2 2 2" xfId="17281"/>
    <cellStyle name="Percent 21 5 2 6 2 2 2 2" xfId="40702"/>
    <cellStyle name="Percent 21 5 2 6 2 2 3" xfId="34070"/>
    <cellStyle name="Percent 21 5 2 6 2 3" xfId="13965"/>
    <cellStyle name="Percent 21 5 2 6 2 3 2" xfId="37386"/>
    <cellStyle name="Percent 21 5 2 6 2 4" xfId="30754"/>
    <cellStyle name="Percent 21 5 2 6 3" xfId="8919"/>
    <cellStyle name="Percent 21 5 2 6 3 2" xfId="15623"/>
    <cellStyle name="Percent 21 5 2 6 3 2 2" xfId="39044"/>
    <cellStyle name="Percent 21 5 2 6 3 3" xfId="32412"/>
    <cellStyle name="Percent 21 5 2 6 4" xfId="12306"/>
    <cellStyle name="Percent 21 5 2 6 4 2" xfId="35728"/>
    <cellStyle name="Percent 21 5 2 6 5" xfId="29096"/>
    <cellStyle name="Percent 21 5 2 7" xfId="6170"/>
    <cellStyle name="Percent 21 5 2 7 2" xfId="9504"/>
    <cellStyle name="Percent 21 5 2 7 2 2" xfId="16208"/>
    <cellStyle name="Percent 21 5 2 7 2 2 2" xfId="39629"/>
    <cellStyle name="Percent 21 5 2 7 2 3" xfId="32997"/>
    <cellStyle name="Percent 21 5 2 7 3" xfId="12892"/>
    <cellStyle name="Percent 21 5 2 7 3 2" xfId="36313"/>
    <cellStyle name="Percent 21 5 2 7 4" xfId="29681"/>
    <cellStyle name="Percent 21 5 2 8" xfId="7836"/>
    <cellStyle name="Percent 21 5 2 8 2" xfId="14550"/>
    <cellStyle name="Percent 21 5 2 8 2 2" xfId="37971"/>
    <cellStyle name="Percent 21 5 2 8 3" xfId="31339"/>
    <cellStyle name="Percent 21 5 2 9" xfId="11232"/>
    <cellStyle name="Percent 21 5 2 9 2" xfId="34655"/>
    <cellStyle name="Percent 21 5 3" xfId="1705"/>
    <cellStyle name="Percent 21 5 4" xfId="1765"/>
    <cellStyle name="Percent 21 5 4 2" xfId="2486"/>
    <cellStyle name="Percent 21 5 4 3" xfId="2763"/>
    <cellStyle name="Percent 21 5 4 3 2" xfId="5855"/>
    <cellStyle name="Percent 21 5 4 3 2 2" xfId="7637"/>
    <cellStyle name="Percent 21 5 4 3 2 2 2" xfId="10966"/>
    <cellStyle name="Percent 21 5 4 3 2 2 2 2" xfId="17670"/>
    <cellStyle name="Percent 21 5 4 3 2 2 2 2 2" xfId="41091"/>
    <cellStyle name="Percent 21 5 4 3 2 2 2 3" xfId="34459"/>
    <cellStyle name="Percent 21 5 4 3 2 2 3" xfId="14354"/>
    <cellStyle name="Percent 21 5 4 3 2 2 3 2" xfId="37775"/>
    <cellStyle name="Percent 21 5 4 3 2 2 4" xfId="31143"/>
    <cellStyle name="Percent 21 5 4 3 2 3" xfId="9308"/>
    <cellStyle name="Percent 21 5 4 3 2 3 2" xfId="16012"/>
    <cellStyle name="Percent 21 5 4 3 2 3 2 2" xfId="39433"/>
    <cellStyle name="Percent 21 5 4 3 2 3 3" xfId="32801"/>
    <cellStyle name="Percent 21 5 4 3 2 4" xfId="12696"/>
    <cellStyle name="Percent 21 5 4 3 2 4 2" xfId="36117"/>
    <cellStyle name="Percent 21 5 4 3 2 5" xfId="29485"/>
    <cellStyle name="Percent 21 5 4 3 3" xfId="6738"/>
    <cellStyle name="Percent 21 5 4 3 3 2" xfId="10070"/>
    <cellStyle name="Percent 21 5 4 3 3 2 2" xfId="16774"/>
    <cellStyle name="Percent 21 5 4 3 3 2 2 2" xfId="40195"/>
    <cellStyle name="Percent 21 5 4 3 3 2 3" xfId="33563"/>
    <cellStyle name="Percent 21 5 4 3 3 3" xfId="13458"/>
    <cellStyle name="Percent 21 5 4 3 3 3 2" xfId="36879"/>
    <cellStyle name="Percent 21 5 4 3 3 4" xfId="30247"/>
    <cellStyle name="Percent 21 5 4 3 4" xfId="8404"/>
    <cellStyle name="Percent 21 5 4 3 4 2" xfId="15116"/>
    <cellStyle name="Percent 21 5 4 3 4 2 2" xfId="38537"/>
    <cellStyle name="Percent 21 5 4 3 4 3" xfId="31905"/>
    <cellStyle name="Percent 21 5 4 3 5" xfId="11798"/>
    <cellStyle name="Percent 21 5 4 3 5 2" xfId="35221"/>
    <cellStyle name="Percent 21 5 4 3 6" xfId="28589"/>
    <cellStyle name="Percent 21 5 4 4" xfId="5410"/>
    <cellStyle name="Percent 21 5 4 4 2" xfId="7264"/>
    <cellStyle name="Percent 21 5 4 4 2 2" xfId="10595"/>
    <cellStyle name="Percent 21 5 4 4 2 2 2" xfId="17299"/>
    <cellStyle name="Percent 21 5 4 4 2 2 2 2" xfId="40720"/>
    <cellStyle name="Percent 21 5 4 4 2 2 3" xfId="34088"/>
    <cellStyle name="Percent 21 5 4 4 2 3" xfId="13983"/>
    <cellStyle name="Percent 21 5 4 4 2 3 2" xfId="37404"/>
    <cellStyle name="Percent 21 5 4 4 2 4" xfId="30772"/>
    <cellStyle name="Percent 21 5 4 4 3" xfId="8937"/>
    <cellStyle name="Percent 21 5 4 4 3 2" xfId="15641"/>
    <cellStyle name="Percent 21 5 4 4 3 2 2" xfId="39062"/>
    <cellStyle name="Percent 21 5 4 4 3 3" xfId="32430"/>
    <cellStyle name="Percent 21 5 4 4 4" xfId="12324"/>
    <cellStyle name="Percent 21 5 4 4 4 2" xfId="35746"/>
    <cellStyle name="Percent 21 5 4 4 5" xfId="29114"/>
    <cellStyle name="Percent 21 5 4 5" xfId="6265"/>
    <cellStyle name="Percent 21 5 4 5 2" xfId="9599"/>
    <cellStyle name="Percent 21 5 4 5 2 2" xfId="16303"/>
    <cellStyle name="Percent 21 5 4 5 2 2 2" xfId="39724"/>
    <cellStyle name="Percent 21 5 4 5 2 3" xfId="33092"/>
    <cellStyle name="Percent 21 5 4 5 3" xfId="12987"/>
    <cellStyle name="Percent 21 5 4 5 3 2" xfId="36408"/>
    <cellStyle name="Percent 21 5 4 5 4" xfId="29776"/>
    <cellStyle name="Percent 21 5 4 6" xfId="7931"/>
    <cellStyle name="Percent 21 5 4 6 2" xfId="14645"/>
    <cellStyle name="Percent 21 5 4 6 2 2" xfId="38066"/>
    <cellStyle name="Percent 21 5 4 6 3" xfId="31434"/>
    <cellStyle name="Percent 21 5 4 7" xfId="11327"/>
    <cellStyle name="Percent 21 5 4 7 2" xfId="34750"/>
    <cellStyle name="Percent 21 5 4 8" xfId="28118"/>
    <cellStyle name="Percent 21 5 5" xfId="2487"/>
    <cellStyle name="Percent 21 5 5 2" xfId="18250"/>
    <cellStyle name="Percent 21 5 6" xfId="2630"/>
    <cellStyle name="Percent 21 5 6 2" xfId="5724"/>
    <cellStyle name="Percent 21 5 6 2 2" xfId="7507"/>
    <cellStyle name="Percent 21 5 6 2 2 2" xfId="10836"/>
    <cellStyle name="Percent 21 5 6 2 2 2 2" xfId="17540"/>
    <cellStyle name="Percent 21 5 6 2 2 2 2 2" xfId="40961"/>
    <cellStyle name="Percent 21 5 6 2 2 2 3" xfId="34329"/>
    <cellStyle name="Percent 21 5 6 2 2 3" xfId="14224"/>
    <cellStyle name="Percent 21 5 6 2 2 3 2" xfId="37645"/>
    <cellStyle name="Percent 21 5 6 2 2 4" xfId="31013"/>
    <cellStyle name="Percent 21 5 6 2 3" xfId="9178"/>
    <cellStyle name="Percent 21 5 6 2 3 2" xfId="15882"/>
    <cellStyle name="Percent 21 5 6 2 3 2 2" xfId="39303"/>
    <cellStyle name="Percent 21 5 6 2 3 3" xfId="32671"/>
    <cellStyle name="Percent 21 5 6 2 4" xfId="12566"/>
    <cellStyle name="Percent 21 5 6 2 4 2" xfId="35987"/>
    <cellStyle name="Percent 21 5 6 2 5" xfId="18311"/>
    <cellStyle name="Percent 21 5 6 2 6" xfId="29355"/>
    <cellStyle name="Percent 21 5 6 3" xfId="6607"/>
    <cellStyle name="Percent 21 5 6 3 2" xfId="9939"/>
    <cellStyle name="Percent 21 5 6 3 2 2" xfId="16643"/>
    <cellStyle name="Percent 21 5 6 3 2 2 2" xfId="40064"/>
    <cellStyle name="Percent 21 5 6 3 2 3" xfId="33432"/>
    <cellStyle name="Percent 21 5 6 3 3" xfId="13327"/>
    <cellStyle name="Percent 21 5 6 3 3 2" xfId="36748"/>
    <cellStyle name="Percent 21 5 6 3 4" xfId="30116"/>
    <cellStyle name="Percent 21 5 6 4" xfId="8273"/>
    <cellStyle name="Percent 21 5 6 4 2" xfId="14985"/>
    <cellStyle name="Percent 21 5 6 4 2 2" xfId="38406"/>
    <cellStyle name="Percent 21 5 6 4 3" xfId="31774"/>
    <cellStyle name="Percent 21 5 6 5" xfId="11667"/>
    <cellStyle name="Percent 21 5 6 5 2" xfId="35090"/>
    <cellStyle name="Percent 21 5 6 6" xfId="20441"/>
    <cellStyle name="Percent 21 5 6 7" xfId="28458"/>
    <cellStyle name="Percent 21 5 7" xfId="5326"/>
    <cellStyle name="Percent 21 5 7 2" xfId="7233"/>
    <cellStyle name="Percent 21 5 7 2 2" xfId="10564"/>
    <cellStyle name="Percent 21 5 7 2 2 2" xfId="17268"/>
    <cellStyle name="Percent 21 5 7 2 2 2 2" xfId="40689"/>
    <cellStyle name="Percent 21 5 7 2 2 3" xfId="34057"/>
    <cellStyle name="Percent 21 5 7 2 3" xfId="13952"/>
    <cellStyle name="Percent 21 5 7 2 3 2" xfId="37373"/>
    <cellStyle name="Percent 21 5 7 2 4" xfId="30741"/>
    <cellStyle name="Percent 21 5 7 3" xfId="8905"/>
    <cellStyle name="Percent 21 5 7 3 2" xfId="15610"/>
    <cellStyle name="Percent 21 5 7 3 2 2" xfId="39031"/>
    <cellStyle name="Percent 21 5 7 3 3" xfId="32399"/>
    <cellStyle name="Percent 21 5 7 4" xfId="12293"/>
    <cellStyle name="Percent 21 5 7 4 2" xfId="35715"/>
    <cellStyle name="Percent 21 5 7 5" xfId="29083"/>
    <cellStyle name="Percent 21 5 8" xfId="6134"/>
    <cellStyle name="Percent 21 5 8 2" xfId="9468"/>
    <cellStyle name="Percent 21 5 8 2 2" xfId="16172"/>
    <cellStyle name="Percent 21 5 8 2 2 2" xfId="39593"/>
    <cellStyle name="Percent 21 5 8 2 3" xfId="32961"/>
    <cellStyle name="Percent 21 5 8 3" xfId="12856"/>
    <cellStyle name="Percent 21 5 8 3 2" xfId="36277"/>
    <cellStyle name="Percent 21 5 8 4" xfId="29645"/>
    <cellStyle name="Percent 21 5 9" xfId="7799"/>
    <cellStyle name="Percent 21 5 9 2" xfId="14514"/>
    <cellStyle name="Percent 21 5 9 2 2" xfId="37935"/>
    <cellStyle name="Percent 21 5 9 3" xfId="31303"/>
    <cellStyle name="Percent 21 6" xfId="1523"/>
    <cellStyle name="Percent 21 6 2" xfId="1831"/>
    <cellStyle name="Percent 21 6 2 2" xfId="2489"/>
    <cellStyle name="Percent 21 6 2 3" xfId="2828"/>
    <cellStyle name="Percent 21 6 2 3 2" xfId="5920"/>
    <cellStyle name="Percent 21 6 2 3 2 2" xfId="7702"/>
    <cellStyle name="Percent 21 6 2 3 2 2 2" xfId="11031"/>
    <cellStyle name="Percent 21 6 2 3 2 2 2 2" xfId="17735"/>
    <cellStyle name="Percent 21 6 2 3 2 2 2 2 2" xfId="41156"/>
    <cellStyle name="Percent 21 6 2 3 2 2 2 3" xfId="34524"/>
    <cellStyle name="Percent 21 6 2 3 2 2 3" xfId="14419"/>
    <cellStyle name="Percent 21 6 2 3 2 2 3 2" xfId="37840"/>
    <cellStyle name="Percent 21 6 2 3 2 2 4" xfId="31208"/>
    <cellStyle name="Percent 21 6 2 3 2 3" xfId="9373"/>
    <cellStyle name="Percent 21 6 2 3 2 3 2" xfId="16077"/>
    <cellStyle name="Percent 21 6 2 3 2 3 2 2" xfId="39498"/>
    <cellStyle name="Percent 21 6 2 3 2 3 3" xfId="32866"/>
    <cellStyle name="Percent 21 6 2 3 2 4" xfId="12761"/>
    <cellStyle name="Percent 21 6 2 3 2 4 2" xfId="36182"/>
    <cellStyle name="Percent 21 6 2 3 2 5" xfId="29550"/>
    <cellStyle name="Percent 21 6 2 3 3" xfId="6803"/>
    <cellStyle name="Percent 21 6 2 3 3 2" xfId="10135"/>
    <cellStyle name="Percent 21 6 2 3 3 2 2" xfId="16839"/>
    <cellStyle name="Percent 21 6 2 3 3 2 2 2" xfId="40260"/>
    <cellStyle name="Percent 21 6 2 3 3 2 3" xfId="33628"/>
    <cellStyle name="Percent 21 6 2 3 3 3" xfId="13523"/>
    <cellStyle name="Percent 21 6 2 3 3 3 2" xfId="36944"/>
    <cellStyle name="Percent 21 6 2 3 3 4" xfId="30312"/>
    <cellStyle name="Percent 21 6 2 3 4" xfId="8469"/>
    <cellStyle name="Percent 21 6 2 3 4 2" xfId="15181"/>
    <cellStyle name="Percent 21 6 2 3 4 2 2" xfId="38602"/>
    <cellStyle name="Percent 21 6 2 3 4 3" xfId="31970"/>
    <cellStyle name="Percent 21 6 2 3 5" xfId="11863"/>
    <cellStyle name="Percent 21 6 2 3 5 2" xfId="35286"/>
    <cellStyle name="Percent 21 6 2 3 6" xfId="28654"/>
    <cellStyle name="Percent 21 6 2 4" xfId="5437"/>
    <cellStyle name="Percent 21 6 2 4 2" xfId="7288"/>
    <cellStyle name="Percent 21 6 2 4 2 2" xfId="10619"/>
    <cellStyle name="Percent 21 6 2 4 2 2 2" xfId="17323"/>
    <cellStyle name="Percent 21 6 2 4 2 2 2 2" xfId="40744"/>
    <cellStyle name="Percent 21 6 2 4 2 2 3" xfId="34112"/>
    <cellStyle name="Percent 21 6 2 4 2 3" xfId="14007"/>
    <cellStyle name="Percent 21 6 2 4 2 3 2" xfId="37428"/>
    <cellStyle name="Percent 21 6 2 4 2 4" xfId="30796"/>
    <cellStyle name="Percent 21 6 2 4 3" xfId="8961"/>
    <cellStyle name="Percent 21 6 2 4 3 2" xfId="15665"/>
    <cellStyle name="Percent 21 6 2 4 3 2 2" xfId="39086"/>
    <cellStyle name="Percent 21 6 2 4 3 3" xfId="32454"/>
    <cellStyle name="Percent 21 6 2 4 4" xfId="12349"/>
    <cellStyle name="Percent 21 6 2 4 4 2" xfId="35770"/>
    <cellStyle name="Percent 21 6 2 4 5" xfId="29138"/>
    <cellStyle name="Percent 21 6 2 5" xfId="6330"/>
    <cellStyle name="Percent 21 6 2 5 2" xfId="9664"/>
    <cellStyle name="Percent 21 6 2 5 2 2" xfId="16368"/>
    <cellStyle name="Percent 21 6 2 5 2 2 2" xfId="39789"/>
    <cellStyle name="Percent 21 6 2 5 2 3" xfId="33157"/>
    <cellStyle name="Percent 21 6 2 5 3" xfId="13052"/>
    <cellStyle name="Percent 21 6 2 5 3 2" xfId="36473"/>
    <cellStyle name="Percent 21 6 2 5 4" xfId="29841"/>
    <cellStyle name="Percent 21 6 2 6" xfId="7996"/>
    <cellStyle name="Percent 21 6 2 6 2" xfId="14710"/>
    <cellStyle name="Percent 21 6 2 6 2 2" xfId="38131"/>
    <cellStyle name="Percent 21 6 2 6 3" xfId="31499"/>
    <cellStyle name="Percent 21 6 2 7" xfId="11392"/>
    <cellStyle name="Percent 21 6 2 7 2" xfId="34815"/>
    <cellStyle name="Percent 21 6 2 8" xfId="28183"/>
    <cellStyle name="Percent 21 6 3" xfId="2488"/>
    <cellStyle name="Percent 21 6 4" xfId="2696"/>
    <cellStyle name="Percent 21 6 4 2" xfId="5789"/>
    <cellStyle name="Percent 21 6 4 2 2" xfId="7571"/>
    <cellStyle name="Percent 21 6 4 2 2 2" xfId="10900"/>
    <cellStyle name="Percent 21 6 4 2 2 2 2" xfId="17604"/>
    <cellStyle name="Percent 21 6 4 2 2 2 2 2" xfId="41025"/>
    <cellStyle name="Percent 21 6 4 2 2 2 3" xfId="34393"/>
    <cellStyle name="Percent 21 6 4 2 2 3" xfId="14288"/>
    <cellStyle name="Percent 21 6 4 2 2 3 2" xfId="37709"/>
    <cellStyle name="Percent 21 6 4 2 2 4" xfId="31077"/>
    <cellStyle name="Percent 21 6 4 2 3" xfId="9242"/>
    <cellStyle name="Percent 21 6 4 2 3 2" xfId="15946"/>
    <cellStyle name="Percent 21 6 4 2 3 2 2" xfId="39367"/>
    <cellStyle name="Percent 21 6 4 2 3 3" xfId="32735"/>
    <cellStyle name="Percent 21 6 4 2 4" xfId="12630"/>
    <cellStyle name="Percent 21 6 4 2 4 2" xfId="36051"/>
    <cellStyle name="Percent 21 6 4 2 5" xfId="29419"/>
    <cellStyle name="Percent 21 6 4 3" xfId="6672"/>
    <cellStyle name="Percent 21 6 4 3 2" xfId="10004"/>
    <cellStyle name="Percent 21 6 4 3 2 2" xfId="16708"/>
    <cellStyle name="Percent 21 6 4 3 2 2 2" xfId="40129"/>
    <cellStyle name="Percent 21 6 4 3 2 3" xfId="33497"/>
    <cellStyle name="Percent 21 6 4 3 3" xfId="13392"/>
    <cellStyle name="Percent 21 6 4 3 3 2" xfId="36813"/>
    <cellStyle name="Percent 21 6 4 3 4" xfId="30181"/>
    <cellStyle name="Percent 21 6 4 4" xfId="8338"/>
    <cellStyle name="Percent 21 6 4 4 2" xfId="15050"/>
    <cellStyle name="Percent 21 6 4 4 2 2" xfId="38471"/>
    <cellStyle name="Percent 21 6 4 4 3" xfId="31839"/>
    <cellStyle name="Percent 21 6 4 5" xfId="11732"/>
    <cellStyle name="Percent 21 6 4 5 2" xfId="35155"/>
    <cellStyle name="Percent 21 6 4 6" xfId="28523"/>
    <cellStyle name="Percent 21 6 5" xfId="5371"/>
    <cellStyle name="Percent 21 6 5 2" xfId="7257"/>
    <cellStyle name="Percent 21 6 5 2 2" xfId="10588"/>
    <cellStyle name="Percent 21 6 5 2 2 2" xfId="17292"/>
    <cellStyle name="Percent 21 6 5 2 2 2 2" xfId="40713"/>
    <cellStyle name="Percent 21 6 5 2 2 3" xfId="34081"/>
    <cellStyle name="Percent 21 6 5 2 3" xfId="13976"/>
    <cellStyle name="Percent 21 6 5 2 3 2" xfId="37397"/>
    <cellStyle name="Percent 21 6 5 2 4" xfId="30765"/>
    <cellStyle name="Percent 21 6 5 3" xfId="8930"/>
    <cellStyle name="Percent 21 6 5 3 2" xfId="15634"/>
    <cellStyle name="Percent 21 6 5 3 2 2" xfId="39055"/>
    <cellStyle name="Percent 21 6 5 3 3" xfId="32423"/>
    <cellStyle name="Percent 21 6 5 4" xfId="12317"/>
    <cellStyle name="Percent 21 6 5 4 2" xfId="35739"/>
    <cellStyle name="Percent 21 6 5 5" xfId="29107"/>
    <cellStyle name="Percent 21 6 6" xfId="6199"/>
    <cellStyle name="Percent 21 6 6 2" xfId="9533"/>
    <cellStyle name="Percent 21 6 6 2 2" xfId="16237"/>
    <cellStyle name="Percent 21 6 6 2 2 2" xfId="39658"/>
    <cellStyle name="Percent 21 6 6 2 3" xfId="33026"/>
    <cellStyle name="Percent 21 6 6 3" xfId="12921"/>
    <cellStyle name="Percent 21 6 6 3 2" xfId="36342"/>
    <cellStyle name="Percent 21 6 6 4" xfId="29710"/>
    <cellStyle name="Percent 21 6 7" xfId="7865"/>
    <cellStyle name="Percent 21 6 7 2" xfId="14579"/>
    <cellStyle name="Percent 21 6 7 2 2" xfId="38000"/>
    <cellStyle name="Percent 21 6 7 3" xfId="31368"/>
    <cellStyle name="Percent 21 6 8" xfId="11261"/>
    <cellStyle name="Percent 21 6 8 2" xfId="34684"/>
    <cellStyle name="Percent 21 6 9" xfId="28052"/>
    <cellStyle name="Percent 21 7" xfId="1698"/>
    <cellStyle name="Percent 21 7 2" xfId="1882"/>
    <cellStyle name="Percent 21 7 2 2" xfId="2491"/>
    <cellStyle name="Percent 21 7 2 3" xfId="2879"/>
    <cellStyle name="Percent 21 7 2 3 2" xfId="5971"/>
    <cellStyle name="Percent 21 7 2 3 2 2" xfId="7753"/>
    <cellStyle name="Percent 21 7 2 3 2 2 2" xfId="11082"/>
    <cellStyle name="Percent 21 7 2 3 2 2 2 2" xfId="17786"/>
    <cellStyle name="Percent 21 7 2 3 2 2 2 2 2" xfId="41207"/>
    <cellStyle name="Percent 21 7 2 3 2 2 2 3" xfId="34575"/>
    <cellStyle name="Percent 21 7 2 3 2 2 3" xfId="14470"/>
    <cellStyle name="Percent 21 7 2 3 2 2 3 2" xfId="37891"/>
    <cellStyle name="Percent 21 7 2 3 2 2 4" xfId="31259"/>
    <cellStyle name="Percent 21 7 2 3 2 3" xfId="9424"/>
    <cellStyle name="Percent 21 7 2 3 2 3 2" xfId="16128"/>
    <cellStyle name="Percent 21 7 2 3 2 3 2 2" xfId="39549"/>
    <cellStyle name="Percent 21 7 2 3 2 3 3" xfId="32917"/>
    <cellStyle name="Percent 21 7 2 3 2 4" xfId="12812"/>
    <cellStyle name="Percent 21 7 2 3 2 4 2" xfId="36233"/>
    <cellStyle name="Percent 21 7 2 3 2 5" xfId="29601"/>
    <cellStyle name="Percent 21 7 2 3 3" xfId="6854"/>
    <cellStyle name="Percent 21 7 2 3 3 2" xfId="10186"/>
    <cellStyle name="Percent 21 7 2 3 3 2 2" xfId="16890"/>
    <cellStyle name="Percent 21 7 2 3 3 2 2 2" xfId="40311"/>
    <cellStyle name="Percent 21 7 2 3 3 2 3" xfId="33679"/>
    <cellStyle name="Percent 21 7 2 3 3 3" xfId="13574"/>
    <cellStyle name="Percent 21 7 2 3 3 3 2" xfId="36995"/>
    <cellStyle name="Percent 21 7 2 3 3 4" xfId="30363"/>
    <cellStyle name="Percent 21 7 2 3 4" xfId="8520"/>
    <cellStyle name="Percent 21 7 2 3 4 2" xfId="15232"/>
    <cellStyle name="Percent 21 7 2 3 4 2 2" xfId="38653"/>
    <cellStyle name="Percent 21 7 2 3 4 3" xfId="32021"/>
    <cellStyle name="Percent 21 7 2 3 5" xfId="11914"/>
    <cellStyle name="Percent 21 7 2 3 5 2" xfId="35337"/>
    <cellStyle name="Percent 21 7 2 3 6" xfId="28705"/>
    <cellStyle name="Percent 21 7 2 4" xfId="5443"/>
    <cellStyle name="Percent 21 7 2 4 2" xfId="7290"/>
    <cellStyle name="Percent 21 7 2 4 2 2" xfId="10621"/>
    <cellStyle name="Percent 21 7 2 4 2 2 2" xfId="17325"/>
    <cellStyle name="Percent 21 7 2 4 2 2 2 2" xfId="40746"/>
    <cellStyle name="Percent 21 7 2 4 2 2 3" xfId="34114"/>
    <cellStyle name="Percent 21 7 2 4 2 3" xfId="14009"/>
    <cellStyle name="Percent 21 7 2 4 2 3 2" xfId="37430"/>
    <cellStyle name="Percent 21 7 2 4 2 4" xfId="30798"/>
    <cellStyle name="Percent 21 7 2 4 3" xfId="8963"/>
    <cellStyle name="Percent 21 7 2 4 3 2" xfId="15667"/>
    <cellStyle name="Percent 21 7 2 4 3 2 2" xfId="39088"/>
    <cellStyle name="Percent 21 7 2 4 3 3" xfId="32456"/>
    <cellStyle name="Percent 21 7 2 4 4" xfId="12351"/>
    <cellStyle name="Percent 21 7 2 4 4 2" xfId="35772"/>
    <cellStyle name="Percent 21 7 2 4 5" xfId="29140"/>
    <cellStyle name="Percent 21 7 2 5" xfId="6381"/>
    <cellStyle name="Percent 21 7 2 5 2" xfId="9715"/>
    <cellStyle name="Percent 21 7 2 5 2 2" xfId="16419"/>
    <cellStyle name="Percent 21 7 2 5 2 2 2" xfId="39840"/>
    <cellStyle name="Percent 21 7 2 5 2 3" xfId="33208"/>
    <cellStyle name="Percent 21 7 2 5 3" xfId="13103"/>
    <cellStyle name="Percent 21 7 2 5 3 2" xfId="36524"/>
    <cellStyle name="Percent 21 7 2 5 4" xfId="29892"/>
    <cellStyle name="Percent 21 7 2 6" xfId="8047"/>
    <cellStyle name="Percent 21 7 2 6 2" xfId="14761"/>
    <cellStyle name="Percent 21 7 2 6 2 2" xfId="38182"/>
    <cellStyle name="Percent 21 7 2 6 3" xfId="31550"/>
    <cellStyle name="Percent 21 7 2 7" xfId="11443"/>
    <cellStyle name="Percent 21 7 2 7 2" xfId="34866"/>
    <cellStyle name="Percent 21 7 2 8" xfId="28234"/>
    <cellStyle name="Percent 21 7 3" xfId="2490"/>
    <cellStyle name="Percent 21 7 4" xfId="2748"/>
    <cellStyle name="Percent 21 7 4 2" xfId="5840"/>
    <cellStyle name="Percent 21 7 4 2 2" xfId="7622"/>
    <cellStyle name="Percent 21 7 4 2 2 2" xfId="10951"/>
    <cellStyle name="Percent 21 7 4 2 2 2 2" xfId="17655"/>
    <cellStyle name="Percent 21 7 4 2 2 2 2 2" xfId="41076"/>
    <cellStyle name="Percent 21 7 4 2 2 2 3" xfId="34444"/>
    <cellStyle name="Percent 21 7 4 2 2 3" xfId="14339"/>
    <cellStyle name="Percent 21 7 4 2 2 3 2" xfId="37760"/>
    <cellStyle name="Percent 21 7 4 2 2 4" xfId="31128"/>
    <cellStyle name="Percent 21 7 4 2 3" xfId="9293"/>
    <cellStyle name="Percent 21 7 4 2 3 2" xfId="15997"/>
    <cellStyle name="Percent 21 7 4 2 3 2 2" xfId="39418"/>
    <cellStyle name="Percent 21 7 4 2 3 3" xfId="32786"/>
    <cellStyle name="Percent 21 7 4 2 4" xfId="12681"/>
    <cellStyle name="Percent 21 7 4 2 4 2" xfId="36102"/>
    <cellStyle name="Percent 21 7 4 2 5" xfId="29470"/>
    <cellStyle name="Percent 21 7 4 3" xfId="6723"/>
    <cellStyle name="Percent 21 7 4 3 2" xfId="10055"/>
    <cellStyle name="Percent 21 7 4 3 2 2" xfId="16759"/>
    <cellStyle name="Percent 21 7 4 3 2 2 2" xfId="40180"/>
    <cellStyle name="Percent 21 7 4 3 2 3" xfId="33548"/>
    <cellStyle name="Percent 21 7 4 3 3" xfId="13443"/>
    <cellStyle name="Percent 21 7 4 3 3 2" xfId="36864"/>
    <cellStyle name="Percent 21 7 4 3 4" xfId="30232"/>
    <cellStyle name="Percent 21 7 4 4" xfId="8389"/>
    <cellStyle name="Percent 21 7 4 4 2" xfId="15101"/>
    <cellStyle name="Percent 21 7 4 4 2 2" xfId="38522"/>
    <cellStyle name="Percent 21 7 4 4 3" xfId="31890"/>
    <cellStyle name="Percent 21 7 4 5" xfId="11783"/>
    <cellStyle name="Percent 21 7 4 5 2" xfId="35206"/>
    <cellStyle name="Percent 21 7 4 6" xfId="28574"/>
    <cellStyle name="Percent 21 7 5" xfId="5397"/>
    <cellStyle name="Percent 21 7 5 2" xfId="7259"/>
    <cellStyle name="Percent 21 7 5 2 2" xfId="10590"/>
    <cellStyle name="Percent 21 7 5 2 2 2" xfId="17294"/>
    <cellStyle name="Percent 21 7 5 2 2 2 2" xfId="40715"/>
    <cellStyle name="Percent 21 7 5 2 2 3" xfId="34083"/>
    <cellStyle name="Percent 21 7 5 2 3" xfId="13978"/>
    <cellStyle name="Percent 21 7 5 2 3 2" xfId="37399"/>
    <cellStyle name="Percent 21 7 5 2 4" xfId="30767"/>
    <cellStyle name="Percent 21 7 5 3" xfId="8932"/>
    <cellStyle name="Percent 21 7 5 3 2" xfId="15636"/>
    <cellStyle name="Percent 21 7 5 3 2 2" xfId="39057"/>
    <cellStyle name="Percent 21 7 5 3 3" xfId="32425"/>
    <cellStyle name="Percent 21 7 5 4" xfId="12319"/>
    <cellStyle name="Percent 21 7 5 4 2" xfId="35741"/>
    <cellStyle name="Percent 21 7 5 5" xfId="29109"/>
    <cellStyle name="Percent 21 7 6" xfId="6250"/>
    <cellStyle name="Percent 21 7 6 2" xfId="9584"/>
    <cellStyle name="Percent 21 7 6 2 2" xfId="16288"/>
    <cellStyle name="Percent 21 7 6 2 2 2" xfId="39709"/>
    <cellStyle name="Percent 21 7 6 2 3" xfId="33077"/>
    <cellStyle name="Percent 21 7 6 3" xfId="12972"/>
    <cellStyle name="Percent 21 7 6 3 2" xfId="36393"/>
    <cellStyle name="Percent 21 7 6 4" xfId="29761"/>
    <cellStyle name="Percent 21 7 7" xfId="7916"/>
    <cellStyle name="Percent 21 7 7 2" xfId="14630"/>
    <cellStyle name="Percent 21 7 7 2 2" xfId="38051"/>
    <cellStyle name="Percent 21 7 7 3" xfId="31419"/>
    <cellStyle name="Percent 21 7 8" xfId="11312"/>
    <cellStyle name="Percent 21 7 8 2" xfId="34735"/>
    <cellStyle name="Percent 21 7 9" xfId="28103"/>
    <cellStyle name="Percent 21 8" xfId="18986"/>
    <cellStyle name="Percent 22" xfId="648"/>
    <cellStyle name="Percent 22 2" xfId="649"/>
    <cellStyle name="Percent 22 2 2" xfId="4440"/>
    <cellStyle name="Percent 22 3" xfId="4441"/>
    <cellStyle name="Percent 22 3 2" xfId="4442"/>
    <cellStyle name="Percent 22 4" xfId="4823"/>
    <cellStyle name="Percent 22 4 2" xfId="7203"/>
    <cellStyle name="Percent 22 4 2 2" xfId="10535"/>
    <cellStyle name="Percent 22 4 2 2 2" xfId="17239"/>
    <cellStyle name="Percent 22 4 2 2 2 2" xfId="40660"/>
    <cellStyle name="Percent 22 4 2 2 3" xfId="34028"/>
    <cellStyle name="Percent 22 4 2 3" xfId="13923"/>
    <cellStyle name="Percent 22 4 2 3 2" xfId="37344"/>
    <cellStyle name="Percent 22 4 2 4" xfId="26046"/>
    <cellStyle name="Percent 22 4 2 4 2" xfId="48291"/>
    <cellStyle name="Percent 22 4 2 5" xfId="30712"/>
    <cellStyle name="Percent 22 4 3" xfId="8872"/>
    <cellStyle name="Percent 22 4 3 2" xfId="15581"/>
    <cellStyle name="Percent 22 4 3 2 2" xfId="39002"/>
    <cellStyle name="Percent 22 4 3 3" xfId="32370"/>
    <cellStyle name="Percent 22 4 4" xfId="12263"/>
    <cellStyle name="Percent 22 4 4 2" xfId="35686"/>
    <cellStyle name="Percent 22 4 5" xfId="23503"/>
    <cellStyle name="Percent 22 4 5 2" xfId="45839"/>
    <cellStyle name="Percent 22 4 6" xfId="29054"/>
    <cellStyle name="Percent 22 5" xfId="23298"/>
    <cellStyle name="Percent 22 5 2" xfId="45691"/>
    <cellStyle name="Percent 23" xfId="650"/>
    <cellStyle name="Percent 23 2" xfId="651"/>
    <cellStyle name="Percent 23 2 2" xfId="1377"/>
    <cellStyle name="Percent 23 2 2 2" xfId="5271"/>
    <cellStyle name="Percent 23 2 3" xfId="5286"/>
    <cellStyle name="Percent 23 3" xfId="1378"/>
    <cellStyle name="Percent 23 3 2" xfId="5401"/>
    <cellStyle name="Percent 23 4" xfId="4443"/>
    <cellStyle name="Percent 23 4 2" xfId="5175"/>
    <cellStyle name="Percent 23 4 3" xfId="23862"/>
    <cellStyle name="Percent 23 5" xfId="4822"/>
    <cellStyle name="Percent 23 5 2" xfId="7202"/>
    <cellStyle name="Percent 23 5 2 2" xfId="10534"/>
    <cellStyle name="Percent 23 5 2 2 2" xfId="17238"/>
    <cellStyle name="Percent 23 5 2 2 2 2" xfId="40659"/>
    <cellStyle name="Percent 23 5 2 2 3" xfId="34027"/>
    <cellStyle name="Percent 23 5 2 3" xfId="13922"/>
    <cellStyle name="Percent 23 5 2 3 2" xfId="37343"/>
    <cellStyle name="Percent 23 5 2 4" xfId="26045"/>
    <cellStyle name="Percent 23 5 2 4 2" xfId="48290"/>
    <cellStyle name="Percent 23 5 2 5" xfId="30711"/>
    <cellStyle name="Percent 23 5 3" xfId="8871"/>
    <cellStyle name="Percent 23 5 3 2" xfId="15580"/>
    <cellStyle name="Percent 23 5 3 2 2" xfId="39001"/>
    <cellStyle name="Percent 23 5 3 3" xfId="32369"/>
    <cellStyle name="Percent 23 5 4" xfId="12262"/>
    <cellStyle name="Percent 23 5 4 2" xfId="35685"/>
    <cellStyle name="Percent 23 5 5" xfId="23502"/>
    <cellStyle name="Percent 23 5 5 2" xfId="45838"/>
    <cellStyle name="Percent 23 5 6" xfId="29053"/>
    <cellStyle name="Percent 23 6" xfId="23297"/>
    <cellStyle name="Percent 23 6 2" xfId="45690"/>
    <cellStyle name="Percent 24" xfId="652"/>
    <cellStyle name="Percent 24 2" xfId="653"/>
    <cellStyle name="Percent 24 2 2" xfId="4444"/>
    <cellStyle name="Percent 24 3" xfId="4445"/>
    <cellStyle name="Percent 25" xfId="654"/>
    <cellStyle name="Percent 25 2" xfId="655"/>
    <cellStyle name="Percent 25 2 2" xfId="1379"/>
    <cellStyle name="Percent 25 2 2 2" xfId="5346"/>
    <cellStyle name="Percent 25 2 3" xfId="5285"/>
    <cellStyle name="Percent 25 3" xfId="1380"/>
    <cellStyle name="Percent 25 3 2" xfId="5336"/>
    <cellStyle name="Percent 25 4" xfId="2351"/>
    <cellStyle name="Percent 25 4 2" xfId="5312"/>
    <cellStyle name="Percent 25 5" xfId="18177"/>
    <cellStyle name="Percent 26" xfId="656"/>
    <cellStyle name="Percent 26 2" xfId="657"/>
    <cellStyle name="Percent 26 2 2" xfId="2354"/>
    <cellStyle name="Percent 26 2 2 2" xfId="18403"/>
    <cellStyle name="Percent 26 2 3" xfId="2353"/>
    <cellStyle name="Percent 26 2 4" xfId="20424"/>
    <cellStyle name="Percent 26 3" xfId="2355"/>
    <cellStyle name="Percent 26 3 2" xfId="18404"/>
    <cellStyle name="Percent 26 4" xfId="2352"/>
    <cellStyle name="Percent 26 4 2" xfId="5596"/>
    <cellStyle name="Percent 26 4 3" xfId="5107"/>
    <cellStyle name="Percent 26 5" xfId="20423"/>
    <cellStyle name="Percent 27" xfId="658"/>
    <cellStyle name="Percent 27 2" xfId="659"/>
    <cellStyle name="Percent 27 2 2" xfId="4446"/>
    <cellStyle name="Percent 27 3" xfId="2356"/>
    <cellStyle name="Percent 27 3 2" xfId="18312"/>
    <cellStyle name="Percent 27 4" xfId="5091"/>
    <cellStyle name="Percent 27 4 2" xfId="18178"/>
    <cellStyle name="Percent 28" xfId="660"/>
    <cellStyle name="Percent 28 2" xfId="661"/>
    <cellStyle name="Percent 28 2 2" xfId="4447"/>
    <cellStyle name="Percent 28 3" xfId="4448"/>
    <cellStyle name="Percent 28 4" xfId="5106"/>
    <cellStyle name="Percent 29" xfId="662"/>
    <cellStyle name="Percent 29 2" xfId="663"/>
    <cellStyle name="Percent 29 2 2" xfId="4449"/>
    <cellStyle name="Percent 29 3" xfId="4450"/>
    <cellStyle name="Percent 3" xfId="664"/>
    <cellStyle name="Percent 3 2" xfId="665"/>
    <cellStyle name="Percent 3 2 2" xfId="666"/>
    <cellStyle name="Percent 3 2 2 2" xfId="939"/>
    <cellStyle name="Percent 3 2 2 2 2" xfId="18997"/>
    <cellStyle name="Percent 3 2 2 3" xfId="18996"/>
    <cellStyle name="Percent 3 2 3" xfId="940"/>
    <cellStyle name="Percent 3 2 3 2" xfId="18998"/>
    <cellStyle name="Percent 3 2 4" xfId="1709"/>
    <cellStyle name="Percent 3 2 4 2" xfId="18999"/>
    <cellStyle name="Percent 3 2 5" xfId="1708"/>
    <cellStyle name="Percent 3 3" xfId="667"/>
    <cellStyle name="Percent 3 3 2" xfId="941"/>
    <cellStyle name="Percent 3 3 2 2" xfId="19001"/>
    <cellStyle name="Percent 3 3 3" xfId="19000"/>
    <cellStyle name="Percent 3 4" xfId="942"/>
    <cellStyle name="Percent 3 4 2" xfId="19002"/>
    <cellStyle name="Percent 3 5" xfId="1437"/>
    <cellStyle name="Percent 3 5 10" xfId="7809"/>
    <cellStyle name="Percent 3 5 10 2" xfId="14524"/>
    <cellStyle name="Percent 3 5 10 2 2" xfId="37945"/>
    <cellStyle name="Percent 3 5 10 3" xfId="31313"/>
    <cellStyle name="Percent 3 5 11" xfId="11206"/>
    <cellStyle name="Percent 3 5 11 2" xfId="34629"/>
    <cellStyle name="Percent 3 5 12" xfId="27997"/>
    <cellStyle name="Percent 3 5 2" xfId="1497"/>
    <cellStyle name="Percent 3 5 2 10" xfId="28033"/>
    <cellStyle name="Percent 3 5 2 2" xfId="1711"/>
    <cellStyle name="Percent 3 5 2 3" xfId="1812"/>
    <cellStyle name="Percent 3 5 2 3 2" xfId="2501"/>
    <cellStyle name="Percent 3 5 2 3 3" xfId="2809"/>
    <cellStyle name="Percent 3 5 2 3 3 2" xfId="5901"/>
    <cellStyle name="Percent 3 5 2 3 3 2 2" xfId="7683"/>
    <cellStyle name="Percent 3 5 2 3 3 2 2 2" xfId="11012"/>
    <cellStyle name="Percent 3 5 2 3 3 2 2 2 2" xfId="17716"/>
    <cellStyle name="Percent 3 5 2 3 3 2 2 2 2 2" xfId="41137"/>
    <cellStyle name="Percent 3 5 2 3 3 2 2 2 3" xfId="34505"/>
    <cellStyle name="Percent 3 5 2 3 3 2 2 3" xfId="14400"/>
    <cellStyle name="Percent 3 5 2 3 3 2 2 3 2" xfId="37821"/>
    <cellStyle name="Percent 3 5 2 3 3 2 2 4" xfId="31189"/>
    <cellStyle name="Percent 3 5 2 3 3 2 3" xfId="9354"/>
    <cellStyle name="Percent 3 5 2 3 3 2 3 2" xfId="16058"/>
    <cellStyle name="Percent 3 5 2 3 3 2 3 2 2" xfId="39479"/>
    <cellStyle name="Percent 3 5 2 3 3 2 3 3" xfId="32847"/>
    <cellStyle name="Percent 3 5 2 3 3 2 4" xfId="12742"/>
    <cellStyle name="Percent 3 5 2 3 3 2 4 2" xfId="36163"/>
    <cellStyle name="Percent 3 5 2 3 3 2 5" xfId="29531"/>
    <cellStyle name="Percent 3 5 2 3 3 3" xfId="6784"/>
    <cellStyle name="Percent 3 5 2 3 3 3 2" xfId="10116"/>
    <cellStyle name="Percent 3 5 2 3 3 3 2 2" xfId="16820"/>
    <cellStyle name="Percent 3 5 2 3 3 3 2 2 2" xfId="40241"/>
    <cellStyle name="Percent 3 5 2 3 3 3 2 3" xfId="33609"/>
    <cellStyle name="Percent 3 5 2 3 3 3 3" xfId="13504"/>
    <cellStyle name="Percent 3 5 2 3 3 3 3 2" xfId="36925"/>
    <cellStyle name="Percent 3 5 2 3 3 3 4" xfId="30293"/>
    <cellStyle name="Percent 3 5 2 3 3 4" xfId="8450"/>
    <cellStyle name="Percent 3 5 2 3 3 4 2" xfId="15162"/>
    <cellStyle name="Percent 3 5 2 3 3 4 2 2" xfId="38583"/>
    <cellStyle name="Percent 3 5 2 3 3 4 3" xfId="31951"/>
    <cellStyle name="Percent 3 5 2 3 3 5" xfId="11844"/>
    <cellStyle name="Percent 3 5 2 3 3 5 2" xfId="35267"/>
    <cellStyle name="Percent 3 5 2 3 3 6" xfId="28635"/>
    <cellStyle name="Percent 3 5 2 3 4" xfId="5429"/>
    <cellStyle name="Percent 3 5 2 3 4 2" xfId="7282"/>
    <cellStyle name="Percent 3 5 2 3 4 2 2" xfId="10613"/>
    <cellStyle name="Percent 3 5 2 3 4 2 2 2" xfId="17317"/>
    <cellStyle name="Percent 3 5 2 3 4 2 2 2 2" xfId="40738"/>
    <cellStyle name="Percent 3 5 2 3 4 2 2 3" xfId="34106"/>
    <cellStyle name="Percent 3 5 2 3 4 2 3" xfId="14001"/>
    <cellStyle name="Percent 3 5 2 3 4 2 3 2" xfId="37422"/>
    <cellStyle name="Percent 3 5 2 3 4 2 4" xfId="30790"/>
    <cellStyle name="Percent 3 5 2 3 4 3" xfId="8955"/>
    <cellStyle name="Percent 3 5 2 3 4 3 2" xfId="15659"/>
    <cellStyle name="Percent 3 5 2 3 4 3 2 2" xfId="39080"/>
    <cellStyle name="Percent 3 5 2 3 4 3 3" xfId="32448"/>
    <cellStyle name="Percent 3 5 2 3 4 4" xfId="12342"/>
    <cellStyle name="Percent 3 5 2 3 4 4 2" xfId="35764"/>
    <cellStyle name="Percent 3 5 2 3 4 5" xfId="29132"/>
    <cellStyle name="Percent 3 5 2 3 5" xfId="6311"/>
    <cellStyle name="Percent 3 5 2 3 5 2" xfId="9645"/>
    <cellStyle name="Percent 3 5 2 3 5 2 2" xfId="16349"/>
    <cellStyle name="Percent 3 5 2 3 5 2 2 2" xfId="39770"/>
    <cellStyle name="Percent 3 5 2 3 5 2 3" xfId="33138"/>
    <cellStyle name="Percent 3 5 2 3 5 3" xfId="13033"/>
    <cellStyle name="Percent 3 5 2 3 5 3 2" xfId="36454"/>
    <cellStyle name="Percent 3 5 2 3 5 4" xfId="29822"/>
    <cellStyle name="Percent 3 5 2 3 6" xfId="7977"/>
    <cellStyle name="Percent 3 5 2 3 6 2" xfId="14691"/>
    <cellStyle name="Percent 3 5 2 3 6 2 2" xfId="38112"/>
    <cellStyle name="Percent 3 5 2 3 6 3" xfId="31480"/>
    <cellStyle name="Percent 3 5 2 3 7" xfId="11373"/>
    <cellStyle name="Percent 3 5 2 3 7 2" xfId="34796"/>
    <cellStyle name="Percent 3 5 2 3 8" xfId="28164"/>
    <cellStyle name="Percent 3 5 2 4" xfId="2502"/>
    <cellStyle name="Percent 3 5 2 4 2" xfId="18267"/>
    <cellStyle name="Percent 3 5 2 5" xfId="2677"/>
    <cellStyle name="Percent 3 5 2 5 2" xfId="5770"/>
    <cellStyle name="Percent 3 5 2 5 2 2" xfId="7552"/>
    <cellStyle name="Percent 3 5 2 5 2 2 2" xfId="10881"/>
    <cellStyle name="Percent 3 5 2 5 2 2 2 2" xfId="17585"/>
    <cellStyle name="Percent 3 5 2 5 2 2 2 2 2" xfId="41006"/>
    <cellStyle name="Percent 3 5 2 5 2 2 2 3" xfId="34374"/>
    <cellStyle name="Percent 3 5 2 5 2 2 3" xfId="14269"/>
    <cellStyle name="Percent 3 5 2 5 2 2 3 2" xfId="37690"/>
    <cellStyle name="Percent 3 5 2 5 2 2 4" xfId="31058"/>
    <cellStyle name="Percent 3 5 2 5 2 3" xfId="9223"/>
    <cellStyle name="Percent 3 5 2 5 2 3 2" xfId="15927"/>
    <cellStyle name="Percent 3 5 2 5 2 3 2 2" xfId="39348"/>
    <cellStyle name="Percent 3 5 2 5 2 3 3" xfId="32716"/>
    <cellStyle name="Percent 3 5 2 5 2 4" xfId="12611"/>
    <cellStyle name="Percent 3 5 2 5 2 4 2" xfId="36032"/>
    <cellStyle name="Percent 3 5 2 5 2 5" xfId="18313"/>
    <cellStyle name="Percent 3 5 2 5 2 6" xfId="29400"/>
    <cellStyle name="Percent 3 5 2 5 3" xfId="6653"/>
    <cellStyle name="Percent 3 5 2 5 3 2" xfId="9985"/>
    <cellStyle name="Percent 3 5 2 5 3 2 2" xfId="16689"/>
    <cellStyle name="Percent 3 5 2 5 3 2 2 2" xfId="40110"/>
    <cellStyle name="Percent 3 5 2 5 3 2 3" xfId="33478"/>
    <cellStyle name="Percent 3 5 2 5 3 3" xfId="13373"/>
    <cellStyle name="Percent 3 5 2 5 3 3 2" xfId="36794"/>
    <cellStyle name="Percent 3 5 2 5 3 4" xfId="30162"/>
    <cellStyle name="Percent 3 5 2 5 4" xfId="8319"/>
    <cellStyle name="Percent 3 5 2 5 4 2" xfId="15031"/>
    <cellStyle name="Percent 3 5 2 5 4 2 2" xfId="38452"/>
    <cellStyle name="Percent 3 5 2 5 4 3" xfId="31820"/>
    <cellStyle name="Percent 3 5 2 5 5" xfId="11713"/>
    <cellStyle name="Percent 3 5 2 5 5 2" xfId="35136"/>
    <cellStyle name="Percent 3 5 2 5 6" xfId="17943"/>
    <cellStyle name="Percent 3 5 2 5 7" xfId="28504"/>
    <cellStyle name="Percent 3 5 2 6" xfId="5363"/>
    <cellStyle name="Percent 3 5 2 6 2" xfId="7251"/>
    <cellStyle name="Percent 3 5 2 6 2 2" xfId="10582"/>
    <cellStyle name="Percent 3 5 2 6 2 2 2" xfId="17286"/>
    <cellStyle name="Percent 3 5 2 6 2 2 2 2" xfId="40707"/>
    <cellStyle name="Percent 3 5 2 6 2 2 3" xfId="34075"/>
    <cellStyle name="Percent 3 5 2 6 2 3" xfId="13970"/>
    <cellStyle name="Percent 3 5 2 6 2 3 2" xfId="37391"/>
    <cellStyle name="Percent 3 5 2 6 2 4" xfId="30759"/>
    <cellStyle name="Percent 3 5 2 6 3" xfId="8924"/>
    <cellStyle name="Percent 3 5 2 6 3 2" xfId="15628"/>
    <cellStyle name="Percent 3 5 2 6 3 2 2" xfId="39049"/>
    <cellStyle name="Percent 3 5 2 6 3 3" xfId="32417"/>
    <cellStyle name="Percent 3 5 2 6 4" xfId="12311"/>
    <cellStyle name="Percent 3 5 2 6 4 2" xfId="35733"/>
    <cellStyle name="Percent 3 5 2 6 5" xfId="29101"/>
    <cellStyle name="Percent 3 5 2 7" xfId="6180"/>
    <cellStyle name="Percent 3 5 2 7 2" xfId="9514"/>
    <cellStyle name="Percent 3 5 2 7 2 2" xfId="16218"/>
    <cellStyle name="Percent 3 5 2 7 2 2 2" xfId="39639"/>
    <cellStyle name="Percent 3 5 2 7 2 3" xfId="33007"/>
    <cellStyle name="Percent 3 5 2 7 3" xfId="12902"/>
    <cellStyle name="Percent 3 5 2 7 3 2" xfId="36323"/>
    <cellStyle name="Percent 3 5 2 7 4" xfId="29691"/>
    <cellStyle name="Percent 3 5 2 8" xfId="7846"/>
    <cellStyle name="Percent 3 5 2 8 2" xfId="14560"/>
    <cellStyle name="Percent 3 5 2 8 2 2" xfId="37981"/>
    <cellStyle name="Percent 3 5 2 8 3" xfId="31349"/>
    <cellStyle name="Percent 3 5 2 9" xfId="11242"/>
    <cellStyle name="Percent 3 5 2 9 2" xfId="34665"/>
    <cellStyle name="Percent 3 5 3" xfId="1710"/>
    <cellStyle name="Percent 3 5 4" xfId="1776"/>
    <cellStyle name="Percent 3 5 4 2" xfId="2503"/>
    <cellStyle name="Percent 3 5 4 3" xfId="2773"/>
    <cellStyle name="Percent 3 5 4 3 2" xfId="5865"/>
    <cellStyle name="Percent 3 5 4 3 2 2" xfId="7647"/>
    <cellStyle name="Percent 3 5 4 3 2 2 2" xfId="10976"/>
    <cellStyle name="Percent 3 5 4 3 2 2 2 2" xfId="17680"/>
    <cellStyle name="Percent 3 5 4 3 2 2 2 2 2" xfId="41101"/>
    <cellStyle name="Percent 3 5 4 3 2 2 2 3" xfId="34469"/>
    <cellStyle name="Percent 3 5 4 3 2 2 3" xfId="14364"/>
    <cellStyle name="Percent 3 5 4 3 2 2 3 2" xfId="37785"/>
    <cellStyle name="Percent 3 5 4 3 2 2 4" xfId="31153"/>
    <cellStyle name="Percent 3 5 4 3 2 3" xfId="9318"/>
    <cellStyle name="Percent 3 5 4 3 2 3 2" xfId="16022"/>
    <cellStyle name="Percent 3 5 4 3 2 3 2 2" xfId="39443"/>
    <cellStyle name="Percent 3 5 4 3 2 3 3" xfId="32811"/>
    <cellStyle name="Percent 3 5 4 3 2 4" xfId="12706"/>
    <cellStyle name="Percent 3 5 4 3 2 4 2" xfId="36127"/>
    <cellStyle name="Percent 3 5 4 3 2 5" xfId="29495"/>
    <cellStyle name="Percent 3 5 4 3 3" xfId="6748"/>
    <cellStyle name="Percent 3 5 4 3 3 2" xfId="10080"/>
    <cellStyle name="Percent 3 5 4 3 3 2 2" xfId="16784"/>
    <cellStyle name="Percent 3 5 4 3 3 2 2 2" xfId="40205"/>
    <cellStyle name="Percent 3 5 4 3 3 2 3" xfId="33573"/>
    <cellStyle name="Percent 3 5 4 3 3 3" xfId="13468"/>
    <cellStyle name="Percent 3 5 4 3 3 3 2" xfId="36889"/>
    <cellStyle name="Percent 3 5 4 3 3 4" xfId="30257"/>
    <cellStyle name="Percent 3 5 4 3 4" xfId="8414"/>
    <cellStyle name="Percent 3 5 4 3 4 2" xfId="15126"/>
    <cellStyle name="Percent 3 5 4 3 4 2 2" xfId="38547"/>
    <cellStyle name="Percent 3 5 4 3 4 3" xfId="31915"/>
    <cellStyle name="Percent 3 5 4 3 5" xfId="11808"/>
    <cellStyle name="Percent 3 5 4 3 5 2" xfId="35231"/>
    <cellStyle name="Percent 3 5 4 3 6" xfId="28599"/>
    <cellStyle name="Percent 3 5 4 4" xfId="5415"/>
    <cellStyle name="Percent 3 5 4 4 2" xfId="7269"/>
    <cellStyle name="Percent 3 5 4 4 2 2" xfId="10600"/>
    <cellStyle name="Percent 3 5 4 4 2 2 2" xfId="17304"/>
    <cellStyle name="Percent 3 5 4 4 2 2 2 2" xfId="40725"/>
    <cellStyle name="Percent 3 5 4 4 2 2 3" xfId="34093"/>
    <cellStyle name="Percent 3 5 4 4 2 3" xfId="13988"/>
    <cellStyle name="Percent 3 5 4 4 2 3 2" xfId="37409"/>
    <cellStyle name="Percent 3 5 4 4 2 4" xfId="30777"/>
    <cellStyle name="Percent 3 5 4 4 3" xfId="8942"/>
    <cellStyle name="Percent 3 5 4 4 3 2" xfId="15646"/>
    <cellStyle name="Percent 3 5 4 4 3 2 2" xfId="39067"/>
    <cellStyle name="Percent 3 5 4 4 3 3" xfId="32435"/>
    <cellStyle name="Percent 3 5 4 4 4" xfId="12329"/>
    <cellStyle name="Percent 3 5 4 4 4 2" xfId="35751"/>
    <cellStyle name="Percent 3 5 4 4 5" xfId="29119"/>
    <cellStyle name="Percent 3 5 4 5" xfId="6275"/>
    <cellStyle name="Percent 3 5 4 5 2" xfId="9609"/>
    <cellStyle name="Percent 3 5 4 5 2 2" xfId="16313"/>
    <cellStyle name="Percent 3 5 4 5 2 2 2" xfId="39734"/>
    <cellStyle name="Percent 3 5 4 5 2 3" xfId="33102"/>
    <cellStyle name="Percent 3 5 4 5 3" xfId="12997"/>
    <cellStyle name="Percent 3 5 4 5 3 2" xfId="36418"/>
    <cellStyle name="Percent 3 5 4 5 4" xfId="29786"/>
    <cellStyle name="Percent 3 5 4 6" xfId="7941"/>
    <cellStyle name="Percent 3 5 4 6 2" xfId="14655"/>
    <cellStyle name="Percent 3 5 4 6 2 2" xfId="38076"/>
    <cellStyle name="Percent 3 5 4 6 3" xfId="31444"/>
    <cellStyle name="Percent 3 5 4 7" xfId="11337"/>
    <cellStyle name="Percent 3 5 4 7 2" xfId="34760"/>
    <cellStyle name="Percent 3 5 4 8" xfId="28128"/>
    <cellStyle name="Percent 3 5 5" xfId="2504"/>
    <cellStyle name="Percent 3 5 5 2" xfId="18268"/>
    <cellStyle name="Percent 3 5 6" xfId="2640"/>
    <cellStyle name="Percent 3 5 6 2" xfId="5734"/>
    <cellStyle name="Percent 3 5 6 2 2" xfId="7517"/>
    <cellStyle name="Percent 3 5 6 2 2 2" xfId="10846"/>
    <cellStyle name="Percent 3 5 6 2 2 2 2" xfId="17550"/>
    <cellStyle name="Percent 3 5 6 2 2 2 2 2" xfId="40971"/>
    <cellStyle name="Percent 3 5 6 2 2 2 3" xfId="34339"/>
    <cellStyle name="Percent 3 5 6 2 2 3" xfId="14234"/>
    <cellStyle name="Percent 3 5 6 2 2 3 2" xfId="37655"/>
    <cellStyle name="Percent 3 5 6 2 2 4" xfId="31023"/>
    <cellStyle name="Percent 3 5 6 2 3" xfId="9188"/>
    <cellStyle name="Percent 3 5 6 2 3 2" xfId="15892"/>
    <cellStyle name="Percent 3 5 6 2 3 2 2" xfId="39313"/>
    <cellStyle name="Percent 3 5 6 2 3 3" xfId="32681"/>
    <cellStyle name="Percent 3 5 6 2 4" xfId="12576"/>
    <cellStyle name="Percent 3 5 6 2 4 2" xfId="35997"/>
    <cellStyle name="Percent 3 5 6 2 5" xfId="18314"/>
    <cellStyle name="Percent 3 5 6 2 6" xfId="29365"/>
    <cellStyle name="Percent 3 5 6 3" xfId="6617"/>
    <cellStyle name="Percent 3 5 6 3 2" xfId="9949"/>
    <cellStyle name="Percent 3 5 6 3 2 2" xfId="16653"/>
    <cellStyle name="Percent 3 5 6 3 2 2 2" xfId="40074"/>
    <cellStyle name="Percent 3 5 6 3 2 3" xfId="33442"/>
    <cellStyle name="Percent 3 5 6 3 3" xfId="13337"/>
    <cellStyle name="Percent 3 5 6 3 3 2" xfId="36758"/>
    <cellStyle name="Percent 3 5 6 3 4" xfId="30126"/>
    <cellStyle name="Percent 3 5 6 4" xfId="8283"/>
    <cellStyle name="Percent 3 5 6 4 2" xfId="14995"/>
    <cellStyle name="Percent 3 5 6 4 2 2" xfId="38416"/>
    <cellStyle name="Percent 3 5 6 4 3" xfId="31784"/>
    <cellStyle name="Percent 3 5 6 5" xfId="11677"/>
    <cellStyle name="Percent 3 5 6 5 2" xfId="35100"/>
    <cellStyle name="Percent 3 5 6 6" xfId="20439"/>
    <cellStyle name="Percent 3 5 6 7" xfId="28468"/>
    <cellStyle name="Percent 3 5 7" xfId="5345"/>
    <cellStyle name="Percent 3 5 7 2" xfId="7238"/>
    <cellStyle name="Percent 3 5 7 2 2" xfId="10569"/>
    <cellStyle name="Percent 3 5 7 2 2 2" xfId="17273"/>
    <cellStyle name="Percent 3 5 7 2 2 2 2" xfId="40694"/>
    <cellStyle name="Percent 3 5 7 2 2 3" xfId="34062"/>
    <cellStyle name="Percent 3 5 7 2 3" xfId="13957"/>
    <cellStyle name="Percent 3 5 7 2 3 2" xfId="37378"/>
    <cellStyle name="Percent 3 5 7 2 4" xfId="30746"/>
    <cellStyle name="Percent 3 5 7 3" xfId="8911"/>
    <cellStyle name="Percent 3 5 7 3 2" xfId="15615"/>
    <cellStyle name="Percent 3 5 7 3 2 2" xfId="39036"/>
    <cellStyle name="Percent 3 5 7 3 3" xfId="32404"/>
    <cellStyle name="Percent 3 5 7 4" xfId="12298"/>
    <cellStyle name="Percent 3 5 7 4 2" xfId="35720"/>
    <cellStyle name="Percent 3 5 7 5" xfId="29088"/>
    <cellStyle name="Percent 3 5 8" xfId="4451"/>
    <cellStyle name="Percent 3 5 9" xfId="6144"/>
    <cellStyle name="Percent 3 5 9 2" xfId="9478"/>
    <cellStyle name="Percent 3 5 9 2 2" xfId="16182"/>
    <cellStyle name="Percent 3 5 9 2 2 2" xfId="39603"/>
    <cellStyle name="Percent 3 5 9 2 3" xfId="32971"/>
    <cellStyle name="Percent 3 5 9 3" xfId="12866"/>
    <cellStyle name="Percent 3 5 9 3 2" xfId="36287"/>
    <cellStyle name="Percent 3 5 9 4" xfId="29655"/>
    <cellStyle name="Percent 3 6" xfId="1707"/>
    <cellStyle name="Percent 3 6 2" xfId="2505"/>
    <cellStyle name="Percent 3 7" xfId="4819"/>
    <cellStyle name="Percent 3 7 2" xfId="18179"/>
    <cellStyle name="Percent 30" xfId="668"/>
    <cellStyle name="Percent 30 2" xfId="943"/>
    <cellStyle name="Percent 30 2 2" xfId="19004"/>
    <cellStyle name="Percent 30 3" xfId="19003"/>
    <cellStyle name="Percent 31" xfId="669"/>
    <cellStyle name="Percent 31 2" xfId="4452"/>
    <cellStyle name="Percent 32" xfId="670"/>
    <cellStyle name="Percent 32 2" xfId="1147"/>
    <cellStyle name="Percent 32 2 2" xfId="5979"/>
    <cellStyle name="Percent 32 3" xfId="5400"/>
    <cellStyle name="Percent 33" xfId="671"/>
    <cellStyle name="Percent 33 2" xfId="1148"/>
    <cellStyle name="Percent 33 2 2" xfId="5253"/>
    <cellStyle name="Percent 33 3" xfId="1202"/>
    <cellStyle name="Percent 33 3 2" xfId="19006"/>
    <cellStyle name="Percent 33 4" xfId="19005"/>
    <cellStyle name="Percent 34" xfId="672"/>
    <cellStyle name="Percent 34 2" xfId="944"/>
    <cellStyle name="Percent 34 2 2" xfId="19008"/>
    <cellStyle name="Percent 34 3" xfId="19007"/>
    <cellStyle name="Percent 35" xfId="673"/>
    <cellStyle name="Percent 35 2" xfId="945"/>
    <cellStyle name="Percent 35 2 2" xfId="19010"/>
    <cellStyle name="Percent 35 3" xfId="19009"/>
    <cellStyle name="Percent 36" xfId="674"/>
    <cellStyle name="Percent 36 2" xfId="1149"/>
    <cellStyle name="Percent 36 2 2" xfId="5256"/>
    <cellStyle name="Percent 36 3" xfId="1203"/>
    <cellStyle name="Percent 36 3 2" xfId="19012"/>
    <cellStyle name="Percent 36 4" xfId="19011"/>
    <cellStyle name="Percent 37" xfId="675"/>
    <cellStyle name="Percent 37 2" xfId="804"/>
    <cellStyle name="Percent 37 2 2" xfId="5399"/>
    <cellStyle name="Percent 37 3" xfId="1204"/>
    <cellStyle name="Percent 37 3 2" xfId="19014"/>
    <cellStyle name="Percent 37 4" xfId="19013"/>
    <cellStyle name="Percent 38" xfId="1000"/>
    <cellStyle name="Percent 38 2" xfId="1150"/>
    <cellStyle name="Percent 38 2 2" xfId="4453"/>
    <cellStyle name="Percent 38 3" xfId="1215"/>
    <cellStyle name="Percent 38 3 2" xfId="19016"/>
    <cellStyle name="Percent 38 4" xfId="19015"/>
    <cellStyle name="Percent 39" xfId="997"/>
    <cellStyle name="Percent 39 2" xfId="1213"/>
    <cellStyle name="Percent 39 2 2" xfId="4454"/>
    <cellStyle name="Percent 39 3" xfId="4455"/>
    <cellStyle name="Percent 4" xfId="676"/>
    <cellStyle name="Percent 4 2" xfId="677"/>
    <cellStyle name="Percent 4 2 2" xfId="678"/>
    <cellStyle name="Percent 4 2 2 2" xfId="4456"/>
    <cellStyle name="Percent 4 2 3" xfId="4457"/>
    <cellStyle name="Percent 4 2 3 2" xfId="4458"/>
    <cellStyle name="Percent 4 3" xfId="679"/>
    <cellStyle name="Percent 4 3 2" xfId="4459"/>
    <cellStyle name="Percent 4 3 2 2" xfId="4460"/>
    <cellStyle name="Percent 4 3 3" xfId="4821"/>
    <cellStyle name="Percent 4 4" xfId="4461"/>
    <cellStyle name="Percent 4 4 2" xfId="4462"/>
    <cellStyle name="Percent 4 4 3" xfId="4463"/>
    <cellStyle name="Percent 4 5" xfId="4464"/>
    <cellStyle name="Percent 40" xfId="999"/>
    <cellStyle name="Percent 40 2" xfId="4465"/>
    <cellStyle name="Percent 40 2 2" xfId="4466"/>
    <cellStyle name="Percent 40 3" xfId="4467"/>
    <cellStyle name="Percent 41" xfId="996"/>
    <cellStyle name="Percent 41 2" xfId="4468"/>
    <cellStyle name="Percent 42" xfId="1001"/>
    <cellStyle name="Percent 42 2" xfId="1216"/>
    <cellStyle name="Percent 42 2 2" xfId="6014"/>
    <cellStyle name="Percent 42 3" xfId="5331"/>
    <cellStyle name="Percent 43" xfId="995"/>
    <cellStyle name="Percent 43 2" xfId="1211"/>
    <cellStyle name="Percent 43 2 2" xfId="5677"/>
    <cellStyle name="Percent 43 3" xfId="5676"/>
    <cellStyle name="Percent 44" xfId="1005"/>
    <cellStyle name="Percent 44 2" xfId="1382"/>
    <cellStyle name="Percent 44 2 2" xfId="4470"/>
    <cellStyle name="Percent 44 2 3" xfId="4469"/>
    <cellStyle name="Percent 44 3" xfId="1381"/>
    <cellStyle name="Percent 44 3 2" xfId="19017"/>
    <cellStyle name="Percent 45" xfId="1007"/>
    <cellStyle name="Percent 45 2" xfId="1384"/>
    <cellStyle name="Percent 45 2 2" xfId="4472"/>
    <cellStyle name="Percent 45 2 3" xfId="4471"/>
    <cellStyle name="Percent 45 3" xfId="1383"/>
    <cellStyle name="Percent 45 3 2" xfId="19018"/>
    <cellStyle name="Percent 46" xfId="1009"/>
    <cellStyle name="Percent 46 2" xfId="1386"/>
    <cellStyle name="Percent 46 2 2" xfId="4474"/>
    <cellStyle name="Percent 46 2 3" xfId="4473"/>
    <cellStyle name="Percent 46 3" xfId="1385"/>
    <cellStyle name="Percent 46 3 2" xfId="19019"/>
    <cellStyle name="Percent 47" xfId="1011"/>
    <cellStyle name="Percent 47 2" xfId="1388"/>
    <cellStyle name="Percent 47 2 2" xfId="4476"/>
    <cellStyle name="Percent 47 2 3" xfId="4475"/>
    <cellStyle name="Percent 47 3" xfId="1387"/>
    <cellStyle name="Percent 47 3 2" xfId="19020"/>
    <cellStyle name="Percent 48" xfId="1012"/>
    <cellStyle name="Percent 48 2" xfId="1390"/>
    <cellStyle name="Percent 48 2 2" xfId="4478"/>
    <cellStyle name="Percent 48 2 3" xfId="4477"/>
    <cellStyle name="Percent 48 3" xfId="1389"/>
    <cellStyle name="Percent 48 3 2" xfId="19021"/>
    <cellStyle name="Percent 49" xfId="1171"/>
    <cellStyle name="Percent 49 2" xfId="1391"/>
    <cellStyle name="Percent 49 2 2" xfId="5314"/>
    <cellStyle name="Percent 49 3" xfId="5990"/>
    <cellStyle name="Percent 5" xfId="680"/>
    <cellStyle name="Percent 5 2" xfId="681"/>
    <cellStyle name="Percent 5 2 2" xfId="682"/>
    <cellStyle name="Percent 5 2 2 2" xfId="4479"/>
    <cellStyle name="Percent 5 2 3" xfId="4480"/>
    <cellStyle name="Percent 5 3" xfId="683"/>
    <cellStyle name="Percent 5 3 2" xfId="4481"/>
    <cellStyle name="Percent 5 4" xfId="4482"/>
    <cellStyle name="Percent 5 4 2" xfId="4483"/>
    <cellStyle name="Percent 50" xfId="1212"/>
    <cellStyle name="Percent 50 2" xfId="1392"/>
    <cellStyle name="Percent 50 2 2" xfId="5306"/>
    <cellStyle name="Percent 50 3" xfId="5343"/>
    <cellStyle name="Percent 51" xfId="1218"/>
    <cellStyle name="Percent 51 2" xfId="1393"/>
    <cellStyle name="Percent 51 2 2" xfId="5992"/>
    <cellStyle name="Percent 51 3" xfId="5989"/>
    <cellStyle name="Percent 52" xfId="1308"/>
    <cellStyle name="Percent 52 10" xfId="6139"/>
    <cellStyle name="Percent 52 10 2" xfId="9473"/>
    <cellStyle name="Percent 52 10 2 2" xfId="16177"/>
    <cellStyle name="Percent 52 10 2 2 2" xfId="39598"/>
    <cellStyle name="Percent 52 10 2 3" xfId="32966"/>
    <cellStyle name="Percent 52 10 3" xfId="12861"/>
    <cellStyle name="Percent 52 10 3 2" xfId="36282"/>
    <cellStyle name="Percent 52 10 4" xfId="29650"/>
    <cellStyle name="Percent 52 11" xfId="7804"/>
    <cellStyle name="Percent 52 11 2" xfId="14519"/>
    <cellStyle name="Percent 52 11 2 2" xfId="37940"/>
    <cellStyle name="Percent 52 11 3" xfId="31308"/>
    <cellStyle name="Percent 52 12" xfId="11201"/>
    <cellStyle name="Percent 52 12 2" xfId="34624"/>
    <cellStyle name="Percent 52 13" xfId="27992"/>
    <cellStyle name="Percent 52 2" xfId="1395"/>
    <cellStyle name="Percent 52 2 2" xfId="5995"/>
    <cellStyle name="Percent 52 3" xfId="1394"/>
    <cellStyle name="Percent 52 3 2" xfId="19023"/>
    <cellStyle name="Percent 52 4" xfId="1492"/>
    <cellStyle name="Percent 52 4 10" xfId="28028"/>
    <cellStyle name="Percent 52 4 2" xfId="1713"/>
    <cellStyle name="Percent 52 4 3" xfId="1807"/>
    <cellStyle name="Percent 52 4 3 2" xfId="2506"/>
    <cellStyle name="Percent 52 4 3 3" xfId="2804"/>
    <cellStyle name="Percent 52 4 3 3 2" xfId="5896"/>
    <cellStyle name="Percent 52 4 3 3 2 2" xfId="7678"/>
    <cellStyle name="Percent 52 4 3 3 2 2 2" xfId="11007"/>
    <cellStyle name="Percent 52 4 3 3 2 2 2 2" xfId="17711"/>
    <cellStyle name="Percent 52 4 3 3 2 2 2 2 2" xfId="41132"/>
    <cellStyle name="Percent 52 4 3 3 2 2 2 3" xfId="34500"/>
    <cellStyle name="Percent 52 4 3 3 2 2 3" xfId="14395"/>
    <cellStyle name="Percent 52 4 3 3 2 2 3 2" xfId="37816"/>
    <cellStyle name="Percent 52 4 3 3 2 2 4" xfId="31184"/>
    <cellStyle name="Percent 52 4 3 3 2 3" xfId="9349"/>
    <cellStyle name="Percent 52 4 3 3 2 3 2" xfId="16053"/>
    <cellStyle name="Percent 52 4 3 3 2 3 2 2" xfId="39474"/>
    <cellStyle name="Percent 52 4 3 3 2 3 3" xfId="32842"/>
    <cellStyle name="Percent 52 4 3 3 2 4" xfId="12737"/>
    <cellStyle name="Percent 52 4 3 3 2 4 2" xfId="36158"/>
    <cellStyle name="Percent 52 4 3 3 2 5" xfId="29526"/>
    <cellStyle name="Percent 52 4 3 3 3" xfId="6779"/>
    <cellStyle name="Percent 52 4 3 3 3 2" xfId="10111"/>
    <cellStyle name="Percent 52 4 3 3 3 2 2" xfId="16815"/>
    <cellStyle name="Percent 52 4 3 3 3 2 2 2" xfId="40236"/>
    <cellStyle name="Percent 52 4 3 3 3 2 3" xfId="33604"/>
    <cellStyle name="Percent 52 4 3 3 3 3" xfId="13499"/>
    <cellStyle name="Percent 52 4 3 3 3 3 2" xfId="36920"/>
    <cellStyle name="Percent 52 4 3 3 3 4" xfId="30288"/>
    <cellStyle name="Percent 52 4 3 3 4" xfId="8445"/>
    <cellStyle name="Percent 52 4 3 3 4 2" xfId="15157"/>
    <cellStyle name="Percent 52 4 3 3 4 2 2" xfId="38578"/>
    <cellStyle name="Percent 52 4 3 3 4 3" xfId="31946"/>
    <cellStyle name="Percent 52 4 3 3 5" xfId="11839"/>
    <cellStyle name="Percent 52 4 3 3 5 2" xfId="35262"/>
    <cellStyle name="Percent 52 4 3 3 6" xfId="28630"/>
    <cellStyle name="Percent 52 4 3 4" xfId="5428"/>
    <cellStyle name="Percent 52 4 3 4 2" xfId="7281"/>
    <cellStyle name="Percent 52 4 3 4 2 2" xfId="10612"/>
    <cellStyle name="Percent 52 4 3 4 2 2 2" xfId="17316"/>
    <cellStyle name="Percent 52 4 3 4 2 2 2 2" xfId="40737"/>
    <cellStyle name="Percent 52 4 3 4 2 2 3" xfId="34105"/>
    <cellStyle name="Percent 52 4 3 4 2 3" xfId="14000"/>
    <cellStyle name="Percent 52 4 3 4 2 3 2" xfId="37421"/>
    <cellStyle name="Percent 52 4 3 4 2 4" xfId="30789"/>
    <cellStyle name="Percent 52 4 3 4 3" xfId="8954"/>
    <cellStyle name="Percent 52 4 3 4 3 2" xfId="15658"/>
    <cellStyle name="Percent 52 4 3 4 3 2 2" xfId="39079"/>
    <cellStyle name="Percent 52 4 3 4 3 3" xfId="32447"/>
    <cellStyle name="Percent 52 4 3 4 4" xfId="12341"/>
    <cellStyle name="Percent 52 4 3 4 4 2" xfId="35763"/>
    <cellStyle name="Percent 52 4 3 4 5" xfId="29131"/>
    <cellStyle name="Percent 52 4 3 5" xfId="6306"/>
    <cellStyle name="Percent 52 4 3 5 2" xfId="9640"/>
    <cellStyle name="Percent 52 4 3 5 2 2" xfId="16344"/>
    <cellStyle name="Percent 52 4 3 5 2 2 2" xfId="39765"/>
    <cellStyle name="Percent 52 4 3 5 2 3" xfId="33133"/>
    <cellStyle name="Percent 52 4 3 5 3" xfId="13028"/>
    <cellStyle name="Percent 52 4 3 5 3 2" xfId="36449"/>
    <cellStyle name="Percent 52 4 3 5 4" xfId="29817"/>
    <cellStyle name="Percent 52 4 3 6" xfId="7972"/>
    <cellStyle name="Percent 52 4 3 6 2" xfId="14686"/>
    <cellStyle name="Percent 52 4 3 6 2 2" xfId="38107"/>
    <cellStyle name="Percent 52 4 3 6 3" xfId="31475"/>
    <cellStyle name="Percent 52 4 3 7" xfId="11368"/>
    <cellStyle name="Percent 52 4 3 7 2" xfId="34791"/>
    <cellStyle name="Percent 52 4 3 8" xfId="28159"/>
    <cellStyle name="Percent 52 4 4" xfId="2507"/>
    <cellStyle name="Percent 52 4 4 2" xfId="18275"/>
    <cellStyle name="Percent 52 4 5" xfId="2672"/>
    <cellStyle name="Percent 52 4 5 2" xfId="5765"/>
    <cellStyle name="Percent 52 4 5 2 2" xfId="7547"/>
    <cellStyle name="Percent 52 4 5 2 2 2" xfId="10876"/>
    <cellStyle name="Percent 52 4 5 2 2 2 2" xfId="17580"/>
    <cellStyle name="Percent 52 4 5 2 2 2 2 2" xfId="41001"/>
    <cellStyle name="Percent 52 4 5 2 2 2 3" xfId="34369"/>
    <cellStyle name="Percent 52 4 5 2 2 3" xfId="14264"/>
    <cellStyle name="Percent 52 4 5 2 2 3 2" xfId="37685"/>
    <cellStyle name="Percent 52 4 5 2 2 4" xfId="31053"/>
    <cellStyle name="Percent 52 4 5 2 3" xfId="9218"/>
    <cellStyle name="Percent 52 4 5 2 3 2" xfId="15922"/>
    <cellStyle name="Percent 52 4 5 2 3 2 2" xfId="39343"/>
    <cellStyle name="Percent 52 4 5 2 3 3" xfId="32711"/>
    <cellStyle name="Percent 52 4 5 2 4" xfId="12606"/>
    <cellStyle name="Percent 52 4 5 2 4 2" xfId="36027"/>
    <cellStyle name="Percent 52 4 5 2 5" xfId="18315"/>
    <cellStyle name="Percent 52 4 5 2 6" xfId="29395"/>
    <cellStyle name="Percent 52 4 5 3" xfId="6648"/>
    <cellStyle name="Percent 52 4 5 3 2" xfId="9980"/>
    <cellStyle name="Percent 52 4 5 3 2 2" xfId="16684"/>
    <cellStyle name="Percent 52 4 5 3 2 2 2" xfId="40105"/>
    <cellStyle name="Percent 52 4 5 3 2 3" xfId="33473"/>
    <cellStyle name="Percent 52 4 5 3 3" xfId="13368"/>
    <cellStyle name="Percent 52 4 5 3 3 2" xfId="36789"/>
    <cellStyle name="Percent 52 4 5 3 4" xfId="30157"/>
    <cellStyle name="Percent 52 4 5 4" xfId="8314"/>
    <cellStyle name="Percent 52 4 5 4 2" xfId="15026"/>
    <cellStyle name="Percent 52 4 5 4 2 2" xfId="38447"/>
    <cellStyle name="Percent 52 4 5 4 3" xfId="31815"/>
    <cellStyle name="Percent 52 4 5 5" xfId="11708"/>
    <cellStyle name="Percent 52 4 5 5 2" xfId="35131"/>
    <cellStyle name="Percent 52 4 5 6" xfId="20438"/>
    <cellStyle name="Percent 52 4 5 7" xfId="28499"/>
    <cellStyle name="Percent 52 4 6" xfId="5361"/>
    <cellStyle name="Percent 52 4 6 2" xfId="7250"/>
    <cellStyle name="Percent 52 4 6 2 2" xfId="10581"/>
    <cellStyle name="Percent 52 4 6 2 2 2" xfId="17285"/>
    <cellStyle name="Percent 52 4 6 2 2 2 2" xfId="40706"/>
    <cellStyle name="Percent 52 4 6 2 2 3" xfId="34074"/>
    <cellStyle name="Percent 52 4 6 2 3" xfId="13969"/>
    <cellStyle name="Percent 52 4 6 2 3 2" xfId="37390"/>
    <cellStyle name="Percent 52 4 6 2 4" xfId="30758"/>
    <cellStyle name="Percent 52 4 6 3" xfId="8923"/>
    <cellStyle name="Percent 52 4 6 3 2" xfId="15627"/>
    <cellStyle name="Percent 52 4 6 3 2 2" xfId="39048"/>
    <cellStyle name="Percent 52 4 6 3 3" xfId="32416"/>
    <cellStyle name="Percent 52 4 6 4" xfId="12310"/>
    <cellStyle name="Percent 52 4 6 4 2" xfId="35732"/>
    <cellStyle name="Percent 52 4 6 5" xfId="29100"/>
    <cellStyle name="Percent 52 4 7" xfId="6175"/>
    <cellStyle name="Percent 52 4 7 2" xfId="9509"/>
    <cellStyle name="Percent 52 4 7 2 2" xfId="16213"/>
    <cellStyle name="Percent 52 4 7 2 2 2" xfId="39634"/>
    <cellStyle name="Percent 52 4 7 2 3" xfId="33002"/>
    <cellStyle name="Percent 52 4 7 3" xfId="12897"/>
    <cellStyle name="Percent 52 4 7 3 2" xfId="36318"/>
    <cellStyle name="Percent 52 4 7 4" xfId="29686"/>
    <cellStyle name="Percent 52 4 8" xfId="7841"/>
    <cellStyle name="Percent 52 4 8 2" xfId="14555"/>
    <cellStyle name="Percent 52 4 8 2 2" xfId="37976"/>
    <cellStyle name="Percent 52 4 8 3" xfId="31344"/>
    <cellStyle name="Percent 52 4 9" xfId="11237"/>
    <cellStyle name="Percent 52 4 9 2" xfId="34660"/>
    <cellStyle name="Percent 52 5" xfId="1712"/>
    <cellStyle name="Percent 52 6" xfId="1770"/>
    <cellStyle name="Percent 52 6 2" xfId="2508"/>
    <cellStyle name="Percent 52 6 3" xfId="2768"/>
    <cellStyle name="Percent 52 6 3 2" xfId="5860"/>
    <cellStyle name="Percent 52 6 3 2 2" xfId="7642"/>
    <cellStyle name="Percent 52 6 3 2 2 2" xfId="10971"/>
    <cellStyle name="Percent 52 6 3 2 2 2 2" xfId="17675"/>
    <cellStyle name="Percent 52 6 3 2 2 2 2 2" xfId="41096"/>
    <cellStyle name="Percent 52 6 3 2 2 2 3" xfId="34464"/>
    <cellStyle name="Percent 52 6 3 2 2 3" xfId="14359"/>
    <cellStyle name="Percent 52 6 3 2 2 3 2" xfId="37780"/>
    <cellStyle name="Percent 52 6 3 2 2 4" xfId="31148"/>
    <cellStyle name="Percent 52 6 3 2 3" xfId="9313"/>
    <cellStyle name="Percent 52 6 3 2 3 2" xfId="16017"/>
    <cellStyle name="Percent 52 6 3 2 3 2 2" xfId="39438"/>
    <cellStyle name="Percent 52 6 3 2 3 3" xfId="32806"/>
    <cellStyle name="Percent 52 6 3 2 4" xfId="12701"/>
    <cellStyle name="Percent 52 6 3 2 4 2" xfId="36122"/>
    <cellStyle name="Percent 52 6 3 2 5" xfId="29490"/>
    <cellStyle name="Percent 52 6 3 3" xfId="6743"/>
    <cellStyle name="Percent 52 6 3 3 2" xfId="10075"/>
    <cellStyle name="Percent 52 6 3 3 2 2" xfId="16779"/>
    <cellStyle name="Percent 52 6 3 3 2 2 2" xfId="40200"/>
    <cellStyle name="Percent 52 6 3 3 2 3" xfId="33568"/>
    <cellStyle name="Percent 52 6 3 3 3" xfId="13463"/>
    <cellStyle name="Percent 52 6 3 3 3 2" xfId="36884"/>
    <cellStyle name="Percent 52 6 3 3 4" xfId="30252"/>
    <cellStyle name="Percent 52 6 3 4" xfId="8409"/>
    <cellStyle name="Percent 52 6 3 4 2" xfId="15121"/>
    <cellStyle name="Percent 52 6 3 4 2 2" xfId="38542"/>
    <cellStyle name="Percent 52 6 3 4 3" xfId="31910"/>
    <cellStyle name="Percent 52 6 3 5" xfId="11803"/>
    <cellStyle name="Percent 52 6 3 5 2" xfId="35226"/>
    <cellStyle name="Percent 52 6 3 6" xfId="28594"/>
    <cellStyle name="Percent 52 6 4" xfId="5414"/>
    <cellStyle name="Percent 52 6 4 2" xfId="7268"/>
    <cellStyle name="Percent 52 6 4 2 2" xfId="10599"/>
    <cellStyle name="Percent 52 6 4 2 2 2" xfId="17303"/>
    <cellStyle name="Percent 52 6 4 2 2 2 2" xfId="40724"/>
    <cellStyle name="Percent 52 6 4 2 2 3" xfId="34092"/>
    <cellStyle name="Percent 52 6 4 2 3" xfId="13987"/>
    <cellStyle name="Percent 52 6 4 2 3 2" xfId="37408"/>
    <cellStyle name="Percent 52 6 4 2 4" xfId="30776"/>
    <cellStyle name="Percent 52 6 4 3" xfId="8941"/>
    <cellStyle name="Percent 52 6 4 3 2" xfId="15645"/>
    <cellStyle name="Percent 52 6 4 3 2 2" xfId="39066"/>
    <cellStyle name="Percent 52 6 4 3 3" xfId="32434"/>
    <cellStyle name="Percent 52 6 4 4" xfId="12328"/>
    <cellStyle name="Percent 52 6 4 4 2" xfId="35750"/>
    <cellStyle name="Percent 52 6 4 5" xfId="29118"/>
    <cellStyle name="Percent 52 6 5" xfId="6270"/>
    <cellStyle name="Percent 52 6 5 2" xfId="9604"/>
    <cellStyle name="Percent 52 6 5 2 2" xfId="16308"/>
    <cellStyle name="Percent 52 6 5 2 2 2" xfId="39729"/>
    <cellStyle name="Percent 52 6 5 2 3" xfId="33097"/>
    <cellStyle name="Percent 52 6 5 3" xfId="12992"/>
    <cellStyle name="Percent 52 6 5 3 2" xfId="36413"/>
    <cellStyle name="Percent 52 6 5 4" xfId="29781"/>
    <cellStyle name="Percent 52 6 6" xfId="7936"/>
    <cellStyle name="Percent 52 6 6 2" xfId="14650"/>
    <cellStyle name="Percent 52 6 6 2 2" xfId="38071"/>
    <cellStyle name="Percent 52 6 6 3" xfId="31439"/>
    <cellStyle name="Percent 52 6 7" xfId="11332"/>
    <cellStyle name="Percent 52 6 7 2" xfId="34755"/>
    <cellStyle name="Percent 52 6 8" xfId="28123"/>
    <cellStyle name="Percent 52 7" xfId="2509"/>
    <cellStyle name="Percent 52 7 2" xfId="18277"/>
    <cellStyle name="Percent 52 8" xfId="2635"/>
    <cellStyle name="Percent 52 8 2" xfId="5729"/>
    <cellStyle name="Percent 52 8 2 2" xfId="7512"/>
    <cellStyle name="Percent 52 8 2 2 2" xfId="10841"/>
    <cellStyle name="Percent 52 8 2 2 2 2" xfId="17545"/>
    <cellStyle name="Percent 52 8 2 2 2 2 2" xfId="40966"/>
    <cellStyle name="Percent 52 8 2 2 2 3" xfId="34334"/>
    <cellStyle name="Percent 52 8 2 2 3" xfId="14229"/>
    <cellStyle name="Percent 52 8 2 2 3 2" xfId="37650"/>
    <cellStyle name="Percent 52 8 2 2 4" xfId="31018"/>
    <cellStyle name="Percent 52 8 2 3" xfId="9183"/>
    <cellStyle name="Percent 52 8 2 3 2" xfId="15887"/>
    <cellStyle name="Percent 52 8 2 3 2 2" xfId="39308"/>
    <cellStyle name="Percent 52 8 2 3 3" xfId="32676"/>
    <cellStyle name="Percent 52 8 2 4" xfId="12571"/>
    <cellStyle name="Percent 52 8 2 4 2" xfId="35992"/>
    <cellStyle name="Percent 52 8 2 5" xfId="18316"/>
    <cellStyle name="Percent 52 8 2 6" xfId="29360"/>
    <cellStyle name="Percent 52 8 3" xfId="6612"/>
    <cellStyle name="Percent 52 8 3 2" xfId="9944"/>
    <cellStyle name="Percent 52 8 3 2 2" xfId="16648"/>
    <cellStyle name="Percent 52 8 3 2 2 2" xfId="40069"/>
    <cellStyle name="Percent 52 8 3 2 3" xfId="33437"/>
    <cellStyle name="Percent 52 8 3 3" xfId="13332"/>
    <cellStyle name="Percent 52 8 3 3 2" xfId="36753"/>
    <cellStyle name="Percent 52 8 3 4" xfId="30121"/>
    <cellStyle name="Percent 52 8 4" xfId="8278"/>
    <cellStyle name="Percent 52 8 4 2" xfId="14990"/>
    <cellStyle name="Percent 52 8 4 2 2" xfId="38411"/>
    <cellStyle name="Percent 52 8 4 3" xfId="31779"/>
    <cellStyle name="Percent 52 8 5" xfId="11672"/>
    <cellStyle name="Percent 52 8 5 2" xfId="35095"/>
    <cellStyle name="Percent 52 8 6" xfId="17978"/>
    <cellStyle name="Percent 52 8 7" xfId="28463"/>
    <cellStyle name="Percent 52 9" xfId="5330"/>
    <cellStyle name="Percent 52 9 2" xfId="7237"/>
    <cellStyle name="Percent 52 9 2 2" xfId="10568"/>
    <cellStyle name="Percent 52 9 2 2 2" xfId="17272"/>
    <cellStyle name="Percent 52 9 2 2 2 2" xfId="40693"/>
    <cellStyle name="Percent 52 9 2 2 3" xfId="34061"/>
    <cellStyle name="Percent 52 9 2 3" xfId="13956"/>
    <cellStyle name="Percent 52 9 2 3 2" xfId="37377"/>
    <cellStyle name="Percent 52 9 2 4" xfId="30745"/>
    <cellStyle name="Percent 52 9 3" xfId="8909"/>
    <cellStyle name="Percent 52 9 3 2" xfId="15614"/>
    <cellStyle name="Percent 52 9 3 2 2" xfId="39035"/>
    <cellStyle name="Percent 52 9 3 3" xfId="32403"/>
    <cellStyle name="Percent 52 9 4" xfId="12297"/>
    <cellStyle name="Percent 52 9 4 2" xfId="35719"/>
    <cellStyle name="Percent 52 9 5" xfId="29087"/>
    <cellStyle name="Percent 53" xfId="1304"/>
    <cellStyle name="Percent 53 10" xfId="6136"/>
    <cellStyle name="Percent 53 10 2" xfId="9470"/>
    <cellStyle name="Percent 53 10 2 2" xfId="16174"/>
    <cellStyle name="Percent 53 10 2 2 2" xfId="39595"/>
    <cellStyle name="Percent 53 10 2 3" xfId="32963"/>
    <cellStyle name="Percent 53 10 3" xfId="12858"/>
    <cellStyle name="Percent 53 10 3 2" xfId="36279"/>
    <cellStyle name="Percent 53 10 4" xfId="29647"/>
    <cellStyle name="Percent 53 11" xfId="7801"/>
    <cellStyle name="Percent 53 11 2" xfId="14516"/>
    <cellStyle name="Percent 53 11 2 2" xfId="37937"/>
    <cellStyle name="Percent 53 11 3" xfId="31305"/>
    <cellStyle name="Percent 53 12" xfId="11198"/>
    <cellStyle name="Percent 53 12 2" xfId="34621"/>
    <cellStyle name="Percent 53 13" xfId="27989"/>
    <cellStyle name="Percent 53 2" xfId="1397"/>
    <cellStyle name="Percent 53 2 2" xfId="6051"/>
    <cellStyle name="Percent 53 3" xfId="1396"/>
    <cellStyle name="Percent 53 3 2" xfId="19025"/>
    <cellStyle name="Percent 53 4" xfId="1489"/>
    <cellStyle name="Percent 53 4 10" xfId="28025"/>
    <cellStyle name="Percent 53 4 2" xfId="1715"/>
    <cellStyle name="Percent 53 4 3" xfId="1804"/>
    <cellStyle name="Percent 53 4 3 2" xfId="2510"/>
    <cellStyle name="Percent 53 4 3 3" xfId="2801"/>
    <cellStyle name="Percent 53 4 3 3 2" xfId="5893"/>
    <cellStyle name="Percent 53 4 3 3 2 2" xfId="7675"/>
    <cellStyle name="Percent 53 4 3 3 2 2 2" xfId="11004"/>
    <cellStyle name="Percent 53 4 3 3 2 2 2 2" xfId="17708"/>
    <cellStyle name="Percent 53 4 3 3 2 2 2 2 2" xfId="41129"/>
    <cellStyle name="Percent 53 4 3 3 2 2 2 3" xfId="34497"/>
    <cellStyle name="Percent 53 4 3 3 2 2 3" xfId="14392"/>
    <cellStyle name="Percent 53 4 3 3 2 2 3 2" xfId="37813"/>
    <cellStyle name="Percent 53 4 3 3 2 2 4" xfId="31181"/>
    <cellStyle name="Percent 53 4 3 3 2 3" xfId="9346"/>
    <cellStyle name="Percent 53 4 3 3 2 3 2" xfId="16050"/>
    <cellStyle name="Percent 53 4 3 3 2 3 2 2" xfId="39471"/>
    <cellStyle name="Percent 53 4 3 3 2 3 3" xfId="32839"/>
    <cellStyle name="Percent 53 4 3 3 2 4" xfId="12734"/>
    <cellStyle name="Percent 53 4 3 3 2 4 2" xfId="36155"/>
    <cellStyle name="Percent 53 4 3 3 2 5" xfId="29523"/>
    <cellStyle name="Percent 53 4 3 3 3" xfId="6776"/>
    <cellStyle name="Percent 53 4 3 3 3 2" xfId="10108"/>
    <cellStyle name="Percent 53 4 3 3 3 2 2" xfId="16812"/>
    <cellStyle name="Percent 53 4 3 3 3 2 2 2" xfId="40233"/>
    <cellStyle name="Percent 53 4 3 3 3 2 3" xfId="33601"/>
    <cellStyle name="Percent 53 4 3 3 3 3" xfId="13496"/>
    <cellStyle name="Percent 53 4 3 3 3 3 2" xfId="36917"/>
    <cellStyle name="Percent 53 4 3 3 3 4" xfId="30285"/>
    <cellStyle name="Percent 53 4 3 3 4" xfId="8442"/>
    <cellStyle name="Percent 53 4 3 3 4 2" xfId="15154"/>
    <cellStyle name="Percent 53 4 3 3 4 2 2" xfId="38575"/>
    <cellStyle name="Percent 53 4 3 3 4 3" xfId="31943"/>
    <cellStyle name="Percent 53 4 3 3 5" xfId="11836"/>
    <cellStyle name="Percent 53 4 3 3 5 2" xfId="35259"/>
    <cellStyle name="Percent 53 4 3 3 6" xfId="28627"/>
    <cellStyle name="Percent 53 4 3 4" xfId="5426"/>
    <cellStyle name="Percent 53 4 3 4 2" xfId="7279"/>
    <cellStyle name="Percent 53 4 3 4 2 2" xfId="10610"/>
    <cellStyle name="Percent 53 4 3 4 2 2 2" xfId="17314"/>
    <cellStyle name="Percent 53 4 3 4 2 2 2 2" xfId="40735"/>
    <cellStyle name="Percent 53 4 3 4 2 2 3" xfId="34103"/>
    <cellStyle name="Percent 53 4 3 4 2 3" xfId="13998"/>
    <cellStyle name="Percent 53 4 3 4 2 3 2" xfId="37419"/>
    <cellStyle name="Percent 53 4 3 4 2 4" xfId="30787"/>
    <cellStyle name="Percent 53 4 3 4 3" xfId="8952"/>
    <cellStyle name="Percent 53 4 3 4 3 2" xfId="15656"/>
    <cellStyle name="Percent 53 4 3 4 3 2 2" xfId="39077"/>
    <cellStyle name="Percent 53 4 3 4 3 3" xfId="32445"/>
    <cellStyle name="Percent 53 4 3 4 4" xfId="12339"/>
    <cellStyle name="Percent 53 4 3 4 4 2" xfId="35761"/>
    <cellStyle name="Percent 53 4 3 4 5" xfId="29129"/>
    <cellStyle name="Percent 53 4 3 5" xfId="6303"/>
    <cellStyle name="Percent 53 4 3 5 2" xfId="9637"/>
    <cellStyle name="Percent 53 4 3 5 2 2" xfId="16341"/>
    <cellStyle name="Percent 53 4 3 5 2 2 2" xfId="39762"/>
    <cellStyle name="Percent 53 4 3 5 2 3" xfId="33130"/>
    <cellStyle name="Percent 53 4 3 5 3" xfId="13025"/>
    <cellStyle name="Percent 53 4 3 5 3 2" xfId="36446"/>
    <cellStyle name="Percent 53 4 3 5 4" xfId="29814"/>
    <cellStyle name="Percent 53 4 3 6" xfId="7969"/>
    <cellStyle name="Percent 53 4 3 6 2" xfId="14683"/>
    <cellStyle name="Percent 53 4 3 6 2 2" xfId="38104"/>
    <cellStyle name="Percent 53 4 3 6 3" xfId="31472"/>
    <cellStyle name="Percent 53 4 3 7" xfId="11365"/>
    <cellStyle name="Percent 53 4 3 7 2" xfId="34788"/>
    <cellStyle name="Percent 53 4 3 8" xfId="28156"/>
    <cellStyle name="Percent 53 4 4" xfId="2511"/>
    <cellStyle name="Percent 53 4 4 2" xfId="18284"/>
    <cellStyle name="Percent 53 4 5" xfId="2669"/>
    <cellStyle name="Percent 53 4 5 2" xfId="5762"/>
    <cellStyle name="Percent 53 4 5 2 2" xfId="7544"/>
    <cellStyle name="Percent 53 4 5 2 2 2" xfId="10873"/>
    <cellStyle name="Percent 53 4 5 2 2 2 2" xfId="17577"/>
    <cellStyle name="Percent 53 4 5 2 2 2 2 2" xfId="40998"/>
    <cellStyle name="Percent 53 4 5 2 2 2 3" xfId="34366"/>
    <cellStyle name="Percent 53 4 5 2 2 3" xfId="14261"/>
    <cellStyle name="Percent 53 4 5 2 2 3 2" xfId="37682"/>
    <cellStyle name="Percent 53 4 5 2 2 4" xfId="31050"/>
    <cellStyle name="Percent 53 4 5 2 3" xfId="9215"/>
    <cellStyle name="Percent 53 4 5 2 3 2" xfId="15919"/>
    <cellStyle name="Percent 53 4 5 2 3 2 2" xfId="39340"/>
    <cellStyle name="Percent 53 4 5 2 3 3" xfId="32708"/>
    <cellStyle name="Percent 53 4 5 2 4" xfId="12603"/>
    <cellStyle name="Percent 53 4 5 2 4 2" xfId="36024"/>
    <cellStyle name="Percent 53 4 5 2 5" xfId="18317"/>
    <cellStyle name="Percent 53 4 5 2 6" xfId="29392"/>
    <cellStyle name="Percent 53 4 5 3" xfId="6645"/>
    <cellStyle name="Percent 53 4 5 3 2" xfId="9977"/>
    <cellStyle name="Percent 53 4 5 3 2 2" xfId="16681"/>
    <cellStyle name="Percent 53 4 5 3 2 2 2" xfId="40102"/>
    <cellStyle name="Percent 53 4 5 3 2 3" xfId="33470"/>
    <cellStyle name="Percent 53 4 5 3 3" xfId="13365"/>
    <cellStyle name="Percent 53 4 5 3 3 2" xfId="36786"/>
    <cellStyle name="Percent 53 4 5 3 4" xfId="30154"/>
    <cellStyle name="Percent 53 4 5 4" xfId="8311"/>
    <cellStyle name="Percent 53 4 5 4 2" xfId="15023"/>
    <cellStyle name="Percent 53 4 5 4 2 2" xfId="38444"/>
    <cellStyle name="Percent 53 4 5 4 3" xfId="31812"/>
    <cellStyle name="Percent 53 4 5 5" xfId="11705"/>
    <cellStyle name="Percent 53 4 5 5 2" xfId="35128"/>
    <cellStyle name="Percent 53 4 5 6" xfId="20437"/>
    <cellStyle name="Percent 53 4 5 7" xfId="28496"/>
    <cellStyle name="Percent 53 4 6" xfId="5359"/>
    <cellStyle name="Percent 53 4 6 2" xfId="7248"/>
    <cellStyle name="Percent 53 4 6 2 2" xfId="10579"/>
    <cellStyle name="Percent 53 4 6 2 2 2" xfId="17283"/>
    <cellStyle name="Percent 53 4 6 2 2 2 2" xfId="40704"/>
    <cellStyle name="Percent 53 4 6 2 2 3" xfId="34072"/>
    <cellStyle name="Percent 53 4 6 2 3" xfId="13967"/>
    <cellStyle name="Percent 53 4 6 2 3 2" xfId="37388"/>
    <cellStyle name="Percent 53 4 6 2 4" xfId="30756"/>
    <cellStyle name="Percent 53 4 6 3" xfId="8921"/>
    <cellStyle name="Percent 53 4 6 3 2" xfId="15625"/>
    <cellStyle name="Percent 53 4 6 3 2 2" xfId="39046"/>
    <cellStyle name="Percent 53 4 6 3 3" xfId="32414"/>
    <cellStyle name="Percent 53 4 6 4" xfId="12308"/>
    <cellStyle name="Percent 53 4 6 4 2" xfId="35730"/>
    <cellStyle name="Percent 53 4 6 5" xfId="29098"/>
    <cellStyle name="Percent 53 4 7" xfId="6172"/>
    <cellStyle name="Percent 53 4 7 2" xfId="9506"/>
    <cellStyle name="Percent 53 4 7 2 2" xfId="16210"/>
    <cellStyle name="Percent 53 4 7 2 2 2" xfId="39631"/>
    <cellStyle name="Percent 53 4 7 2 3" xfId="32999"/>
    <cellStyle name="Percent 53 4 7 3" xfId="12894"/>
    <cellStyle name="Percent 53 4 7 3 2" xfId="36315"/>
    <cellStyle name="Percent 53 4 7 4" xfId="29683"/>
    <cellStyle name="Percent 53 4 8" xfId="7838"/>
    <cellStyle name="Percent 53 4 8 2" xfId="14552"/>
    <cellStyle name="Percent 53 4 8 2 2" xfId="37973"/>
    <cellStyle name="Percent 53 4 8 3" xfId="31341"/>
    <cellStyle name="Percent 53 4 9" xfId="11234"/>
    <cellStyle name="Percent 53 4 9 2" xfId="34657"/>
    <cellStyle name="Percent 53 5" xfId="1714"/>
    <cellStyle name="Percent 53 6" xfId="1767"/>
    <cellStyle name="Percent 53 6 2" xfId="2512"/>
    <cellStyle name="Percent 53 6 3" xfId="2765"/>
    <cellStyle name="Percent 53 6 3 2" xfId="5857"/>
    <cellStyle name="Percent 53 6 3 2 2" xfId="7639"/>
    <cellStyle name="Percent 53 6 3 2 2 2" xfId="10968"/>
    <cellStyle name="Percent 53 6 3 2 2 2 2" xfId="17672"/>
    <cellStyle name="Percent 53 6 3 2 2 2 2 2" xfId="41093"/>
    <cellStyle name="Percent 53 6 3 2 2 2 3" xfId="34461"/>
    <cellStyle name="Percent 53 6 3 2 2 3" xfId="14356"/>
    <cellStyle name="Percent 53 6 3 2 2 3 2" xfId="37777"/>
    <cellStyle name="Percent 53 6 3 2 2 4" xfId="31145"/>
    <cellStyle name="Percent 53 6 3 2 3" xfId="9310"/>
    <cellStyle name="Percent 53 6 3 2 3 2" xfId="16014"/>
    <cellStyle name="Percent 53 6 3 2 3 2 2" xfId="39435"/>
    <cellStyle name="Percent 53 6 3 2 3 3" xfId="32803"/>
    <cellStyle name="Percent 53 6 3 2 4" xfId="12698"/>
    <cellStyle name="Percent 53 6 3 2 4 2" xfId="36119"/>
    <cellStyle name="Percent 53 6 3 2 5" xfId="29487"/>
    <cellStyle name="Percent 53 6 3 3" xfId="6740"/>
    <cellStyle name="Percent 53 6 3 3 2" xfId="10072"/>
    <cellStyle name="Percent 53 6 3 3 2 2" xfId="16776"/>
    <cellStyle name="Percent 53 6 3 3 2 2 2" xfId="40197"/>
    <cellStyle name="Percent 53 6 3 3 2 3" xfId="33565"/>
    <cellStyle name="Percent 53 6 3 3 3" xfId="13460"/>
    <cellStyle name="Percent 53 6 3 3 3 2" xfId="36881"/>
    <cellStyle name="Percent 53 6 3 3 4" xfId="30249"/>
    <cellStyle name="Percent 53 6 3 4" xfId="8406"/>
    <cellStyle name="Percent 53 6 3 4 2" xfId="15118"/>
    <cellStyle name="Percent 53 6 3 4 2 2" xfId="38539"/>
    <cellStyle name="Percent 53 6 3 4 3" xfId="31907"/>
    <cellStyle name="Percent 53 6 3 5" xfId="11800"/>
    <cellStyle name="Percent 53 6 3 5 2" xfId="35223"/>
    <cellStyle name="Percent 53 6 3 6" xfId="28591"/>
    <cellStyle name="Percent 53 6 4" xfId="5412"/>
    <cellStyle name="Percent 53 6 4 2" xfId="7266"/>
    <cellStyle name="Percent 53 6 4 2 2" xfId="10597"/>
    <cellStyle name="Percent 53 6 4 2 2 2" xfId="17301"/>
    <cellStyle name="Percent 53 6 4 2 2 2 2" xfId="40722"/>
    <cellStyle name="Percent 53 6 4 2 2 3" xfId="34090"/>
    <cellStyle name="Percent 53 6 4 2 3" xfId="13985"/>
    <cellStyle name="Percent 53 6 4 2 3 2" xfId="37406"/>
    <cellStyle name="Percent 53 6 4 2 4" xfId="30774"/>
    <cellStyle name="Percent 53 6 4 3" xfId="8939"/>
    <cellStyle name="Percent 53 6 4 3 2" xfId="15643"/>
    <cellStyle name="Percent 53 6 4 3 2 2" xfId="39064"/>
    <cellStyle name="Percent 53 6 4 3 3" xfId="32432"/>
    <cellStyle name="Percent 53 6 4 4" xfId="12326"/>
    <cellStyle name="Percent 53 6 4 4 2" xfId="35748"/>
    <cellStyle name="Percent 53 6 4 5" xfId="29116"/>
    <cellStyle name="Percent 53 6 5" xfId="6267"/>
    <cellStyle name="Percent 53 6 5 2" xfId="9601"/>
    <cellStyle name="Percent 53 6 5 2 2" xfId="16305"/>
    <cellStyle name="Percent 53 6 5 2 2 2" xfId="39726"/>
    <cellStyle name="Percent 53 6 5 2 3" xfId="33094"/>
    <cellStyle name="Percent 53 6 5 3" xfId="12989"/>
    <cellStyle name="Percent 53 6 5 3 2" xfId="36410"/>
    <cellStyle name="Percent 53 6 5 4" xfId="29778"/>
    <cellStyle name="Percent 53 6 6" xfId="7933"/>
    <cellStyle name="Percent 53 6 6 2" xfId="14647"/>
    <cellStyle name="Percent 53 6 6 2 2" xfId="38068"/>
    <cellStyle name="Percent 53 6 6 3" xfId="31436"/>
    <cellStyle name="Percent 53 6 7" xfId="11329"/>
    <cellStyle name="Percent 53 6 7 2" xfId="34752"/>
    <cellStyle name="Percent 53 6 8" xfId="28120"/>
    <cellStyle name="Percent 53 7" xfId="2513"/>
    <cellStyle name="Percent 53 7 2" xfId="18285"/>
    <cellStyle name="Percent 53 8" xfId="2632"/>
    <cellStyle name="Percent 53 8 2" xfId="5726"/>
    <cellStyle name="Percent 53 8 2 2" xfId="7509"/>
    <cellStyle name="Percent 53 8 2 2 2" xfId="10838"/>
    <cellStyle name="Percent 53 8 2 2 2 2" xfId="17542"/>
    <cellStyle name="Percent 53 8 2 2 2 2 2" xfId="40963"/>
    <cellStyle name="Percent 53 8 2 2 2 3" xfId="34331"/>
    <cellStyle name="Percent 53 8 2 2 3" xfId="14226"/>
    <cellStyle name="Percent 53 8 2 2 3 2" xfId="37647"/>
    <cellStyle name="Percent 53 8 2 2 4" xfId="31015"/>
    <cellStyle name="Percent 53 8 2 3" xfId="9180"/>
    <cellStyle name="Percent 53 8 2 3 2" xfId="15884"/>
    <cellStyle name="Percent 53 8 2 3 2 2" xfId="39305"/>
    <cellStyle name="Percent 53 8 2 3 3" xfId="32673"/>
    <cellStyle name="Percent 53 8 2 4" xfId="12568"/>
    <cellStyle name="Percent 53 8 2 4 2" xfId="35989"/>
    <cellStyle name="Percent 53 8 2 5" xfId="18318"/>
    <cellStyle name="Percent 53 8 2 6" xfId="29357"/>
    <cellStyle name="Percent 53 8 3" xfId="6609"/>
    <cellStyle name="Percent 53 8 3 2" xfId="9941"/>
    <cellStyle name="Percent 53 8 3 2 2" xfId="16645"/>
    <cellStyle name="Percent 53 8 3 2 2 2" xfId="40066"/>
    <cellStyle name="Percent 53 8 3 2 3" xfId="33434"/>
    <cellStyle name="Percent 53 8 3 3" xfId="13329"/>
    <cellStyle name="Percent 53 8 3 3 2" xfId="36750"/>
    <cellStyle name="Percent 53 8 3 4" xfId="30118"/>
    <cellStyle name="Percent 53 8 4" xfId="8275"/>
    <cellStyle name="Percent 53 8 4 2" xfId="14987"/>
    <cellStyle name="Percent 53 8 4 2 2" xfId="38408"/>
    <cellStyle name="Percent 53 8 4 3" xfId="31776"/>
    <cellStyle name="Percent 53 8 5" xfId="11669"/>
    <cellStyle name="Percent 53 8 5 2" xfId="35092"/>
    <cellStyle name="Percent 53 8 6" xfId="20436"/>
    <cellStyle name="Percent 53 8 7" xfId="28460"/>
    <cellStyle name="Percent 53 9" xfId="5328"/>
    <cellStyle name="Percent 53 9 2" xfId="7235"/>
    <cellStyle name="Percent 53 9 2 2" xfId="10566"/>
    <cellStyle name="Percent 53 9 2 2 2" xfId="17270"/>
    <cellStyle name="Percent 53 9 2 2 2 2" xfId="40691"/>
    <cellStyle name="Percent 53 9 2 2 3" xfId="34059"/>
    <cellStyle name="Percent 53 9 2 3" xfId="13954"/>
    <cellStyle name="Percent 53 9 2 3 2" xfId="37375"/>
    <cellStyle name="Percent 53 9 2 4" xfId="30743"/>
    <cellStyle name="Percent 53 9 3" xfId="8907"/>
    <cellStyle name="Percent 53 9 3 2" xfId="15612"/>
    <cellStyle name="Percent 53 9 3 2 2" xfId="39033"/>
    <cellStyle name="Percent 53 9 3 3" xfId="32401"/>
    <cellStyle name="Percent 53 9 4" xfId="12295"/>
    <cellStyle name="Percent 53 9 4 2" xfId="35717"/>
    <cellStyle name="Percent 53 9 5" xfId="29085"/>
    <cellStyle name="Percent 54" xfId="1398"/>
    <cellStyle name="Percent 54 2" xfId="1399"/>
    <cellStyle name="Percent 54 2 2" xfId="6015"/>
    <cellStyle name="Percent 54 3" xfId="6044"/>
    <cellStyle name="Percent 55" xfId="1400"/>
    <cellStyle name="Percent 55 2" xfId="1401"/>
    <cellStyle name="Percent 55 2 2" xfId="5211"/>
    <cellStyle name="Percent 55 3" xfId="6045"/>
    <cellStyle name="Percent 56" xfId="1402"/>
    <cellStyle name="Percent 56 2" xfId="4484"/>
    <cellStyle name="Percent 57" xfId="1403"/>
    <cellStyle name="Percent 57 2" xfId="4485"/>
    <cellStyle name="Percent 58" xfId="1404"/>
    <cellStyle name="Percent 58 2" xfId="4486"/>
    <cellStyle name="Percent 59" xfId="1405"/>
    <cellStyle name="Percent 59 2" xfId="4487"/>
    <cellStyle name="Percent 6" xfId="684"/>
    <cellStyle name="Percent 6 2" xfId="685"/>
    <cellStyle name="Percent 6 2 2" xfId="686"/>
    <cellStyle name="Percent 6 2 2 2" xfId="4489"/>
    <cellStyle name="Percent 6 2 3" xfId="4490"/>
    <cellStyle name="Percent 6 3" xfId="687"/>
    <cellStyle name="Percent 6 3 2" xfId="4491"/>
    <cellStyle name="Percent 6 4" xfId="4492"/>
    <cellStyle name="Percent 6 4 2" xfId="4493"/>
    <cellStyle name="Percent 6 4 3" xfId="4494"/>
    <cellStyle name="Percent 6 5" xfId="4495"/>
    <cellStyle name="Percent 60" xfId="1406"/>
    <cellStyle name="Percent 60 2" xfId="4496"/>
    <cellStyle name="Percent 61" xfId="1407"/>
    <cellStyle name="Percent 61 2" xfId="4497"/>
    <cellStyle name="Percent 61 2 2" xfId="4498"/>
    <cellStyle name="Percent 61 3" xfId="4499"/>
    <cellStyle name="Percent 62" xfId="1408"/>
    <cellStyle name="Percent 62 2" xfId="4500"/>
    <cellStyle name="Percent 63" xfId="1409"/>
    <cellStyle name="Percent 63 2" xfId="4501"/>
    <cellStyle name="Percent 64" xfId="1410"/>
    <cellStyle name="Percent 64 2" xfId="1411"/>
    <cellStyle name="Percent 64 2 2" xfId="5231"/>
    <cellStyle name="Percent 64 2 2 2" xfId="5342"/>
    <cellStyle name="Percent 64 2 3" xfId="5277"/>
    <cellStyle name="Percent 64 3" xfId="4502"/>
    <cellStyle name="Percent 64 3 2" xfId="4503"/>
    <cellStyle name="Percent 64 4" xfId="5341"/>
    <cellStyle name="Percent 65" xfId="1412"/>
    <cellStyle name="Percent 65 2" xfId="1413"/>
    <cellStyle name="Percent 65 2 2" xfId="5263"/>
    <cellStyle name="Percent 65 2 2 2" xfId="5255"/>
    <cellStyle name="Percent 65 2 3" xfId="5194"/>
    <cellStyle name="Percent 65 3" xfId="4504"/>
    <cellStyle name="Percent 65 3 2" xfId="4505"/>
    <cellStyle name="Percent 65 4" xfId="5204"/>
    <cellStyle name="Percent 66" xfId="1414"/>
    <cellStyle name="Percent 66 2" xfId="1415"/>
    <cellStyle name="Percent 66 2 2" xfId="5206"/>
    <cellStyle name="Percent 66 2 2 2" xfId="5389"/>
    <cellStyle name="Percent 66 2 3" xfId="5980"/>
    <cellStyle name="Percent 66 3" xfId="4506"/>
    <cellStyle name="Percent 66 3 2" xfId="4507"/>
    <cellStyle name="Percent 66 4" xfId="5340"/>
    <cellStyle name="Percent 67" xfId="1416"/>
    <cellStyle name="Percent 67 2" xfId="1417"/>
    <cellStyle name="Percent 67 2 2" xfId="4508"/>
    <cellStyle name="Percent 67 2 2 2" xfId="6027"/>
    <cellStyle name="Percent 67 2 3" xfId="5339"/>
    <cellStyle name="Percent 67 3" xfId="4509"/>
    <cellStyle name="Percent 67 3 2" xfId="4510"/>
    <cellStyle name="Percent 67 4" xfId="6020"/>
    <cellStyle name="Percent 68" xfId="1418"/>
    <cellStyle name="Percent 68 2" xfId="1419"/>
    <cellStyle name="Percent 68 2 2" xfId="4511"/>
    <cellStyle name="Percent 68 2 2 2" xfId="5281"/>
    <cellStyle name="Percent 68 2 3" xfId="5997"/>
    <cellStyle name="Percent 68 3" xfId="4512"/>
    <cellStyle name="Percent 68 3 2" xfId="4513"/>
    <cellStyle name="Percent 68 4" xfId="5994"/>
    <cellStyle name="Percent 69" xfId="1420"/>
    <cellStyle name="Percent 69 2" xfId="1421"/>
    <cellStyle name="Percent 69 2 2" xfId="5221"/>
    <cellStyle name="Percent 69 2 2 2" xfId="5404"/>
    <cellStyle name="Percent 69 2 3" xfId="5319"/>
    <cellStyle name="Percent 69 3" xfId="4514"/>
    <cellStyle name="Percent 69 3 2" xfId="4515"/>
    <cellStyle name="Percent 69 4" xfId="5313"/>
    <cellStyle name="Percent 7" xfId="688"/>
    <cellStyle name="Percent 7 2" xfId="689"/>
    <cellStyle name="Percent 7 2 2" xfId="690"/>
    <cellStyle name="Percent 7 2 2 2" xfId="4516"/>
    <cellStyle name="Percent 7 2 3" xfId="4517"/>
    <cellStyle name="Percent 7 3" xfId="691"/>
    <cellStyle name="Percent 7 3 2" xfId="4519"/>
    <cellStyle name="Percent 7 3 3" xfId="4520"/>
    <cellStyle name="Percent 7 3 4" xfId="4518"/>
    <cellStyle name="Percent 7 4" xfId="4521"/>
    <cellStyle name="Percent 70" xfId="1422"/>
    <cellStyle name="Percent 70 2" xfId="1423"/>
    <cellStyle name="Percent 70 2 2" xfId="6050"/>
    <cellStyle name="Percent 70 2 2 2" xfId="5254"/>
    <cellStyle name="Percent 70 2 3" xfId="5387"/>
    <cellStyle name="Percent 70 3" xfId="4522"/>
    <cellStyle name="Percent 70 3 2" xfId="4523"/>
    <cellStyle name="Percent 70 4" xfId="5338"/>
    <cellStyle name="Percent 71" xfId="1424"/>
    <cellStyle name="Percent 71 2" xfId="4524"/>
    <cellStyle name="Percent 71 2 2" xfId="4525"/>
    <cellStyle name="Percent 71 2 3" xfId="4526"/>
    <cellStyle name="Percent 71 3" xfId="4527"/>
    <cellStyle name="Percent 72" xfId="1425"/>
    <cellStyle name="Percent 72 2" xfId="4528"/>
    <cellStyle name="Percent 72 2 2" xfId="4529"/>
    <cellStyle name="Percent 72 2 3" xfId="4530"/>
    <cellStyle name="Percent 72 3" xfId="4531"/>
    <cellStyle name="Percent 73" xfId="1426"/>
    <cellStyle name="Percent 73 2" xfId="4532"/>
    <cellStyle name="Percent 73 2 2" xfId="4533"/>
    <cellStyle name="Percent 73 2 3" xfId="4534"/>
    <cellStyle name="Percent 73 3" xfId="4535"/>
    <cellStyle name="Percent 74" xfId="1427"/>
    <cellStyle name="Percent 74 2" xfId="4536"/>
    <cellStyle name="Percent 74 2 2" xfId="4537"/>
    <cellStyle name="Percent 74 2 3" xfId="4538"/>
    <cellStyle name="Percent 74 3" xfId="4539"/>
    <cellStyle name="Percent 75" xfId="1428"/>
    <cellStyle name="Percent 75 2" xfId="4540"/>
    <cellStyle name="Percent 75 2 2" xfId="4541"/>
    <cellStyle name="Percent 75 2 3" xfId="4542"/>
    <cellStyle name="Percent 75 3" xfId="4543"/>
    <cellStyle name="Percent 76" xfId="1454"/>
    <cellStyle name="Percent 76 2" xfId="4544"/>
    <cellStyle name="Percent 76 2 2" xfId="4545"/>
    <cellStyle name="Percent 76 2 3" xfId="4546"/>
    <cellStyle name="Percent 76 3" xfId="4547"/>
    <cellStyle name="Percent 77" xfId="1456"/>
    <cellStyle name="Percent 77 10" xfId="7813"/>
    <cellStyle name="Percent 77 10 2" xfId="14527"/>
    <cellStyle name="Percent 77 10 2 2" xfId="37948"/>
    <cellStyle name="Percent 77 10 3" xfId="31316"/>
    <cellStyle name="Percent 77 11" xfId="11209"/>
    <cellStyle name="Percent 77 11 2" xfId="34632"/>
    <cellStyle name="Percent 77 12" xfId="28000"/>
    <cellStyle name="Percent 77 2" xfId="1500"/>
    <cellStyle name="Percent 77 2 10" xfId="11245"/>
    <cellStyle name="Percent 77 2 10 2" xfId="34668"/>
    <cellStyle name="Percent 77 2 11" xfId="28036"/>
    <cellStyle name="Percent 77 2 2" xfId="1717"/>
    <cellStyle name="Percent 77 2 2 2" xfId="4551"/>
    <cellStyle name="Percent 77 2 2 3" xfId="4550"/>
    <cellStyle name="Percent 77 2 3" xfId="1815"/>
    <cellStyle name="Percent 77 2 3 2" xfId="2514"/>
    <cellStyle name="Percent 77 2 3 3" xfId="2812"/>
    <cellStyle name="Percent 77 2 3 3 2" xfId="5904"/>
    <cellStyle name="Percent 77 2 3 3 2 2" xfId="7686"/>
    <cellStyle name="Percent 77 2 3 3 2 2 2" xfId="11015"/>
    <cellStyle name="Percent 77 2 3 3 2 2 2 2" xfId="17719"/>
    <cellStyle name="Percent 77 2 3 3 2 2 2 2 2" xfId="41140"/>
    <cellStyle name="Percent 77 2 3 3 2 2 2 3" xfId="34508"/>
    <cellStyle name="Percent 77 2 3 3 2 2 3" xfId="14403"/>
    <cellStyle name="Percent 77 2 3 3 2 2 3 2" xfId="37824"/>
    <cellStyle name="Percent 77 2 3 3 2 2 4" xfId="31192"/>
    <cellStyle name="Percent 77 2 3 3 2 3" xfId="9357"/>
    <cellStyle name="Percent 77 2 3 3 2 3 2" xfId="16061"/>
    <cellStyle name="Percent 77 2 3 3 2 3 2 2" xfId="39482"/>
    <cellStyle name="Percent 77 2 3 3 2 3 3" xfId="32850"/>
    <cellStyle name="Percent 77 2 3 3 2 4" xfId="12745"/>
    <cellStyle name="Percent 77 2 3 3 2 4 2" xfId="36166"/>
    <cellStyle name="Percent 77 2 3 3 2 5" xfId="29534"/>
    <cellStyle name="Percent 77 2 3 3 3" xfId="6787"/>
    <cellStyle name="Percent 77 2 3 3 3 2" xfId="10119"/>
    <cellStyle name="Percent 77 2 3 3 3 2 2" xfId="16823"/>
    <cellStyle name="Percent 77 2 3 3 3 2 2 2" xfId="40244"/>
    <cellStyle name="Percent 77 2 3 3 3 2 3" xfId="33612"/>
    <cellStyle name="Percent 77 2 3 3 3 3" xfId="13507"/>
    <cellStyle name="Percent 77 2 3 3 3 3 2" xfId="36928"/>
    <cellStyle name="Percent 77 2 3 3 3 4" xfId="30296"/>
    <cellStyle name="Percent 77 2 3 3 4" xfId="8453"/>
    <cellStyle name="Percent 77 2 3 3 4 2" xfId="15165"/>
    <cellStyle name="Percent 77 2 3 3 4 2 2" xfId="38586"/>
    <cellStyle name="Percent 77 2 3 3 4 3" xfId="31954"/>
    <cellStyle name="Percent 77 2 3 3 5" xfId="11847"/>
    <cellStyle name="Percent 77 2 3 3 5 2" xfId="35270"/>
    <cellStyle name="Percent 77 2 3 3 6" xfId="28638"/>
    <cellStyle name="Percent 77 2 3 4" xfId="5431"/>
    <cellStyle name="Percent 77 2 3 4 2" xfId="7284"/>
    <cellStyle name="Percent 77 2 3 4 2 2" xfId="10615"/>
    <cellStyle name="Percent 77 2 3 4 2 2 2" xfId="17319"/>
    <cellStyle name="Percent 77 2 3 4 2 2 2 2" xfId="40740"/>
    <cellStyle name="Percent 77 2 3 4 2 2 3" xfId="34108"/>
    <cellStyle name="Percent 77 2 3 4 2 3" xfId="14003"/>
    <cellStyle name="Percent 77 2 3 4 2 3 2" xfId="37424"/>
    <cellStyle name="Percent 77 2 3 4 2 4" xfId="30792"/>
    <cellStyle name="Percent 77 2 3 4 3" xfId="8957"/>
    <cellStyle name="Percent 77 2 3 4 3 2" xfId="15661"/>
    <cellStyle name="Percent 77 2 3 4 3 2 2" xfId="39082"/>
    <cellStyle name="Percent 77 2 3 4 3 3" xfId="32450"/>
    <cellStyle name="Percent 77 2 3 4 4" xfId="12344"/>
    <cellStyle name="Percent 77 2 3 4 4 2" xfId="35766"/>
    <cellStyle name="Percent 77 2 3 4 5" xfId="29134"/>
    <cellStyle name="Percent 77 2 3 5" xfId="4552"/>
    <cellStyle name="Percent 77 2 3 6" xfId="6314"/>
    <cellStyle name="Percent 77 2 3 6 2" xfId="9648"/>
    <cellStyle name="Percent 77 2 3 6 2 2" xfId="16352"/>
    <cellStyle name="Percent 77 2 3 6 2 2 2" xfId="39773"/>
    <cellStyle name="Percent 77 2 3 6 2 3" xfId="33141"/>
    <cellStyle name="Percent 77 2 3 6 3" xfId="13036"/>
    <cellStyle name="Percent 77 2 3 6 3 2" xfId="36457"/>
    <cellStyle name="Percent 77 2 3 6 4" xfId="29825"/>
    <cellStyle name="Percent 77 2 3 7" xfId="7980"/>
    <cellStyle name="Percent 77 2 3 7 2" xfId="14694"/>
    <cellStyle name="Percent 77 2 3 7 2 2" xfId="38115"/>
    <cellStyle name="Percent 77 2 3 7 3" xfId="31483"/>
    <cellStyle name="Percent 77 2 3 8" xfId="11376"/>
    <cellStyle name="Percent 77 2 3 8 2" xfId="34799"/>
    <cellStyle name="Percent 77 2 3 9" xfId="28167"/>
    <cellStyle name="Percent 77 2 4" xfId="2515"/>
    <cellStyle name="Percent 77 2 4 2" xfId="18288"/>
    <cellStyle name="Percent 77 2 5" xfId="2680"/>
    <cellStyle name="Percent 77 2 5 2" xfId="5773"/>
    <cellStyle name="Percent 77 2 5 2 2" xfId="7555"/>
    <cellStyle name="Percent 77 2 5 2 2 2" xfId="10884"/>
    <cellStyle name="Percent 77 2 5 2 2 2 2" xfId="17588"/>
    <cellStyle name="Percent 77 2 5 2 2 2 2 2" xfId="41009"/>
    <cellStyle name="Percent 77 2 5 2 2 2 3" xfId="34377"/>
    <cellStyle name="Percent 77 2 5 2 2 3" xfId="14272"/>
    <cellStyle name="Percent 77 2 5 2 2 3 2" xfId="37693"/>
    <cellStyle name="Percent 77 2 5 2 2 4" xfId="31061"/>
    <cellStyle name="Percent 77 2 5 2 3" xfId="9226"/>
    <cellStyle name="Percent 77 2 5 2 3 2" xfId="15930"/>
    <cellStyle name="Percent 77 2 5 2 3 2 2" xfId="39351"/>
    <cellStyle name="Percent 77 2 5 2 3 3" xfId="32719"/>
    <cellStyle name="Percent 77 2 5 2 4" xfId="12614"/>
    <cellStyle name="Percent 77 2 5 2 4 2" xfId="36035"/>
    <cellStyle name="Percent 77 2 5 2 5" xfId="18319"/>
    <cellStyle name="Percent 77 2 5 2 6" xfId="29403"/>
    <cellStyle name="Percent 77 2 5 3" xfId="6656"/>
    <cellStyle name="Percent 77 2 5 3 2" xfId="9988"/>
    <cellStyle name="Percent 77 2 5 3 2 2" xfId="16692"/>
    <cellStyle name="Percent 77 2 5 3 2 2 2" xfId="40113"/>
    <cellStyle name="Percent 77 2 5 3 2 3" xfId="33481"/>
    <cellStyle name="Percent 77 2 5 3 3" xfId="13376"/>
    <cellStyle name="Percent 77 2 5 3 3 2" xfId="36797"/>
    <cellStyle name="Percent 77 2 5 3 4" xfId="30165"/>
    <cellStyle name="Percent 77 2 5 4" xfId="8322"/>
    <cellStyle name="Percent 77 2 5 4 2" xfId="15034"/>
    <cellStyle name="Percent 77 2 5 4 2 2" xfId="38455"/>
    <cellStyle name="Percent 77 2 5 4 3" xfId="31823"/>
    <cellStyle name="Percent 77 2 5 5" xfId="11716"/>
    <cellStyle name="Percent 77 2 5 5 2" xfId="35139"/>
    <cellStyle name="Percent 77 2 5 6" xfId="18013"/>
    <cellStyle name="Percent 77 2 5 7" xfId="28507"/>
    <cellStyle name="Percent 77 2 6" xfId="5365"/>
    <cellStyle name="Percent 77 2 6 2" xfId="7253"/>
    <cellStyle name="Percent 77 2 6 2 2" xfId="10584"/>
    <cellStyle name="Percent 77 2 6 2 2 2" xfId="17288"/>
    <cellStyle name="Percent 77 2 6 2 2 2 2" xfId="40709"/>
    <cellStyle name="Percent 77 2 6 2 2 3" xfId="34077"/>
    <cellStyle name="Percent 77 2 6 2 3" xfId="13972"/>
    <cellStyle name="Percent 77 2 6 2 3 2" xfId="37393"/>
    <cellStyle name="Percent 77 2 6 2 4" xfId="30761"/>
    <cellStyle name="Percent 77 2 6 3" xfId="8926"/>
    <cellStyle name="Percent 77 2 6 3 2" xfId="15630"/>
    <cellStyle name="Percent 77 2 6 3 2 2" xfId="39051"/>
    <cellStyle name="Percent 77 2 6 3 3" xfId="32419"/>
    <cellStyle name="Percent 77 2 6 4" xfId="12313"/>
    <cellStyle name="Percent 77 2 6 4 2" xfId="35735"/>
    <cellStyle name="Percent 77 2 6 5" xfId="29103"/>
    <cellStyle name="Percent 77 2 7" xfId="4549"/>
    <cellStyle name="Percent 77 2 8" xfId="6183"/>
    <cellStyle name="Percent 77 2 8 2" xfId="9517"/>
    <cellStyle name="Percent 77 2 8 2 2" xfId="16221"/>
    <cellStyle name="Percent 77 2 8 2 2 2" xfId="39642"/>
    <cellStyle name="Percent 77 2 8 2 3" xfId="33010"/>
    <cellStyle name="Percent 77 2 8 3" xfId="12905"/>
    <cellStyle name="Percent 77 2 8 3 2" xfId="36326"/>
    <cellStyle name="Percent 77 2 8 4" xfId="29694"/>
    <cellStyle name="Percent 77 2 9" xfId="7849"/>
    <cellStyle name="Percent 77 2 9 2" xfId="14563"/>
    <cellStyle name="Percent 77 2 9 2 2" xfId="37984"/>
    <cellStyle name="Percent 77 2 9 3" xfId="31352"/>
    <cellStyle name="Percent 77 3" xfId="1716"/>
    <cellStyle name="Percent 77 3 2" xfId="4554"/>
    <cellStyle name="Percent 77 3 3" xfId="4553"/>
    <cellStyle name="Percent 77 4" xfId="1779"/>
    <cellStyle name="Percent 77 4 2" xfId="2516"/>
    <cellStyle name="Percent 77 4 3" xfId="2776"/>
    <cellStyle name="Percent 77 4 3 2" xfId="5868"/>
    <cellStyle name="Percent 77 4 3 2 2" xfId="7650"/>
    <cellStyle name="Percent 77 4 3 2 2 2" xfId="10979"/>
    <cellStyle name="Percent 77 4 3 2 2 2 2" xfId="17683"/>
    <cellStyle name="Percent 77 4 3 2 2 2 2 2" xfId="41104"/>
    <cellStyle name="Percent 77 4 3 2 2 2 3" xfId="34472"/>
    <cellStyle name="Percent 77 4 3 2 2 3" xfId="14367"/>
    <cellStyle name="Percent 77 4 3 2 2 3 2" xfId="37788"/>
    <cellStyle name="Percent 77 4 3 2 2 4" xfId="31156"/>
    <cellStyle name="Percent 77 4 3 2 3" xfId="9321"/>
    <cellStyle name="Percent 77 4 3 2 3 2" xfId="16025"/>
    <cellStyle name="Percent 77 4 3 2 3 2 2" xfId="39446"/>
    <cellStyle name="Percent 77 4 3 2 3 3" xfId="32814"/>
    <cellStyle name="Percent 77 4 3 2 4" xfId="12709"/>
    <cellStyle name="Percent 77 4 3 2 4 2" xfId="36130"/>
    <cellStyle name="Percent 77 4 3 2 5" xfId="29498"/>
    <cellStyle name="Percent 77 4 3 3" xfId="6751"/>
    <cellStyle name="Percent 77 4 3 3 2" xfId="10083"/>
    <cellStyle name="Percent 77 4 3 3 2 2" xfId="16787"/>
    <cellStyle name="Percent 77 4 3 3 2 2 2" xfId="40208"/>
    <cellStyle name="Percent 77 4 3 3 2 3" xfId="33576"/>
    <cellStyle name="Percent 77 4 3 3 3" xfId="13471"/>
    <cellStyle name="Percent 77 4 3 3 3 2" xfId="36892"/>
    <cellStyle name="Percent 77 4 3 3 4" xfId="30260"/>
    <cellStyle name="Percent 77 4 3 4" xfId="8417"/>
    <cellStyle name="Percent 77 4 3 4 2" xfId="15129"/>
    <cellStyle name="Percent 77 4 3 4 2 2" xfId="38550"/>
    <cellStyle name="Percent 77 4 3 4 3" xfId="31918"/>
    <cellStyle name="Percent 77 4 3 5" xfId="11811"/>
    <cellStyle name="Percent 77 4 3 5 2" xfId="35234"/>
    <cellStyle name="Percent 77 4 3 6" xfId="28602"/>
    <cellStyle name="Percent 77 4 4" xfId="5417"/>
    <cellStyle name="Percent 77 4 4 2" xfId="7271"/>
    <cellStyle name="Percent 77 4 4 2 2" xfId="10602"/>
    <cellStyle name="Percent 77 4 4 2 2 2" xfId="17306"/>
    <cellStyle name="Percent 77 4 4 2 2 2 2" xfId="40727"/>
    <cellStyle name="Percent 77 4 4 2 2 3" xfId="34095"/>
    <cellStyle name="Percent 77 4 4 2 3" xfId="13990"/>
    <cellStyle name="Percent 77 4 4 2 3 2" xfId="37411"/>
    <cellStyle name="Percent 77 4 4 2 4" xfId="30779"/>
    <cellStyle name="Percent 77 4 4 3" xfId="8944"/>
    <cellStyle name="Percent 77 4 4 3 2" xfId="15648"/>
    <cellStyle name="Percent 77 4 4 3 2 2" xfId="39069"/>
    <cellStyle name="Percent 77 4 4 3 3" xfId="32437"/>
    <cellStyle name="Percent 77 4 4 4" xfId="12331"/>
    <cellStyle name="Percent 77 4 4 4 2" xfId="35753"/>
    <cellStyle name="Percent 77 4 4 5" xfId="29121"/>
    <cellStyle name="Percent 77 4 5" xfId="6278"/>
    <cellStyle name="Percent 77 4 5 2" xfId="9612"/>
    <cellStyle name="Percent 77 4 5 2 2" xfId="16316"/>
    <cellStyle name="Percent 77 4 5 2 2 2" xfId="39737"/>
    <cellStyle name="Percent 77 4 5 2 3" xfId="33105"/>
    <cellStyle name="Percent 77 4 5 3" xfId="13000"/>
    <cellStyle name="Percent 77 4 5 3 2" xfId="36421"/>
    <cellStyle name="Percent 77 4 5 4" xfId="29789"/>
    <cellStyle name="Percent 77 4 6" xfId="7944"/>
    <cellStyle name="Percent 77 4 6 2" xfId="14658"/>
    <cellStyle name="Percent 77 4 6 2 2" xfId="38079"/>
    <cellStyle name="Percent 77 4 6 3" xfId="31447"/>
    <cellStyle name="Percent 77 4 7" xfId="11340"/>
    <cellStyle name="Percent 77 4 7 2" xfId="34763"/>
    <cellStyle name="Percent 77 4 8" xfId="28131"/>
    <cellStyle name="Percent 77 5" xfId="2517"/>
    <cellStyle name="Percent 77 5 2" xfId="18289"/>
    <cellStyle name="Percent 77 6" xfId="2644"/>
    <cellStyle name="Percent 77 6 2" xfId="5737"/>
    <cellStyle name="Percent 77 6 2 2" xfId="7519"/>
    <cellStyle name="Percent 77 6 2 2 2" xfId="10848"/>
    <cellStyle name="Percent 77 6 2 2 2 2" xfId="17552"/>
    <cellStyle name="Percent 77 6 2 2 2 2 2" xfId="40973"/>
    <cellStyle name="Percent 77 6 2 2 2 3" xfId="34341"/>
    <cellStyle name="Percent 77 6 2 2 3" xfId="14236"/>
    <cellStyle name="Percent 77 6 2 2 3 2" xfId="37657"/>
    <cellStyle name="Percent 77 6 2 2 4" xfId="31025"/>
    <cellStyle name="Percent 77 6 2 3" xfId="9190"/>
    <cellStyle name="Percent 77 6 2 3 2" xfId="15894"/>
    <cellStyle name="Percent 77 6 2 3 2 2" xfId="39315"/>
    <cellStyle name="Percent 77 6 2 3 3" xfId="32683"/>
    <cellStyle name="Percent 77 6 2 4" xfId="12578"/>
    <cellStyle name="Percent 77 6 2 4 2" xfId="35999"/>
    <cellStyle name="Percent 77 6 2 5" xfId="18320"/>
    <cellStyle name="Percent 77 6 2 6" xfId="29367"/>
    <cellStyle name="Percent 77 6 3" xfId="6620"/>
    <cellStyle name="Percent 77 6 3 2" xfId="9952"/>
    <cellStyle name="Percent 77 6 3 2 2" xfId="16656"/>
    <cellStyle name="Percent 77 6 3 2 2 2" xfId="40077"/>
    <cellStyle name="Percent 77 6 3 2 3" xfId="33445"/>
    <cellStyle name="Percent 77 6 3 3" xfId="13340"/>
    <cellStyle name="Percent 77 6 3 3 2" xfId="36761"/>
    <cellStyle name="Percent 77 6 3 4" xfId="30129"/>
    <cellStyle name="Percent 77 6 4" xfId="8286"/>
    <cellStyle name="Percent 77 6 4 2" xfId="14998"/>
    <cellStyle name="Percent 77 6 4 2 2" xfId="38419"/>
    <cellStyle name="Percent 77 6 4 3" xfId="31787"/>
    <cellStyle name="Percent 77 6 5" xfId="11680"/>
    <cellStyle name="Percent 77 6 5 2" xfId="35103"/>
    <cellStyle name="Percent 77 6 6" xfId="20485"/>
    <cellStyle name="Percent 77 6 7" xfId="28471"/>
    <cellStyle name="Percent 77 7" xfId="5349"/>
    <cellStyle name="Percent 77 7 2" xfId="7240"/>
    <cellStyle name="Percent 77 7 2 2" xfId="10571"/>
    <cellStyle name="Percent 77 7 2 2 2" xfId="17275"/>
    <cellStyle name="Percent 77 7 2 2 2 2" xfId="40696"/>
    <cellStyle name="Percent 77 7 2 2 3" xfId="34064"/>
    <cellStyle name="Percent 77 7 2 3" xfId="13959"/>
    <cellStyle name="Percent 77 7 2 3 2" xfId="37380"/>
    <cellStyle name="Percent 77 7 2 4" xfId="30748"/>
    <cellStyle name="Percent 77 7 3" xfId="8913"/>
    <cellStyle name="Percent 77 7 3 2" xfId="15617"/>
    <cellStyle name="Percent 77 7 3 2 2" xfId="39038"/>
    <cellStyle name="Percent 77 7 3 3" xfId="32406"/>
    <cellStyle name="Percent 77 7 4" xfId="12300"/>
    <cellStyle name="Percent 77 7 4 2" xfId="35722"/>
    <cellStyle name="Percent 77 7 5" xfId="29090"/>
    <cellStyle name="Percent 77 8" xfId="4548"/>
    <cellStyle name="Percent 77 9" xfId="6147"/>
    <cellStyle name="Percent 77 9 2" xfId="9481"/>
    <cellStyle name="Percent 77 9 2 2" xfId="16185"/>
    <cellStyle name="Percent 77 9 2 2 2" xfId="39606"/>
    <cellStyle name="Percent 77 9 2 3" xfId="32974"/>
    <cellStyle name="Percent 77 9 3" xfId="12869"/>
    <cellStyle name="Percent 77 9 3 2" xfId="36290"/>
    <cellStyle name="Percent 77 9 4" xfId="29658"/>
    <cellStyle name="Percent 78" xfId="1512"/>
    <cellStyle name="Percent 78 2" xfId="1718"/>
    <cellStyle name="Percent 78 2 2" xfId="4555"/>
    <cellStyle name="Percent 78 2 3" xfId="4556"/>
    <cellStyle name="Percent 78 3" xfId="2518"/>
    <cellStyle name="Percent 78 3 2" xfId="5678"/>
    <cellStyle name="Percent 78 3 3" xfId="4557"/>
    <cellStyle name="Percent 78 4" xfId="4558"/>
    <cellStyle name="Percent 78 4 2" xfId="19028"/>
    <cellStyle name="Percent 78 5" xfId="18183"/>
    <cellStyle name="Percent 79" xfId="1719"/>
    <cellStyle name="Percent 79 2" xfId="4559"/>
    <cellStyle name="Percent 79 2 2" xfId="4560"/>
    <cellStyle name="Percent 79 2 3" xfId="4561"/>
    <cellStyle name="Percent 79 3" xfId="4562"/>
    <cellStyle name="Percent 8" xfId="692"/>
    <cellStyle name="Percent 8 2" xfId="693"/>
    <cellStyle name="Percent 8 2 2" xfId="4563"/>
    <cellStyle name="Percent 8 3" xfId="947"/>
    <cellStyle name="Percent 8 3 2" xfId="19030"/>
    <cellStyle name="Percent 8 4" xfId="4564"/>
    <cellStyle name="Percent 8 4 2" xfId="4565"/>
    <cellStyle name="Percent 8 4 2 2" xfId="23529"/>
    <cellStyle name="Percent 8 4 2 2 2" xfId="45863"/>
    <cellStyle name="Percent 8 4 3" xfId="5178"/>
    <cellStyle name="Percent 8 4 3 2" xfId="7228"/>
    <cellStyle name="Percent 8 4 3 2 2" xfId="10559"/>
    <cellStyle name="Percent 8 4 3 2 2 2" xfId="17263"/>
    <cellStyle name="Percent 8 4 3 2 2 2 2" xfId="40684"/>
    <cellStyle name="Percent 8 4 3 2 2 3" xfId="34052"/>
    <cellStyle name="Percent 8 4 3 2 3" xfId="13947"/>
    <cellStyle name="Percent 8 4 3 2 3 2" xfId="37368"/>
    <cellStyle name="Percent 8 4 3 2 4" xfId="26070"/>
    <cellStyle name="Percent 8 4 3 2 4 2" xfId="48315"/>
    <cellStyle name="Percent 8 4 3 2 5" xfId="30736"/>
    <cellStyle name="Percent 8 4 3 3" xfId="8899"/>
    <cellStyle name="Percent 8 4 3 3 2" xfId="15605"/>
    <cellStyle name="Percent 8 4 3 3 2 2" xfId="39026"/>
    <cellStyle name="Percent 8 4 3 3 3" xfId="32394"/>
    <cellStyle name="Percent 8 4 3 4" xfId="12288"/>
    <cellStyle name="Percent 8 4 3 4 2" xfId="35710"/>
    <cellStyle name="Percent 8 4 3 5" xfId="23860"/>
    <cellStyle name="Percent 8 4 3 5 2" xfId="46123"/>
    <cellStyle name="Percent 8 4 3 6" xfId="29078"/>
    <cellStyle name="Percent 8 4 4" xfId="19029"/>
    <cellStyle name="Percent 8 4 5" xfId="23491"/>
    <cellStyle name="Percent 8 4 5 2" xfId="45830"/>
    <cellStyle name="Percent 8 5" xfId="4566"/>
    <cellStyle name="Percent 8 5 2" xfId="5177"/>
    <cellStyle name="Percent 80" xfId="1720"/>
    <cellStyle name="Percent 80 2" xfId="4567"/>
    <cellStyle name="Percent 80 2 2" xfId="4568"/>
    <cellStyle name="Percent 80 2 3" xfId="4569"/>
    <cellStyle name="Percent 80 3" xfId="4570"/>
    <cellStyle name="Percent 81" xfId="1721"/>
    <cellStyle name="Percent 81 2" xfId="4571"/>
    <cellStyle name="Percent 81 2 2" xfId="4572"/>
    <cellStyle name="Percent 81 2 3" xfId="4573"/>
    <cellStyle name="Percent 81 3" xfId="4574"/>
    <cellStyle name="Percent 82" xfId="1722"/>
    <cellStyle name="Percent 82 2" xfId="4575"/>
    <cellStyle name="Percent 82 2 2" xfId="4576"/>
    <cellStyle name="Percent 82 3" xfId="4577"/>
    <cellStyle name="Percent 83" xfId="2519"/>
    <cellStyle name="Percent 83 2" xfId="2520"/>
    <cellStyle name="Percent 83 2 2" xfId="4578"/>
    <cellStyle name="Percent 83 2 2 2" xfId="19033"/>
    <cellStyle name="Percent 83 2 2 3" xfId="18290"/>
    <cellStyle name="Percent 83 2 3" xfId="19032"/>
    <cellStyle name="Percent 83 3" xfId="2521"/>
    <cellStyle name="Percent 83 3 2" xfId="5681"/>
    <cellStyle name="Percent 83 3 2 2" xfId="19035"/>
    <cellStyle name="Percent 83 3 3" xfId="4579"/>
    <cellStyle name="Percent 83 3 3 2" xfId="19034"/>
    <cellStyle name="Percent 83 4" xfId="18291"/>
    <cellStyle name="Percent 83 4 2" xfId="19036"/>
    <cellStyle name="Percent 83 5" xfId="19031"/>
    <cellStyle name="Percent 84" xfId="2522"/>
    <cellStyle name="Percent 84 2" xfId="2523"/>
    <cellStyle name="Percent 84 2 2" xfId="4580"/>
    <cellStyle name="Percent 84 2 2 2" xfId="19039"/>
    <cellStyle name="Percent 84 2 2 3" xfId="18292"/>
    <cellStyle name="Percent 84 2 3" xfId="19038"/>
    <cellStyle name="Percent 84 3" xfId="2524"/>
    <cellStyle name="Percent 84 3 2" xfId="5682"/>
    <cellStyle name="Percent 84 3 2 2" xfId="19041"/>
    <cellStyle name="Percent 84 3 3" xfId="4581"/>
    <cellStyle name="Percent 84 3 3 2" xfId="19040"/>
    <cellStyle name="Percent 84 4" xfId="18293"/>
    <cellStyle name="Percent 84 4 2" xfId="19042"/>
    <cellStyle name="Percent 84 5" xfId="19037"/>
    <cellStyle name="Percent 85" xfId="2525"/>
    <cellStyle name="Percent 85 2" xfId="2526"/>
    <cellStyle name="Percent 85 2 2" xfId="5683"/>
    <cellStyle name="Percent 85 2 2 2" xfId="19045"/>
    <cellStyle name="Percent 85 2 3" xfId="4582"/>
    <cellStyle name="Percent 85 2 3 2" xfId="19044"/>
    <cellStyle name="Percent 85 3" xfId="2527"/>
    <cellStyle name="Percent 85 3 2" xfId="5684"/>
    <cellStyle name="Percent 85 3 2 2" xfId="19047"/>
    <cellStyle name="Percent 85 3 3" xfId="4583"/>
    <cellStyle name="Percent 85 3 3 2" xfId="19046"/>
    <cellStyle name="Percent 85 4" xfId="18294"/>
    <cellStyle name="Percent 85 4 2" xfId="19048"/>
    <cellStyle name="Percent 85 5" xfId="19043"/>
    <cellStyle name="Percent 86" xfId="2528"/>
    <cellStyle name="Percent 86 2" xfId="2529"/>
    <cellStyle name="Percent 86 2 2" xfId="5686"/>
    <cellStyle name="Percent 86 2 2 2" xfId="19051"/>
    <cellStyle name="Percent 86 2 3" xfId="4584"/>
    <cellStyle name="Percent 86 2 3 2" xfId="19050"/>
    <cellStyle name="Percent 86 3" xfId="4585"/>
    <cellStyle name="Percent 86 3 2" xfId="19049"/>
    <cellStyle name="Percent 87" xfId="2530"/>
    <cellStyle name="Percent 87 2" xfId="2531"/>
    <cellStyle name="Percent 87 2 2" xfId="18295"/>
    <cellStyle name="Percent 87 2 2 2" xfId="19053"/>
    <cellStyle name="Percent 87 2 3" xfId="19052"/>
    <cellStyle name="Percent 87 3" xfId="4586"/>
    <cellStyle name="Percent 88" xfId="2532"/>
    <cellStyle name="Percent 88 2" xfId="2533"/>
    <cellStyle name="Percent 88 2 2" xfId="18296"/>
    <cellStyle name="Percent 88 2 2 2" xfId="19055"/>
    <cellStyle name="Percent 88 2 3" xfId="19054"/>
    <cellStyle name="Percent 88 3" xfId="4587"/>
    <cellStyle name="Percent 89" xfId="2534"/>
    <cellStyle name="Percent 89 2" xfId="2535"/>
    <cellStyle name="Percent 89 2 2" xfId="18297"/>
    <cellStyle name="Percent 89 2 2 2" xfId="19057"/>
    <cellStyle name="Percent 89 2 3" xfId="19056"/>
    <cellStyle name="Percent 89 3" xfId="4588"/>
    <cellStyle name="Percent 89 3 2" xfId="18014"/>
    <cellStyle name="Percent 89 4" xfId="5688"/>
    <cellStyle name="Percent 89 4 2" xfId="20422"/>
    <cellStyle name="Percent 9" xfId="694"/>
    <cellStyle name="Percent 9 2" xfId="695"/>
    <cellStyle name="Percent 9 2 2" xfId="1206"/>
    <cellStyle name="Percent 9 2 2 2" xfId="4590"/>
    <cellStyle name="Percent 9 2 2 3" xfId="4589"/>
    <cellStyle name="Percent 9 2 3" xfId="1152"/>
    <cellStyle name="Percent 9 2 3 2" xfId="23863"/>
    <cellStyle name="Percent 9 2 3 3" xfId="23286"/>
    <cellStyle name="Percent 9 2 4" xfId="19059"/>
    <cellStyle name="Percent 9 3" xfId="948"/>
    <cellStyle name="Percent 9 3 2" xfId="5465"/>
    <cellStyle name="Percent 9 4" xfId="949"/>
    <cellStyle name="Percent 9 4 2" xfId="4592"/>
    <cellStyle name="Percent 9 4 3" xfId="4591"/>
    <cellStyle name="Percent 9 5" xfId="1205"/>
    <cellStyle name="Percent 9 5 2" xfId="4594"/>
    <cellStyle name="Percent 9 5 2 2" xfId="23530"/>
    <cellStyle name="Percent 9 5 2 2 2" xfId="45864"/>
    <cellStyle name="Percent 9 5 3" xfId="4595"/>
    <cellStyle name="Percent 9 5 4" xfId="5179"/>
    <cellStyle name="Percent 9 5 4 2" xfId="7229"/>
    <cellStyle name="Percent 9 5 4 2 2" xfId="10560"/>
    <cellStyle name="Percent 9 5 4 2 2 2" xfId="17264"/>
    <cellStyle name="Percent 9 5 4 2 2 2 2" xfId="40685"/>
    <cellStyle name="Percent 9 5 4 2 2 3" xfId="34053"/>
    <cellStyle name="Percent 9 5 4 2 3" xfId="13948"/>
    <cellStyle name="Percent 9 5 4 2 3 2" xfId="37369"/>
    <cellStyle name="Percent 9 5 4 2 4" xfId="26071"/>
    <cellStyle name="Percent 9 5 4 2 4 2" xfId="48316"/>
    <cellStyle name="Percent 9 5 4 2 5" xfId="30737"/>
    <cellStyle name="Percent 9 5 4 3" xfId="8900"/>
    <cellStyle name="Percent 9 5 4 3 2" xfId="15606"/>
    <cellStyle name="Percent 9 5 4 3 2 2" xfId="39027"/>
    <cellStyle name="Percent 9 5 4 3 3" xfId="32395"/>
    <cellStyle name="Percent 9 5 4 4" xfId="12289"/>
    <cellStyle name="Percent 9 5 4 4 2" xfId="35711"/>
    <cellStyle name="Percent 9 5 4 5" xfId="23861"/>
    <cellStyle name="Percent 9 5 4 5 2" xfId="46124"/>
    <cellStyle name="Percent 9 5 4 6" xfId="29079"/>
    <cellStyle name="Percent 9 5 5" xfId="4593"/>
    <cellStyle name="Percent 9 5 6" xfId="23494"/>
    <cellStyle name="Percent 9 5 6 2" xfId="45833"/>
    <cellStyle name="Percent 9 6" xfId="1151"/>
    <cellStyle name="Percent 9 7" xfId="19058"/>
    <cellStyle name="Percent 90" xfId="2536"/>
    <cellStyle name="Percent 90 2" xfId="2537"/>
    <cellStyle name="Percent 90 2 2" xfId="18298"/>
    <cellStyle name="Percent 90 2 2 2" xfId="19061"/>
    <cellStyle name="Percent 90 2 3" xfId="19060"/>
    <cellStyle name="Percent 90 3" xfId="4596"/>
    <cellStyle name="Percent 90 3 2" xfId="20435"/>
    <cellStyle name="Percent 90 4" xfId="5689"/>
    <cellStyle name="Percent 90 4 2" xfId="20421"/>
    <cellStyle name="Percent 91" xfId="2538"/>
    <cellStyle name="Percent 91 2" xfId="2539"/>
    <cellStyle name="Percent 91 2 2" xfId="18299"/>
    <cellStyle name="Percent 91 2 2 2" xfId="19063"/>
    <cellStyle name="Percent 91 2 3" xfId="19062"/>
    <cellStyle name="Percent 91 3" xfId="4597"/>
    <cellStyle name="Percent 91 3 2" xfId="18015"/>
    <cellStyle name="Percent 91 4" xfId="5690"/>
    <cellStyle name="Percent 91 4 2" xfId="18927"/>
    <cellStyle name="Percent 92" xfId="2540"/>
    <cellStyle name="Percent 92 2" xfId="2541"/>
    <cellStyle name="Percent 92 2 2" xfId="18300"/>
    <cellStyle name="Percent 92 2 2 2" xfId="19065"/>
    <cellStyle name="Percent 92 2 3" xfId="19064"/>
    <cellStyle name="Percent 92 3" xfId="4598"/>
    <cellStyle name="Percent 92 3 2" xfId="20434"/>
    <cellStyle name="Percent 92 4" xfId="4599"/>
    <cellStyle name="Percent 92 5" xfId="5691"/>
    <cellStyle name="Percent 93" xfId="2542"/>
    <cellStyle name="Percent 93 2" xfId="2543"/>
    <cellStyle name="Percent 93 2 2" xfId="18301"/>
    <cellStyle name="Percent 93 2 2 2" xfId="19067"/>
    <cellStyle name="Percent 93 2 3" xfId="19066"/>
    <cellStyle name="Percent 93 3" xfId="4600"/>
    <cellStyle name="Percent 93 4" xfId="4601"/>
    <cellStyle name="Percent 94" xfId="2544"/>
    <cellStyle name="Percent 94 2" xfId="2545"/>
    <cellStyle name="Percent 94 2 2" xfId="18302"/>
    <cellStyle name="Percent 94 2 2 2" xfId="19069"/>
    <cellStyle name="Percent 94 2 3" xfId="19068"/>
    <cellStyle name="Percent 94 3" xfId="4602"/>
    <cellStyle name="Percent 94 4" xfId="4603"/>
    <cellStyle name="Percent 95" xfId="2546"/>
    <cellStyle name="Percent 95 2" xfId="1962"/>
    <cellStyle name="Percent 95 2 2" xfId="19070"/>
    <cellStyle name="Percent 95 3" xfId="4604"/>
    <cellStyle name="Percent 95 4" xfId="4605"/>
    <cellStyle name="Percent 96" xfId="2547"/>
    <cellStyle name="Percent 96 2" xfId="1961"/>
    <cellStyle name="Percent 96 2 2" xfId="19071"/>
    <cellStyle name="Percent 96 3" xfId="4606"/>
    <cellStyle name="Percent 97" xfId="2548"/>
    <cellStyle name="Percent 97 2" xfId="1960"/>
    <cellStyle name="Percent 97 2 2" xfId="19072"/>
    <cellStyle name="Percent 97 3" xfId="4607"/>
    <cellStyle name="Percent 98" xfId="2549"/>
    <cellStyle name="Percent 98 2" xfId="1959"/>
    <cellStyle name="Percent 98 2 2" xfId="19074"/>
    <cellStyle name="Percent 98 2 2 2" xfId="26593"/>
    <cellStyle name="Percent 98 2 2 2 2" xfId="48838"/>
    <cellStyle name="Percent 98 2 3" xfId="24390"/>
    <cellStyle name="Percent 98 2 3 2" xfId="46635"/>
    <cellStyle name="Percent 98 3" xfId="19073"/>
    <cellStyle name="Percent 99" xfId="2550"/>
    <cellStyle name="Percent 99 2" xfId="18303"/>
    <cellStyle name="Percent 99 2 2" xfId="19076"/>
    <cellStyle name="Percent 99 3" xfId="19075"/>
    <cellStyle name="Percent.0" xfId="1037"/>
    <cellStyle name="Percent.0 2" xfId="4608"/>
    <cellStyle name="Percent[1]" xfId="4609"/>
    <cellStyle name="Percent0" xfId="4610"/>
    <cellStyle name="Percent1" xfId="4611"/>
    <cellStyle name="Percent1 2" xfId="5059"/>
    <cellStyle name="Percent2" xfId="4612"/>
    <cellStyle name="Percent2 2" xfId="5060"/>
    <cellStyle name="percentage" xfId="4613"/>
    <cellStyle name="Percentage[1]" xfId="5061"/>
    <cellStyle name="PercentChange" xfId="5062"/>
    <cellStyle name="Percent-Input" xfId="4614"/>
    <cellStyle name="PercentPresentation" xfId="4615"/>
    <cellStyle name="POPS" xfId="4616"/>
    <cellStyle name="PresentationZero" xfId="4617"/>
    <cellStyle name="price" xfId="4618"/>
    <cellStyle name="ProgramVariable" xfId="5063"/>
    <cellStyle name="ProtectedDates" xfId="696"/>
    <cellStyle name="q_AA - BenefitsBonus " xfId="4619"/>
    <cellStyle name="Ratio" xfId="5064"/>
    <cellStyle name="Ratios" xfId="5065"/>
    <cellStyle name="RatioX" xfId="5066"/>
    <cellStyle name="RED" xfId="697"/>
    <cellStyle name="RED 2" xfId="698"/>
    <cellStyle name="RED 3" xfId="2416"/>
    <cellStyle name="Ref Numbers" xfId="1038"/>
    <cellStyle name="Ref Numbers 2" xfId="1723"/>
    <cellStyle name="Report" xfId="5067"/>
    <cellStyle name="Restruct" xfId="699"/>
    <cellStyle name="Restruct 2" xfId="700"/>
    <cellStyle name="Restruct 2 2" xfId="701"/>
    <cellStyle name="Restruct 2 2 2" xfId="2551"/>
    <cellStyle name="Restruct 2 3" xfId="2552"/>
    <cellStyle name="Restruct 3" xfId="702"/>
    <cellStyle name="Restruct 3 2" xfId="805"/>
    <cellStyle name="Restruct 3 2 2" xfId="2553"/>
    <cellStyle name="Restruct 3 3" xfId="2554"/>
    <cellStyle name="Restruct 4" xfId="835"/>
    <cellStyle name="Restruct 4 2" xfId="846"/>
    <cellStyle name="Restruct 4 2 2" xfId="851"/>
    <cellStyle name="Restruct 4 2 2 2" xfId="2556"/>
    <cellStyle name="Restruct 4 2 2 2 2" xfId="5697"/>
    <cellStyle name="Restruct 4 2 2 2 2 2" xfId="18332"/>
    <cellStyle name="Restruct 4 2 2 2 3" xfId="18304"/>
    <cellStyle name="Restruct 4 2 2 2 3 2" xfId="19367"/>
    <cellStyle name="Restruct 4 2 2 3" xfId="2555"/>
    <cellStyle name="Restruct 4 2 2 4" xfId="2614"/>
    <cellStyle name="Restruct 4 2 2 4 2" xfId="5708"/>
    <cellStyle name="Restruct 4 2 2 4 2 2" xfId="7492"/>
    <cellStyle name="Restruct 4 2 2 4 3" xfId="6592"/>
    <cellStyle name="Restruct 4 2 3" xfId="1054"/>
    <cellStyle name="Restruct 4 2 3 2" xfId="2557"/>
    <cellStyle name="Restruct 4 3" xfId="849"/>
    <cellStyle name="Restruct 4 3 2" xfId="2558"/>
    <cellStyle name="Restruct 5" xfId="1949"/>
    <cellStyle name="Restruct 5 2" xfId="5449"/>
    <cellStyle name="Restruct 5 2 2" xfId="18430"/>
    <cellStyle name="Restruct 5 3" xfId="18321"/>
    <cellStyle name="RevList" xfId="4620"/>
    <cellStyle name="Right" xfId="703"/>
    <cellStyle name="Role" xfId="5068"/>
    <cellStyle name="RRSInstruction" xfId="58"/>
    <cellStyle name="RRSInstruction 2" xfId="72"/>
    <cellStyle name="RRSInstruction 2 2" xfId="4621"/>
    <cellStyle name="RRSInstruction 3" xfId="4622"/>
    <cellStyle name="s_DCFLBO Code_Wireline Tel Forecast " xfId="59"/>
    <cellStyle name="s_DCFLBO Code_Wireline Tel Forecast  2" xfId="704"/>
    <cellStyle name="s_DCFLBO Code_Wireline Tel Forecast  2 2" xfId="705"/>
    <cellStyle name="s_HardInc " xfId="60"/>
    <cellStyle name="s_HardInc  2" xfId="706"/>
    <cellStyle name="s_HardInc  2 2" xfId="707"/>
    <cellStyle name="s_HardInc _Catalog" xfId="4623"/>
    <cellStyle name="s_HardInc _JapaneseCatalog" xfId="4624"/>
    <cellStyle name="s_HardInc _RRST1" xfId="708"/>
    <cellStyle name="s_HardInc _RRST1 2" xfId="709"/>
    <cellStyle name="s_HardInc _RRST12" xfId="1429"/>
    <cellStyle name="s_HardInc _RRST12 2" xfId="2417"/>
    <cellStyle name="s_HardInc _RRST15" xfId="2419"/>
    <cellStyle name="s_HardInc _RRST15 2" xfId="2435"/>
    <cellStyle name="s_HardInc _RRST19" xfId="1153"/>
    <cellStyle name="s_HardInc _RRST19 2" xfId="1154"/>
    <cellStyle name="s_HardInc _RRST20" xfId="710"/>
    <cellStyle name="s_HardInc _RRST20 2" xfId="711"/>
    <cellStyle name="s_HardInc _RRST25" xfId="4625"/>
    <cellStyle name="s_HardInc _RRST25 2" xfId="4626"/>
    <cellStyle name="s_HardInc _RRST3" xfId="1430"/>
    <cellStyle name="s_HardInc _RRST6" xfId="951"/>
    <cellStyle name="s_HardInc _RRST6 2" xfId="952"/>
    <cellStyle name="s_HardInc _RRST9" xfId="953"/>
    <cellStyle name="s_HardInc _RRST9 2" xfId="954"/>
    <cellStyle name="s_Valuation " xfId="61"/>
    <cellStyle name="s_Valuation  2" xfId="712"/>
    <cellStyle name="s_Valuation  2 2" xfId="713"/>
    <cellStyle name="s_Valuation _Catalog" xfId="4627"/>
    <cellStyle name="s_Valuation _JapaneseCatalog" xfId="4628"/>
    <cellStyle name="s_Valuation _RRST1" xfId="714"/>
    <cellStyle name="s_Valuation _RRST1 2" xfId="715"/>
    <cellStyle name="s_Valuation _RRST12" xfId="1431"/>
    <cellStyle name="s_Valuation _RRST12 2" xfId="2436"/>
    <cellStyle name="s_Valuation _RRST15" xfId="2437"/>
    <cellStyle name="s_Valuation _RRST15 2" xfId="2438"/>
    <cellStyle name="s_Valuation _RRST19" xfId="1155"/>
    <cellStyle name="s_Valuation _RRST19 2" xfId="1156"/>
    <cellStyle name="s_Valuation _RRST20" xfId="716"/>
    <cellStyle name="s_Valuation _RRST20 2" xfId="717"/>
    <cellStyle name="s_Valuation _RRST25" xfId="4629"/>
    <cellStyle name="s_Valuation _RRST25 2" xfId="4630"/>
    <cellStyle name="s_Valuation _RRST3" xfId="1432"/>
    <cellStyle name="s_Valuation _RRST6" xfId="955"/>
    <cellStyle name="s_Valuation _RRST6 2" xfId="956"/>
    <cellStyle name="s_Valuation _RRST9" xfId="957"/>
    <cellStyle name="s_Valuation _RRST9 2" xfId="958"/>
    <cellStyle name="ScripFactor" xfId="5069"/>
    <cellStyle name="SectionHeaderNormal" xfId="4631"/>
    <cellStyle name="SectionHeading" xfId="5070"/>
    <cellStyle name="Shade" xfId="5071"/>
    <cellStyle name="Shaded" xfId="4632"/>
    <cellStyle name="Shares" xfId="4633"/>
    <cellStyle name="Source Line" xfId="1039"/>
    <cellStyle name="Source Line 2" xfId="1724"/>
    <cellStyle name="SPEC" xfId="5072"/>
    <cellStyle name="ssp " xfId="62"/>
    <cellStyle name="Standard" xfId="5073"/>
    <cellStyle name="Style 1" xfId="63"/>
    <cellStyle name="Style 1 10" xfId="1002"/>
    <cellStyle name="Style 1 10 2" xfId="4634"/>
    <cellStyle name="Style 1 11" xfId="1435"/>
    <cellStyle name="Style 1 11 2" xfId="4636"/>
    <cellStyle name="Style 1 11 2 2" xfId="4637"/>
    <cellStyle name="Style 1 11 2 3" xfId="19078"/>
    <cellStyle name="Style 1 11 3" xfId="4638"/>
    <cellStyle name="Style 1 11 4" xfId="4639"/>
    <cellStyle name="Style 1 11 5" xfId="4635"/>
    <cellStyle name="Style 1 12" xfId="2559"/>
    <cellStyle name="Style 1 12 2" xfId="2560"/>
    <cellStyle name="Style 1 12 2 2" xfId="18326"/>
    <cellStyle name="Style 1 12 2 2 2" xfId="19081"/>
    <cellStyle name="Style 1 12 2 3" xfId="19080"/>
    <cellStyle name="Style 1 12 3" xfId="2561"/>
    <cellStyle name="Style 1 12 3 2" xfId="18327"/>
    <cellStyle name="Style 1 12 3 2 2" xfId="19083"/>
    <cellStyle name="Style 1 12 3 3" xfId="19082"/>
    <cellStyle name="Style 1 12 4" xfId="18328"/>
    <cellStyle name="Style 1 12 4 2" xfId="19084"/>
    <cellStyle name="Style 1 12 5" xfId="19079"/>
    <cellStyle name="Style 1 13" xfId="2562"/>
    <cellStyle name="Style 1 13 2" xfId="4642"/>
    <cellStyle name="Style 1 13 2 2" xfId="4643"/>
    <cellStyle name="Style 1 13 3" xfId="4644"/>
    <cellStyle name="Style 1 13 4" xfId="4645"/>
    <cellStyle name="Style 1 13 5" xfId="4641"/>
    <cellStyle name="Style 1 14" xfId="2563"/>
    <cellStyle name="Style 1 14 2" xfId="4646"/>
    <cellStyle name="Style 1 14 2 2" xfId="19087"/>
    <cellStyle name="Style 1 14 3" xfId="4647"/>
    <cellStyle name="Style 1 15" xfId="4648"/>
    <cellStyle name="Style 1 15 2" xfId="4649"/>
    <cellStyle name="Style 1 16" xfId="4650"/>
    <cellStyle name="Style 1 16 2" xfId="4651"/>
    <cellStyle name="Style 1 2" xfId="718"/>
    <cellStyle name="Style 1 2 2" xfId="719"/>
    <cellStyle name="Style 1 2 2 2" xfId="720"/>
    <cellStyle name="Style 1 2 2 2 2" xfId="1207"/>
    <cellStyle name="Style 1 2 2 2 2 2" xfId="4653"/>
    <cellStyle name="Style 1 2 2 2 2 3" xfId="4652"/>
    <cellStyle name="Style 1 2 2 2 3" xfId="4654"/>
    <cellStyle name="Style 1 2 2 3" xfId="960"/>
    <cellStyle name="Style 1 2 2 3 2" xfId="1158"/>
    <cellStyle name="Style 1 2 2 3 2 2" xfId="19089"/>
    <cellStyle name="Style 1 2 2 3 3" xfId="4655"/>
    <cellStyle name="Style 1 2 2 4" xfId="1727"/>
    <cellStyle name="Style 1 2 2 4 2" xfId="4657"/>
    <cellStyle name="Style 1 2 2 4 3" xfId="4656"/>
    <cellStyle name="Style 1 2 2 5" xfId="1726"/>
    <cellStyle name="Style 1 2 3" xfId="721"/>
    <cellStyle name="Style 1 2 3 2" xfId="961"/>
    <cellStyle name="Style 1 2 3 2 2" xfId="4659"/>
    <cellStyle name="Style 1 2 3 2 3" xfId="4658"/>
    <cellStyle name="Style 1 2 3 3" xfId="4660"/>
    <cellStyle name="Style 1 2 4" xfId="962"/>
    <cellStyle name="Style 1 2 4 2" xfId="4661"/>
    <cellStyle name="Style 1 2 5" xfId="959"/>
    <cellStyle name="Style 1 2 5 2" xfId="1157"/>
    <cellStyle name="Style 1 2 5 3" xfId="4663"/>
    <cellStyle name="Style 1 2 5 4" xfId="4662"/>
    <cellStyle name="Style 1 2 6" xfId="1728"/>
    <cellStyle name="Style 1 2 6 2" xfId="19090"/>
    <cellStyle name="Style 1 2 7" xfId="1725"/>
    <cellStyle name="Style 1 2 7 2" xfId="19091"/>
    <cellStyle name="Style 1 2 8" xfId="19088"/>
    <cellStyle name="Style 1 3" xfId="722"/>
    <cellStyle name="Style 1 3 2" xfId="723"/>
    <cellStyle name="Style 1 3 2 2" xfId="965"/>
    <cellStyle name="Style 1 3 2 2 2" xfId="966"/>
    <cellStyle name="Style 1 3 2 2 2 2" xfId="19095"/>
    <cellStyle name="Style 1 3 2 2 3" xfId="4664"/>
    <cellStyle name="Style 1 3 2 2 3 2" xfId="19094"/>
    <cellStyle name="Style 1 3 2 2 3 2 2" xfId="23864"/>
    <cellStyle name="Style 1 3 2 3" xfId="967"/>
    <cellStyle name="Style 1 3 2 3 2" xfId="19096"/>
    <cellStyle name="Style 1 3 2 4" xfId="968"/>
    <cellStyle name="Style 1 3 2 4 2" xfId="19097"/>
    <cellStyle name="Style 1 3 2 5" xfId="969"/>
    <cellStyle name="Style 1 3 2 5 2" xfId="19098"/>
    <cellStyle name="Style 1 3 2 6" xfId="964"/>
    <cellStyle name="Style 1 3 2 6 2" xfId="19099"/>
    <cellStyle name="Style 1 3 2 7" xfId="19093"/>
    <cellStyle name="Style 1 3 3" xfId="970"/>
    <cellStyle name="Style 1 3 3 2" xfId="971"/>
    <cellStyle name="Style 1 3 3 2 2" xfId="4665"/>
    <cellStyle name="Style 1 3 3 2 2 2" xfId="19101"/>
    <cellStyle name="Style 1 3 3 3" xfId="4666"/>
    <cellStyle name="Style 1 3 3 3 2" xfId="19100"/>
    <cellStyle name="Style 1 3 3 3 2 2" xfId="23865"/>
    <cellStyle name="Style 1 3 4" xfId="972"/>
    <cellStyle name="Style 1 3 4 2" xfId="4667"/>
    <cellStyle name="Style 1 3 4 2 2" xfId="19102"/>
    <cellStyle name="Style 1 3 5" xfId="973"/>
    <cellStyle name="Style 1 3 5 2" xfId="19103"/>
    <cellStyle name="Style 1 3 6" xfId="974"/>
    <cellStyle name="Style 1 3 6 2" xfId="19104"/>
    <cellStyle name="Style 1 3 7" xfId="963"/>
    <cellStyle name="Style 1 3 7 2" xfId="19105"/>
    <cellStyle name="Style 1 3 8" xfId="4668"/>
    <cellStyle name="Style 1 3 8 2" xfId="19092"/>
    <cellStyle name="Style 1 4" xfId="724"/>
    <cellStyle name="Style 1 4 2" xfId="725"/>
    <cellStyle name="Style 1 4 2 2" xfId="726"/>
    <cellStyle name="Style 1 4 2 2 2" xfId="977"/>
    <cellStyle name="Style 1 4 2 2 2 2" xfId="4669"/>
    <cellStyle name="Style 1 4 2 2 2 2 2" xfId="19109"/>
    <cellStyle name="Style 1 4 2 2 2 2 2 2" xfId="23866"/>
    <cellStyle name="Style 1 4 2 2 3" xfId="19108"/>
    <cellStyle name="Style 1 4 2 3" xfId="978"/>
    <cellStyle name="Style 1 4 2 3 2" xfId="4670"/>
    <cellStyle name="Style 1 4 2 3 2 2" xfId="19110"/>
    <cellStyle name="Style 1 4 2 3 3" xfId="4671"/>
    <cellStyle name="Style 1 4 2 4" xfId="979"/>
    <cellStyle name="Style 1 4 2 4 2" xfId="19111"/>
    <cellStyle name="Style 1 4 2 5" xfId="976"/>
    <cellStyle name="Style 1 4 2 5 2" xfId="19112"/>
    <cellStyle name="Style 1 4 2 6" xfId="19107"/>
    <cellStyle name="Style 1 4 3" xfId="727"/>
    <cellStyle name="Style 1 4 3 2" xfId="728"/>
    <cellStyle name="Style 1 4 3 2 2" xfId="4673"/>
    <cellStyle name="Style 1 4 3 2 2 2" xfId="23867"/>
    <cellStyle name="Style 1 4 3 2 2 3" xfId="23318"/>
    <cellStyle name="Style 1 4 3 2 3" xfId="4674"/>
    <cellStyle name="Style 1 4 3 2 4" xfId="4672"/>
    <cellStyle name="Style 1 4 3 3" xfId="980"/>
    <cellStyle name="Style 1 4 3 3 2" xfId="4676"/>
    <cellStyle name="Style 1 4 3 3 3" xfId="4675"/>
    <cellStyle name="Style 1 4 3 4" xfId="19113"/>
    <cellStyle name="Style 1 4 4" xfId="729"/>
    <cellStyle name="Style 1 4 4 2" xfId="981"/>
    <cellStyle name="Style 1 4 4 2 2" xfId="4678"/>
    <cellStyle name="Style 1 4 4 2 3" xfId="4677"/>
    <cellStyle name="Style 1 4 4 3" xfId="4679"/>
    <cellStyle name="Style 1 4 5" xfId="982"/>
    <cellStyle name="Style 1 4 5 2" xfId="4680"/>
    <cellStyle name="Style 1 4 6" xfId="975"/>
    <cellStyle name="Style 1 4 6 2" xfId="4682"/>
    <cellStyle name="Style 1 4 6 2 2" xfId="19114"/>
    <cellStyle name="Style 1 4 6 3" xfId="4683"/>
    <cellStyle name="Style 1 4 6 4" xfId="4681"/>
    <cellStyle name="Style 1 4 7" xfId="4684"/>
    <cellStyle name="Style 1 4 7 2" xfId="19106"/>
    <cellStyle name="Style 1 5" xfId="730"/>
    <cellStyle name="Style 1 5 2" xfId="731"/>
    <cellStyle name="Style 1 5 2 2" xfId="732"/>
    <cellStyle name="Style 1 5 2 2 2" xfId="985"/>
    <cellStyle name="Style 1 5 2 2 2 2" xfId="4685"/>
    <cellStyle name="Style 1 5 2 2 2 2 2" xfId="19118"/>
    <cellStyle name="Style 1 5 2 2 2 2 2 2" xfId="23868"/>
    <cellStyle name="Style 1 5 2 2 3" xfId="19117"/>
    <cellStyle name="Style 1 5 2 3" xfId="984"/>
    <cellStyle name="Style 1 5 2 3 2" xfId="4686"/>
    <cellStyle name="Style 1 5 2 3 2 2" xfId="19119"/>
    <cellStyle name="Style 1 5 2 3 3" xfId="4687"/>
    <cellStyle name="Style 1 5 2 4" xfId="4688"/>
    <cellStyle name="Style 1 5 2 4 2" xfId="19116"/>
    <cellStyle name="Style 1 5 3" xfId="733"/>
    <cellStyle name="Style 1 5 3 2" xfId="4689"/>
    <cellStyle name="Style 1 5 4" xfId="986"/>
    <cellStyle name="Style 1 5 4 2" xfId="4690"/>
    <cellStyle name="Style 1 5 4 2 2" xfId="19121"/>
    <cellStyle name="Style 1 5 4 3" xfId="4691"/>
    <cellStyle name="Style 1 5 5" xfId="987"/>
    <cellStyle name="Style 1 5 5 2" xfId="4692"/>
    <cellStyle name="Style 1 5 6" xfId="983"/>
    <cellStyle name="Style 1 5 6 2" xfId="4694"/>
    <cellStyle name="Style 1 5 6 3" xfId="4693"/>
    <cellStyle name="Style 1 5 7" xfId="19115"/>
    <cellStyle name="Style 1 6" xfId="734"/>
    <cellStyle name="Style 1 6 2" xfId="735"/>
    <cellStyle name="Style 1 6 2 2" xfId="989"/>
    <cellStyle name="Style 1 6 2 2 2" xfId="1438"/>
    <cellStyle name="Style 1 6 2 2 2 2" xfId="19124"/>
    <cellStyle name="Style 1 6 2 2 3" xfId="4695"/>
    <cellStyle name="Style 1 6 2 3" xfId="1160"/>
    <cellStyle name="Style 1 6 2 3 2" xfId="1439"/>
    <cellStyle name="Style 1 6 2 3 2 2" xfId="19125"/>
    <cellStyle name="Style 1 6 2 3 3" xfId="4696"/>
    <cellStyle name="Style 1 6 2 4" xfId="5203"/>
    <cellStyle name="Style 1 6 2 4 2" xfId="19123"/>
    <cellStyle name="Style 1 6 3" xfId="988"/>
    <cellStyle name="Style 1 6 3 2" xfId="1440"/>
    <cellStyle name="Style 1 6 3 2 2" xfId="19126"/>
    <cellStyle name="Style 1 6 3 3" xfId="4697"/>
    <cellStyle name="Style 1 6 4" xfId="1159"/>
    <cellStyle name="Style 1 6 4 2" xfId="1441"/>
    <cellStyle name="Style 1 6 4 2 2" xfId="19127"/>
    <cellStyle name="Style 1 6 4 3" xfId="4698"/>
    <cellStyle name="Style 1 6 5" xfId="5381"/>
    <cellStyle name="Style 1 6 5 2" xfId="19122"/>
    <cellStyle name="Style 1 7" xfId="736"/>
    <cellStyle name="Style 1 7 2" xfId="806"/>
    <cellStyle name="Style 1 7 2 2" xfId="5983"/>
    <cellStyle name="Style 1 7 3" xfId="990"/>
    <cellStyle name="Style 1 7 3 2" xfId="1442"/>
    <cellStyle name="Style 1 7 3 2 2" xfId="19129"/>
    <cellStyle name="Style 1 7 3 3" xfId="4699"/>
    <cellStyle name="Style 1 7 4" xfId="1161"/>
    <cellStyle name="Style 1 7 4 2" xfId="1443"/>
    <cellStyle name="Style 1 7 4 2 2" xfId="19130"/>
    <cellStyle name="Style 1 7 4 3" xfId="4700"/>
    <cellStyle name="Style 1 7 5" xfId="5976"/>
    <cellStyle name="Style 1 7 5 2" xfId="19128"/>
    <cellStyle name="Style 1 8" xfId="778"/>
    <cellStyle name="Style 1 8 2" xfId="1208"/>
    <cellStyle name="Style 1 8 2 2" xfId="4701"/>
    <cellStyle name="Style 1 8 2 2 2" xfId="5248"/>
    <cellStyle name="Style 1 8 2 2 3" xfId="5322"/>
    <cellStyle name="Style 1 8 2 2 3 2" xfId="23869"/>
    <cellStyle name="Style 1 8 2 3" xfId="5229"/>
    <cellStyle name="Style 1 8 3" xfId="1162"/>
    <cellStyle name="Style 1 8 3 2" xfId="4703"/>
    <cellStyle name="Style 1 8 3 2 2" xfId="19131"/>
    <cellStyle name="Style 1 8 3 3" xfId="4704"/>
    <cellStyle name="Style 1 8 3 4" xfId="4702"/>
    <cellStyle name="Style 1 8 4" xfId="4705"/>
    <cellStyle name="Style 1 8 4 2" xfId="6016"/>
    <cellStyle name="Style 1 8 4 2 2" xfId="23870"/>
    <cellStyle name="Style 1 9" xfId="991"/>
    <cellStyle name="Style 1 9 2" xfId="1444"/>
    <cellStyle name="Style 1 9 2 2" xfId="4707"/>
    <cellStyle name="Style 1 9 2 3" xfId="4708"/>
    <cellStyle name="Style 1 9 2 3 2" xfId="23871"/>
    <cellStyle name="Style 1 9 2 3 3" xfId="23320"/>
    <cellStyle name="Style 1 9 2 4" xfId="4706"/>
    <cellStyle name="Style 1 9 3" xfId="4709"/>
    <cellStyle name="Style 1 9 3 2" xfId="19132"/>
    <cellStyle name="Style 1 9 4" xfId="4710"/>
    <cellStyle name="Style 1 9 4 2" xfId="23872"/>
    <cellStyle name="Style 1 9 4 3" xfId="23319"/>
    <cellStyle name="Style 1_Exhibits" xfId="1040"/>
    <cellStyle name="Style 2" xfId="737"/>
    <cellStyle name="Style 2 10" xfId="20420"/>
    <cellStyle name="Style 2 10 2" xfId="50283"/>
    <cellStyle name="Style 2 11" xfId="50284"/>
    <cellStyle name="Style 2 11 2" xfId="50285"/>
    <cellStyle name="Style 2 2" xfId="738"/>
    <cellStyle name="Style 2 2 2" xfId="739"/>
    <cellStyle name="Style 2 2 2 2" xfId="4711"/>
    <cellStyle name="Style 2 2 3" xfId="4712"/>
    <cellStyle name="Style 2 3" xfId="740"/>
    <cellStyle name="Style 2 3 2" xfId="992"/>
    <cellStyle name="Style 2 3 2 2" xfId="4713"/>
    <cellStyle name="Style 2 3 2 2 2" xfId="6023"/>
    <cellStyle name="Style 2 3 2 2 2 2" xfId="23873"/>
    <cellStyle name="Style 2 3 3" xfId="2456"/>
    <cellStyle name="Style 2 3 3 2" xfId="5247"/>
    <cellStyle name="Style 2 3 3 2 2" xfId="18322"/>
    <cellStyle name="Style 2 3 4" xfId="18955"/>
    <cellStyle name="Style 2 4" xfId="1163"/>
    <cellStyle name="Style 2 4 2" xfId="2458"/>
    <cellStyle name="Style 2 4 2 2" xfId="4714"/>
    <cellStyle name="Style 2 4 2 2 2" xfId="5450"/>
    <cellStyle name="Style 2 4 2 2 2 2" xfId="23874"/>
    <cellStyle name="Style 2 4 2 3" xfId="22009"/>
    <cellStyle name="Style 2 4 3" xfId="2457"/>
    <cellStyle name="Style 2 4 3 2" xfId="5670"/>
    <cellStyle name="Style 2 4 3 2 2" xfId="23875"/>
    <cellStyle name="Style 2 4 3 3" xfId="4715"/>
    <cellStyle name="Style 2 4 4" xfId="17822"/>
    <cellStyle name="Style 2 5" xfId="1729"/>
    <cellStyle name="Style 2 5 2" xfId="2460"/>
    <cellStyle name="Style 2 5 2 2" xfId="5209"/>
    <cellStyle name="Style 2 5 2 3" xfId="19133"/>
    <cellStyle name="Style 2 5 3" xfId="2459"/>
    <cellStyle name="Style 2 5 3 2" xfId="5671"/>
    <cellStyle name="Style 2 5 3 2 2" xfId="23876"/>
    <cellStyle name="Style 2 5 3 3" xfId="4716"/>
    <cellStyle name="Style 2 5 4" xfId="20419"/>
    <cellStyle name="Style 2 6" xfId="2461"/>
    <cellStyle name="Style 2 6 2" xfId="2462"/>
    <cellStyle name="Style 2 6 2 2" xfId="18407"/>
    <cellStyle name="Style 2 6 3" xfId="18408"/>
    <cellStyle name="Style 2 7" xfId="2463"/>
    <cellStyle name="Style 2 7 2" xfId="2464"/>
    <cellStyle name="Style 2 7 2 2" xfId="17882"/>
    <cellStyle name="Style 2 7 3" xfId="5233"/>
    <cellStyle name="Style 2 7 3 2" xfId="18323"/>
    <cellStyle name="Style 2 8" xfId="2465"/>
    <cellStyle name="Style 2 8 2" xfId="17881"/>
    <cellStyle name="Style 2 9" xfId="2466"/>
    <cellStyle name="Style 2 9 2" xfId="19077"/>
    <cellStyle name="Style 21" xfId="1730"/>
    <cellStyle name="Style 22" xfId="1731"/>
    <cellStyle name="Style 23" xfId="1732"/>
    <cellStyle name="Style 24" xfId="1733"/>
    <cellStyle name="Style 24 2" xfId="4718"/>
    <cellStyle name="Style 24 3" xfId="4717"/>
    <cellStyle name="Style 25" xfId="1734"/>
    <cellStyle name="Style 26" xfId="1735"/>
    <cellStyle name="Style 26 2" xfId="4720"/>
    <cellStyle name="Style 26 3" xfId="4719"/>
    <cellStyle name="Style 27" xfId="1256"/>
    <cellStyle name="Style 3" xfId="741"/>
    <cellStyle name="Style 3 2" xfId="1164"/>
    <cellStyle name="Style 3 2 2" xfId="4721"/>
    <cellStyle name="Style 3 2 2 2" xfId="5182"/>
    <cellStyle name="Style 3 3" xfId="2467"/>
    <cellStyle name="Style 32" xfId="4722"/>
    <cellStyle name="Style 4" xfId="742"/>
    <cellStyle name="Style 4 2" xfId="1165"/>
    <cellStyle name="Style 4 2 2" xfId="4723"/>
    <cellStyle name="Style 4 2 2 2" xfId="5183"/>
    <cellStyle name="Style 4 3" xfId="2468"/>
    <cellStyle name="Style 5" xfId="743"/>
    <cellStyle name="Style 5 10" xfId="50286"/>
    <cellStyle name="Style 5 10 2" xfId="50287"/>
    <cellStyle name="Style 5 2" xfId="744"/>
    <cellStyle name="Style 5 2 2" xfId="745"/>
    <cellStyle name="Style 5 2 2 2" xfId="746"/>
    <cellStyle name="Style 5 2 2 2 2" xfId="4724"/>
    <cellStyle name="Style 5 2 2 3" xfId="4725"/>
    <cellStyle name="Style 5 2 3" xfId="747"/>
    <cellStyle name="Style 5 2 3 2" xfId="4727"/>
    <cellStyle name="Style 5 2 3 3" xfId="4728"/>
    <cellStyle name="Style 5 2 3 4" xfId="4726"/>
    <cellStyle name="Style 5 2 4" xfId="4729"/>
    <cellStyle name="Style 5 3" xfId="748"/>
    <cellStyle name="Style 5 3 2" xfId="749"/>
    <cellStyle name="Style 5 3 2 2" xfId="4730"/>
    <cellStyle name="Style 5 3 3" xfId="4731"/>
    <cellStyle name="Style 5 4" xfId="750"/>
    <cellStyle name="Style 5 4 2" xfId="2469"/>
    <cellStyle name="Style 5 4 2 2" xfId="6025"/>
    <cellStyle name="Style 5 4 3" xfId="6024"/>
    <cellStyle name="Style 5 5" xfId="751"/>
    <cellStyle name="Style 5 5 2" xfId="807"/>
    <cellStyle name="Style 5 5 2 2" xfId="5246"/>
    <cellStyle name="Style 5 5 3" xfId="6028"/>
    <cellStyle name="Style 5 6" xfId="2470"/>
    <cellStyle name="Style 5 6 2" xfId="2471"/>
    <cellStyle name="Style 5 6 2 2" xfId="18325"/>
    <cellStyle name="Style 5 6 3" xfId="18324"/>
    <cellStyle name="Style 5 7" xfId="2472"/>
    <cellStyle name="Style 5 7 2" xfId="2473"/>
    <cellStyle name="Style 5 7 2 2" xfId="17883"/>
    <cellStyle name="Style 5 7 3" xfId="17884"/>
    <cellStyle name="Style 5 8" xfId="2474"/>
    <cellStyle name="Style 5 8 2" xfId="4732"/>
    <cellStyle name="Style 5 9" xfId="18191"/>
    <cellStyle name="Style 5 9 2" xfId="50288"/>
    <cellStyle name="Style 6" xfId="4733"/>
    <cellStyle name="Style 7" xfId="4734"/>
    <cellStyle name="Style 8" xfId="4735"/>
    <cellStyle name="STYLE1" xfId="4736"/>
    <cellStyle name="STYLE2" xfId="4737"/>
    <cellStyle name="styleColumnTitles" xfId="4738"/>
    <cellStyle name="styleSeriesAttributes" xfId="4739"/>
    <cellStyle name="styleSeriesData" xfId="4740"/>
    <cellStyle name="styleSeriesDataForecast" xfId="4741"/>
    <cellStyle name="SubDollar" xfId="4742"/>
    <cellStyle name="SubGrowthRate" xfId="4743"/>
    <cellStyle name="Subhead" xfId="4744"/>
    <cellStyle name="Subscribers" xfId="4745"/>
    <cellStyle name="SubScript" xfId="4746"/>
    <cellStyle name="Subtotal" xfId="4747"/>
    <cellStyle name="SubVariable" xfId="4748"/>
    <cellStyle name="SuperScript" xfId="4749"/>
    <cellStyle name="Synopsis" xfId="5074"/>
    <cellStyle name="Synopsis 2" xfId="5140"/>
    <cellStyle name="Table Heading" xfId="1041"/>
    <cellStyle name="Table Title" xfId="4750"/>
    <cellStyle name="Table Units" xfId="4751"/>
    <cellStyle name="Table Units 2" xfId="4752"/>
    <cellStyle name="Table Units 3" xfId="5170"/>
    <cellStyle name="TableName" xfId="4753"/>
    <cellStyle name="TableName 2" xfId="5075"/>
    <cellStyle name="Text Wrap" xfId="4754"/>
    <cellStyle name="textbold" xfId="752"/>
    <cellStyle name="textbold 2" xfId="753"/>
    <cellStyle name="textbold 3" xfId="754"/>
    <cellStyle name="TextBold 4" xfId="4755"/>
    <cellStyle name="TextBold 5" xfId="4756"/>
    <cellStyle name="TextBold 6" xfId="6118"/>
    <cellStyle name="Text-fin statements" xfId="5076"/>
    <cellStyle name="TextItalic" xfId="4757"/>
    <cellStyle name="TextNormal" xfId="4758"/>
    <cellStyle name="Title" xfId="64" builtinId="15" customBuiltin="1"/>
    <cellStyle name="Title 2" xfId="755"/>
    <cellStyle name="Title 3" xfId="1166"/>
    <cellStyle name="Title 3 2" xfId="4761"/>
    <cellStyle name="Title 3 3" xfId="4762"/>
    <cellStyle name="Title 3 4" xfId="4760"/>
    <cellStyle name="Title 3 5" xfId="23321"/>
    <cellStyle name="Title 4" xfId="4759"/>
    <cellStyle name="Title 5" xfId="6072"/>
    <cellStyle name="Title Line" xfId="1042"/>
    <cellStyle name="title1" xfId="756"/>
    <cellStyle name="title2" xfId="757"/>
    <cellStyle name="TitleBar" xfId="5077"/>
    <cellStyle name="TitleII" xfId="4763"/>
    <cellStyle name="TitleNormal" xfId="4764"/>
    <cellStyle name="Titles" xfId="758"/>
    <cellStyle name="Titles 2" xfId="5078"/>
    <cellStyle name="Titre colonne" xfId="23322"/>
    <cellStyle name="Titre colonnes" xfId="23323"/>
    <cellStyle name="Titre general" xfId="23324"/>
    <cellStyle name="Titre général" xfId="23325"/>
    <cellStyle name="Titre ligne" xfId="23326"/>
    <cellStyle name="Titre lignes" xfId="23327"/>
    <cellStyle name="Titre tableau" xfId="23328"/>
    <cellStyle name="top" xfId="4765"/>
    <cellStyle name="Top Line" xfId="759"/>
    <cellStyle name="Top Row" xfId="1043"/>
    <cellStyle name="Top Row 10" xfId="1737"/>
    <cellStyle name="Top Row 11" xfId="1736"/>
    <cellStyle name="Top Row 2" xfId="1044"/>
    <cellStyle name="Top Row 3" xfId="1738"/>
    <cellStyle name="Top Row 4" xfId="1739"/>
    <cellStyle name="Top Row 5" xfId="1740"/>
    <cellStyle name="Top Row 6" xfId="1741"/>
    <cellStyle name="Top Row 7" xfId="1742"/>
    <cellStyle name="Top Row 8" xfId="1743"/>
    <cellStyle name="Top Row 9" xfId="1744"/>
    <cellStyle name="Top Row_10794" xfId="1745"/>
    <cellStyle name="top-title" xfId="4766"/>
    <cellStyle name="Total" xfId="65" builtinId="25" customBuiltin="1"/>
    <cellStyle name="Total 10" xfId="4768"/>
    <cellStyle name="Total 11" xfId="4767"/>
    <cellStyle name="Total 12" xfId="6084"/>
    <cellStyle name="Total 2" xfId="760"/>
    <cellStyle name="Total 2 2" xfId="4770"/>
    <cellStyle name="Total 2 2 2" xfId="4771"/>
    <cellStyle name="Total 2 3" xfId="5186"/>
    <cellStyle name="Total 2 4" xfId="4769"/>
    <cellStyle name="Total 3" xfId="1167"/>
    <cellStyle name="Total 3 2" xfId="4773"/>
    <cellStyle name="Total 3 3" xfId="4772"/>
    <cellStyle name="Total 3 4" xfId="23329"/>
    <cellStyle name="Total 4" xfId="4774"/>
    <cellStyle name="Total 5" xfId="4775"/>
    <cellStyle name="Total 6" xfId="4776"/>
    <cellStyle name="Total 7" xfId="4777"/>
    <cellStyle name="Total 8" xfId="4778"/>
    <cellStyle name="Total 9" xfId="4779"/>
    <cellStyle name="Total intermediaire" xfId="23330"/>
    <cellStyle name="Total intermediaire 0" xfId="23331"/>
    <cellStyle name="Total intermediaire 1" xfId="23268"/>
    <cellStyle name="Total intermediaire_Sheet1" xfId="23269"/>
    <cellStyle name="Total Row" xfId="1045"/>
    <cellStyle name="Total tableau" xfId="23293"/>
    <cellStyle name="Totals" xfId="761"/>
    <cellStyle name="Totals 2" xfId="2485"/>
    <cellStyle name="Totals 3" xfId="2492"/>
    <cellStyle name="TRHyperlink" xfId="23332"/>
    <cellStyle name="underline 1 decimal" xfId="762"/>
    <cellStyle name="UnderlineNormal" xfId="4780"/>
    <cellStyle name="UnderlineNormal 2" xfId="5079"/>
    <cellStyle name="Unprot" xfId="4781"/>
    <cellStyle name="Unprot$" xfId="4782"/>
    <cellStyle name="Unprotect" xfId="4783"/>
    <cellStyle name="Unprotected" xfId="4784"/>
    <cellStyle name="UnProtectedCalc" xfId="763"/>
    <cellStyle name="UnProtectedCalc 2" xfId="4785"/>
    <cellStyle name="UnProtectedCalc 3" xfId="5180"/>
    <cellStyle name="Upload Only" xfId="764"/>
    <cellStyle name="Upload Only 2" xfId="4786"/>
    <cellStyle name="Use_1dp" xfId="5080"/>
    <cellStyle name="UseB_1dp" xfId="5081"/>
    <cellStyle name="Währung_ACEA" xfId="23270"/>
    <cellStyle name="Warning Text" xfId="66" builtinId="11" customBuiltin="1"/>
    <cellStyle name="Warning Text 2" xfId="765"/>
    <cellStyle name="Warning Text 3" xfId="1168"/>
    <cellStyle name="Warning Text 3 2" xfId="4789"/>
    <cellStyle name="Warning Text 3 3" xfId="4788"/>
    <cellStyle name="Warning Text 4" xfId="4787"/>
    <cellStyle name="Warning Text 5" xfId="2881"/>
    <cellStyle name="WholeNumber" xfId="4790"/>
    <cellStyle name="Year" xfId="766"/>
    <cellStyle name="Year 10" xfId="50289"/>
    <cellStyle name="Year 10 2" xfId="50290"/>
    <cellStyle name="Year 2" xfId="767"/>
    <cellStyle name="Year 2 2" xfId="768"/>
    <cellStyle name="Year 2 2 2" xfId="769"/>
    <cellStyle name="Year 2 2 2 2" xfId="4791"/>
    <cellStyle name="Year 2 2 3" xfId="4792"/>
    <cellStyle name="Year 2 3" xfId="770"/>
    <cellStyle name="Year 2 3 2" xfId="4793"/>
    <cellStyle name="Year 2 4" xfId="4794"/>
    <cellStyle name="Year 3" xfId="771"/>
    <cellStyle name="Year 3 2" xfId="772"/>
    <cellStyle name="Year 3 2 2" xfId="4795"/>
    <cellStyle name="Year 3 3" xfId="4796"/>
    <cellStyle name="Year 4" xfId="773"/>
    <cellStyle name="Year 4 2" xfId="2493"/>
    <cellStyle name="Year 4 2 2" xfId="5451"/>
    <cellStyle name="Year 4 3" xfId="5265"/>
    <cellStyle name="Year 5" xfId="774"/>
    <cellStyle name="Year 5 2" xfId="810"/>
    <cellStyle name="Year 5 2 2" xfId="5977"/>
    <cellStyle name="Year 5 3" xfId="6018"/>
    <cellStyle name="Year 6" xfId="2494"/>
    <cellStyle name="Year 6 2" xfId="2495"/>
    <cellStyle name="Year 6 2 2" xfId="18329"/>
    <cellStyle name="Year 6 3" xfId="18409"/>
    <cellStyle name="Year 7" xfId="2496"/>
    <cellStyle name="Year 7 2" xfId="2497"/>
    <cellStyle name="Year 7 2 2" xfId="18406"/>
    <cellStyle name="Year 7 3" xfId="18330"/>
    <cellStyle name="Year 8" xfId="2498"/>
    <cellStyle name="Year 8 2" xfId="4797"/>
    <cellStyle name="Year 9" xfId="18192"/>
    <cellStyle name="Year 9 2" xfId="50291"/>
    <cellStyle name="Year_FT Valuation " xfId="5082"/>
    <cellStyle name="Years" xfId="4798"/>
    <cellStyle name="パーセント_QTBLNEW" xfId="1046"/>
    <cellStyle name="뷭?_BOOKSHIP_실적현황 " xfId="4799"/>
    <cellStyle name="쉼표_매출총괄(02)" xfId="4800"/>
    <cellStyle name="쬞\?1@" xfId="1434"/>
    <cellStyle name="쬞\?1@ 2" xfId="19140"/>
    <cellStyle name="콤마 [0]_   " xfId="4801"/>
    <cellStyle name="콤마_   " xfId="4802"/>
    <cellStyle name="통화 [0]_AP02MSEst" xfId="1047"/>
    <cellStyle name="통화_AP02MSEst" xfId="1048"/>
    <cellStyle name="표준_0N-HANDLING " xfId="1433"/>
    <cellStyle name="하이퍼링크_000727 IMT-2000 시설투자물량(4210) 4FA고려 필요 " xfId="4806"/>
    <cellStyle name="一般_Book2" xfId="5083"/>
    <cellStyle name="千分位[0]_Book2" xfId="5084"/>
    <cellStyle name="千分位_Book2" xfId="5085"/>
    <cellStyle name="未定義" xfId="4807"/>
    <cellStyle name="桁区切り [0.00]_new dif survey sheet" xfId="1049"/>
    <cellStyle name="桁区切り 2" xfId="11121"/>
    <cellStyle name="桁区切り 2 2" xfId="11122"/>
    <cellStyle name="桁区切り 3" xfId="11126"/>
    <cellStyle name="桁区切り 4" xfId="11128"/>
    <cellStyle name="桁区切り 5" xfId="11131"/>
    <cellStyle name="桁区切り 5 2" xfId="11135"/>
    <cellStyle name="桁区切り 6" xfId="11137"/>
    <cellStyle name="桁区切り 7" xfId="11140"/>
    <cellStyle name="標準 10" xfId="11141"/>
    <cellStyle name="標準 2" xfId="11124"/>
    <cellStyle name="標準 2 2" xfId="11133"/>
    <cellStyle name="標準 3" xfId="11125"/>
    <cellStyle name="標準 3 2" xfId="11132"/>
    <cellStyle name="標準 4" xfId="11123"/>
    <cellStyle name="標準 5" xfId="11127"/>
    <cellStyle name="標準 6" xfId="11129"/>
    <cellStyle name="標準 7" xfId="11130"/>
    <cellStyle name="標準 7 2" xfId="11134"/>
    <cellStyle name="標準 8" xfId="11136"/>
    <cellStyle name="標準 9" xfId="11139"/>
    <cellStyle name="標準_5401a" xfId="4809"/>
    <cellStyle name="百分比_Comp1-QSI,Liteon" xfId="5086"/>
    <cellStyle name="貨幣 [0]_Book2" xfId="5087"/>
    <cellStyle name="貨幣_Book2" xfId="5088"/>
    <cellStyle name="超連結_Comp-Global" xfId="5089"/>
  </cellStyles>
  <dxfs count="292"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  <dxf>
      <font>
        <b/>
        <i val="0"/>
        <condense val="0"/>
        <extend val="0"/>
      </font>
      <fill>
        <patternFill>
          <bgColor indexed="44"/>
        </patternFill>
      </fill>
    </dxf>
    <dxf>
      <font>
        <b/>
        <i val="0"/>
        <condense val="0"/>
        <extend val="0"/>
      </font>
      <fill>
        <patternFill>
          <bgColor indexed="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externalLinks/externalLink3.xml" Type="http://schemas.openxmlformats.org/officeDocument/2006/relationships/externalLink"/>
<Relationship Id="rId13" Target="theme/theme1.xml" Type="http://schemas.openxmlformats.org/officeDocument/2006/relationships/theme"/>
<Relationship Id="rId14" Target="styles.xml" Type="http://schemas.openxmlformats.org/officeDocument/2006/relationships/styles"/>
<Relationship Id="rId15" Target="sharedStrings.xml" Type="http://schemas.openxmlformats.org/officeDocument/2006/relationships/sharedStrings"/>
<Relationship Id="rId16" Target="calcChain.xml" Type="http://schemas.openxmlformats.org/officeDocument/2006/relationships/calcChain"/>
<Relationship Id="rId17" Target="../customXml/item1.xml" Type="http://schemas.openxmlformats.org/officeDocument/2006/relationships/customXml"/>
<Relationship Id="rId18" Target="../customXml/item2.xml" Type="http://schemas.openxmlformats.org/officeDocument/2006/relationships/customXml"/>
<Relationship Id="rId19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175</xdr:row>
      <xdr:rowOff>0</xdr:rowOff>
    </xdr:from>
    <xdr:to>
      <xdr:col>7</xdr:col>
      <xdr:colOff>390525</xdr:colOff>
      <xdr:row>198</xdr:row>
      <xdr:rowOff>104775</xdr:rowOff>
    </xdr:to>
    <xdr:pic>
      <xdr:nvPicPr>
        <xdr:cNvPr id="9619457" name="Picture 1" descr="C:\Users\vinayakr\AppData\Local\Temp\MercuryPriceRatingHistoryChart\MRVL.O_2018_03_08_18_50_43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803350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file://///msad/root/na/ny/users/johndasc/Docs/ID/Charts/Chart_Gallery/From%20Vlad/B11_BarSingle_AverageLine.xls" TargetMode="External" Type="http://schemas.openxmlformats.org/officeDocument/2006/relationships/externalLinkPath"/>
</Relationships>

</file>

<file path=xl/externalLinks/_rels/externalLink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_rels/externalLink3.xml.rels><?xml version="1.0" encoding="UTF-8" standalone="yes"?>
<Relationships xmlns="http://schemas.openxmlformats.org/package/2006/relationships">
<Relationship Id="rId1" Target="SEMI%20CAP/Joe%20Files/Companies/MRVL/Old%20Models/MRVL%20WIP_11_28_2017.xlsm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 Flow"/>
      <sheetName val="upside_downside"/>
      <sheetName val="Income Statement"/>
      <sheetName val="Balance Sheet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RI"/>
      <sheetName val="BULLBEAR"/>
      <sheetName val="Sheet2"/>
      <sheetName val="DCF"/>
      <sheetName val="MWA RR"/>
      <sheetName val="NonQtr"/>
      <sheetName val="REVENUE BY GEOGRAPHY"/>
      <sheetName val="Data 20d"/>
      <sheetName val="Data"/>
      <sheetName val="Risk-Reward_View_Chart"/>
      <sheetName val="Valsum"/>
      <sheetName val="Interims"/>
      <sheetName val="Financial Statements"/>
      <sheetName val="FX"/>
      <sheetName val="Inputs"/>
      <sheetName val="Good 12-00 (2)"/>
      <sheetName val="Good 11-36"/>
      <sheetName val="Good 11-50"/>
      <sheetName val="Sheet3 (5)"/>
      <sheetName val="Summary"/>
      <sheetName val="Floater Demand"/>
      <sheetName val="B11_BarSingle_AverageLine"/>
      <sheetName val="CPB"/>
      <sheetName val="Total_Food_Promo"/>
      <sheetName val="CPB_2yr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WP Detail "/>
      <sheetName val="Model"/>
      <sheetName val="Sheet4"/>
      <sheetName val="ForeignStake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  <sheetName val="Charts"/>
      <sheetName val="Pension"/>
      <sheetName val="Walk"/>
      <sheetName val=" Capital"/>
      <sheetName val="New Business"/>
      <sheetName val="Basket_June09_2010"/>
      <sheetName val="C1070"/>
      <sheetName val="Basket_Jan09"/>
      <sheetName val="Basket_2010"/>
      <sheetName val="Inflation v Price 6mth lag"/>
      <sheetName val="Basket_2011"/>
      <sheetName val="Basket_June09"/>
      <sheetName val="Basket_June09_Futures"/>
      <sheetName val="Commodities Exposure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Income Statement"/>
      <sheetName val="Margins"/>
      <sheetName val="Comps"/>
      <sheetName val="Switches"/>
      <sheetName val="TimeSeries"/>
      <sheetName val="Valuation Analyzer"/>
      <sheetName val="SSB Nielsen Sales"/>
      <sheetName val="EBITDA"/>
      <sheetName val="GWP-WLine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FOSHEET"/>
      <sheetName val="MS vs. Cons."/>
      <sheetName val="Snapshot"/>
      <sheetName val="QoQ Comp"/>
      <sheetName val="IS"/>
      <sheetName val="MW-Cache"/>
      <sheetName val="BS"/>
      <sheetName val="CFS"/>
      <sheetName val="BU-Segment"/>
      <sheetName val="MRVL-CAVM Non-GAAP 2018"/>
      <sheetName val="MRVL-CAVM MW 2018"/>
      <sheetName val="MRVL-CAVM Non-GAAP 2019 "/>
      <sheetName val="MRVL-CAVM MW 2019"/>
      <sheetName val="Gross margin model"/>
      <sheetName val="New Bottom up"/>
      <sheetName val="Bull_Bear_Base"/>
      <sheetName val="Scenarios"/>
      <sheetName val="Obsolete buildup"/>
      <sheetName val="Obsolete buildup 2"/>
      <sheetName val="Exhibits"/>
      <sheetName val="BU-Seasonality"/>
      <sheetName val="__FDSCACHE__"/>
      <sheetName val="By Segm"/>
      <sheetName val="Quarterly breakout"/>
      <sheetName val="QoQ AtaG"/>
      <sheetName val="DCF"/>
      <sheetName val="mwareDates_42755_5918289"/>
      <sheetName val="MacroForPub"/>
      <sheetName val="mwareDates"/>
      <sheetName val="MWA RR"/>
      <sheetName val="mwareSettings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>
        <row r="45"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J45">
            <v>0</v>
          </cell>
          <cell r="BK45">
            <v>0</v>
          </cell>
          <cell r="BM45">
            <v>0</v>
          </cell>
          <cell r="BN45">
            <v>0</v>
          </cell>
          <cell r="BO45">
            <v>0</v>
          </cell>
          <cell r="BP45">
            <v>0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0</v>
          </cell>
          <cell r="BV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0</v>
          </cell>
          <cell r="CB45">
            <v>0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4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vmlDrawing5.vml" Type="http://schemas.openxmlformats.org/officeDocument/2006/relationships/vmlDrawing"/>
<Relationship Id="rId3" Target="../comments5.xml" Type="http://schemas.openxmlformats.org/officeDocument/2006/relationships/comment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89"/>
  <sheetViews>
    <sheetView showGridLines="0" tabSelected="1" workbookViewId="0">
      <selection activeCell="A16" sqref="A16"/>
    </sheetView>
  </sheetViews>
  <sheetFormatPr defaultRowHeight="12.75"/>
  <cols>
    <col min="1" max="1" width="25.7109375" style="725" customWidth="1"/>
    <col min="2" max="5" width="9.140625" style="725"/>
    <col min="6" max="6" width="18.7109375" style="725" customWidth="1"/>
    <col min="7" max="256" width="9.140625" style="725"/>
    <col min="257" max="257" width="100.7109375" style="725" customWidth="1"/>
    <col min="258" max="512" width="9.140625" style="725"/>
    <col min="513" max="513" width="100.7109375" style="725" customWidth="1"/>
    <col min="514" max="768" width="9.140625" style="725"/>
    <col min="769" max="769" width="100.7109375" style="725" customWidth="1"/>
    <col min="770" max="1024" width="9.140625" style="725"/>
    <col min="1025" max="1025" width="100.7109375" style="725" customWidth="1"/>
    <col min="1026" max="1280" width="9.140625" style="725"/>
    <col min="1281" max="1281" width="100.7109375" style="725" customWidth="1"/>
    <col min="1282" max="1536" width="9.140625" style="725"/>
    <col min="1537" max="1537" width="100.7109375" style="725" customWidth="1"/>
    <col min="1538" max="1792" width="9.140625" style="725"/>
    <col min="1793" max="1793" width="100.7109375" style="725" customWidth="1"/>
    <col min="1794" max="2048" width="9.140625" style="725"/>
    <col min="2049" max="2049" width="100.7109375" style="725" customWidth="1"/>
    <col min="2050" max="2304" width="9.140625" style="725"/>
    <col min="2305" max="2305" width="100.7109375" style="725" customWidth="1"/>
    <col min="2306" max="2560" width="9.140625" style="725"/>
    <col min="2561" max="2561" width="100.7109375" style="725" customWidth="1"/>
    <col min="2562" max="2816" width="9.140625" style="725"/>
    <col min="2817" max="2817" width="100.7109375" style="725" customWidth="1"/>
    <col min="2818" max="3072" width="9.140625" style="725"/>
    <col min="3073" max="3073" width="100.7109375" style="725" customWidth="1"/>
    <col min="3074" max="3328" width="9.140625" style="725"/>
    <col min="3329" max="3329" width="100.7109375" style="725" customWidth="1"/>
    <col min="3330" max="3584" width="9.140625" style="725"/>
    <col min="3585" max="3585" width="100.7109375" style="725" customWidth="1"/>
    <col min="3586" max="3840" width="9.140625" style="725"/>
    <col min="3841" max="3841" width="100.7109375" style="725" customWidth="1"/>
    <col min="3842" max="4096" width="9.140625" style="725"/>
    <col min="4097" max="4097" width="100.7109375" style="725" customWidth="1"/>
    <col min="4098" max="4352" width="9.140625" style="725"/>
    <col min="4353" max="4353" width="100.7109375" style="725" customWidth="1"/>
    <col min="4354" max="4608" width="9.140625" style="725"/>
    <col min="4609" max="4609" width="100.7109375" style="725" customWidth="1"/>
    <col min="4610" max="4864" width="9.140625" style="725"/>
    <col min="4865" max="4865" width="100.7109375" style="725" customWidth="1"/>
    <col min="4866" max="5120" width="9.140625" style="725"/>
    <col min="5121" max="5121" width="100.7109375" style="725" customWidth="1"/>
    <col min="5122" max="5376" width="9.140625" style="725"/>
    <col min="5377" max="5377" width="100.7109375" style="725" customWidth="1"/>
    <col min="5378" max="5632" width="9.140625" style="725"/>
    <col min="5633" max="5633" width="100.7109375" style="725" customWidth="1"/>
    <col min="5634" max="5888" width="9.140625" style="725"/>
    <col min="5889" max="5889" width="100.7109375" style="725" customWidth="1"/>
    <col min="5890" max="6144" width="9.140625" style="725"/>
    <col min="6145" max="6145" width="100.7109375" style="725" customWidth="1"/>
    <col min="6146" max="6400" width="9.140625" style="725"/>
    <col min="6401" max="6401" width="100.7109375" style="725" customWidth="1"/>
    <col min="6402" max="6656" width="9.140625" style="725"/>
    <col min="6657" max="6657" width="100.7109375" style="725" customWidth="1"/>
    <col min="6658" max="6912" width="9.140625" style="725"/>
    <col min="6913" max="6913" width="100.7109375" style="725" customWidth="1"/>
    <col min="6914" max="7168" width="9.140625" style="725"/>
    <col min="7169" max="7169" width="100.7109375" style="725" customWidth="1"/>
    <col min="7170" max="7424" width="9.140625" style="725"/>
    <col min="7425" max="7425" width="100.7109375" style="725" customWidth="1"/>
    <col min="7426" max="7680" width="9.140625" style="725"/>
    <col min="7681" max="7681" width="100.7109375" style="725" customWidth="1"/>
    <col min="7682" max="7936" width="9.140625" style="725"/>
    <col min="7937" max="7937" width="100.7109375" style="725" customWidth="1"/>
    <col min="7938" max="8192" width="9.140625" style="725"/>
    <col min="8193" max="8193" width="100.7109375" style="725" customWidth="1"/>
    <col min="8194" max="8448" width="9.140625" style="725"/>
    <col min="8449" max="8449" width="100.7109375" style="725" customWidth="1"/>
    <col min="8450" max="8704" width="9.140625" style="725"/>
    <col min="8705" max="8705" width="100.7109375" style="725" customWidth="1"/>
    <col min="8706" max="8960" width="9.140625" style="725"/>
    <col min="8961" max="8961" width="100.7109375" style="725" customWidth="1"/>
    <col min="8962" max="9216" width="9.140625" style="725"/>
    <col min="9217" max="9217" width="100.7109375" style="725" customWidth="1"/>
    <col min="9218" max="9472" width="9.140625" style="725"/>
    <col min="9473" max="9473" width="100.7109375" style="725" customWidth="1"/>
    <col min="9474" max="9728" width="9.140625" style="725"/>
    <col min="9729" max="9729" width="100.7109375" style="725" customWidth="1"/>
    <col min="9730" max="9984" width="9.140625" style="725"/>
    <col min="9985" max="9985" width="100.7109375" style="725" customWidth="1"/>
    <col min="9986" max="10240" width="9.140625" style="725"/>
    <col min="10241" max="10241" width="100.7109375" style="725" customWidth="1"/>
    <col min="10242" max="10496" width="9.140625" style="725"/>
    <col min="10497" max="10497" width="100.7109375" style="725" customWidth="1"/>
    <col min="10498" max="10752" width="9.140625" style="725"/>
    <col min="10753" max="10753" width="100.7109375" style="725" customWidth="1"/>
    <col min="10754" max="11008" width="9.140625" style="725"/>
    <col min="11009" max="11009" width="100.7109375" style="725" customWidth="1"/>
    <col min="11010" max="11264" width="9.140625" style="725"/>
    <col min="11265" max="11265" width="100.7109375" style="725" customWidth="1"/>
    <col min="11266" max="11520" width="9.140625" style="725"/>
    <col min="11521" max="11521" width="100.7109375" style="725" customWidth="1"/>
    <col min="11522" max="11776" width="9.140625" style="725"/>
    <col min="11777" max="11777" width="100.7109375" style="725" customWidth="1"/>
    <col min="11778" max="12032" width="9.140625" style="725"/>
    <col min="12033" max="12033" width="100.7109375" style="725" customWidth="1"/>
    <col min="12034" max="12288" width="9.140625" style="725"/>
    <col min="12289" max="12289" width="100.7109375" style="725" customWidth="1"/>
    <col min="12290" max="12544" width="9.140625" style="725"/>
    <col min="12545" max="12545" width="100.7109375" style="725" customWidth="1"/>
    <col min="12546" max="12800" width="9.140625" style="725"/>
    <col min="12801" max="12801" width="100.7109375" style="725" customWidth="1"/>
    <col min="12802" max="13056" width="9.140625" style="725"/>
    <col min="13057" max="13057" width="100.7109375" style="725" customWidth="1"/>
    <col min="13058" max="13312" width="9.140625" style="725"/>
    <col min="13313" max="13313" width="100.7109375" style="725" customWidth="1"/>
    <col min="13314" max="13568" width="9.140625" style="725"/>
    <col min="13569" max="13569" width="100.7109375" style="725" customWidth="1"/>
    <col min="13570" max="13824" width="9.140625" style="725"/>
    <col min="13825" max="13825" width="100.7109375" style="725" customWidth="1"/>
    <col min="13826" max="14080" width="9.140625" style="725"/>
    <col min="14081" max="14081" width="100.7109375" style="725" customWidth="1"/>
    <col min="14082" max="14336" width="9.140625" style="725"/>
    <col min="14337" max="14337" width="100.7109375" style="725" customWidth="1"/>
    <col min="14338" max="14592" width="9.140625" style="725"/>
    <col min="14593" max="14593" width="100.7109375" style="725" customWidth="1"/>
    <col min="14594" max="14848" width="9.140625" style="725"/>
    <col min="14849" max="14849" width="100.7109375" style="725" customWidth="1"/>
    <col min="14850" max="15104" width="9.140625" style="725"/>
    <col min="15105" max="15105" width="100.7109375" style="725" customWidth="1"/>
    <col min="15106" max="15360" width="9.140625" style="725"/>
    <col min="15361" max="15361" width="100.7109375" style="725" customWidth="1"/>
    <col min="15362" max="15616" width="9.140625" style="725"/>
    <col min="15617" max="15617" width="100.7109375" style="725" customWidth="1"/>
    <col min="15618" max="15872" width="9.140625" style="725"/>
    <col min="15873" max="15873" width="100.7109375" style="725" customWidth="1"/>
    <col min="15874" max="16128" width="9.140625" style="725"/>
    <col min="16129" max="16129" width="100.7109375" style="725" customWidth="1"/>
    <col min="16130" max="16384" width="9.140625" style="725"/>
  </cols>
  <sheetData>
    <row r="1" spans="1:8" ht="30" customHeight="1">
      <c r="A1" s="723"/>
      <c r="B1" s="724"/>
      <c r="C1" s="724"/>
      <c r="D1" s="724"/>
      <c r="E1" s="724"/>
      <c r="F1" s="724"/>
      <c r="G1" s="724"/>
      <c r="H1" s="724"/>
    </row>
    <row r="2" spans="1:8" ht="14.25">
      <c r="A2" s="726" t="s">
        <v>509</v>
      </c>
      <c r="B2" s="724"/>
      <c r="C2" s="724"/>
      <c r="D2" s="724"/>
      <c r="E2" s="724"/>
      <c r="F2" s="724"/>
      <c r="G2" s="724"/>
      <c r="H2" s="724"/>
    </row>
    <row r="3" spans="1:8" ht="14.25">
      <c r="A3" s="726" t="s">
        <v>510</v>
      </c>
      <c r="B3" s="724"/>
      <c r="C3" s="724"/>
      <c r="D3" s="724"/>
      <c r="E3" s="724"/>
      <c r="F3" s="724"/>
      <c r="G3" s="724"/>
      <c r="H3" s="724"/>
    </row>
    <row r="4" spans="1:8" ht="14.25">
      <c r="A4" s="726" t="s">
        <v>318</v>
      </c>
      <c r="B4" s="724"/>
      <c r="C4" s="724"/>
      <c r="D4" s="724"/>
      <c r="E4" s="724"/>
      <c r="F4" s="724"/>
      <c r="G4" s="724"/>
      <c r="H4" s="724"/>
    </row>
    <row r="5" spans="1:8" ht="14.25">
      <c r="A5" s="726" t="s">
        <v>511</v>
      </c>
      <c r="B5" s="724"/>
      <c r="C5" s="724"/>
      <c r="D5" s="724"/>
      <c r="E5" s="724"/>
      <c r="F5" s="724"/>
      <c r="G5" s="724"/>
      <c r="H5" s="724"/>
    </row>
    <row r="6" spans="1:8" ht="14.25">
      <c r="A6" s="726"/>
      <c r="B6" s="724"/>
      <c r="C6" s="724"/>
      <c r="D6" s="724"/>
      <c r="E6" s="724"/>
      <c r="F6" s="724"/>
      <c r="G6" s="724"/>
      <c r="H6" s="724"/>
    </row>
    <row r="7" spans="1:8">
      <c r="A7" s="723" t="s">
        <v>512</v>
      </c>
      <c r="B7" s="724"/>
      <c r="C7" s="724"/>
      <c r="D7" s="724"/>
      <c r="E7" s="724"/>
      <c r="F7" s="724"/>
      <c r="G7" s="724"/>
      <c r="H7" s="724"/>
    </row>
    <row r="8" spans="1:8">
      <c r="A8" s="723" t="s">
        <v>513</v>
      </c>
      <c r="B8" s="724"/>
      <c r="C8" s="724"/>
      <c r="D8" s="724"/>
      <c r="E8" s="724"/>
      <c r="F8" s="724"/>
      <c r="G8" s="724"/>
      <c r="H8" s="724"/>
    </row>
    <row r="9" spans="1:8">
      <c r="A9" s="723"/>
      <c r="B9" s="724"/>
      <c r="C9" s="724"/>
      <c r="D9" s="724"/>
      <c r="E9" s="724"/>
      <c r="F9" s="724"/>
      <c r="G9" s="724"/>
      <c r="H9" s="724"/>
    </row>
    <row r="10" spans="1:8">
      <c r="A10" s="727" t="s">
        <v>514</v>
      </c>
      <c r="B10" s="724"/>
      <c r="C10" s="724"/>
      <c r="D10" s="724"/>
      <c r="E10" s="724"/>
      <c r="F10" s="724"/>
      <c r="G10" s="724"/>
      <c r="H10" s="724"/>
    </row>
    <row r="11" spans="1:8">
      <c r="A11" s="727" t="s">
        <v>515</v>
      </c>
      <c r="B11" s="724"/>
      <c r="C11" s="724"/>
      <c r="D11" s="724"/>
      <c r="E11" s="724"/>
      <c r="F11" s="724"/>
      <c r="G11" s="724"/>
      <c r="H11" s="724"/>
    </row>
    <row r="12" spans="1:8">
      <c r="A12" s="727" t="s">
        <v>516</v>
      </c>
      <c r="B12" s="724"/>
      <c r="C12" s="724"/>
      <c r="D12" s="724"/>
      <c r="E12" s="724"/>
      <c r="F12" s="724"/>
      <c r="G12" s="724"/>
      <c r="H12" s="724"/>
    </row>
    <row r="13" spans="1:8">
      <c r="A13" s="727" t="s">
        <v>517</v>
      </c>
      <c r="B13" s="724"/>
      <c r="C13" s="724"/>
      <c r="D13" s="724"/>
      <c r="E13" s="724"/>
      <c r="F13" s="724"/>
      <c r="G13" s="724"/>
      <c r="H13" s="724"/>
    </row>
    <row r="14" spans="1:8">
      <c r="A14" s="727" t="s">
        <v>518</v>
      </c>
      <c r="B14" s="724"/>
      <c r="C14" s="724"/>
      <c r="D14" s="724"/>
      <c r="E14" s="724"/>
      <c r="F14" s="724"/>
      <c r="G14" s="724"/>
      <c r="H14" s="724"/>
    </row>
    <row r="15" spans="1:8">
      <c r="A15" s="727" t="s">
        <v>869</v>
      </c>
      <c r="B15" s="724"/>
      <c r="C15" s="724"/>
      <c r="D15" s="724"/>
      <c r="E15" s="724"/>
      <c r="F15" s="724"/>
      <c r="G15" s="724"/>
      <c r="H15" s="724"/>
    </row>
    <row r="16" spans="1:8">
      <c r="A16" s="727"/>
      <c r="B16" s="724"/>
      <c r="C16" s="724"/>
      <c r="D16" s="724"/>
      <c r="E16" s="724"/>
      <c r="F16" s="724"/>
      <c r="G16" s="724"/>
      <c r="H16" s="724"/>
    </row>
    <row r="17" spans="1:8">
      <c r="A17" s="727" t="s">
        <v>506</v>
      </c>
      <c r="B17" s="724"/>
      <c r="C17" s="724"/>
      <c r="D17" s="724"/>
      <c r="E17" s="724"/>
      <c r="F17" s="724"/>
      <c r="G17" s="724"/>
      <c r="H17" s="724"/>
    </row>
    <row r="18" spans="1:8">
      <c r="A18" s="727"/>
      <c r="B18" s="724"/>
      <c r="C18" s="724"/>
      <c r="D18" s="724"/>
      <c r="E18" s="724"/>
      <c r="F18" s="724"/>
      <c r="G18" s="724"/>
      <c r="H18" s="724"/>
    </row>
    <row r="19" spans="1:8">
      <c r="A19" s="727" t="s">
        <v>507</v>
      </c>
      <c r="B19" s="724"/>
      <c r="C19" s="724"/>
      <c r="D19" s="724"/>
      <c r="E19" s="724"/>
      <c r="F19" s="724"/>
      <c r="G19" s="724"/>
      <c r="H19" s="724"/>
    </row>
    <row r="20" spans="1:8">
      <c r="A20" s="723"/>
      <c r="B20" s="724"/>
      <c r="C20" s="724"/>
      <c r="D20" s="724"/>
      <c r="E20" s="724"/>
      <c r="F20" s="724"/>
      <c r="G20" s="724"/>
      <c r="H20" s="724"/>
    </row>
    <row r="21" spans="1:8">
      <c r="A21" s="728" t="s">
        <v>508</v>
      </c>
      <c r="B21" s="724"/>
      <c r="C21" s="724"/>
      <c r="D21" s="724"/>
      <c r="E21" s="724"/>
      <c r="F21" s="724"/>
      <c r="G21" s="724"/>
      <c r="H21" s="724"/>
    </row>
    <row r="22" spans="1:8">
      <c r="A22" s="729"/>
      <c r="B22" s="729"/>
      <c r="C22" s="729"/>
      <c r="D22" s="729"/>
      <c r="E22" s="729"/>
      <c r="F22" s="729"/>
      <c r="G22" s="729"/>
      <c r="H22" s="729"/>
    </row>
    <row r="23" spans="1:8">
      <c r="A23" s="730" t="s">
        <v>796</v>
      </c>
      <c r="B23" s="729"/>
      <c r="C23" s="729"/>
      <c r="D23" s="729"/>
      <c r="E23" s="729"/>
      <c r="F23" s="729"/>
      <c r="G23" s="729"/>
      <c r="H23" s="729"/>
    </row>
    <row r="24" spans="1:8">
      <c r="A24" s="730" t="s">
        <v>797</v>
      </c>
      <c r="B24" s="729"/>
      <c r="C24" s="729"/>
      <c r="D24" s="729"/>
      <c r="E24" s="729"/>
      <c r="F24" s="729"/>
      <c r="G24" s="729"/>
      <c r="H24" s="729"/>
    </row>
    <row r="25" spans="1:8">
      <c r="A25" s="730" t="s">
        <v>798</v>
      </c>
      <c r="B25" s="729"/>
      <c r="C25" s="729"/>
      <c r="D25" s="729"/>
      <c r="E25" s="729"/>
      <c r="F25" s="729"/>
      <c r="G25" s="729"/>
      <c r="H25" s="729"/>
    </row>
    <row r="26" spans="1:8">
      <c r="A26" s="730" t="s">
        <v>799</v>
      </c>
      <c r="B26" s="729"/>
      <c r="C26" s="729"/>
      <c r="D26" s="729"/>
      <c r="E26" s="729"/>
      <c r="F26" s="729"/>
      <c r="G26" s="729"/>
      <c r="H26" s="729"/>
    </row>
    <row r="27" spans="1:8">
      <c r="A27" s="729"/>
      <c r="B27" s="729"/>
      <c r="C27" s="729"/>
      <c r="D27" s="729"/>
      <c r="E27" s="729"/>
      <c r="F27" s="729"/>
      <c r="G27" s="729"/>
      <c r="H27" s="729"/>
    </row>
    <row r="28" spans="1:8">
      <c r="A28" s="729"/>
      <c r="B28" s="729"/>
      <c r="C28" s="729"/>
      <c r="D28" s="729"/>
      <c r="E28" s="729"/>
      <c r="F28" s="729"/>
      <c r="G28" s="729"/>
      <c r="H28" s="729"/>
    </row>
    <row r="29" spans="1:8">
      <c r="A29" s="730" t="s">
        <v>791</v>
      </c>
      <c r="B29" s="729"/>
      <c r="C29" s="729"/>
      <c r="D29" s="729"/>
      <c r="E29" s="729"/>
      <c r="F29" s="729"/>
      <c r="G29" s="729"/>
      <c r="H29" s="729"/>
    </row>
    <row r="30" spans="1:8">
      <c r="A30" s="730" t="s">
        <v>792</v>
      </c>
      <c r="B30" s="729"/>
      <c r="C30" s="729"/>
      <c r="D30" s="729"/>
      <c r="E30" s="729"/>
      <c r="F30" s="729"/>
      <c r="G30" s="729"/>
      <c r="H30" s="729"/>
    </row>
    <row r="31" spans="1:8">
      <c r="A31" s="730" t="s">
        <v>793</v>
      </c>
      <c r="B31" s="729"/>
      <c r="C31" s="729"/>
      <c r="D31" s="729"/>
      <c r="E31" s="729"/>
      <c r="F31" s="729"/>
      <c r="G31" s="729"/>
      <c r="H31" s="729"/>
    </row>
    <row r="32" spans="1:8">
      <c r="A32" s="730" t="s">
        <v>794</v>
      </c>
      <c r="B32" s="729"/>
      <c r="C32" s="729"/>
      <c r="D32" s="729"/>
      <c r="E32" s="729"/>
      <c r="F32" s="729"/>
      <c r="G32" s="729"/>
      <c r="H32" s="729"/>
    </row>
    <row r="33" spans="1:8">
      <c r="A33" s="730" t="s">
        <v>795</v>
      </c>
      <c r="B33" s="729"/>
      <c r="C33" s="729"/>
      <c r="D33" s="729"/>
      <c r="E33" s="729"/>
      <c r="F33" s="729"/>
      <c r="G33" s="729"/>
      <c r="H33" s="729"/>
    </row>
    <row r="34" spans="1:8">
      <c r="A34" s="729"/>
      <c r="B34" s="729"/>
      <c r="C34" s="729"/>
      <c r="D34" s="729"/>
      <c r="E34" s="729"/>
      <c r="F34" s="729"/>
      <c r="G34" s="729"/>
      <c r="H34" s="729"/>
    </row>
    <row r="35" spans="1:8">
      <c r="A35" s="730" t="s">
        <v>787</v>
      </c>
      <c r="B35" s="729"/>
      <c r="C35" s="729"/>
      <c r="D35" s="729"/>
      <c r="E35" s="729"/>
      <c r="F35" s="729"/>
      <c r="G35" s="729"/>
      <c r="H35" s="729"/>
    </row>
    <row r="36" spans="1:8">
      <c r="A36" s="730" t="s">
        <v>788</v>
      </c>
      <c r="B36" s="729"/>
      <c r="C36" s="729"/>
      <c r="D36" s="729"/>
      <c r="E36" s="729"/>
      <c r="F36" s="729"/>
      <c r="G36" s="729"/>
      <c r="H36" s="729"/>
    </row>
    <row r="37" spans="1:8">
      <c r="A37" s="730" t="s">
        <v>789</v>
      </c>
      <c r="B37" s="729"/>
      <c r="C37" s="729"/>
      <c r="D37" s="729"/>
      <c r="E37" s="729"/>
      <c r="F37" s="729"/>
      <c r="G37" s="729"/>
      <c r="H37" s="729"/>
    </row>
    <row r="38" spans="1:8">
      <c r="A38" s="730" t="s">
        <v>790</v>
      </c>
      <c r="B38" s="729"/>
      <c r="C38" s="729"/>
      <c r="D38" s="729"/>
      <c r="E38" s="729"/>
      <c r="F38" s="729"/>
      <c r="G38" s="729"/>
      <c r="H38" s="729"/>
    </row>
    <row r="39" spans="1:8">
      <c r="A39" s="729"/>
      <c r="B39" s="729"/>
      <c r="C39" s="729"/>
      <c r="D39" s="729"/>
      <c r="E39" s="729"/>
      <c r="F39" s="729"/>
      <c r="G39" s="729"/>
      <c r="H39" s="729"/>
    </row>
    <row r="40" spans="1:8">
      <c r="A40" s="730" t="s">
        <v>781</v>
      </c>
      <c r="B40" s="729"/>
      <c r="C40" s="729"/>
      <c r="D40" s="729"/>
      <c r="E40" s="729"/>
      <c r="F40" s="729"/>
      <c r="G40" s="729"/>
      <c r="H40" s="729"/>
    </row>
    <row r="41" spans="1:8">
      <c r="A41" s="730" t="s">
        <v>782</v>
      </c>
      <c r="B41" s="729"/>
      <c r="C41" s="729"/>
      <c r="D41" s="729"/>
      <c r="E41" s="729"/>
      <c r="F41" s="729"/>
      <c r="G41" s="729"/>
      <c r="H41" s="729"/>
    </row>
    <row r="42" spans="1:8">
      <c r="A42" s="730" t="s">
        <v>783</v>
      </c>
      <c r="B42" s="729"/>
      <c r="C42" s="729"/>
      <c r="D42" s="729"/>
      <c r="E42" s="729"/>
      <c r="F42" s="729"/>
      <c r="G42" s="729"/>
      <c r="H42" s="729"/>
    </row>
    <row r="43" spans="1:8">
      <c r="A43" s="730" t="s">
        <v>784</v>
      </c>
      <c r="B43" s="729"/>
      <c r="C43" s="729"/>
      <c r="D43" s="729"/>
      <c r="E43" s="729"/>
      <c r="F43" s="729"/>
      <c r="G43" s="729"/>
      <c r="H43" s="729"/>
    </row>
    <row r="44" spans="1:8">
      <c r="A44" s="730" t="s">
        <v>785</v>
      </c>
      <c r="B44" s="729"/>
      <c r="C44" s="729"/>
      <c r="D44" s="729"/>
      <c r="E44" s="729"/>
      <c r="F44" s="729"/>
      <c r="G44" s="729"/>
      <c r="H44" s="729"/>
    </row>
    <row r="45" spans="1:8">
      <c r="A45" s="730" t="s">
        <v>786</v>
      </c>
      <c r="B45" s="729"/>
      <c r="C45" s="729"/>
      <c r="D45" s="729"/>
      <c r="E45" s="729"/>
      <c r="F45" s="729"/>
      <c r="G45" s="729"/>
      <c r="H45" s="729"/>
    </row>
    <row r="46" spans="1:8">
      <c r="A46" s="729"/>
      <c r="B46" s="729"/>
      <c r="C46" s="729"/>
      <c r="D46" s="729"/>
      <c r="E46" s="729"/>
      <c r="F46" s="729"/>
      <c r="G46" s="729"/>
      <c r="H46" s="729"/>
    </row>
    <row r="47" spans="1:8" ht="15.75">
      <c r="A47" s="731" t="s">
        <v>519</v>
      </c>
      <c r="B47" s="729"/>
      <c r="C47" s="729"/>
      <c r="D47" s="729"/>
      <c r="E47" s="729"/>
      <c r="F47" s="729"/>
      <c r="G47" s="729"/>
      <c r="H47" s="729"/>
    </row>
    <row r="48" spans="1:8">
      <c r="A48" s="729"/>
      <c r="B48" s="729"/>
      <c r="C48" s="729"/>
      <c r="D48" s="729"/>
      <c r="E48" s="729"/>
      <c r="F48" s="729"/>
      <c r="G48" s="729"/>
      <c r="H48" s="729"/>
    </row>
    <row r="49" spans="1:8">
      <c r="A49" s="730" t="s">
        <v>777</v>
      </c>
      <c r="B49" s="729"/>
      <c r="C49" s="729"/>
      <c r="D49" s="729"/>
      <c r="E49" s="729"/>
      <c r="F49" s="729"/>
      <c r="G49" s="729"/>
      <c r="H49" s="729"/>
    </row>
    <row r="50" spans="1:8">
      <c r="A50" s="730" t="s">
        <v>778</v>
      </c>
      <c r="B50" s="729"/>
      <c r="C50" s="729"/>
      <c r="D50" s="729"/>
      <c r="E50" s="729"/>
      <c r="F50" s="729"/>
      <c r="G50" s="729"/>
      <c r="H50" s="729"/>
    </row>
    <row r="51" spans="1:8">
      <c r="A51" s="730" t="s">
        <v>779</v>
      </c>
      <c r="B51" s="729"/>
      <c r="C51" s="729"/>
      <c r="D51" s="729"/>
      <c r="E51" s="729"/>
      <c r="F51" s="729"/>
      <c r="G51" s="729"/>
      <c r="H51" s="729"/>
    </row>
    <row r="52" spans="1:8">
      <c r="A52" s="730" t="s">
        <v>780</v>
      </c>
      <c r="B52" s="729"/>
      <c r="C52" s="729"/>
      <c r="D52" s="729"/>
      <c r="E52" s="729"/>
      <c r="F52" s="729"/>
      <c r="G52" s="729"/>
      <c r="H52" s="729"/>
    </row>
    <row r="53" spans="1:8">
      <c r="A53" s="729"/>
      <c r="B53" s="729"/>
      <c r="C53" s="729"/>
      <c r="D53" s="729"/>
      <c r="E53" s="729"/>
      <c r="F53" s="729"/>
      <c r="G53" s="729"/>
      <c r="H53" s="729"/>
    </row>
    <row r="54" spans="1:8">
      <c r="A54" s="730" t="s">
        <v>520</v>
      </c>
      <c r="B54" s="729"/>
      <c r="C54" s="729"/>
      <c r="D54" s="729"/>
      <c r="E54" s="729"/>
      <c r="F54" s="729"/>
      <c r="G54" s="729"/>
      <c r="H54" s="729"/>
    </row>
    <row r="55" spans="1:8">
      <c r="A55" s="729"/>
      <c r="B55" s="729"/>
      <c r="C55" s="729"/>
      <c r="D55" s="729"/>
      <c r="E55" s="729"/>
      <c r="F55" s="729"/>
      <c r="G55" s="729"/>
      <c r="H55" s="729"/>
    </row>
    <row r="56" spans="1:8" ht="15.75">
      <c r="A56" s="731" t="s">
        <v>521</v>
      </c>
      <c r="B56" s="729"/>
      <c r="C56" s="729"/>
      <c r="D56" s="729"/>
      <c r="E56" s="729"/>
      <c r="F56" s="729"/>
      <c r="G56" s="729"/>
      <c r="H56" s="729"/>
    </row>
    <row r="57" spans="1:8">
      <c r="A57" s="729"/>
      <c r="B57" s="729"/>
      <c r="C57" s="729"/>
      <c r="D57" s="729"/>
      <c r="E57" s="729"/>
      <c r="F57" s="729"/>
      <c r="G57" s="729"/>
      <c r="H57" s="729"/>
    </row>
    <row r="58" spans="1:8">
      <c r="A58" s="730" t="s">
        <v>775</v>
      </c>
      <c r="B58" s="729"/>
      <c r="C58" s="729"/>
      <c r="D58" s="729"/>
      <c r="E58" s="729"/>
      <c r="F58" s="729"/>
      <c r="G58" s="729"/>
      <c r="H58" s="729"/>
    </row>
    <row r="59" spans="1:8">
      <c r="A59" s="730" t="s">
        <v>776</v>
      </c>
      <c r="B59" s="729"/>
      <c r="C59" s="729"/>
      <c r="D59" s="729"/>
      <c r="E59" s="729"/>
      <c r="F59" s="729"/>
      <c r="G59" s="729"/>
      <c r="H59" s="729"/>
    </row>
    <row r="60" spans="1:8">
      <c r="A60" s="729"/>
      <c r="B60" s="729"/>
      <c r="C60" s="729"/>
      <c r="D60" s="729"/>
      <c r="E60" s="729"/>
      <c r="F60" s="729"/>
      <c r="G60" s="729"/>
      <c r="H60" s="729"/>
    </row>
    <row r="61" spans="1:8" ht="15.75">
      <c r="A61" s="731" t="s">
        <v>522</v>
      </c>
      <c r="B61" s="729"/>
      <c r="C61" s="729"/>
      <c r="D61" s="729"/>
      <c r="E61" s="729"/>
      <c r="F61" s="729"/>
      <c r="G61" s="729"/>
      <c r="H61" s="729"/>
    </row>
    <row r="62" spans="1:8">
      <c r="A62" s="729"/>
      <c r="B62" s="729"/>
      <c r="C62" s="729"/>
      <c r="D62" s="729"/>
      <c r="E62" s="729"/>
      <c r="F62" s="729"/>
      <c r="G62" s="729"/>
      <c r="H62" s="729"/>
    </row>
    <row r="63" spans="1:8">
      <c r="A63" s="730" t="s">
        <v>773</v>
      </c>
      <c r="B63" s="729"/>
      <c r="C63" s="729"/>
      <c r="D63" s="729"/>
      <c r="E63" s="729"/>
      <c r="F63" s="729"/>
      <c r="G63" s="729"/>
      <c r="H63" s="729"/>
    </row>
    <row r="64" spans="1:8">
      <c r="A64" s="730" t="s">
        <v>774</v>
      </c>
      <c r="B64" s="729"/>
      <c r="C64" s="729"/>
      <c r="D64" s="729"/>
      <c r="E64" s="729"/>
      <c r="F64" s="729"/>
      <c r="G64" s="729"/>
      <c r="H64" s="729"/>
    </row>
    <row r="65" spans="1:8">
      <c r="A65" s="729"/>
      <c r="B65" s="729"/>
      <c r="C65" s="729"/>
      <c r="D65" s="729"/>
      <c r="E65" s="729"/>
      <c r="F65" s="729"/>
      <c r="G65" s="729"/>
      <c r="H65" s="729"/>
    </row>
    <row r="66" spans="1:8">
      <c r="A66" s="730" t="s">
        <v>771</v>
      </c>
      <c r="B66" s="729"/>
      <c r="C66" s="729"/>
      <c r="D66" s="729"/>
      <c r="E66" s="729"/>
      <c r="F66" s="729"/>
      <c r="G66" s="729"/>
      <c r="H66" s="729"/>
    </row>
    <row r="67" spans="1:8">
      <c r="A67" s="730" t="s">
        <v>772</v>
      </c>
      <c r="B67" s="729"/>
      <c r="C67" s="729"/>
      <c r="D67" s="729"/>
      <c r="E67" s="729"/>
      <c r="F67" s="729"/>
      <c r="G67" s="729"/>
      <c r="H67" s="729"/>
    </row>
    <row r="68" spans="1:8">
      <c r="A68" s="729"/>
      <c r="B68" s="729"/>
      <c r="C68" s="729"/>
      <c r="D68" s="729"/>
      <c r="E68" s="729"/>
      <c r="F68" s="729"/>
      <c r="G68" s="729"/>
      <c r="H68" s="729"/>
    </row>
    <row r="69" spans="1:8">
      <c r="A69" s="730" t="s">
        <v>768</v>
      </c>
      <c r="B69" s="729"/>
      <c r="C69" s="729"/>
      <c r="D69" s="729"/>
      <c r="E69" s="729"/>
      <c r="F69" s="729"/>
      <c r="G69" s="729"/>
      <c r="H69" s="729"/>
    </row>
    <row r="70" spans="1:8">
      <c r="A70" s="730" t="s">
        <v>769</v>
      </c>
      <c r="B70" s="729"/>
      <c r="C70" s="729"/>
      <c r="D70" s="729"/>
      <c r="E70" s="729"/>
      <c r="F70" s="729"/>
      <c r="G70" s="729"/>
      <c r="H70" s="729"/>
    </row>
    <row r="71" spans="1:8">
      <c r="A71" s="730" t="s">
        <v>770</v>
      </c>
      <c r="B71" s="729"/>
      <c r="C71" s="729"/>
      <c r="D71" s="729"/>
      <c r="E71" s="729"/>
      <c r="F71" s="729"/>
      <c r="G71" s="729"/>
      <c r="H71" s="729"/>
    </row>
    <row r="72" spans="1:8">
      <c r="A72" s="729"/>
      <c r="B72" s="729"/>
      <c r="C72" s="729"/>
      <c r="D72" s="729"/>
      <c r="E72" s="729"/>
      <c r="F72" s="729"/>
      <c r="G72" s="729"/>
      <c r="H72" s="729"/>
    </row>
    <row r="73" spans="1:8">
      <c r="A73" s="730" t="s">
        <v>765</v>
      </c>
      <c r="B73" s="729"/>
      <c r="C73" s="729"/>
      <c r="D73" s="729"/>
      <c r="E73" s="729"/>
      <c r="F73" s="729"/>
      <c r="G73" s="729"/>
      <c r="H73" s="729"/>
    </row>
    <row r="74" spans="1:8">
      <c r="A74" s="730" t="s">
        <v>766</v>
      </c>
      <c r="B74" s="729"/>
      <c r="C74" s="729"/>
      <c r="D74" s="729"/>
      <c r="E74" s="729"/>
      <c r="F74" s="729"/>
      <c r="G74" s="729"/>
      <c r="H74" s="729"/>
    </row>
    <row r="75" spans="1:8">
      <c r="A75" s="730" t="s">
        <v>767</v>
      </c>
      <c r="B75" s="729"/>
      <c r="C75" s="729"/>
      <c r="D75" s="729"/>
      <c r="E75" s="729"/>
      <c r="F75" s="729"/>
      <c r="G75" s="729"/>
      <c r="H75" s="729"/>
    </row>
    <row r="76" spans="1:8">
      <c r="A76" s="729"/>
      <c r="B76" s="729"/>
      <c r="C76" s="729"/>
      <c r="D76" s="729"/>
      <c r="E76" s="729"/>
      <c r="F76" s="729"/>
      <c r="G76" s="729"/>
      <c r="H76" s="729"/>
    </row>
    <row r="77" spans="1:8">
      <c r="A77" s="730" t="s">
        <v>523</v>
      </c>
      <c r="B77" s="729"/>
      <c r="C77" s="729"/>
      <c r="D77" s="729"/>
      <c r="E77" s="729"/>
      <c r="F77" s="729"/>
      <c r="G77" s="729"/>
      <c r="H77" s="729"/>
    </row>
    <row r="78" spans="1:8">
      <c r="A78" s="729"/>
      <c r="B78" s="729"/>
      <c r="C78" s="729"/>
      <c r="D78" s="729"/>
      <c r="E78" s="729"/>
      <c r="F78" s="729"/>
      <c r="G78" s="729"/>
      <c r="H78" s="729"/>
    </row>
    <row r="79" spans="1:8">
      <c r="A79" s="730" t="s">
        <v>760</v>
      </c>
      <c r="B79" s="729"/>
      <c r="C79" s="729"/>
      <c r="D79" s="729"/>
      <c r="E79" s="729"/>
      <c r="F79" s="729"/>
      <c r="G79" s="729"/>
      <c r="H79" s="729"/>
    </row>
    <row r="80" spans="1:8">
      <c r="A80" s="730" t="s">
        <v>761</v>
      </c>
      <c r="B80" s="729"/>
      <c r="C80" s="729"/>
      <c r="D80" s="729"/>
      <c r="E80" s="729"/>
      <c r="F80" s="729"/>
      <c r="G80" s="729"/>
      <c r="H80" s="729"/>
    </row>
    <row r="81" spans="1:8">
      <c r="A81" s="730" t="s">
        <v>762</v>
      </c>
      <c r="B81" s="729"/>
      <c r="C81" s="729"/>
      <c r="D81" s="729"/>
      <c r="E81" s="729"/>
      <c r="F81" s="729"/>
      <c r="G81" s="729"/>
      <c r="H81" s="729"/>
    </row>
    <row r="82" spans="1:8">
      <c r="A82" s="730" t="s">
        <v>763</v>
      </c>
      <c r="B82" s="729"/>
      <c r="C82" s="729"/>
      <c r="D82" s="729"/>
      <c r="E82" s="729"/>
      <c r="F82" s="729"/>
      <c r="G82" s="729"/>
      <c r="H82" s="729"/>
    </row>
    <row r="83" spans="1:8">
      <c r="A83" s="730" t="s">
        <v>764</v>
      </c>
      <c r="B83" s="729"/>
      <c r="C83" s="729"/>
      <c r="D83" s="729"/>
      <c r="E83" s="729"/>
      <c r="F83" s="729"/>
      <c r="G83" s="729"/>
      <c r="H83" s="729"/>
    </row>
    <row r="84" spans="1:8">
      <c r="A84" s="730" t="s">
        <v>649</v>
      </c>
      <c r="B84" s="729"/>
      <c r="C84" s="729"/>
      <c r="D84" s="729"/>
      <c r="E84" s="729"/>
      <c r="F84" s="729"/>
      <c r="G84" s="729"/>
      <c r="H84" s="729"/>
    </row>
    <row r="85" spans="1:8">
      <c r="A85" s="729"/>
      <c r="B85" s="729"/>
      <c r="C85" s="729"/>
      <c r="D85" s="729"/>
      <c r="E85" s="729"/>
      <c r="F85" s="729"/>
      <c r="G85" s="729"/>
      <c r="H85" s="729"/>
    </row>
    <row r="86" spans="1:8">
      <c r="A86" s="730" t="s">
        <v>753</v>
      </c>
      <c r="B86" s="729"/>
      <c r="C86" s="729"/>
      <c r="D86" s="729"/>
      <c r="E86" s="729"/>
      <c r="F86" s="729"/>
      <c r="G86" s="729"/>
      <c r="H86" s="729"/>
    </row>
    <row r="87" spans="1:8">
      <c r="A87" s="730" t="s">
        <v>754</v>
      </c>
      <c r="B87" s="729"/>
      <c r="C87" s="729"/>
      <c r="D87" s="729"/>
      <c r="E87" s="729"/>
      <c r="F87" s="729"/>
      <c r="G87" s="729"/>
      <c r="H87" s="729"/>
    </row>
    <row r="88" spans="1:8">
      <c r="A88" s="730" t="s">
        <v>755</v>
      </c>
      <c r="B88" s="729"/>
      <c r="C88" s="729"/>
      <c r="D88" s="729"/>
      <c r="E88" s="729"/>
      <c r="F88" s="729"/>
      <c r="G88" s="729"/>
      <c r="H88" s="729"/>
    </row>
    <row r="89" spans="1:8">
      <c r="A89" s="730" t="s">
        <v>756</v>
      </c>
      <c r="B89" s="729"/>
      <c r="C89" s="729"/>
      <c r="D89" s="729"/>
      <c r="E89" s="729"/>
      <c r="F89" s="729"/>
      <c r="G89" s="729"/>
      <c r="H89" s="729"/>
    </row>
    <row r="90" spans="1:8">
      <c r="A90" s="730" t="s">
        <v>757</v>
      </c>
      <c r="B90" s="729"/>
      <c r="C90" s="729"/>
      <c r="D90" s="729"/>
      <c r="E90" s="729"/>
      <c r="F90" s="729"/>
      <c r="G90" s="729"/>
      <c r="H90" s="729"/>
    </row>
    <row r="91" spans="1:8">
      <c r="A91" s="730" t="s">
        <v>758</v>
      </c>
      <c r="B91" s="729"/>
      <c r="C91" s="729"/>
      <c r="D91" s="729"/>
      <c r="E91" s="729"/>
      <c r="F91" s="729"/>
      <c r="G91" s="729"/>
      <c r="H91" s="729"/>
    </row>
    <row r="92" spans="1:8">
      <c r="A92" s="730" t="s">
        <v>759</v>
      </c>
      <c r="B92" s="729"/>
      <c r="C92" s="729"/>
      <c r="D92" s="729"/>
      <c r="E92" s="729"/>
      <c r="F92" s="729"/>
      <c r="G92" s="729"/>
      <c r="H92" s="729"/>
    </row>
    <row r="93" spans="1:8">
      <c r="A93" s="729"/>
      <c r="B93" s="729"/>
      <c r="C93" s="729"/>
      <c r="D93" s="729"/>
      <c r="E93" s="729"/>
      <c r="F93" s="729"/>
      <c r="G93" s="729"/>
      <c r="H93" s="729"/>
    </row>
    <row r="94" spans="1:8">
      <c r="A94" s="730" t="s">
        <v>751</v>
      </c>
      <c r="B94" s="729"/>
      <c r="C94" s="729"/>
      <c r="D94" s="729"/>
      <c r="E94" s="729"/>
      <c r="F94" s="729"/>
      <c r="G94" s="729"/>
      <c r="H94" s="729"/>
    </row>
    <row r="95" spans="1:8">
      <c r="A95" s="730" t="s">
        <v>752</v>
      </c>
      <c r="B95" s="729"/>
      <c r="C95" s="729"/>
      <c r="D95" s="729"/>
      <c r="E95" s="729"/>
      <c r="F95" s="729"/>
      <c r="G95" s="729"/>
      <c r="H95" s="729"/>
    </row>
    <row r="96" spans="1:8">
      <c r="A96" s="729"/>
      <c r="B96" s="729"/>
      <c r="C96" s="729"/>
      <c r="D96" s="729"/>
      <c r="E96" s="729"/>
      <c r="F96" s="729"/>
      <c r="G96" s="729"/>
      <c r="H96" s="729"/>
    </row>
    <row r="97" spans="1:8" ht="15.75">
      <c r="A97" s="731" t="s">
        <v>524</v>
      </c>
      <c r="B97" s="729"/>
      <c r="C97" s="729"/>
      <c r="D97" s="729"/>
      <c r="E97" s="729"/>
      <c r="F97" s="729"/>
      <c r="G97" s="729"/>
      <c r="H97" s="729"/>
    </row>
    <row r="98" spans="1:8">
      <c r="A98" s="729"/>
      <c r="B98" s="729"/>
      <c r="C98" s="729"/>
      <c r="D98" s="729"/>
      <c r="E98" s="729"/>
      <c r="F98" s="729"/>
      <c r="G98" s="729"/>
      <c r="H98" s="729"/>
    </row>
    <row r="99" spans="1:8">
      <c r="A99" s="730" t="s">
        <v>742</v>
      </c>
      <c r="B99" s="729"/>
      <c r="C99" s="729"/>
      <c r="D99" s="729"/>
      <c r="E99" s="729"/>
      <c r="F99" s="729"/>
      <c r="G99" s="729"/>
      <c r="H99" s="729"/>
    </row>
    <row r="100" spans="1:8">
      <c r="A100" s="730" t="s">
        <v>743</v>
      </c>
      <c r="B100" s="729"/>
      <c r="C100" s="729"/>
      <c r="D100" s="729"/>
      <c r="E100" s="729"/>
      <c r="F100" s="729"/>
      <c r="G100" s="729"/>
      <c r="H100" s="729"/>
    </row>
    <row r="101" spans="1:8">
      <c r="A101" s="730" t="s">
        <v>744</v>
      </c>
      <c r="B101" s="729"/>
      <c r="C101" s="729"/>
      <c r="D101" s="729"/>
      <c r="E101" s="729"/>
      <c r="F101" s="729"/>
      <c r="G101" s="729"/>
      <c r="H101" s="729"/>
    </row>
    <row r="102" spans="1:8">
      <c r="A102" s="730" t="s">
        <v>745</v>
      </c>
      <c r="B102" s="729"/>
      <c r="C102" s="729"/>
      <c r="D102" s="729"/>
      <c r="E102" s="729"/>
      <c r="F102" s="729"/>
      <c r="G102" s="729"/>
      <c r="H102" s="729"/>
    </row>
    <row r="103" spans="1:8">
      <c r="A103" s="730" t="s">
        <v>746</v>
      </c>
      <c r="B103" s="729"/>
      <c r="C103" s="729"/>
      <c r="D103" s="729"/>
      <c r="E103" s="729"/>
      <c r="F103" s="729"/>
      <c r="G103" s="729"/>
      <c r="H103" s="729"/>
    </row>
    <row r="104" spans="1:8">
      <c r="A104" s="730" t="s">
        <v>747</v>
      </c>
      <c r="B104" s="729"/>
      <c r="C104" s="729"/>
      <c r="D104" s="729"/>
      <c r="E104" s="729"/>
      <c r="F104" s="729"/>
      <c r="G104" s="729"/>
      <c r="H104" s="729"/>
    </row>
    <row r="105" spans="1:8">
      <c r="A105" s="730" t="s">
        <v>748</v>
      </c>
      <c r="B105" s="729"/>
      <c r="C105" s="729"/>
      <c r="D105" s="729"/>
      <c r="E105" s="729"/>
      <c r="F105" s="729"/>
      <c r="G105" s="729"/>
      <c r="H105" s="729"/>
    </row>
    <row r="106" spans="1:8">
      <c r="A106" s="730" t="s">
        <v>749</v>
      </c>
      <c r="B106" s="729"/>
      <c r="C106" s="729"/>
      <c r="D106" s="729"/>
      <c r="E106" s="729"/>
      <c r="F106" s="729"/>
      <c r="G106" s="729"/>
      <c r="H106" s="729"/>
    </row>
    <row r="107" spans="1:8">
      <c r="A107" s="730" t="s">
        <v>750</v>
      </c>
      <c r="B107" s="729"/>
      <c r="C107" s="729"/>
      <c r="D107" s="729"/>
      <c r="E107" s="729"/>
      <c r="F107" s="729"/>
      <c r="G107" s="729"/>
      <c r="H107" s="729"/>
    </row>
    <row r="108" spans="1:8">
      <c r="A108" s="729"/>
      <c r="B108" s="729"/>
      <c r="C108" s="729"/>
      <c r="D108" s="729"/>
      <c r="E108" s="729"/>
      <c r="F108" s="729"/>
      <c r="G108" s="729"/>
      <c r="H108" s="729"/>
    </row>
    <row r="109" spans="1:8" ht="15.75">
      <c r="A109" s="746" t="s">
        <v>525</v>
      </c>
      <c r="B109" s="746"/>
      <c r="C109" s="746"/>
      <c r="D109" s="746"/>
      <c r="E109" s="746"/>
      <c r="F109" s="746"/>
      <c r="G109" s="746"/>
      <c r="H109" s="746"/>
    </row>
    <row r="110" spans="1:8">
      <c r="A110" s="742" t="s">
        <v>526</v>
      </c>
      <c r="B110" s="742"/>
      <c r="C110" s="742"/>
      <c r="D110" s="742"/>
      <c r="E110" s="742"/>
      <c r="F110" s="742"/>
      <c r="G110" s="742"/>
      <c r="H110" s="742"/>
    </row>
    <row r="111" spans="1:8">
      <c r="A111" s="747"/>
      <c r="B111" s="747"/>
      <c r="C111" s="747"/>
      <c r="D111" s="747"/>
      <c r="E111" s="747"/>
      <c r="F111" s="747"/>
      <c r="G111" s="747"/>
      <c r="H111" s="747"/>
    </row>
    <row r="112" spans="1:8">
      <c r="A112" s="742" t="s">
        <v>740</v>
      </c>
      <c r="B112" s="742"/>
      <c r="C112" s="742"/>
      <c r="D112" s="742"/>
      <c r="E112" s="742"/>
      <c r="F112" s="742"/>
      <c r="G112" s="742"/>
      <c r="H112" s="742"/>
    </row>
    <row r="113" spans="1:8">
      <c r="A113" s="730" t="s">
        <v>741</v>
      </c>
      <c r="B113" s="730"/>
      <c r="C113" s="730"/>
      <c r="D113" s="730"/>
      <c r="E113" s="730"/>
      <c r="F113" s="730"/>
      <c r="G113" s="730"/>
      <c r="H113" s="730"/>
    </row>
    <row r="114" spans="1:8">
      <c r="A114" s="747"/>
      <c r="B114" s="747"/>
      <c r="C114" s="747"/>
      <c r="D114" s="747"/>
      <c r="E114" s="747"/>
      <c r="F114" s="747"/>
      <c r="G114" s="747"/>
      <c r="H114" s="747"/>
    </row>
    <row r="115" spans="1:8">
      <c r="A115" s="742" t="s">
        <v>733</v>
      </c>
      <c r="B115" s="742"/>
      <c r="C115" s="742"/>
      <c r="D115" s="742"/>
      <c r="E115" s="742"/>
      <c r="F115" s="742"/>
      <c r="G115" s="742"/>
      <c r="H115" s="742"/>
    </row>
    <row r="116" spans="1:8">
      <c r="A116" s="730" t="s">
        <v>734</v>
      </c>
      <c r="B116" s="730"/>
      <c r="C116" s="730"/>
      <c r="D116" s="730"/>
      <c r="E116" s="730"/>
      <c r="F116" s="730"/>
      <c r="G116" s="730"/>
      <c r="H116" s="730"/>
    </row>
    <row r="117" spans="1:8">
      <c r="A117" s="730" t="s">
        <v>735</v>
      </c>
      <c r="B117" s="730"/>
      <c r="C117" s="730"/>
      <c r="D117" s="730"/>
      <c r="E117" s="730"/>
      <c r="F117" s="730"/>
      <c r="G117" s="730"/>
      <c r="H117" s="730"/>
    </row>
    <row r="118" spans="1:8">
      <c r="A118" s="730" t="s">
        <v>736</v>
      </c>
      <c r="B118" s="730"/>
      <c r="C118" s="730"/>
      <c r="D118" s="730"/>
      <c r="E118" s="730"/>
      <c r="F118" s="730"/>
      <c r="G118" s="730"/>
      <c r="H118" s="730"/>
    </row>
    <row r="119" spans="1:8">
      <c r="A119" s="730" t="s">
        <v>737</v>
      </c>
      <c r="B119" s="730"/>
      <c r="C119" s="730"/>
      <c r="D119" s="730"/>
      <c r="E119" s="730"/>
      <c r="F119" s="730"/>
      <c r="G119" s="730"/>
      <c r="H119" s="730"/>
    </row>
    <row r="120" spans="1:8">
      <c r="A120" s="730" t="s">
        <v>738</v>
      </c>
      <c r="B120" s="730"/>
      <c r="C120" s="730"/>
      <c r="D120" s="730"/>
      <c r="E120" s="730"/>
      <c r="F120" s="730"/>
      <c r="G120" s="730"/>
      <c r="H120" s="730"/>
    </row>
    <row r="121" spans="1:8">
      <c r="A121" s="730" t="s">
        <v>739</v>
      </c>
      <c r="B121" s="730"/>
      <c r="C121" s="730"/>
      <c r="D121" s="730"/>
      <c r="E121" s="730"/>
      <c r="F121" s="730"/>
      <c r="G121" s="730"/>
      <c r="H121" s="730"/>
    </row>
    <row r="122" spans="1:8">
      <c r="A122" s="748"/>
      <c r="B122" s="748"/>
      <c r="C122" s="748"/>
      <c r="D122" s="748"/>
      <c r="E122" s="748"/>
      <c r="F122" s="748"/>
      <c r="G122" s="748"/>
      <c r="H122" s="748"/>
    </row>
    <row r="123" spans="1:8">
      <c r="A123" s="732"/>
      <c r="B123" s="743" t="s">
        <v>527</v>
      </c>
      <c r="C123" s="744"/>
      <c r="D123" s="743" t="s">
        <v>528</v>
      </c>
      <c r="E123" s="745"/>
      <c r="F123" s="744"/>
      <c r="G123" s="743" t="s">
        <v>529</v>
      </c>
      <c r="H123" s="744"/>
    </row>
    <row r="124" spans="1:8">
      <c r="A124" s="732" t="s">
        <v>530</v>
      </c>
      <c r="B124" s="732" t="s">
        <v>282</v>
      </c>
      <c r="C124" s="732" t="s">
        <v>531</v>
      </c>
      <c r="D124" s="732" t="s">
        <v>282</v>
      </c>
      <c r="E124" s="732" t="s">
        <v>532</v>
      </c>
      <c r="F124" s="732" t="s">
        <v>533</v>
      </c>
      <c r="G124" s="732" t="s">
        <v>282</v>
      </c>
      <c r="H124" s="732" t="s">
        <v>534</v>
      </c>
    </row>
    <row r="125" spans="1:8">
      <c r="A125" s="732" t="s">
        <v>535</v>
      </c>
      <c r="B125" s="732">
        <v>1175</v>
      </c>
      <c r="C125" s="733">
        <v>0.37</v>
      </c>
      <c r="D125" s="732">
        <v>315</v>
      </c>
      <c r="E125" s="733">
        <v>0.41</v>
      </c>
      <c r="F125" s="733">
        <v>0.27</v>
      </c>
      <c r="G125" s="732">
        <v>555</v>
      </c>
      <c r="H125" s="733">
        <v>0.39</v>
      </c>
    </row>
    <row r="126" spans="1:8">
      <c r="A126" s="732" t="s">
        <v>536</v>
      </c>
      <c r="B126" s="732">
        <v>1369</v>
      </c>
      <c r="C126" s="733">
        <v>0.43</v>
      </c>
      <c r="D126" s="732">
        <v>357</v>
      </c>
      <c r="E126" s="733">
        <v>0.47</v>
      </c>
      <c r="F126" s="733">
        <v>0.26</v>
      </c>
      <c r="G126" s="732">
        <v>643</v>
      </c>
      <c r="H126" s="733">
        <v>0.45</v>
      </c>
    </row>
    <row r="127" spans="1:8">
      <c r="A127" s="732" t="s">
        <v>537</v>
      </c>
      <c r="B127" s="732">
        <v>53</v>
      </c>
      <c r="C127" s="733">
        <v>0.02</v>
      </c>
      <c r="D127" s="732">
        <v>5</v>
      </c>
      <c r="E127" s="733">
        <v>0.01</v>
      </c>
      <c r="F127" s="733">
        <v>0.09</v>
      </c>
      <c r="G127" s="732">
        <v>7</v>
      </c>
      <c r="H127" s="733">
        <v>0</v>
      </c>
    </row>
    <row r="128" spans="1:8">
      <c r="A128" s="732" t="s">
        <v>538</v>
      </c>
      <c r="B128" s="732">
        <v>552</v>
      </c>
      <c r="C128" s="733">
        <v>0.18</v>
      </c>
      <c r="D128" s="732">
        <v>87</v>
      </c>
      <c r="E128" s="733">
        <v>0.11</v>
      </c>
      <c r="F128" s="733">
        <v>0.16</v>
      </c>
      <c r="G128" s="732">
        <v>222</v>
      </c>
      <c r="H128" s="733">
        <v>0.16</v>
      </c>
    </row>
    <row r="129" spans="1:8">
      <c r="A129" s="732" t="s">
        <v>300</v>
      </c>
      <c r="B129" s="734">
        <v>3149</v>
      </c>
      <c r="C129" s="732"/>
      <c r="D129" s="732">
        <v>764</v>
      </c>
      <c r="E129" s="732"/>
      <c r="F129" s="732"/>
      <c r="G129" s="732">
        <v>1427</v>
      </c>
      <c r="H129" s="732"/>
    </row>
    <row r="130" spans="1:8">
      <c r="A130" s="741"/>
      <c r="B130" s="741"/>
      <c r="C130" s="741"/>
      <c r="D130" s="741"/>
      <c r="E130" s="741"/>
      <c r="F130" s="741"/>
      <c r="G130" s="741"/>
      <c r="H130" s="741"/>
    </row>
    <row r="131" spans="1:8">
      <c r="A131" s="742" t="s">
        <v>729</v>
      </c>
      <c r="B131" s="742"/>
      <c r="C131" s="742"/>
      <c r="D131" s="742"/>
      <c r="E131" s="742"/>
      <c r="F131" s="742"/>
      <c r="G131" s="742"/>
      <c r="H131" s="742"/>
    </row>
    <row r="132" spans="1:8">
      <c r="A132" s="730" t="s">
        <v>730</v>
      </c>
      <c r="B132" s="730"/>
      <c r="C132" s="730"/>
      <c r="D132" s="730"/>
      <c r="E132" s="730"/>
      <c r="F132" s="730"/>
      <c r="G132" s="730"/>
      <c r="H132" s="730"/>
    </row>
    <row r="133" spans="1:8">
      <c r="A133" s="730" t="s">
        <v>731</v>
      </c>
      <c r="B133" s="730"/>
      <c r="C133" s="730"/>
      <c r="D133" s="730"/>
      <c r="E133" s="730"/>
      <c r="F133" s="730"/>
      <c r="G133" s="730"/>
      <c r="H133" s="730"/>
    </row>
    <row r="134" spans="1:8">
      <c r="A134" s="730" t="s">
        <v>732</v>
      </c>
      <c r="B134" s="730"/>
      <c r="C134" s="730"/>
      <c r="D134" s="730"/>
      <c r="E134" s="730"/>
      <c r="F134" s="730"/>
      <c r="G134" s="730"/>
      <c r="H134" s="730"/>
    </row>
    <row r="135" spans="1:8">
      <c r="A135" s="729"/>
      <c r="B135" s="729"/>
      <c r="C135" s="729"/>
      <c r="D135" s="729"/>
      <c r="E135" s="729"/>
      <c r="F135" s="729"/>
      <c r="G135" s="729"/>
      <c r="H135" s="729"/>
    </row>
    <row r="136" spans="1:8" ht="15.75">
      <c r="A136" s="731" t="s">
        <v>539</v>
      </c>
      <c r="B136" s="729"/>
      <c r="C136" s="729"/>
      <c r="D136" s="729"/>
      <c r="E136" s="729"/>
      <c r="F136" s="729"/>
      <c r="G136" s="729"/>
      <c r="H136" s="729"/>
    </row>
    <row r="137" spans="1:8">
      <c r="A137" s="729"/>
      <c r="B137" s="729"/>
      <c r="C137" s="729"/>
      <c r="D137" s="729"/>
      <c r="E137" s="729"/>
      <c r="F137" s="729"/>
      <c r="G137" s="729"/>
      <c r="H137" s="729"/>
    </row>
    <row r="138" spans="1:8">
      <c r="A138" s="730" t="s">
        <v>727</v>
      </c>
      <c r="B138" s="729"/>
      <c r="C138" s="729"/>
      <c r="D138" s="729"/>
      <c r="E138" s="729"/>
      <c r="F138" s="729"/>
      <c r="G138" s="729"/>
      <c r="H138" s="729"/>
    </row>
    <row r="139" spans="1:8">
      <c r="A139" s="730" t="s">
        <v>728</v>
      </c>
      <c r="B139" s="729"/>
      <c r="C139" s="729"/>
      <c r="D139" s="729"/>
      <c r="E139" s="729"/>
      <c r="F139" s="729"/>
      <c r="G139" s="729"/>
      <c r="H139" s="729"/>
    </row>
    <row r="140" spans="1:8">
      <c r="A140" s="729"/>
      <c r="B140" s="729"/>
      <c r="C140" s="729"/>
      <c r="D140" s="729"/>
      <c r="E140" s="729"/>
      <c r="F140" s="729"/>
      <c r="G140" s="729"/>
      <c r="H140" s="729"/>
    </row>
    <row r="141" spans="1:8">
      <c r="A141" s="730" t="s">
        <v>724</v>
      </c>
      <c r="B141" s="729"/>
      <c r="C141" s="729"/>
      <c r="D141" s="729"/>
      <c r="E141" s="729"/>
      <c r="F141" s="729"/>
      <c r="G141" s="729"/>
      <c r="H141" s="729"/>
    </row>
    <row r="142" spans="1:8">
      <c r="A142" s="730" t="s">
        <v>725</v>
      </c>
      <c r="B142" s="729"/>
      <c r="C142" s="729"/>
      <c r="D142" s="729"/>
      <c r="E142" s="729"/>
      <c r="F142" s="729"/>
      <c r="G142" s="729"/>
      <c r="H142" s="729"/>
    </row>
    <row r="143" spans="1:8">
      <c r="A143" s="730" t="s">
        <v>726</v>
      </c>
      <c r="B143" s="729"/>
      <c r="C143" s="729"/>
      <c r="D143" s="729"/>
      <c r="E143" s="729"/>
      <c r="F143" s="729"/>
      <c r="G143" s="729"/>
      <c r="H143" s="729"/>
    </row>
    <row r="144" spans="1:8">
      <c r="A144" s="729"/>
      <c r="B144" s="729"/>
      <c r="C144" s="729"/>
      <c r="D144" s="729"/>
      <c r="E144" s="729"/>
      <c r="F144" s="729"/>
      <c r="G144" s="729"/>
      <c r="H144" s="729"/>
    </row>
    <row r="145" spans="1:8">
      <c r="A145" s="730" t="s">
        <v>721</v>
      </c>
      <c r="B145" s="729"/>
      <c r="C145" s="729"/>
      <c r="D145" s="729"/>
      <c r="E145" s="729"/>
      <c r="F145" s="729"/>
      <c r="G145" s="729"/>
      <c r="H145" s="729"/>
    </row>
    <row r="146" spans="1:8">
      <c r="A146" s="730" t="s">
        <v>722</v>
      </c>
      <c r="B146" s="729"/>
      <c r="C146" s="729"/>
      <c r="D146" s="729"/>
      <c r="E146" s="729"/>
      <c r="F146" s="729"/>
      <c r="G146" s="729"/>
      <c r="H146" s="729"/>
    </row>
    <row r="147" spans="1:8">
      <c r="A147" s="730" t="s">
        <v>723</v>
      </c>
      <c r="B147" s="729"/>
      <c r="C147" s="729"/>
      <c r="D147" s="729"/>
      <c r="E147" s="729"/>
      <c r="F147" s="729"/>
      <c r="G147" s="729"/>
      <c r="H147" s="729"/>
    </row>
    <row r="148" spans="1:8">
      <c r="A148" s="729"/>
      <c r="B148" s="729"/>
      <c r="C148" s="729"/>
      <c r="D148" s="729"/>
      <c r="E148" s="729"/>
      <c r="F148" s="729"/>
      <c r="G148" s="729"/>
      <c r="H148" s="729"/>
    </row>
    <row r="149" spans="1:8">
      <c r="A149" s="730" t="s">
        <v>718</v>
      </c>
      <c r="B149" s="729"/>
      <c r="C149" s="729"/>
      <c r="D149" s="729"/>
      <c r="E149" s="729"/>
      <c r="F149" s="729"/>
      <c r="G149" s="729"/>
      <c r="H149" s="729"/>
    </row>
    <row r="150" spans="1:8">
      <c r="A150" s="730" t="s">
        <v>719</v>
      </c>
      <c r="B150" s="729"/>
      <c r="C150" s="729"/>
      <c r="D150" s="729"/>
      <c r="E150" s="729"/>
      <c r="F150" s="729"/>
      <c r="G150" s="729"/>
      <c r="H150" s="729"/>
    </row>
    <row r="151" spans="1:8">
      <c r="A151" s="730" t="s">
        <v>720</v>
      </c>
      <c r="B151" s="729"/>
      <c r="C151" s="729"/>
      <c r="D151" s="729"/>
      <c r="E151" s="729"/>
      <c r="F151" s="729"/>
      <c r="G151" s="729"/>
      <c r="H151" s="729"/>
    </row>
    <row r="152" spans="1:8">
      <c r="A152" s="729"/>
      <c r="B152" s="729"/>
      <c r="C152" s="729"/>
      <c r="D152" s="729"/>
      <c r="E152" s="729"/>
      <c r="F152" s="729"/>
      <c r="G152" s="729"/>
      <c r="H152" s="729"/>
    </row>
    <row r="153" spans="1:8">
      <c r="A153" s="730" t="s">
        <v>716</v>
      </c>
      <c r="B153" s="729"/>
      <c r="C153" s="729"/>
      <c r="D153" s="729"/>
      <c r="E153" s="729"/>
      <c r="F153" s="729"/>
      <c r="G153" s="729"/>
      <c r="H153" s="729"/>
    </row>
    <row r="154" spans="1:8">
      <c r="A154" s="730" t="s">
        <v>717</v>
      </c>
      <c r="B154" s="729"/>
      <c r="C154" s="729"/>
      <c r="D154" s="729"/>
      <c r="E154" s="729"/>
      <c r="F154" s="729"/>
      <c r="G154" s="729"/>
      <c r="H154" s="729"/>
    </row>
    <row r="155" spans="1:8">
      <c r="A155" s="729"/>
      <c r="B155" s="729"/>
      <c r="C155" s="729"/>
      <c r="D155" s="729"/>
      <c r="E155" s="729"/>
      <c r="F155" s="729"/>
      <c r="G155" s="729"/>
      <c r="H155" s="729"/>
    </row>
    <row r="156" spans="1:8" ht="15.75">
      <c r="A156" s="731" t="s">
        <v>540</v>
      </c>
      <c r="B156" s="729"/>
      <c r="C156" s="729"/>
      <c r="D156" s="729"/>
      <c r="E156" s="729"/>
      <c r="F156" s="729"/>
      <c r="G156" s="729"/>
      <c r="H156" s="729"/>
    </row>
    <row r="157" spans="1:8">
      <c r="A157" s="729"/>
      <c r="B157" s="729"/>
      <c r="C157" s="729"/>
      <c r="D157" s="729"/>
      <c r="E157" s="729"/>
      <c r="F157" s="729"/>
      <c r="G157" s="729"/>
      <c r="H157" s="729"/>
    </row>
    <row r="158" spans="1:8">
      <c r="A158" s="730" t="s">
        <v>714</v>
      </c>
      <c r="B158" s="729"/>
      <c r="C158" s="729"/>
      <c r="D158" s="729"/>
      <c r="E158" s="729"/>
      <c r="F158" s="729"/>
      <c r="G158" s="729"/>
      <c r="H158" s="729"/>
    </row>
    <row r="159" spans="1:8">
      <c r="A159" s="730" t="s">
        <v>715</v>
      </c>
      <c r="B159" s="729"/>
      <c r="C159" s="729"/>
      <c r="D159" s="729"/>
      <c r="E159" s="729"/>
      <c r="F159" s="729"/>
      <c r="G159" s="729"/>
      <c r="H159" s="729"/>
    </row>
    <row r="160" spans="1:8">
      <c r="A160" s="729"/>
      <c r="B160" s="729"/>
      <c r="C160" s="729"/>
      <c r="D160" s="729"/>
      <c r="E160" s="729"/>
      <c r="F160" s="729"/>
      <c r="G160" s="729"/>
      <c r="H160" s="729"/>
    </row>
    <row r="161" spans="1:8">
      <c r="A161" s="730" t="s">
        <v>712</v>
      </c>
      <c r="B161" s="729"/>
      <c r="C161" s="729"/>
      <c r="D161" s="729"/>
      <c r="E161" s="729"/>
      <c r="F161" s="729"/>
      <c r="G161" s="729"/>
      <c r="H161" s="729"/>
    </row>
    <row r="162" spans="1:8">
      <c r="A162" s="730" t="s">
        <v>713</v>
      </c>
      <c r="B162" s="729"/>
      <c r="C162" s="729"/>
      <c r="D162" s="729"/>
      <c r="E162" s="729"/>
      <c r="F162" s="729"/>
      <c r="G162" s="729"/>
      <c r="H162" s="729"/>
    </row>
    <row r="163" spans="1:8">
      <c r="A163" s="729"/>
      <c r="B163" s="729"/>
      <c r="C163" s="729"/>
      <c r="D163" s="729"/>
      <c r="E163" s="729"/>
      <c r="F163" s="729"/>
      <c r="G163" s="729"/>
      <c r="H163" s="729"/>
    </row>
    <row r="164" spans="1:8">
      <c r="A164" s="730" t="s">
        <v>710</v>
      </c>
      <c r="B164" s="729"/>
      <c r="C164" s="729"/>
      <c r="D164" s="729"/>
      <c r="E164" s="729"/>
      <c r="F164" s="729"/>
      <c r="G164" s="729"/>
      <c r="H164" s="729"/>
    </row>
    <row r="165" spans="1:8">
      <c r="A165" s="730" t="s">
        <v>711</v>
      </c>
      <c r="B165" s="729"/>
      <c r="C165" s="729"/>
      <c r="D165" s="729"/>
      <c r="E165" s="729"/>
      <c r="F165" s="729"/>
      <c r="G165" s="729"/>
      <c r="H165" s="729"/>
    </row>
    <row r="166" spans="1:8">
      <c r="A166" s="729"/>
      <c r="B166" s="729"/>
      <c r="C166" s="729"/>
      <c r="D166" s="729"/>
      <c r="E166" s="729"/>
      <c r="F166" s="729"/>
      <c r="G166" s="729"/>
      <c r="H166" s="729"/>
    </row>
    <row r="167" spans="1:8">
      <c r="A167" s="730" t="s">
        <v>707</v>
      </c>
      <c r="B167" s="729"/>
      <c r="C167" s="729"/>
      <c r="D167" s="729"/>
      <c r="E167" s="729"/>
      <c r="F167" s="729"/>
      <c r="G167" s="729"/>
      <c r="H167" s="729"/>
    </row>
    <row r="168" spans="1:8">
      <c r="A168" s="730" t="s">
        <v>708</v>
      </c>
      <c r="B168" s="729"/>
      <c r="C168" s="729"/>
      <c r="D168" s="729"/>
      <c r="E168" s="729"/>
      <c r="F168" s="729"/>
      <c r="G168" s="729"/>
      <c r="H168" s="729"/>
    </row>
    <row r="169" spans="1:8">
      <c r="A169" s="730" t="s">
        <v>709</v>
      </c>
      <c r="B169" s="729"/>
      <c r="C169" s="729"/>
      <c r="D169" s="729"/>
      <c r="E169" s="729"/>
      <c r="F169" s="729"/>
      <c r="G169" s="729"/>
      <c r="H169" s="729"/>
    </row>
    <row r="170" spans="1:8">
      <c r="A170" s="729"/>
      <c r="B170" s="729"/>
      <c r="C170" s="729"/>
      <c r="D170" s="729"/>
      <c r="E170" s="729"/>
      <c r="F170" s="729"/>
      <c r="G170" s="729"/>
      <c r="H170" s="729"/>
    </row>
    <row r="171" spans="1:8">
      <c r="A171" s="729"/>
      <c r="B171" s="729"/>
      <c r="C171" s="729"/>
      <c r="D171" s="729"/>
      <c r="E171" s="729"/>
      <c r="F171" s="729"/>
      <c r="G171" s="729"/>
      <c r="H171" s="729"/>
    </row>
    <row r="172" spans="1:8">
      <c r="A172" s="730" t="s">
        <v>541</v>
      </c>
      <c r="B172" s="729"/>
      <c r="C172" s="729"/>
      <c r="D172" s="729"/>
      <c r="E172" s="729"/>
      <c r="F172" s="729"/>
      <c r="G172" s="729"/>
      <c r="H172" s="729"/>
    </row>
    <row r="173" spans="1:8">
      <c r="A173" s="729"/>
      <c r="B173" s="729"/>
      <c r="C173" s="729"/>
      <c r="D173" s="729"/>
      <c r="E173" s="729"/>
      <c r="F173" s="729"/>
      <c r="G173" s="729"/>
      <c r="H173" s="729"/>
    </row>
    <row r="174" spans="1:8" ht="15.75">
      <c r="A174" s="731" t="s">
        <v>542</v>
      </c>
      <c r="B174" s="729"/>
      <c r="C174" s="729"/>
      <c r="D174" s="729"/>
      <c r="E174" s="729"/>
      <c r="F174" s="729"/>
      <c r="G174" s="729"/>
      <c r="H174" s="729"/>
    </row>
    <row r="175" spans="1:8">
      <c r="A175" s="729"/>
      <c r="B175" s="729"/>
      <c r="C175" s="729"/>
      <c r="D175" s="729"/>
      <c r="E175" s="729"/>
      <c r="F175" s="729"/>
      <c r="G175" s="729"/>
      <c r="H175" s="729"/>
    </row>
    <row r="176" spans="1:8">
      <c r="A176" s="729"/>
      <c r="B176" s="729"/>
      <c r="C176" s="729"/>
      <c r="D176" s="729"/>
      <c r="E176" s="729"/>
      <c r="F176" s="729"/>
      <c r="G176" s="729"/>
      <c r="H176" s="729"/>
    </row>
    <row r="177" spans="1:8">
      <c r="A177" s="729"/>
      <c r="B177" s="729"/>
      <c r="C177" s="729"/>
      <c r="D177" s="729"/>
      <c r="E177" s="729"/>
      <c r="F177" s="729"/>
      <c r="G177" s="729"/>
      <c r="H177" s="729"/>
    </row>
    <row r="178" spans="1:8">
      <c r="A178" s="729"/>
      <c r="B178" s="729"/>
      <c r="C178" s="729"/>
      <c r="D178" s="729"/>
      <c r="E178" s="729"/>
      <c r="F178" s="729"/>
      <c r="G178" s="729"/>
      <c r="H178" s="729"/>
    </row>
    <row r="179" spans="1:8">
      <c r="A179" s="729"/>
      <c r="B179" s="729"/>
      <c r="C179" s="729"/>
      <c r="D179" s="729"/>
      <c r="E179" s="729"/>
      <c r="F179" s="729"/>
      <c r="G179" s="729"/>
      <c r="H179" s="729"/>
    </row>
    <row r="180" spans="1:8">
      <c r="A180" s="729"/>
      <c r="B180" s="729"/>
      <c r="C180" s="729"/>
      <c r="D180" s="729"/>
      <c r="E180" s="729"/>
      <c r="F180" s="729"/>
      <c r="G180" s="729"/>
      <c r="H180" s="729"/>
    </row>
    <row r="181" spans="1:8">
      <c r="A181" s="729"/>
      <c r="B181" s="729"/>
      <c r="C181" s="729"/>
      <c r="D181" s="729"/>
      <c r="E181" s="729"/>
      <c r="F181" s="729"/>
      <c r="G181" s="729"/>
      <c r="H181" s="729"/>
    </row>
    <row r="182" spans="1:8">
      <c r="A182" s="729"/>
      <c r="B182" s="729"/>
      <c r="C182" s="729"/>
      <c r="D182" s="729"/>
      <c r="E182" s="729"/>
      <c r="F182" s="729"/>
      <c r="G182" s="729"/>
      <c r="H182" s="729"/>
    </row>
    <row r="183" spans="1:8">
      <c r="A183" s="729"/>
      <c r="B183" s="729"/>
      <c r="C183" s="729"/>
      <c r="D183" s="729"/>
      <c r="E183" s="729"/>
      <c r="F183" s="729"/>
      <c r="G183" s="729"/>
      <c r="H183" s="729"/>
    </row>
    <row r="184" spans="1:8">
      <c r="A184" s="729"/>
      <c r="B184" s="729"/>
      <c r="C184" s="729"/>
      <c r="D184" s="729"/>
      <c r="E184" s="729"/>
      <c r="F184" s="729"/>
      <c r="G184" s="729"/>
      <c r="H184" s="729"/>
    </row>
    <row r="185" spans="1:8">
      <c r="A185" s="729"/>
      <c r="B185" s="729"/>
      <c r="C185" s="729"/>
      <c r="D185" s="729"/>
      <c r="E185" s="729"/>
      <c r="F185" s="729"/>
      <c r="G185" s="729"/>
      <c r="H185" s="729"/>
    </row>
    <row r="186" spans="1:8">
      <c r="A186" s="729"/>
      <c r="B186" s="729"/>
      <c r="C186" s="729"/>
      <c r="D186" s="729"/>
      <c r="E186" s="729"/>
      <c r="F186" s="729"/>
      <c r="G186" s="729"/>
      <c r="H186" s="729"/>
    </row>
    <row r="187" spans="1:8">
      <c r="A187" s="729"/>
      <c r="B187" s="729"/>
      <c r="C187" s="729"/>
      <c r="D187" s="729"/>
      <c r="E187" s="729"/>
      <c r="F187" s="729"/>
      <c r="G187" s="729"/>
      <c r="H187" s="729"/>
    </row>
    <row r="188" spans="1:8">
      <c r="A188" s="729"/>
      <c r="B188" s="729"/>
      <c r="C188" s="729"/>
      <c r="D188" s="729"/>
      <c r="E188" s="729"/>
      <c r="F188" s="729"/>
      <c r="G188" s="729"/>
      <c r="H188" s="729"/>
    </row>
    <row r="189" spans="1:8">
      <c r="A189" s="729"/>
      <c r="B189" s="729"/>
      <c r="C189" s="729"/>
      <c r="D189" s="729"/>
      <c r="E189" s="729"/>
      <c r="F189" s="729"/>
      <c r="G189" s="729"/>
      <c r="H189" s="729"/>
    </row>
    <row r="190" spans="1:8">
      <c r="A190" s="729"/>
      <c r="B190" s="729"/>
      <c r="C190" s="729"/>
      <c r="D190" s="729"/>
      <c r="E190" s="729"/>
      <c r="F190" s="729"/>
      <c r="G190" s="729"/>
      <c r="H190" s="729"/>
    </row>
    <row r="191" spans="1:8">
      <c r="A191" s="729"/>
      <c r="B191" s="729"/>
      <c r="C191" s="729"/>
      <c r="D191" s="729"/>
      <c r="E191" s="729"/>
      <c r="F191" s="729"/>
      <c r="G191" s="729"/>
      <c r="H191" s="729"/>
    </row>
    <row r="192" spans="1:8">
      <c r="A192" s="729"/>
      <c r="B192" s="729"/>
      <c r="C192" s="729"/>
      <c r="D192" s="729"/>
      <c r="E192" s="729"/>
      <c r="F192" s="729"/>
      <c r="G192" s="729"/>
      <c r="H192" s="729"/>
    </row>
    <row r="193" spans="1:8">
      <c r="A193" s="729"/>
      <c r="B193" s="729"/>
      <c r="C193" s="729"/>
      <c r="D193" s="729"/>
      <c r="E193" s="729"/>
      <c r="F193" s="729"/>
      <c r="G193" s="729"/>
      <c r="H193" s="729"/>
    </row>
    <row r="194" spans="1:8">
      <c r="A194" s="729"/>
      <c r="B194" s="729"/>
      <c r="C194" s="729"/>
      <c r="D194" s="729"/>
      <c r="E194" s="729"/>
      <c r="F194" s="729"/>
      <c r="G194" s="729"/>
      <c r="H194" s="729"/>
    </row>
    <row r="195" spans="1:8">
      <c r="A195" s="729"/>
      <c r="B195" s="729"/>
      <c r="C195" s="729"/>
      <c r="D195" s="729"/>
      <c r="E195" s="729"/>
      <c r="F195" s="729"/>
      <c r="G195" s="729"/>
      <c r="H195" s="729"/>
    </row>
    <row r="196" spans="1:8">
      <c r="A196" s="729"/>
      <c r="B196" s="729"/>
      <c r="C196" s="729"/>
      <c r="D196" s="729"/>
      <c r="E196" s="729"/>
      <c r="F196" s="729"/>
      <c r="G196" s="729"/>
      <c r="H196" s="729"/>
    </row>
    <row r="197" spans="1:8">
      <c r="A197" s="729"/>
      <c r="B197" s="729"/>
      <c r="C197" s="729"/>
      <c r="D197" s="729"/>
      <c r="E197" s="729"/>
      <c r="F197" s="729"/>
      <c r="G197" s="729"/>
      <c r="H197" s="729"/>
    </row>
    <row r="198" spans="1:8">
      <c r="A198" s="729"/>
      <c r="B198" s="729"/>
      <c r="C198" s="729"/>
      <c r="D198" s="729"/>
      <c r="E198" s="729"/>
      <c r="F198" s="729"/>
      <c r="G198" s="729"/>
      <c r="H198" s="729"/>
    </row>
    <row r="199" spans="1:8">
      <c r="A199" s="729"/>
      <c r="B199" s="729"/>
      <c r="C199" s="729"/>
      <c r="D199" s="729"/>
      <c r="E199" s="729"/>
      <c r="F199" s="729"/>
      <c r="G199" s="729"/>
      <c r="H199" s="729"/>
    </row>
    <row r="200" spans="1:8">
      <c r="A200" s="729"/>
      <c r="B200" s="729"/>
      <c r="C200" s="729"/>
      <c r="D200" s="729"/>
      <c r="E200" s="729"/>
      <c r="F200" s="729"/>
      <c r="G200" s="729"/>
      <c r="H200" s="729"/>
    </row>
    <row r="201" spans="1:8" ht="15.75">
      <c r="A201" s="731" t="s">
        <v>543</v>
      </c>
      <c r="B201" s="729"/>
      <c r="C201" s="729"/>
      <c r="D201" s="729"/>
      <c r="E201" s="729"/>
      <c r="F201" s="729"/>
      <c r="G201" s="729"/>
      <c r="H201" s="729"/>
    </row>
    <row r="202" spans="1:8">
      <c r="A202" s="729"/>
      <c r="B202" s="729"/>
      <c r="C202" s="729"/>
      <c r="D202" s="729"/>
      <c r="E202" s="729"/>
      <c r="F202" s="729"/>
      <c r="G202" s="729"/>
      <c r="H202" s="729"/>
    </row>
    <row r="203" spans="1:8">
      <c r="A203" s="730" t="s">
        <v>702</v>
      </c>
      <c r="B203" s="729"/>
      <c r="C203" s="729"/>
      <c r="D203" s="729"/>
      <c r="E203" s="729"/>
      <c r="F203" s="729"/>
      <c r="G203" s="729"/>
      <c r="H203" s="729"/>
    </row>
    <row r="204" spans="1:8">
      <c r="A204" s="730" t="s">
        <v>703</v>
      </c>
      <c r="B204" s="729"/>
      <c r="C204" s="729"/>
      <c r="D204" s="729"/>
      <c r="E204" s="729"/>
      <c r="F204" s="729"/>
      <c r="G204" s="729"/>
      <c r="H204" s="729"/>
    </row>
    <row r="205" spans="1:8">
      <c r="A205" s="730" t="s">
        <v>704</v>
      </c>
      <c r="B205" s="729"/>
      <c r="C205" s="729"/>
      <c r="D205" s="729"/>
      <c r="E205" s="729"/>
      <c r="F205" s="729"/>
      <c r="G205" s="729"/>
      <c r="H205" s="729"/>
    </row>
    <row r="206" spans="1:8">
      <c r="A206" s="730" t="s">
        <v>705</v>
      </c>
      <c r="B206" s="729"/>
      <c r="C206" s="729"/>
      <c r="D206" s="729"/>
      <c r="E206" s="729"/>
      <c r="F206" s="729"/>
      <c r="G206" s="729"/>
      <c r="H206" s="729"/>
    </row>
    <row r="207" spans="1:8">
      <c r="A207" s="730" t="s">
        <v>706</v>
      </c>
      <c r="B207" s="729"/>
      <c r="C207" s="729"/>
      <c r="D207" s="729"/>
      <c r="E207" s="729"/>
      <c r="F207" s="729"/>
      <c r="G207" s="729"/>
      <c r="H207" s="729"/>
    </row>
    <row r="208" spans="1:8">
      <c r="A208" s="729"/>
      <c r="B208" s="729"/>
      <c r="C208" s="729"/>
      <c r="D208" s="729"/>
      <c r="E208" s="729"/>
      <c r="F208" s="729"/>
      <c r="G208" s="729"/>
      <c r="H208" s="729"/>
    </row>
    <row r="209" spans="1:8">
      <c r="A209" s="730" t="s">
        <v>699</v>
      </c>
      <c r="B209" s="729"/>
      <c r="C209" s="729"/>
      <c r="D209" s="729"/>
      <c r="E209" s="729"/>
      <c r="F209" s="729"/>
      <c r="G209" s="729"/>
      <c r="H209" s="729"/>
    </row>
    <row r="210" spans="1:8">
      <c r="A210" s="730" t="s">
        <v>700</v>
      </c>
      <c r="B210" s="729"/>
      <c r="C210" s="729"/>
      <c r="D210" s="729"/>
      <c r="E210" s="729"/>
      <c r="F210" s="729"/>
      <c r="G210" s="729"/>
      <c r="H210" s="729"/>
    </row>
    <row r="211" spans="1:8">
      <c r="A211" s="730" t="s">
        <v>701</v>
      </c>
      <c r="B211" s="729"/>
      <c r="C211" s="729"/>
      <c r="D211" s="729"/>
      <c r="E211" s="729"/>
      <c r="F211" s="729"/>
      <c r="G211" s="729"/>
      <c r="H211" s="729"/>
    </row>
    <row r="212" spans="1:8" ht="15.75">
      <c r="A212" s="731" t="s">
        <v>544</v>
      </c>
      <c r="B212" s="729"/>
      <c r="C212" s="729"/>
      <c r="D212" s="729"/>
      <c r="E212" s="729"/>
      <c r="F212" s="729"/>
      <c r="G212" s="729"/>
      <c r="H212" s="729"/>
    </row>
    <row r="213" spans="1:8">
      <c r="A213" s="729"/>
      <c r="B213" s="729"/>
      <c r="C213" s="729"/>
      <c r="D213" s="729"/>
      <c r="E213" s="729"/>
      <c r="F213" s="729"/>
      <c r="G213" s="729"/>
      <c r="H213" s="729"/>
    </row>
    <row r="214" spans="1:8">
      <c r="A214" s="730" t="s">
        <v>692</v>
      </c>
      <c r="B214" s="729"/>
      <c r="C214" s="729"/>
      <c r="D214" s="729"/>
      <c r="E214" s="729"/>
      <c r="F214" s="729"/>
      <c r="G214" s="729"/>
      <c r="H214" s="729"/>
    </row>
    <row r="215" spans="1:8">
      <c r="A215" s="730" t="s">
        <v>693</v>
      </c>
      <c r="B215" s="729"/>
      <c r="C215" s="729"/>
      <c r="D215" s="729"/>
      <c r="E215" s="729"/>
      <c r="F215" s="729"/>
      <c r="G215" s="729"/>
      <c r="H215" s="729"/>
    </row>
    <row r="216" spans="1:8">
      <c r="A216" s="730" t="s">
        <v>694</v>
      </c>
      <c r="B216" s="729"/>
      <c r="C216" s="729"/>
      <c r="D216" s="729"/>
      <c r="E216" s="729"/>
      <c r="F216" s="729"/>
      <c r="G216" s="729"/>
      <c r="H216" s="729"/>
    </row>
    <row r="217" spans="1:8">
      <c r="A217" s="730" t="s">
        <v>695</v>
      </c>
      <c r="B217" s="729"/>
      <c r="C217" s="729"/>
      <c r="D217" s="729"/>
      <c r="E217" s="729"/>
      <c r="F217" s="729"/>
      <c r="G217" s="729"/>
      <c r="H217" s="729"/>
    </row>
    <row r="218" spans="1:8">
      <c r="A218" s="730" t="s">
        <v>696</v>
      </c>
      <c r="B218" s="729"/>
      <c r="C218" s="729"/>
      <c r="D218" s="729"/>
      <c r="E218" s="729"/>
      <c r="F218" s="729"/>
      <c r="G218" s="729"/>
      <c r="H218" s="729"/>
    </row>
    <row r="219" spans="1:8">
      <c r="A219" s="730" t="s">
        <v>697</v>
      </c>
      <c r="B219" s="729"/>
      <c r="C219" s="729"/>
      <c r="D219" s="729"/>
      <c r="E219" s="729"/>
      <c r="F219" s="729"/>
      <c r="G219" s="729"/>
      <c r="H219" s="729"/>
    </row>
    <row r="220" spans="1:8">
      <c r="A220" s="730" t="s">
        <v>698</v>
      </c>
      <c r="B220" s="729"/>
      <c r="C220" s="729"/>
      <c r="D220" s="729"/>
      <c r="E220" s="729"/>
      <c r="F220" s="729"/>
      <c r="G220" s="729"/>
      <c r="H220" s="729"/>
    </row>
    <row r="221" spans="1:8">
      <c r="A221" s="729"/>
      <c r="B221" s="729"/>
      <c r="C221" s="729"/>
      <c r="D221" s="729"/>
      <c r="E221" s="729"/>
      <c r="F221" s="729"/>
      <c r="G221" s="729"/>
      <c r="H221" s="729"/>
    </row>
    <row r="222" spans="1:8">
      <c r="A222" s="730" t="s">
        <v>689</v>
      </c>
      <c r="B222" s="729"/>
      <c r="C222" s="729"/>
      <c r="D222" s="729"/>
      <c r="E222" s="729"/>
      <c r="F222" s="729"/>
      <c r="G222" s="729"/>
      <c r="H222" s="729"/>
    </row>
    <row r="223" spans="1:8">
      <c r="A223" s="730" t="s">
        <v>690</v>
      </c>
      <c r="B223" s="729"/>
      <c r="C223" s="729"/>
      <c r="D223" s="729"/>
      <c r="E223" s="729"/>
      <c r="F223" s="729"/>
      <c r="G223" s="729"/>
      <c r="H223" s="729"/>
    </row>
    <row r="224" spans="1:8">
      <c r="A224" s="730" t="s">
        <v>691</v>
      </c>
      <c r="B224" s="729"/>
      <c r="C224" s="729"/>
      <c r="D224" s="729"/>
      <c r="E224" s="729"/>
      <c r="F224" s="729"/>
      <c r="G224" s="729"/>
      <c r="H224" s="729"/>
    </row>
    <row r="225" spans="1:8">
      <c r="A225" s="729"/>
      <c r="B225" s="729"/>
      <c r="C225" s="729"/>
      <c r="D225" s="729"/>
      <c r="E225" s="729"/>
      <c r="F225" s="729"/>
      <c r="G225" s="729"/>
      <c r="H225" s="729"/>
    </row>
    <row r="226" spans="1:8">
      <c r="A226" s="730" t="s">
        <v>684</v>
      </c>
      <c r="B226" s="729"/>
      <c r="C226" s="729"/>
      <c r="D226" s="729"/>
      <c r="E226" s="729"/>
      <c r="F226" s="729"/>
      <c r="G226" s="729"/>
      <c r="H226" s="729"/>
    </row>
    <row r="227" spans="1:8">
      <c r="A227" s="730" t="s">
        <v>685</v>
      </c>
      <c r="B227" s="729"/>
      <c r="C227" s="729"/>
      <c r="D227" s="729"/>
      <c r="E227" s="729"/>
      <c r="F227" s="729"/>
      <c r="G227" s="729"/>
      <c r="H227" s="729"/>
    </row>
    <row r="228" spans="1:8">
      <c r="A228" s="730" t="s">
        <v>686</v>
      </c>
      <c r="B228" s="729"/>
      <c r="C228" s="729"/>
      <c r="D228" s="729"/>
      <c r="E228" s="729"/>
      <c r="F228" s="729"/>
      <c r="G228" s="729"/>
      <c r="H228" s="729"/>
    </row>
    <row r="229" spans="1:8">
      <c r="A229" s="730" t="s">
        <v>687</v>
      </c>
      <c r="B229" s="729"/>
      <c r="C229" s="729"/>
      <c r="D229" s="729"/>
      <c r="E229" s="729"/>
      <c r="F229" s="729"/>
      <c r="G229" s="729"/>
      <c r="H229" s="729"/>
    </row>
    <row r="230" spans="1:8">
      <c r="A230" s="730" t="s">
        <v>688</v>
      </c>
      <c r="B230" s="729"/>
      <c r="C230" s="729"/>
      <c r="D230" s="729"/>
      <c r="E230" s="729"/>
      <c r="F230" s="729"/>
      <c r="G230" s="729"/>
      <c r="H230" s="729"/>
    </row>
    <row r="231" spans="1:8">
      <c r="A231" s="729"/>
      <c r="B231" s="729"/>
      <c r="C231" s="729"/>
      <c r="D231" s="729"/>
      <c r="E231" s="729"/>
      <c r="F231" s="729"/>
      <c r="G231" s="729"/>
      <c r="H231" s="729"/>
    </row>
    <row r="232" spans="1:8">
      <c r="A232" s="730" t="s">
        <v>678</v>
      </c>
      <c r="B232" s="729"/>
      <c r="C232" s="729"/>
      <c r="D232" s="729"/>
      <c r="E232" s="729"/>
      <c r="F232" s="729"/>
      <c r="G232" s="729"/>
      <c r="H232" s="729"/>
    </row>
    <row r="233" spans="1:8">
      <c r="A233" s="730" t="s">
        <v>679</v>
      </c>
      <c r="B233" s="729"/>
      <c r="C233" s="729"/>
      <c r="D233" s="729"/>
      <c r="E233" s="729"/>
      <c r="F233" s="729"/>
      <c r="G233" s="729"/>
      <c r="H233" s="729"/>
    </row>
    <row r="234" spans="1:8">
      <c r="A234" s="730" t="s">
        <v>680</v>
      </c>
      <c r="B234" s="729"/>
      <c r="C234" s="729"/>
      <c r="D234" s="729"/>
      <c r="E234" s="729"/>
      <c r="F234" s="729"/>
      <c r="G234" s="729"/>
      <c r="H234" s="729"/>
    </row>
    <row r="235" spans="1:8">
      <c r="A235" s="730" t="s">
        <v>681</v>
      </c>
      <c r="B235" s="729"/>
      <c r="C235" s="729"/>
      <c r="D235" s="729"/>
      <c r="E235" s="729"/>
      <c r="F235" s="729"/>
      <c r="G235" s="729"/>
      <c r="H235" s="729"/>
    </row>
    <row r="236" spans="1:8">
      <c r="A236" s="730" t="s">
        <v>682</v>
      </c>
      <c r="B236" s="729"/>
      <c r="C236" s="729"/>
      <c r="D236" s="729"/>
      <c r="E236" s="729"/>
      <c r="F236" s="729"/>
      <c r="G236" s="729"/>
      <c r="H236" s="729"/>
    </row>
    <row r="237" spans="1:8">
      <c r="A237" s="730" t="s">
        <v>683</v>
      </c>
      <c r="B237" s="729"/>
      <c r="C237" s="729"/>
      <c r="D237" s="729"/>
      <c r="E237" s="729"/>
      <c r="F237" s="729"/>
      <c r="G237" s="729"/>
      <c r="H237" s="729"/>
    </row>
    <row r="238" spans="1:8">
      <c r="A238" s="729"/>
      <c r="B238" s="729"/>
      <c r="C238" s="729"/>
      <c r="D238" s="729"/>
      <c r="E238" s="729"/>
      <c r="F238" s="729"/>
      <c r="G238" s="729"/>
      <c r="H238" s="729"/>
    </row>
    <row r="239" spans="1:8">
      <c r="A239" s="730" t="s">
        <v>668</v>
      </c>
      <c r="B239" s="729"/>
      <c r="C239" s="729"/>
      <c r="D239" s="729"/>
      <c r="E239" s="729"/>
      <c r="F239" s="729"/>
      <c r="G239" s="729"/>
      <c r="H239" s="729"/>
    </row>
    <row r="240" spans="1:8">
      <c r="A240" s="730" t="s">
        <v>669</v>
      </c>
      <c r="B240" s="729"/>
      <c r="C240" s="729"/>
      <c r="D240" s="729"/>
      <c r="E240" s="729"/>
      <c r="F240" s="729"/>
      <c r="G240" s="729"/>
      <c r="H240" s="729"/>
    </row>
    <row r="241" spans="1:8">
      <c r="A241" s="730" t="s">
        <v>670</v>
      </c>
      <c r="B241" s="729"/>
      <c r="C241" s="729"/>
      <c r="D241" s="729"/>
      <c r="E241" s="729"/>
      <c r="F241" s="729"/>
      <c r="G241" s="729"/>
      <c r="H241" s="729"/>
    </row>
    <row r="242" spans="1:8">
      <c r="A242" s="730" t="s">
        <v>671</v>
      </c>
      <c r="B242" s="729"/>
      <c r="C242" s="729"/>
      <c r="D242" s="729"/>
      <c r="E242" s="729"/>
      <c r="F242" s="729"/>
      <c r="G242" s="729"/>
      <c r="H242" s="729"/>
    </row>
    <row r="243" spans="1:8">
      <c r="A243" s="730" t="s">
        <v>672</v>
      </c>
      <c r="B243" s="729"/>
      <c r="C243" s="729"/>
      <c r="D243" s="729"/>
      <c r="E243" s="729"/>
      <c r="F243" s="729"/>
      <c r="G243" s="729"/>
      <c r="H243" s="729"/>
    </row>
    <row r="244" spans="1:8">
      <c r="A244" s="730" t="s">
        <v>673</v>
      </c>
      <c r="B244" s="729"/>
      <c r="C244" s="729"/>
      <c r="D244" s="729"/>
      <c r="E244" s="729"/>
      <c r="F244" s="729"/>
      <c r="G244" s="729"/>
      <c r="H244" s="729"/>
    </row>
    <row r="245" spans="1:8">
      <c r="A245" s="730" t="s">
        <v>674</v>
      </c>
      <c r="B245" s="729"/>
      <c r="C245" s="729"/>
      <c r="D245" s="729"/>
      <c r="E245" s="729"/>
      <c r="F245" s="729"/>
      <c r="G245" s="729"/>
      <c r="H245" s="729"/>
    </row>
    <row r="246" spans="1:8">
      <c r="A246" s="730" t="s">
        <v>675</v>
      </c>
      <c r="B246" s="729"/>
      <c r="C246" s="729"/>
      <c r="D246" s="729"/>
      <c r="E246" s="729"/>
      <c r="F246" s="729"/>
      <c r="G246" s="729"/>
      <c r="H246" s="729"/>
    </row>
    <row r="247" spans="1:8">
      <c r="A247" s="730" t="s">
        <v>676</v>
      </c>
      <c r="B247" s="729"/>
      <c r="C247" s="729"/>
      <c r="D247" s="729"/>
      <c r="E247" s="729"/>
      <c r="F247" s="729"/>
      <c r="G247" s="729"/>
      <c r="H247" s="729"/>
    </row>
    <row r="248" spans="1:8">
      <c r="A248" s="730" t="s">
        <v>677</v>
      </c>
      <c r="B248" s="729"/>
      <c r="C248" s="729"/>
      <c r="D248" s="729"/>
      <c r="E248" s="729"/>
      <c r="F248" s="729"/>
      <c r="G248" s="729"/>
      <c r="H248" s="729"/>
    </row>
    <row r="249" spans="1:8">
      <c r="A249" s="729"/>
      <c r="B249" s="729"/>
      <c r="C249" s="729"/>
      <c r="D249" s="729"/>
      <c r="E249" s="729"/>
      <c r="F249" s="729"/>
      <c r="G249" s="729"/>
      <c r="H249" s="729"/>
    </row>
    <row r="250" spans="1:8">
      <c r="A250" s="730" t="s">
        <v>666</v>
      </c>
      <c r="B250" s="729"/>
      <c r="C250" s="729"/>
      <c r="D250" s="729"/>
      <c r="E250" s="729"/>
      <c r="F250" s="729"/>
      <c r="G250" s="729"/>
      <c r="H250" s="729"/>
    </row>
    <row r="251" spans="1:8">
      <c r="A251" s="730" t="s">
        <v>667</v>
      </c>
      <c r="B251" s="729"/>
      <c r="C251" s="729"/>
      <c r="D251" s="729"/>
      <c r="E251" s="729"/>
      <c r="F251" s="729"/>
      <c r="G251" s="729"/>
      <c r="H251" s="729"/>
    </row>
    <row r="252" spans="1:8">
      <c r="A252" s="729"/>
      <c r="B252" s="729"/>
      <c r="C252" s="729"/>
      <c r="D252" s="729"/>
      <c r="E252" s="729"/>
      <c r="F252" s="729"/>
      <c r="G252" s="729"/>
      <c r="H252" s="729"/>
    </row>
    <row r="253" spans="1:8">
      <c r="A253" s="730" t="s">
        <v>650</v>
      </c>
      <c r="B253" s="729"/>
      <c r="C253" s="729"/>
      <c r="D253" s="729"/>
      <c r="E253" s="729"/>
      <c r="F253" s="729"/>
      <c r="G253" s="729"/>
      <c r="H253" s="729"/>
    </row>
    <row r="254" spans="1:8">
      <c r="A254" s="730" t="s">
        <v>651</v>
      </c>
      <c r="B254" s="729"/>
      <c r="C254" s="729"/>
      <c r="D254" s="729"/>
      <c r="E254" s="729"/>
      <c r="F254" s="729"/>
      <c r="G254" s="729"/>
      <c r="H254" s="729"/>
    </row>
    <row r="255" spans="1:8">
      <c r="A255" s="730" t="s">
        <v>652</v>
      </c>
      <c r="B255" s="729"/>
      <c r="C255" s="729"/>
      <c r="D255" s="729"/>
      <c r="E255" s="729"/>
      <c r="F255" s="729"/>
      <c r="G255" s="729"/>
      <c r="H255" s="729"/>
    </row>
    <row r="256" spans="1:8">
      <c r="A256" s="730" t="s">
        <v>653</v>
      </c>
      <c r="B256" s="729"/>
      <c r="C256" s="729"/>
      <c r="D256" s="729"/>
      <c r="E256" s="729"/>
      <c r="F256" s="729"/>
      <c r="G256" s="729"/>
      <c r="H256" s="729"/>
    </row>
    <row r="257" spans="1:8">
      <c r="A257" s="730" t="s">
        <v>654</v>
      </c>
      <c r="B257" s="729"/>
      <c r="C257" s="729"/>
      <c r="D257" s="729"/>
      <c r="E257" s="729"/>
      <c r="F257" s="729"/>
      <c r="G257" s="729"/>
      <c r="H257" s="729"/>
    </row>
    <row r="258" spans="1:8">
      <c r="A258" s="730" t="s">
        <v>655</v>
      </c>
      <c r="B258" s="729"/>
      <c r="C258" s="729"/>
      <c r="D258" s="729"/>
      <c r="E258" s="729"/>
      <c r="F258" s="729"/>
      <c r="G258" s="729"/>
      <c r="H258" s="729"/>
    </row>
    <row r="259" spans="1:8">
      <c r="A259" s="730" t="s">
        <v>656</v>
      </c>
      <c r="B259" s="729"/>
      <c r="C259" s="729"/>
      <c r="D259" s="729"/>
      <c r="E259" s="729"/>
      <c r="F259" s="729"/>
      <c r="G259" s="729"/>
      <c r="H259" s="729"/>
    </row>
    <row r="260" spans="1:8">
      <c r="A260" s="730" t="s">
        <v>657</v>
      </c>
      <c r="B260" s="729"/>
      <c r="C260" s="729"/>
      <c r="D260" s="729"/>
      <c r="E260" s="729"/>
      <c r="F260" s="729"/>
      <c r="G260" s="729"/>
      <c r="H260" s="729"/>
    </row>
    <row r="261" spans="1:8">
      <c r="A261" s="730" t="s">
        <v>658</v>
      </c>
      <c r="B261" s="729"/>
      <c r="C261" s="729"/>
      <c r="D261" s="729"/>
      <c r="E261" s="729"/>
      <c r="F261" s="729"/>
      <c r="G261" s="729"/>
      <c r="H261" s="729"/>
    </row>
    <row r="262" spans="1:8">
      <c r="A262" s="730" t="s">
        <v>659</v>
      </c>
      <c r="B262" s="729"/>
      <c r="C262" s="729"/>
      <c r="D262" s="729"/>
      <c r="E262" s="729"/>
      <c r="F262" s="729"/>
      <c r="G262" s="729"/>
      <c r="H262" s="729"/>
    </row>
    <row r="263" spans="1:8">
      <c r="A263" s="730" t="s">
        <v>660</v>
      </c>
      <c r="B263" s="729"/>
      <c r="C263" s="729"/>
      <c r="D263" s="729"/>
      <c r="E263" s="729"/>
      <c r="F263" s="729"/>
      <c r="G263" s="729"/>
      <c r="H263" s="729"/>
    </row>
    <row r="264" spans="1:8">
      <c r="A264" s="730" t="s">
        <v>661</v>
      </c>
      <c r="B264" s="729"/>
      <c r="C264" s="729"/>
      <c r="D264" s="729"/>
      <c r="E264" s="729"/>
      <c r="F264" s="729"/>
      <c r="G264" s="729"/>
      <c r="H264" s="729"/>
    </row>
    <row r="265" spans="1:8">
      <c r="A265" s="730" t="s">
        <v>662</v>
      </c>
      <c r="B265" s="729"/>
      <c r="C265" s="729"/>
      <c r="D265" s="729"/>
      <c r="E265" s="729"/>
      <c r="F265" s="729"/>
      <c r="G265" s="729"/>
      <c r="H265" s="729"/>
    </row>
    <row r="266" spans="1:8">
      <c r="A266" s="730" t="s">
        <v>663</v>
      </c>
      <c r="B266" s="729"/>
      <c r="C266" s="729"/>
      <c r="D266" s="729"/>
      <c r="E266" s="729"/>
      <c r="F266" s="729"/>
      <c r="G266" s="729"/>
      <c r="H266" s="729"/>
    </row>
    <row r="267" spans="1:8">
      <c r="A267" s="730" t="s">
        <v>664</v>
      </c>
      <c r="B267" s="729"/>
      <c r="C267" s="729"/>
      <c r="D267" s="729"/>
      <c r="E267" s="729"/>
      <c r="F267" s="729"/>
      <c r="G267" s="729"/>
      <c r="H267" s="729"/>
    </row>
    <row r="268" spans="1:8">
      <c r="A268" s="730" t="s">
        <v>665</v>
      </c>
      <c r="B268" s="729"/>
      <c r="C268" s="729"/>
      <c r="D268" s="729"/>
      <c r="E268" s="729"/>
      <c r="F268" s="729"/>
      <c r="G268" s="729"/>
      <c r="H268" s="729"/>
    </row>
    <row r="269" spans="1:8">
      <c r="A269" s="729"/>
      <c r="B269" s="729"/>
      <c r="C269" s="729"/>
      <c r="D269" s="729"/>
      <c r="E269" s="729"/>
      <c r="F269" s="729"/>
      <c r="G269" s="729"/>
      <c r="H269" s="729"/>
    </row>
    <row r="270" spans="1:8">
      <c r="A270" s="730" t="s">
        <v>643</v>
      </c>
      <c r="B270" s="729"/>
      <c r="C270" s="729"/>
      <c r="D270" s="729"/>
      <c r="E270" s="729"/>
      <c r="F270" s="729"/>
      <c r="G270" s="729"/>
      <c r="H270" s="729"/>
    </row>
    <row r="271" spans="1:8">
      <c r="A271" s="730" t="s">
        <v>644</v>
      </c>
      <c r="B271" s="729"/>
      <c r="C271" s="729"/>
      <c r="D271" s="729"/>
      <c r="E271" s="729"/>
      <c r="F271" s="729"/>
      <c r="G271" s="729"/>
      <c r="H271" s="729"/>
    </row>
    <row r="272" spans="1:8">
      <c r="A272" s="730" t="s">
        <v>645</v>
      </c>
      <c r="B272" s="729"/>
      <c r="C272" s="729"/>
      <c r="D272" s="729"/>
      <c r="E272" s="729"/>
      <c r="F272" s="729"/>
      <c r="G272" s="729"/>
      <c r="H272" s="729"/>
    </row>
    <row r="273" spans="1:8">
      <c r="A273" s="730" t="s">
        <v>646</v>
      </c>
      <c r="B273" s="729"/>
      <c r="C273" s="729"/>
      <c r="D273" s="729"/>
      <c r="E273" s="729"/>
      <c r="F273" s="729"/>
      <c r="G273" s="729"/>
      <c r="H273" s="729"/>
    </row>
    <row r="274" spans="1:8">
      <c r="A274" s="730" t="s">
        <v>647</v>
      </c>
      <c r="B274" s="729"/>
      <c r="C274" s="729"/>
      <c r="D274" s="729"/>
      <c r="E274" s="729"/>
      <c r="F274" s="729"/>
      <c r="G274" s="729"/>
      <c r="H274" s="729"/>
    </row>
    <row r="275" spans="1:8">
      <c r="A275" s="730" t="s">
        <v>648</v>
      </c>
      <c r="B275" s="729"/>
      <c r="C275" s="729"/>
      <c r="D275" s="729"/>
      <c r="E275" s="729"/>
      <c r="F275" s="729"/>
      <c r="G275" s="729"/>
      <c r="H275" s="729"/>
    </row>
    <row r="276" spans="1:8">
      <c r="A276" s="730" t="s">
        <v>649</v>
      </c>
      <c r="B276" s="729"/>
      <c r="C276" s="729"/>
      <c r="D276" s="729"/>
      <c r="E276" s="729"/>
      <c r="F276" s="729"/>
      <c r="G276" s="729"/>
      <c r="H276" s="729"/>
    </row>
    <row r="277" spans="1:8">
      <c r="A277" s="729"/>
      <c r="B277" s="729"/>
      <c r="C277" s="729"/>
      <c r="D277" s="729"/>
      <c r="E277" s="729"/>
      <c r="F277" s="729"/>
      <c r="G277" s="729"/>
      <c r="H277" s="729"/>
    </row>
    <row r="278" spans="1:8">
      <c r="A278" s="730" t="s">
        <v>634</v>
      </c>
      <c r="B278" s="729"/>
      <c r="C278" s="729"/>
      <c r="D278" s="729"/>
      <c r="E278" s="729"/>
      <c r="F278" s="729"/>
      <c r="G278" s="729"/>
      <c r="H278" s="729"/>
    </row>
    <row r="279" spans="1:8">
      <c r="A279" s="730" t="s">
        <v>635</v>
      </c>
      <c r="B279" s="729"/>
      <c r="C279" s="729"/>
      <c r="D279" s="729"/>
      <c r="E279" s="729"/>
      <c r="F279" s="729"/>
      <c r="G279" s="729"/>
      <c r="H279" s="729"/>
    </row>
    <row r="280" spans="1:8">
      <c r="A280" s="730" t="s">
        <v>636</v>
      </c>
      <c r="B280" s="729"/>
      <c r="C280" s="729"/>
      <c r="D280" s="729"/>
      <c r="E280" s="729"/>
      <c r="F280" s="729"/>
      <c r="G280" s="729"/>
      <c r="H280" s="729"/>
    </row>
    <row r="281" spans="1:8">
      <c r="A281" s="730" t="s">
        <v>637</v>
      </c>
      <c r="B281" s="729"/>
      <c r="C281" s="729"/>
      <c r="D281" s="729"/>
      <c r="E281" s="729"/>
      <c r="F281" s="729"/>
      <c r="G281" s="729"/>
      <c r="H281" s="729"/>
    </row>
    <row r="282" spans="1:8">
      <c r="A282" s="730" t="s">
        <v>638</v>
      </c>
      <c r="B282" s="729"/>
      <c r="C282" s="729"/>
      <c r="D282" s="729"/>
      <c r="E282" s="729"/>
      <c r="F282" s="729"/>
      <c r="G282" s="729"/>
      <c r="H282" s="729"/>
    </row>
    <row r="283" spans="1:8">
      <c r="A283" s="730" t="s">
        <v>639</v>
      </c>
      <c r="B283" s="729"/>
      <c r="C283" s="729"/>
      <c r="D283" s="729"/>
      <c r="E283" s="729"/>
      <c r="F283" s="729"/>
      <c r="G283" s="729"/>
      <c r="H283" s="729"/>
    </row>
    <row r="284" spans="1:8">
      <c r="A284" s="730" t="s">
        <v>640</v>
      </c>
      <c r="B284" s="729"/>
      <c r="C284" s="729"/>
      <c r="D284" s="729"/>
      <c r="E284" s="729"/>
      <c r="F284" s="729"/>
      <c r="G284" s="729"/>
      <c r="H284" s="729"/>
    </row>
    <row r="285" spans="1:8">
      <c r="A285" s="730" t="s">
        <v>641</v>
      </c>
      <c r="B285" s="729"/>
      <c r="C285" s="729"/>
      <c r="D285" s="729"/>
      <c r="E285" s="729"/>
      <c r="F285" s="729"/>
      <c r="G285" s="729"/>
      <c r="H285" s="729"/>
    </row>
    <row r="286" spans="1:8">
      <c r="A286" s="730" t="s">
        <v>642</v>
      </c>
      <c r="B286" s="729"/>
      <c r="C286" s="729"/>
      <c r="D286" s="729"/>
      <c r="E286" s="729"/>
      <c r="F286" s="729"/>
      <c r="G286" s="729"/>
      <c r="H286" s="729"/>
    </row>
    <row r="287" spans="1:8">
      <c r="A287" s="729"/>
      <c r="B287" s="729"/>
      <c r="C287" s="729"/>
      <c r="D287" s="729"/>
      <c r="E287" s="729"/>
      <c r="F287" s="729"/>
      <c r="G287" s="729"/>
      <c r="H287" s="729"/>
    </row>
    <row r="288" spans="1:8">
      <c r="A288" s="730" t="s">
        <v>627</v>
      </c>
      <c r="B288" s="729"/>
      <c r="C288" s="729"/>
      <c r="D288" s="729"/>
      <c r="E288" s="729"/>
      <c r="F288" s="729"/>
      <c r="G288" s="729"/>
      <c r="H288" s="729"/>
    </row>
    <row r="289" spans="1:8">
      <c r="A289" s="730" t="s">
        <v>628</v>
      </c>
      <c r="B289" s="729"/>
      <c r="C289" s="729"/>
      <c r="D289" s="729"/>
      <c r="E289" s="729"/>
      <c r="F289" s="729"/>
      <c r="G289" s="729"/>
      <c r="H289" s="729"/>
    </row>
    <row r="290" spans="1:8">
      <c r="A290" s="730" t="s">
        <v>629</v>
      </c>
      <c r="B290" s="729"/>
      <c r="C290" s="729"/>
      <c r="D290" s="729"/>
      <c r="E290" s="729"/>
      <c r="F290" s="729"/>
      <c r="G290" s="729"/>
      <c r="H290" s="729"/>
    </row>
    <row r="291" spans="1:8">
      <c r="A291" s="730" t="s">
        <v>630</v>
      </c>
      <c r="B291" s="729"/>
      <c r="C291" s="729"/>
      <c r="D291" s="729"/>
      <c r="E291" s="729"/>
      <c r="F291" s="729"/>
      <c r="G291" s="729"/>
      <c r="H291" s="729"/>
    </row>
    <row r="292" spans="1:8">
      <c r="A292" s="730" t="s">
        <v>631</v>
      </c>
      <c r="B292" s="729"/>
      <c r="C292" s="729"/>
      <c r="D292" s="729"/>
      <c r="E292" s="729"/>
      <c r="F292" s="729"/>
      <c r="G292" s="729"/>
      <c r="H292" s="729"/>
    </row>
    <row r="293" spans="1:8">
      <c r="A293" s="730" t="s">
        <v>632</v>
      </c>
      <c r="B293" s="729"/>
      <c r="C293" s="729"/>
      <c r="D293" s="729"/>
      <c r="E293" s="729"/>
      <c r="F293" s="729"/>
      <c r="G293" s="729"/>
      <c r="H293" s="729"/>
    </row>
    <row r="294" spans="1:8">
      <c r="A294" s="730" t="s">
        <v>633</v>
      </c>
      <c r="B294" s="729"/>
      <c r="C294" s="729"/>
      <c r="D294" s="729"/>
      <c r="E294" s="729"/>
      <c r="F294" s="729"/>
      <c r="G294" s="729"/>
      <c r="H294" s="729"/>
    </row>
    <row r="295" spans="1:8">
      <c r="A295" s="729"/>
      <c r="B295" s="729"/>
      <c r="C295" s="729"/>
      <c r="D295" s="729"/>
      <c r="E295" s="729"/>
      <c r="F295" s="729"/>
      <c r="G295" s="729"/>
      <c r="H295" s="729"/>
    </row>
    <row r="296" spans="1:8">
      <c r="A296" s="730" t="s">
        <v>624</v>
      </c>
      <c r="B296" s="729"/>
      <c r="C296" s="729"/>
      <c r="D296" s="729"/>
      <c r="E296" s="729"/>
      <c r="F296" s="729"/>
      <c r="G296" s="729"/>
      <c r="H296" s="729"/>
    </row>
    <row r="297" spans="1:8">
      <c r="A297" s="730" t="s">
        <v>625</v>
      </c>
      <c r="B297" s="729"/>
      <c r="C297" s="729"/>
      <c r="D297" s="729"/>
      <c r="E297" s="729"/>
      <c r="F297" s="729"/>
      <c r="G297" s="729"/>
      <c r="H297" s="729"/>
    </row>
    <row r="298" spans="1:8">
      <c r="A298" s="730" t="s">
        <v>626</v>
      </c>
      <c r="B298" s="729"/>
      <c r="C298" s="729"/>
      <c r="D298" s="729"/>
      <c r="E298" s="729"/>
      <c r="F298" s="729"/>
      <c r="G298" s="729"/>
      <c r="H298" s="729"/>
    </row>
    <row r="299" spans="1:8">
      <c r="A299" s="729"/>
      <c r="B299" s="729"/>
      <c r="C299" s="729"/>
      <c r="D299" s="729"/>
      <c r="E299" s="729"/>
      <c r="F299" s="729"/>
      <c r="G299" s="729"/>
      <c r="H299" s="729"/>
    </row>
    <row r="300" spans="1:8">
      <c r="A300" s="730" t="s">
        <v>622</v>
      </c>
      <c r="B300" s="729"/>
      <c r="C300" s="729"/>
      <c r="D300" s="729"/>
      <c r="E300" s="729"/>
      <c r="F300" s="729"/>
      <c r="G300" s="729"/>
      <c r="H300" s="729"/>
    </row>
    <row r="301" spans="1:8">
      <c r="A301" s="730" t="s">
        <v>623</v>
      </c>
      <c r="B301" s="729"/>
      <c r="C301" s="729"/>
      <c r="D301" s="729"/>
      <c r="E301" s="729"/>
      <c r="F301" s="729"/>
      <c r="G301" s="729"/>
      <c r="H301" s="729"/>
    </row>
    <row r="302" spans="1:8">
      <c r="A302" s="729"/>
      <c r="B302" s="729"/>
      <c r="C302" s="729"/>
      <c r="D302" s="729"/>
      <c r="E302" s="729"/>
      <c r="F302" s="729"/>
      <c r="G302" s="729"/>
      <c r="H302" s="729"/>
    </row>
    <row r="303" spans="1:8">
      <c r="A303" s="730" t="s">
        <v>609</v>
      </c>
      <c r="B303" s="729"/>
      <c r="C303" s="729"/>
      <c r="D303" s="729"/>
      <c r="E303" s="729"/>
      <c r="F303" s="729"/>
      <c r="G303" s="729"/>
      <c r="H303" s="729"/>
    </row>
    <row r="304" spans="1:8">
      <c r="A304" s="730" t="s">
        <v>610</v>
      </c>
      <c r="B304" s="729"/>
      <c r="C304" s="729"/>
      <c r="D304" s="729"/>
      <c r="E304" s="729"/>
      <c r="F304" s="729"/>
      <c r="G304" s="729"/>
      <c r="H304" s="729"/>
    </row>
    <row r="305" spans="1:8">
      <c r="A305" s="730" t="s">
        <v>611</v>
      </c>
      <c r="B305" s="729"/>
      <c r="C305" s="729"/>
      <c r="D305" s="729"/>
      <c r="E305" s="729"/>
      <c r="F305" s="729"/>
      <c r="G305" s="729"/>
      <c r="H305" s="729"/>
    </row>
    <row r="306" spans="1:8">
      <c r="A306" s="730" t="s">
        <v>612</v>
      </c>
      <c r="B306" s="729"/>
      <c r="C306" s="729"/>
      <c r="D306" s="729"/>
      <c r="E306" s="729"/>
      <c r="F306" s="729"/>
      <c r="G306" s="729"/>
      <c r="H306" s="729"/>
    </row>
    <row r="307" spans="1:8">
      <c r="A307" s="730" t="s">
        <v>613</v>
      </c>
      <c r="B307" s="729"/>
      <c r="C307" s="729"/>
      <c r="D307" s="729"/>
      <c r="E307" s="729"/>
      <c r="F307" s="729"/>
      <c r="G307" s="729"/>
      <c r="H307" s="729"/>
    </row>
    <row r="308" spans="1:8">
      <c r="A308" s="730" t="s">
        <v>614</v>
      </c>
      <c r="B308" s="729"/>
      <c r="C308" s="729"/>
      <c r="D308" s="729"/>
      <c r="E308" s="729"/>
      <c r="F308" s="729"/>
      <c r="G308" s="729"/>
      <c r="H308" s="729"/>
    </row>
    <row r="309" spans="1:8">
      <c r="A309" s="730" t="s">
        <v>615</v>
      </c>
      <c r="B309" s="729"/>
      <c r="C309" s="729"/>
      <c r="D309" s="729"/>
      <c r="E309" s="729"/>
      <c r="F309" s="729"/>
      <c r="G309" s="729"/>
      <c r="H309" s="729"/>
    </row>
    <row r="310" spans="1:8">
      <c r="A310" s="730" t="s">
        <v>616</v>
      </c>
      <c r="B310" s="729"/>
      <c r="C310" s="729"/>
      <c r="D310" s="729"/>
      <c r="E310" s="729"/>
      <c r="F310" s="729"/>
      <c r="G310" s="729"/>
      <c r="H310" s="729"/>
    </row>
    <row r="311" spans="1:8">
      <c r="A311" s="730" t="s">
        <v>617</v>
      </c>
      <c r="B311" s="729"/>
      <c r="C311" s="729"/>
      <c r="D311" s="729"/>
      <c r="E311" s="729"/>
      <c r="F311" s="729"/>
      <c r="G311" s="729"/>
      <c r="H311" s="729"/>
    </row>
    <row r="312" spans="1:8">
      <c r="A312" s="730" t="s">
        <v>618</v>
      </c>
      <c r="B312" s="729"/>
      <c r="C312" s="729"/>
      <c r="D312" s="729"/>
      <c r="E312" s="729"/>
      <c r="F312" s="729"/>
      <c r="G312" s="729"/>
      <c r="H312" s="729"/>
    </row>
    <row r="313" spans="1:8">
      <c r="A313" s="730" t="s">
        <v>619</v>
      </c>
      <c r="B313" s="729"/>
      <c r="C313" s="729"/>
      <c r="D313" s="729"/>
      <c r="E313" s="729"/>
      <c r="F313" s="729"/>
      <c r="G313" s="729"/>
      <c r="H313" s="729"/>
    </row>
    <row r="314" spans="1:8">
      <c r="A314" s="730" t="s">
        <v>620</v>
      </c>
      <c r="B314" s="729"/>
      <c r="C314" s="729"/>
      <c r="D314" s="729"/>
      <c r="E314" s="729"/>
      <c r="F314" s="729"/>
      <c r="G314" s="729"/>
      <c r="H314" s="729"/>
    </row>
    <row r="315" spans="1:8">
      <c r="A315" s="730" t="s">
        <v>621</v>
      </c>
      <c r="B315" s="729"/>
      <c r="C315" s="729"/>
      <c r="D315" s="729"/>
      <c r="E315" s="729"/>
      <c r="F315" s="729"/>
      <c r="G315" s="729"/>
      <c r="H315" s="729"/>
    </row>
    <row r="316" spans="1:8">
      <c r="A316" s="729"/>
      <c r="B316" s="729"/>
      <c r="C316" s="729"/>
      <c r="D316" s="729"/>
      <c r="E316" s="729"/>
      <c r="F316" s="729"/>
      <c r="G316" s="729"/>
      <c r="H316" s="729"/>
    </row>
    <row r="317" spans="1:8">
      <c r="A317" s="730" t="s">
        <v>601</v>
      </c>
      <c r="B317" s="729"/>
      <c r="C317" s="729"/>
      <c r="D317" s="729"/>
      <c r="E317" s="729"/>
      <c r="F317" s="729"/>
      <c r="G317" s="729"/>
      <c r="H317" s="729"/>
    </row>
    <row r="318" spans="1:8">
      <c r="A318" s="730" t="s">
        <v>602</v>
      </c>
      <c r="B318" s="729"/>
      <c r="C318" s="729"/>
      <c r="D318" s="729"/>
      <c r="E318" s="729"/>
      <c r="F318" s="729"/>
      <c r="G318" s="729"/>
      <c r="H318" s="729"/>
    </row>
    <row r="319" spans="1:8">
      <c r="A319" s="730" t="s">
        <v>603</v>
      </c>
      <c r="B319" s="729"/>
      <c r="C319" s="729"/>
      <c r="D319" s="729"/>
      <c r="E319" s="729"/>
      <c r="F319" s="729"/>
      <c r="G319" s="729"/>
      <c r="H319" s="729"/>
    </row>
    <row r="320" spans="1:8">
      <c r="A320" s="730" t="s">
        <v>604</v>
      </c>
      <c r="B320" s="729"/>
      <c r="C320" s="729"/>
      <c r="D320" s="729"/>
      <c r="E320" s="729"/>
      <c r="F320" s="729"/>
      <c r="G320" s="729"/>
      <c r="H320" s="729"/>
    </row>
    <row r="321" spans="1:8">
      <c r="A321" s="730" t="s">
        <v>605</v>
      </c>
      <c r="B321" s="729"/>
      <c r="C321" s="729"/>
      <c r="D321" s="729"/>
      <c r="E321" s="729"/>
      <c r="F321" s="729"/>
      <c r="G321" s="729"/>
      <c r="H321" s="729"/>
    </row>
    <row r="322" spans="1:8">
      <c r="A322" s="730" t="s">
        <v>606</v>
      </c>
      <c r="B322" s="729"/>
      <c r="C322" s="729"/>
      <c r="D322" s="729"/>
      <c r="E322" s="729"/>
      <c r="F322" s="729"/>
      <c r="G322" s="729"/>
      <c r="H322" s="729"/>
    </row>
    <row r="323" spans="1:8">
      <c r="A323" s="730" t="s">
        <v>607</v>
      </c>
      <c r="B323" s="729"/>
      <c r="C323" s="729"/>
      <c r="D323" s="729"/>
      <c r="E323" s="729"/>
      <c r="F323" s="729"/>
      <c r="G323" s="729"/>
      <c r="H323" s="729"/>
    </row>
    <row r="324" spans="1:8">
      <c r="A324" s="730" t="s">
        <v>608</v>
      </c>
      <c r="B324" s="729"/>
      <c r="C324" s="729"/>
      <c r="D324" s="729"/>
      <c r="E324" s="729"/>
      <c r="F324" s="729"/>
      <c r="G324" s="729"/>
      <c r="H324" s="729"/>
    </row>
    <row r="325" spans="1:8">
      <c r="A325" s="729"/>
      <c r="B325" s="729"/>
      <c r="C325" s="729"/>
      <c r="D325" s="729"/>
      <c r="E325" s="729"/>
      <c r="F325" s="729"/>
      <c r="G325" s="729"/>
      <c r="H325" s="729"/>
    </row>
    <row r="326" spans="1:8">
      <c r="A326" s="730" t="s">
        <v>566</v>
      </c>
      <c r="B326" s="729"/>
      <c r="C326" s="729"/>
      <c r="D326" s="729"/>
      <c r="E326" s="729"/>
      <c r="F326" s="729"/>
      <c r="G326" s="729"/>
      <c r="H326" s="729"/>
    </row>
    <row r="327" spans="1:8">
      <c r="A327" s="730" t="s">
        <v>567</v>
      </c>
      <c r="B327" s="729"/>
      <c r="C327" s="729"/>
      <c r="D327" s="729"/>
      <c r="E327" s="729"/>
      <c r="F327" s="729"/>
      <c r="G327" s="729"/>
      <c r="H327" s="729"/>
    </row>
    <row r="328" spans="1:8">
      <c r="A328" s="730" t="s">
        <v>568</v>
      </c>
      <c r="B328" s="729"/>
      <c r="C328" s="729"/>
      <c r="D328" s="729"/>
      <c r="E328" s="729"/>
      <c r="F328" s="729"/>
      <c r="G328" s="729"/>
      <c r="H328" s="729"/>
    </row>
    <row r="329" spans="1:8">
      <c r="A329" s="730" t="s">
        <v>569</v>
      </c>
      <c r="B329" s="729"/>
      <c r="C329" s="729"/>
      <c r="D329" s="729"/>
      <c r="E329" s="729"/>
      <c r="F329" s="729"/>
      <c r="G329" s="729"/>
      <c r="H329" s="729"/>
    </row>
    <row r="330" spans="1:8">
      <c r="A330" s="730" t="s">
        <v>570</v>
      </c>
      <c r="B330" s="729"/>
      <c r="C330" s="729"/>
      <c r="D330" s="729"/>
      <c r="E330" s="729"/>
      <c r="F330" s="729"/>
      <c r="G330" s="729"/>
      <c r="H330" s="729"/>
    </row>
    <row r="331" spans="1:8">
      <c r="A331" s="730" t="s">
        <v>571</v>
      </c>
      <c r="B331" s="729"/>
      <c r="C331" s="729"/>
      <c r="D331" s="729"/>
      <c r="E331" s="729"/>
      <c r="F331" s="729"/>
      <c r="G331" s="729"/>
      <c r="H331" s="729"/>
    </row>
    <row r="332" spans="1:8">
      <c r="A332" s="730" t="s">
        <v>572</v>
      </c>
      <c r="B332" s="729"/>
      <c r="C332" s="729"/>
      <c r="D332" s="729"/>
      <c r="E332" s="729"/>
      <c r="F332" s="729"/>
      <c r="G332" s="729"/>
      <c r="H332" s="729"/>
    </row>
    <row r="333" spans="1:8">
      <c r="A333" s="730" t="s">
        <v>573</v>
      </c>
      <c r="B333" s="729"/>
      <c r="C333" s="729"/>
      <c r="D333" s="729"/>
      <c r="E333" s="729"/>
      <c r="F333" s="729"/>
      <c r="G333" s="729"/>
      <c r="H333" s="729"/>
    </row>
    <row r="334" spans="1:8">
      <c r="A334" s="730" t="s">
        <v>574</v>
      </c>
      <c r="B334" s="729"/>
      <c r="C334" s="729"/>
      <c r="D334" s="729"/>
      <c r="E334" s="729"/>
      <c r="F334" s="729"/>
      <c r="G334" s="729"/>
      <c r="H334" s="729"/>
    </row>
    <row r="335" spans="1:8">
      <c r="A335" s="730" t="s">
        <v>575</v>
      </c>
      <c r="B335" s="729"/>
      <c r="C335" s="729"/>
      <c r="D335" s="729"/>
      <c r="E335" s="729"/>
      <c r="F335" s="729"/>
      <c r="G335" s="729"/>
      <c r="H335" s="729"/>
    </row>
    <row r="336" spans="1:8">
      <c r="A336" s="730" t="s">
        <v>576</v>
      </c>
      <c r="B336" s="729"/>
      <c r="C336" s="729"/>
      <c r="D336" s="729"/>
      <c r="E336" s="729"/>
      <c r="F336" s="729"/>
      <c r="G336" s="729"/>
      <c r="H336" s="729"/>
    </row>
    <row r="337" spans="1:8">
      <c r="A337" s="730" t="s">
        <v>577</v>
      </c>
      <c r="B337" s="729"/>
      <c r="C337" s="729"/>
      <c r="D337" s="729"/>
      <c r="E337" s="729"/>
      <c r="F337" s="729"/>
      <c r="G337" s="729"/>
      <c r="H337" s="729"/>
    </row>
    <row r="338" spans="1:8">
      <c r="A338" s="730" t="s">
        <v>578</v>
      </c>
      <c r="B338" s="729"/>
      <c r="C338" s="729"/>
      <c r="D338" s="729"/>
      <c r="E338" s="729"/>
      <c r="F338" s="729"/>
      <c r="G338" s="729"/>
      <c r="H338" s="729"/>
    </row>
    <row r="339" spans="1:8">
      <c r="A339" s="730" t="s">
        <v>579</v>
      </c>
      <c r="B339" s="729"/>
      <c r="C339" s="729"/>
      <c r="D339" s="729"/>
      <c r="E339" s="729"/>
      <c r="F339" s="729"/>
      <c r="G339" s="729"/>
      <c r="H339" s="729"/>
    </row>
    <row r="340" spans="1:8">
      <c r="A340" s="730" t="s">
        <v>580</v>
      </c>
      <c r="B340" s="729"/>
      <c r="C340" s="729"/>
      <c r="D340" s="729"/>
      <c r="E340" s="729"/>
      <c r="F340" s="729"/>
      <c r="G340" s="729"/>
      <c r="H340" s="729"/>
    </row>
    <row r="341" spans="1:8">
      <c r="A341" s="730" t="s">
        <v>581</v>
      </c>
      <c r="B341" s="729"/>
      <c r="C341" s="729"/>
      <c r="D341" s="729"/>
      <c r="E341" s="729"/>
      <c r="F341" s="729"/>
      <c r="G341" s="729"/>
      <c r="H341" s="729"/>
    </row>
    <row r="342" spans="1:8">
      <c r="A342" s="730" t="s">
        <v>582</v>
      </c>
      <c r="B342" s="729"/>
      <c r="C342" s="729"/>
      <c r="D342" s="729"/>
      <c r="E342" s="729"/>
      <c r="F342" s="729"/>
      <c r="G342" s="729"/>
      <c r="H342" s="729"/>
    </row>
    <row r="343" spans="1:8">
      <c r="A343" s="730" t="s">
        <v>583</v>
      </c>
      <c r="B343" s="729"/>
      <c r="C343" s="729"/>
      <c r="D343" s="729"/>
      <c r="E343" s="729"/>
      <c r="F343" s="729"/>
      <c r="G343" s="729"/>
      <c r="H343" s="729"/>
    </row>
    <row r="344" spans="1:8">
      <c r="A344" s="730" t="s">
        <v>584</v>
      </c>
      <c r="B344" s="729"/>
      <c r="C344" s="729"/>
      <c r="D344" s="729"/>
      <c r="E344" s="729"/>
      <c r="F344" s="729"/>
      <c r="G344" s="729"/>
      <c r="H344" s="729"/>
    </row>
    <row r="345" spans="1:8">
      <c r="A345" s="730" t="s">
        <v>585</v>
      </c>
      <c r="B345" s="729"/>
      <c r="C345" s="729"/>
      <c r="D345" s="729"/>
      <c r="E345" s="729"/>
      <c r="F345" s="729"/>
      <c r="G345" s="729"/>
      <c r="H345" s="729"/>
    </row>
    <row r="346" spans="1:8">
      <c r="A346" s="730" t="s">
        <v>586</v>
      </c>
      <c r="B346" s="729"/>
      <c r="C346" s="729"/>
      <c r="D346" s="729"/>
      <c r="E346" s="729"/>
      <c r="F346" s="729"/>
      <c r="G346" s="729"/>
      <c r="H346" s="729"/>
    </row>
    <row r="347" spans="1:8">
      <c r="A347" s="730" t="s">
        <v>587</v>
      </c>
      <c r="B347" s="729"/>
      <c r="C347" s="729"/>
      <c r="D347" s="729"/>
      <c r="E347" s="729"/>
      <c r="F347" s="729"/>
      <c r="G347" s="729"/>
      <c r="H347" s="729"/>
    </row>
    <row r="348" spans="1:8">
      <c r="A348" s="730" t="s">
        <v>588</v>
      </c>
      <c r="B348" s="729"/>
      <c r="C348" s="729"/>
      <c r="D348" s="729"/>
      <c r="E348" s="729"/>
      <c r="F348" s="729"/>
      <c r="G348" s="729"/>
      <c r="H348" s="729"/>
    </row>
    <row r="349" spans="1:8">
      <c r="A349" s="730" t="s">
        <v>589</v>
      </c>
      <c r="B349" s="729"/>
      <c r="C349" s="729"/>
      <c r="D349" s="729"/>
      <c r="E349" s="729"/>
      <c r="F349" s="729"/>
      <c r="G349" s="729"/>
      <c r="H349" s="729"/>
    </row>
    <row r="350" spans="1:8">
      <c r="A350" s="730" t="s">
        <v>590</v>
      </c>
      <c r="B350" s="729"/>
      <c r="C350" s="729"/>
      <c r="D350" s="729"/>
      <c r="E350" s="729"/>
      <c r="F350" s="729"/>
      <c r="G350" s="729"/>
      <c r="H350" s="729"/>
    </row>
    <row r="351" spans="1:8">
      <c r="A351" s="730" t="s">
        <v>591</v>
      </c>
      <c r="B351" s="729"/>
      <c r="C351" s="729"/>
      <c r="D351" s="729"/>
      <c r="E351" s="729"/>
      <c r="F351" s="729"/>
      <c r="G351" s="729"/>
      <c r="H351" s="729"/>
    </row>
    <row r="352" spans="1:8">
      <c r="A352" s="730" t="s">
        <v>592</v>
      </c>
      <c r="B352" s="729"/>
      <c r="C352" s="729"/>
      <c r="D352" s="729"/>
      <c r="E352" s="729"/>
      <c r="F352" s="729"/>
      <c r="G352" s="729"/>
      <c r="H352" s="729"/>
    </row>
    <row r="353" spans="1:8">
      <c r="A353" s="730" t="s">
        <v>593</v>
      </c>
      <c r="B353" s="729"/>
      <c r="C353" s="729"/>
      <c r="D353" s="729"/>
      <c r="E353" s="729"/>
      <c r="F353" s="729"/>
      <c r="G353" s="729"/>
      <c r="H353" s="729"/>
    </row>
    <row r="354" spans="1:8">
      <c r="A354" s="730" t="s">
        <v>594</v>
      </c>
      <c r="B354" s="729"/>
      <c r="C354" s="729"/>
      <c r="D354" s="729"/>
      <c r="E354" s="729"/>
      <c r="F354" s="729"/>
      <c r="G354" s="729"/>
      <c r="H354" s="729"/>
    </row>
    <row r="355" spans="1:8">
      <c r="A355" s="730" t="s">
        <v>595</v>
      </c>
      <c r="B355" s="729"/>
      <c r="C355" s="729"/>
      <c r="D355" s="729"/>
      <c r="E355" s="729"/>
      <c r="F355" s="729"/>
      <c r="G355" s="729"/>
      <c r="H355" s="729"/>
    </row>
    <row r="356" spans="1:8">
      <c r="A356" s="730" t="s">
        <v>596</v>
      </c>
      <c r="B356" s="729"/>
      <c r="C356" s="729"/>
      <c r="D356" s="729"/>
      <c r="E356" s="729"/>
      <c r="F356" s="729"/>
      <c r="G356" s="729"/>
      <c r="H356" s="729"/>
    </row>
    <row r="357" spans="1:8">
      <c r="A357" s="730" t="s">
        <v>597</v>
      </c>
      <c r="B357" s="729"/>
      <c r="C357" s="729"/>
      <c r="D357" s="729"/>
      <c r="E357" s="729"/>
      <c r="F357" s="729"/>
      <c r="G357" s="729"/>
      <c r="H357" s="729"/>
    </row>
    <row r="358" spans="1:8">
      <c r="A358" s="730" t="s">
        <v>598</v>
      </c>
      <c r="B358" s="729"/>
      <c r="C358" s="729"/>
      <c r="D358" s="729"/>
      <c r="E358" s="729"/>
      <c r="F358" s="729"/>
      <c r="G358" s="729"/>
      <c r="H358" s="729"/>
    </row>
    <row r="359" spans="1:8">
      <c r="A359" s="730" t="s">
        <v>599</v>
      </c>
      <c r="B359" s="729"/>
      <c r="C359" s="729"/>
      <c r="D359" s="729"/>
      <c r="E359" s="729"/>
      <c r="F359" s="729"/>
      <c r="G359" s="729"/>
      <c r="H359" s="729"/>
    </row>
    <row r="360" spans="1:8">
      <c r="A360" s="730" t="s">
        <v>600</v>
      </c>
      <c r="B360" s="729"/>
      <c r="C360" s="729"/>
      <c r="D360" s="729"/>
      <c r="E360" s="729"/>
      <c r="F360" s="729"/>
      <c r="G360" s="729"/>
      <c r="H360" s="729"/>
    </row>
    <row r="361" spans="1:8">
      <c r="A361" s="729"/>
      <c r="B361" s="729"/>
      <c r="C361" s="729"/>
      <c r="D361" s="729"/>
      <c r="E361" s="729"/>
      <c r="F361" s="729"/>
      <c r="G361" s="729"/>
      <c r="H361" s="729"/>
    </row>
    <row r="362" spans="1:8">
      <c r="A362" s="730" t="s">
        <v>558</v>
      </c>
      <c r="B362" s="729"/>
      <c r="C362" s="729"/>
      <c r="D362" s="729"/>
      <c r="E362" s="729"/>
      <c r="F362" s="729"/>
      <c r="G362" s="729"/>
      <c r="H362" s="729"/>
    </row>
    <row r="363" spans="1:8">
      <c r="A363" s="730" t="s">
        <v>562</v>
      </c>
      <c r="B363" s="729"/>
      <c r="C363" s="729"/>
      <c r="D363" s="729"/>
      <c r="E363" s="729"/>
      <c r="F363" s="729"/>
      <c r="G363" s="729"/>
      <c r="H363" s="729"/>
    </row>
    <row r="364" spans="1:8">
      <c r="A364" s="730" t="s">
        <v>563</v>
      </c>
      <c r="B364" s="729"/>
      <c r="C364" s="729"/>
      <c r="D364" s="729"/>
      <c r="E364" s="729"/>
      <c r="F364" s="729"/>
      <c r="G364" s="729"/>
      <c r="H364" s="729"/>
    </row>
    <row r="365" spans="1:8">
      <c r="A365" s="730" t="s">
        <v>564</v>
      </c>
      <c r="B365" s="729"/>
      <c r="C365" s="729"/>
      <c r="D365" s="729"/>
      <c r="E365" s="729"/>
      <c r="F365" s="729"/>
      <c r="G365" s="729"/>
      <c r="H365" s="729"/>
    </row>
    <row r="366" spans="1:8">
      <c r="A366" s="730" t="s">
        <v>565</v>
      </c>
      <c r="B366" s="729"/>
      <c r="C366" s="729"/>
      <c r="D366" s="729"/>
      <c r="E366" s="729"/>
      <c r="F366" s="729"/>
      <c r="G366" s="729"/>
      <c r="H366" s="729"/>
    </row>
    <row r="367" spans="1:8">
      <c r="A367" s="729"/>
      <c r="B367" s="729"/>
      <c r="C367" s="729"/>
      <c r="D367" s="729"/>
      <c r="E367" s="729"/>
      <c r="F367" s="729"/>
      <c r="G367" s="729"/>
      <c r="H367" s="729"/>
    </row>
    <row r="368" spans="1:8">
      <c r="A368" s="730" t="s">
        <v>558</v>
      </c>
      <c r="B368" s="729"/>
      <c r="C368" s="729"/>
      <c r="D368" s="729"/>
      <c r="E368" s="729"/>
      <c r="F368" s="729"/>
      <c r="G368" s="729"/>
      <c r="H368" s="729"/>
    </row>
    <row r="369" spans="1:8">
      <c r="A369" s="730" t="s">
        <v>559</v>
      </c>
      <c r="B369" s="729"/>
      <c r="C369" s="729"/>
      <c r="D369" s="729"/>
      <c r="E369" s="729"/>
      <c r="F369" s="729"/>
      <c r="G369" s="729"/>
      <c r="H369" s="729"/>
    </row>
    <row r="370" spans="1:8">
      <c r="A370" s="730" t="s">
        <v>560</v>
      </c>
      <c r="B370" s="729"/>
      <c r="C370" s="729"/>
      <c r="D370" s="729"/>
      <c r="E370" s="729"/>
      <c r="F370" s="729"/>
      <c r="G370" s="729"/>
      <c r="H370" s="729"/>
    </row>
    <row r="371" spans="1:8">
      <c r="A371" s="730" t="s">
        <v>561</v>
      </c>
      <c r="B371" s="729"/>
      <c r="C371" s="729"/>
      <c r="D371" s="729"/>
      <c r="E371" s="729"/>
      <c r="F371" s="729"/>
      <c r="G371" s="729"/>
      <c r="H371" s="729"/>
    </row>
    <row r="372" spans="1:8">
      <c r="A372" s="729"/>
      <c r="B372" s="729"/>
      <c r="C372" s="729"/>
      <c r="D372" s="729"/>
      <c r="E372" s="729"/>
      <c r="F372" s="729"/>
      <c r="G372" s="729"/>
      <c r="H372" s="729"/>
    </row>
    <row r="373" spans="1:8">
      <c r="A373" s="730" t="s">
        <v>552</v>
      </c>
      <c r="B373" s="729"/>
      <c r="C373" s="729"/>
      <c r="D373" s="729"/>
      <c r="E373" s="729"/>
      <c r="F373" s="729"/>
      <c r="G373" s="729"/>
      <c r="H373" s="729"/>
    </row>
    <row r="374" spans="1:8">
      <c r="A374" s="730" t="s">
        <v>553</v>
      </c>
      <c r="B374" s="729"/>
      <c r="C374" s="729"/>
      <c r="D374" s="729"/>
      <c r="E374" s="729"/>
      <c r="F374" s="729"/>
      <c r="G374" s="729"/>
      <c r="H374" s="729"/>
    </row>
    <row r="375" spans="1:8">
      <c r="A375" s="730" t="s">
        <v>554</v>
      </c>
      <c r="B375" s="729"/>
      <c r="C375" s="729"/>
      <c r="D375" s="729"/>
      <c r="E375" s="729"/>
      <c r="F375" s="729"/>
      <c r="G375" s="729"/>
      <c r="H375" s="729"/>
    </row>
    <row r="376" spans="1:8">
      <c r="A376" s="730" t="s">
        <v>555</v>
      </c>
      <c r="B376" s="729"/>
      <c r="C376" s="729"/>
      <c r="D376" s="729"/>
      <c r="E376" s="729"/>
      <c r="F376" s="729"/>
      <c r="G376" s="729"/>
      <c r="H376" s="729"/>
    </row>
    <row r="377" spans="1:8">
      <c r="A377" s="730" t="s">
        <v>556</v>
      </c>
      <c r="B377" s="729"/>
      <c r="C377" s="729"/>
      <c r="D377" s="729"/>
      <c r="E377" s="729"/>
      <c r="F377" s="729"/>
      <c r="G377" s="729"/>
      <c r="H377" s="729"/>
    </row>
    <row r="378" spans="1:8">
      <c r="A378" s="730" t="s">
        <v>557</v>
      </c>
      <c r="B378" s="729"/>
      <c r="C378" s="729"/>
      <c r="D378" s="729"/>
      <c r="E378" s="729"/>
      <c r="F378" s="729"/>
      <c r="G378" s="729"/>
      <c r="H378" s="729"/>
    </row>
    <row r="379" spans="1:8">
      <c r="A379" s="729"/>
      <c r="B379" s="729"/>
      <c r="C379" s="729"/>
      <c r="D379" s="729"/>
      <c r="E379" s="729"/>
      <c r="F379" s="729"/>
      <c r="G379" s="729"/>
      <c r="H379" s="729"/>
    </row>
    <row r="380" spans="1:8">
      <c r="A380" s="730" t="s">
        <v>547</v>
      </c>
      <c r="B380" s="729"/>
      <c r="C380" s="729"/>
      <c r="D380" s="729"/>
      <c r="E380" s="729"/>
      <c r="F380" s="729"/>
      <c r="G380" s="729"/>
      <c r="H380" s="729"/>
    </row>
    <row r="381" spans="1:8">
      <c r="A381" s="730" t="s">
        <v>548</v>
      </c>
      <c r="B381" s="729"/>
      <c r="C381" s="729"/>
      <c r="D381" s="729"/>
      <c r="E381" s="729"/>
      <c r="F381" s="729"/>
      <c r="G381" s="729"/>
      <c r="H381" s="729"/>
    </row>
    <row r="382" spans="1:8">
      <c r="A382" s="730" t="s">
        <v>549</v>
      </c>
      <c r="B382" s="729"/>
      <c r="C382" s="729"/>
      <c r="D382" s="729"/>
      <c r="E382" s="729"/>
      <c r="F382" s="729"/>
      <c r="G382" s="729"/>
      <c r="H382" s="729"/>
    </row>
    <row r="383" spans="1:8">
      <c r="A383" s="730" t="s">
        <v>550</v>
      </c>
      <c r="B383" s="729"/>
      <c r="C383" s="729"/>
      <c r="D383" s="729"/>
      <c r="E383" s="729"/>
      <c r="F383" s="729"/>
      <c r="G383" s="729"/>
      <c r="H383" s="729"/>
    </row>
    <row r="384" spans="1:8">
      <c r="A384" s="730" t="s">
        <v>551</v>
      </c>
      <c r="B384" s="729"/>
      <c r="C384" s="729"/>
      <c r="D384" s="729"/>
      <c r="E384" s="729"/>
      <c r="F384" s="729"/>
      <c r="G384" s="729"/>
      <c r="H384" s="729"/>
    </row>
    <row r="385" spans="1:8">
      <c r="A385" s="729"/>
      <c r="B385" s="729"/>
      <c r="C385" s="729"/>
      <c r="D385" s="729"/>
      <c r="E385" s="729"/>
      <c r="F385" s="729"/>
      <c r="G385" s="729"/>
      <c r="H385" s="729"/>
    </row>
    <row r="386" spans="1:8">
      <c r="A386" s="730" t="s">
        <v>545</v>
      </c>
      <c r="B386" s="729"/>
      <c r="C386" s="729"/>
      <c r="D386" s="729"/>
      <c r="E386" s="729"/>
      <c r="F386" s="729"/>
      <c r="G386" s="729"/>
      <c r="H386" s="729"/>
    </row>
    <row r="387" spans="1:8">
      <c r="A387" s="730" t="s">
        <v>546</v>
      </c>
      <c r="B387" s="729"/>
      <c r="C387" s="729"/>
      <c r="D387" s="729"/>
      <c r="E387" s="729"/>
      <c r="F387" s="729"/>
      <c r="G387" s="729"/>
      <c r="H387" s="729"/>
    </row>
    <row r="389" spans="1:8">
      <c r="A389" s="725" t="s">
        <v>800</v>
      </c>
    </row>
  </sheetData>
  <mergeCells count="12">
    <mergeCell ref="A115:H115"/>
    <mergeCell ref="A122:H122"/>
    <mergeCell ref="A109:H109"/>
    <mergeCell ref="A110:H110"/>
    <mergeCell ref="A111:H111"/>
    <mergeCell ref="A112:H112"/>
    <mergeCell ref="A114:H114"/>
    <mergeCell ref="A130:H130"/>
    <mergeCell ref="A131:H131"/>
    <mergeCell ref="B123:C123"/>
    <mergeCell ref="D123:F123"/>
    <mergeCell ref="G123:H123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17"/>
    <pageSetUpPr fitToPage="1"/>
  </sheetPr>
  <dimension ref="A1:CI304"/>
  <sheetViews>
    <sheetView showGridLines="0" zoomScale="80" zoomScaleNormal="80" workbookViewId="0">
      <pane xSplit="3" ySplit="9" topLeftCell="BD10" activePane="bottomRight" state="frozen"/>
      <selection activeCell="AU14" sqref="AU14"/>
      <selection pane="topRight" activeCell="AU14" sqref="AU14"/>
      <selection pane="bottomLeft" activeCell="AU14" sqref="AU14"/>
      <selection pane="bottomRight" activeCell="B6" sqref="B6"/>
    </sheetView>
  </sheetViews>
  <sheetFormatPr defaultRowHeight="12.75" outlineLevelRow="2" outlineLevelCol="1"/>
  <cols>
    <col min="1" max="1" width="1.85546875" customWidth="1"/>
    <col min="2" max="2" width="46.7109375" customWidth="1"/>
    <col min="3" max="3" width="1.7109375" customWidth="1"/>
    <col min="4" max="27" width="11.85546875" hidden="1" customWidth="1" outlineLevel="1"/>
    <col min="28" max="28" width="11.85546875" hidden="1" customWidth="1" outlineLevel="1" collapsed="1"/>
    <col min="29" max="39" width="11.85546875" hidden="1" customWidth="1" outlineLevel="1"/>
    <col min="40" max="40" width="9.28515625" hidden="1" customWidth="1" outlineLevel="1" collapsed="1"/>
    <col min="41" max="43" width="9.28515625" hidden="1" customWidth="1" outlineLevel="1"/>
    <col min="44" max="44" width="9.28515625" hidden="1" customWidth="1" outlineLevel="1" collapsed="1"/>
    <col min="45" max="47" width="9.28515625" hidden="1" customWidth="1" outlineLevel="1"/>
    <col min="48" max="48" width="9.28515625" hidden="1" customWidth="1" outlineLevel="1" collapsed="1"/>
    <col min="49" max="49" width="10.5703125" hidden="1" customWidth="1" outlineLevel="1"/>
    <col min="50" max="50" width="10" hidden="1" customWidth="1" outlineLevel="1"/>
    <col min="51" max="51" width="9.28515625" hidden="1" customWidth="1" outlineLevel="1"/>
    <col min="52" max="52" width="10.28515625" hidden="1" customWidth="1" outlineLevel="1"/>
    <col min="53" max="53" width="9.7109375" hidden="1" customWidth="1" outlineLevel="1"/>
    <col min="54" max="54" width="10.42578125" hidden="1" customWidth="1" outlineLevel="1"/>
    <col min="55" max="55" width="9.7109375" hidden="1" customWidth="1" outlineLevel="1"/>
    <col min="56" max="56" width="10.28515625" customWidth="1" collapsed="1"/>
    <col min="57" max="63" width="9.7109375" customWidth="1"/>
    <col min="64" max="67" width="9.7109375" customWidth="1" outlineLevel="1"/>
    <col min="68" max="68" width="2.42578125" customWidth="1"/>
    <col min="69" max="69" width="11.85546875" hidden="1" customWidth="1" outlineLevel="1"/>
    <col min="70" max="80" width="11.28515625" hidden="1" customWidth="1" outlineLevel="1"/>
    <col min="81" max="81" width="11.28515625" customWidth="1" collapsed="1"/>
    <col min="82" max="84" width="11.28515625" customWidth="1"/>
    <col min="85" max="85" width="11.85546875" hidden="1" customWidth="1" outlineLevel="1"/>
    <col min="86" max="86" width="9.140625" collapsed="1"/>
  </cols>
  <sheetData>
    <row r="1" spans="1:87" ht="38.25" customHeight="1">
      <c r="A1" s="346"/>
      <c r="D1" s="165" t="str">
        <f>IF(SUM(BS)&lt;&gt;0,"BS BREAK"," ")</f>
        <v xml:space="preserve"> </v>
      </c>
      <c r="F1" s="165" t="str">
        <f>IF(SUM(BS)&lt;&gt;0,"BS BREAK"," ")</f>
        <v xml:space="preserve"> </v>
      </c>
      <c r="H1" s="165" t="str">
        <f>IF(SUM(BS)&lt;&gt;0,"BS BREAK"," ")</f>
        <v xml:space="preserve"> </v>
      </c>
      <c r="J1" s="165" t="str">
        <f>IF(SUM(BS)&lt;&gt;0,"BS BREAK"," ")</f>
        <v xml:space="preserve"> </v>
      </c>
      <c r="L1" s="165" t="str">
        <f>IF(SUM(BS)&lt;&gt;0,"BS BREAK"," ")</f>
        <v xml:space="preserve"> </v>
      </c>
      <c r="N1" s="165" t="str">
        <f>IF(SUM(BS)&lt;&gt;0,"BS BREAK"," ")</f>
        <v xml:space="preserve"> </v>
      </c>
      <c r="P1" s="165" t="str">
        <f>IF(SUM(BS)&lt;&gt;0,"BS BREAK"," ")</f>
        <v xml:space="preserve"> </v>
      </c>
      <c r="R1" s="165" t="str">
        <f>IF(SUM(BS)&lt;&gt;0,"BS BREAK"," ")</f>
        <v xml:space="preserve"> </v>
      </c>
      <c r="T1" s="165" t="str">
        <f>IF(SUM(BS)&lt;&gt;0,"BS BREAK"," ")</f>
        <v xml:space="preserve"> </v>
      </c>
      <c r="V1" s="165" t="str">
        <f>IF(SUM(BS)&lt;&gt;0,"BS BREAK"," ")</f>
        <v xml:space="preserve"> </v>
      </c>
      <c r="X1" s="165" t="str">
        <f>IF(SUM(BS)&lt;&gt;0,"BS BREAK"," ")</f>
        <v xml:space="preserve"> </v>
      </c>
      <c r="Z1" s="165" t="str">
        <f>IF(SUM(BS)&lt;&gt;0,"BS BREAK"," ")</f>
        <v xml:space="preserve"> </v>
      </c>
      <c r="AB1" s="165" t="str">
        <f>IF(SUM(BS)&lt;&gt;0,"BS BREAK"," ")</f>
        <v xml:space="preserve"> </v>
      </c>
      <c r="AD1" s="165" t="str">
        <f>IF(SUM(BS)&lt;&gt;0,"BS BREAK"," ")</f>
        <v xml:space="preserve"> </v>
      </c>
      <c r="AF1" s="165" t="str">
        <f>IF(SUM(BS)&lt;&gt;0,"BS BREAK"," ")</f>
        <v xml:space="preserve"> </v>
      </c>
      <c r="AG1" s="350"/>
      <c r="AH1" s="165" t="str">
        <f>IF(SUM(BS)&lt;&gt;0,"BS BREAK"," ")</f>
        <v xml:space="preserve"> </v>
      </c>
      <c r="AJ1" s="165" t="str">
        <f>IF(SUM(BS)&lt;&gt;0,"BS BREAK"," ")</f>
        <v xml:space="preserve"> </v>
      </c>
      <c r="AL1" s="165" t="str">
        <f>IF(SUM(BS)&lt;&gt;0,"BS BREAK"," ")</f>
        <v xml:space="preserve"> </v>
      </c>
      <c r="AN1" s="165" t="str">
        <f>IF(SUM(BS)&lt;&gt;0,"BS BREAK"," ")</f>
        <v xml:space="preserve"> </v>
      </c>
      <c r="AP1" s="165" t="str">
        <f>IF(SUM(BS)&lt;&gt;0,"BS BREAK"," ")</f>
        <v xml:space="preserve"> </v>
      </c>
      <c r="AR1" s="165" t="str">
        <f>IF(SUM(BS)&lt;&gt;0,"BS BREAK"," ")</f>
        <v xml:space="preserve"> </v>
      </c>
      <c r="AT1" s="165" t="str">
        <f>IF(SUM(BS)&lt;&gt;0,"BS BREAK"," ")</f>
        <v xml:space="preserve"> </v>
      </c>
      <c r="AV1" s="165" t="str">
        <f>IF(SUM(BS)&lt;&gt;0,"BS BREAK"," ")</f>
        <v xml:space="preserve"> </v>
      </c>
      <c r="AX1" t="str">
        <f>IF(SUM(BS)&lt;&gt;0,"BS BREAK"," ")</f>
        <v xml:space="preserve"> </v>
      </c>
      <c r="BQ1" s="165" t="str">
        <f>IF(SUM(BS)&lt;&gt;0,"BS BREAK"," ")</f>
        <v xml:space="preserve"> </v>
      </c>
      <c r="BS1" t="str">
        <f>IF(SUM(BS)&lt;&gt;0,"BS BREAK"," ")</f>
        <v xml:space="preserve"> </v>
      </c>
      <c r="BU1" t="str">
        <f>IF(SUM(BS)&lt;&gt;0,"BS BREAK"," ")</f>
        <v xml:space="preserve"> </v>
      </c>
      <c r="BW1" t="str">
        <f>IF(SUM(BS)&lt;&gt;0,"BS BREAK"," ")</f>
        <v xml:space="preserve"> </v>
      </c>
      <c r="BY1" t="str">
        <f>IF(SUM(BS)&lt;&gt;0,"BS BREAK"," ")</f>
        <v xml:space="preserve"> </v>
      </c>
      <c r="CA1" t="str">
        <f>IF(SUM(BS)&lt;&gt;0,"BS BREAK"," ")</f>
        <v xml:space="preserve"> </v>
      </c>
      <c r="CB1" t="str">
        <f>IF(SUM(BS)&lt;&gt;0,"BS BREAK"," ")</f>
        <v xml:space="preserve"> </v>
      </c>
      <c r="CC1" t="str">
        <f>IF(SUM(BS)&lt;&gt;0,"BS BREAK"," ")</f>
        <v xml:space="preserve"> </v>
      </c>
      <c r="CF1" t="str">
        <f>IF(SUM(BS)&lt;&gt;0,"BS BREAK"," ")</f>
        <v xml:space="preserve"> </v>
      </c>
      <c r="CG1" s="165" t="s">
        <v>306</v>
      </c>
    </row>
    <row r="2" spans="1:87" ht="15.75" customHeight="1">
      <c r="B2" s="95" t="s">
        <v>77</v>
      </c>
      <c r="AF2" s="351"/>
      <c r="AG2" s="351"/>
      <c r="AO2" s="375"/>
      <c r="AS2" s="375"/>
      <c r="AV2" s="422"/>
    </row>
    <row r="3" spans="1:87" ht="13.5" customHeight="1">
      <c r="B3" s="367" t="s">
        <v>295</v>
      </c>
      <c r="AR3" s="348"/>
      <c r="AV3" s="348"/>
      <c r="BA3" s="348"/>
      <c r="BB3" s="348"/>
      <c r="CD3" s="459"/>
      <c r="CE3" s="459"/>
      <c r="CF3" s="459"/>
      <c r="CG3" s="459"/>
    </row>
    <row r="4" spans="1:87" ht="12.75" customHeight="1">
      <c r="AR4" s="348"/>
      <c r="AT4" s="367"/>
      <c r="AV4" s="348"/>
      <c r="AW4" s="367"/>
      <c r="AX4" s="367"/>
      <c r="AY4" s="367"/>
      <c r="AZ4" s="367"/>
      <c r="BA4" s="409"/>
      <c r="BB4" s="367"/>
      <c r="BC4" s="367"/>
      <c r="BD4" s="367"/>
      <c r="BE4" s="367"/>
      <c r="BF4" s="367"/>
      <c r="BG4" s="367"/>
      <c r="BH4" s="409"/>
      <c r="BI4" s="368"/>
      <c r="BJ4" s="367"/>
      <c r="BK4" s="367"/>
      <c r="BL4" s="367"/>
      <c r="BM4" s="367"/>
      <c r="BN4" s="367"/>
      <c r="BO4" s="367"/>
      <c r="BR4" s="348"/>
      <c r="BS4" s="348"/>
      <c r="BT4" s="348"/>
      <c r="BU4" s="348"/>
      <c r="BV4" s="348"/>
      <c r="BW4" s="348"/>
      <c r="BX4" s="348"/>
      <c r="BY4" s="348"/>
      <c r="BZ4" s="348"/>
      <c r="CA4" s="348"/>
      <c r="CB4" s="348"/>
      <c r="CF4" s="370"/>
    </row>
    <row r="5" spans="1:87" ht="12.75" customHeight="1">
      <c r="AF5" s="350"/>
      <c r="AG5" s="350"/>
      <c r="AJ5" s="371"/>
      <c r="AR5" s="409"/>
      <c r="AV5" s="444" t="s">
        <v>306</v>
      </c>
      <c r="AY5" s="103"/>
      <c r="AZ5" s="348"/>
      <c r="BA5" s="468"/>
      <c r="BB5" s="468"/>
      <c r="BC5" s="519"/>
      <c r="BD5" s="519"/>
      <c r="BE5" s="519"/>
      <c r="BF5" s="519"/>
      <c r="BG5" s="519"/>
      <c r="BH5" s="519"/>
      <c r="BI5" s="519"/>
      <c r="BJ5" s="519"/>
      <c r="BK5" s="519"/>
      <c r="BL5" s="519"/>
      <c r="BM5" s="519"/>
      <c r="BN5" s="519"/>
      <c r="BO5" s="519"/>
      <c r="BP5" s="519"/>
      <c r="BQ5" s="519"/>
      <c r="CB5" s="446"/>
      <c r="CC5" s="489"/>
      <c r="CD5" s="468"/>
      <c r="CE5" s="468"/>
      <c r="CF5" s="468"/>
    </row>
    <row r="6" spans="1:87" ht="12.75" customHeight="1">
      <c r="B6" s="254"/>
      <c r="AI6" s="371"/>
      <c r="AR6" s="365"/>
      <c r="AS6" s="365"/>
      <c r="AT6" s="365"/>
      <c r="AU6" s="365"/>
      <c r="AV6" s="365"/>
      <c r="AW6" s="349"/>
      <c r="AX6" s="453"/>
      <c r="BA6" s="348"/>
      <c r="BB6" s="348"/>
      <c r="BC6" s="348"/>
      <c r="BD6" s="348"/>
      <c r="BE6" s="348"/>
      <c r="BF6" s="348"/>
      <c r="BG6" s="348"/>
      <c r="BH6" s="348"/>
      <c r="BI6" s="348"/>
      <c r="BJ6" s="348"/>
      <c r="BK6" s="348"/>
      <c r="BL6" s="348"/>
      <c r="BM6" s="348"/>
      <c r="BN6" s="348"/>
      <c r="BO6" s="348"/>
      <c r="BR6" s="407"/>
      <c r="BS6" s="407"/>
      <c r="BT6" s="407"/>
      <c r="BU6" s="407"/>
      <c r="BV6" s="407"/>
      <c r="BW6" s="407"/>
      <c r="BX6" s="407"/>
      <c r="BY6" s="407"/>
      <c r="BZ6" s="407"/>
      <c r="CA6" s="407"/>
      <c r="CB6" s="407"/>
      <c r="CC6" s="407"/>
      <c r="CD6" s="491"/>
      <c r="CE6" s="491"/>
      <c r="CF6" s="491"/>
    </row>
    <row r="7" spans="1:87" ht="15">
      <c r="B7" s="268"/>
      <c r="C7" s="3"/>
      <c r="D7" s="4" t="s">
        <v>346</v>
      </c>
      <c r="E7" s="5" t="s">
        <v>347</v>
      </c>
      <c r="F7" s="5" t="s">
        <v>348</v>
      </c>
      <c r="G7" s="6" t="s">
        <v>349</v>
      </c>
      <c r="H7" s="4" t="s">
        <v>350</v>
      </c>
      <c r="I7" s="5" t="s">
        <v>351</v>
      </c>
      <c r="J7" s="5" t="s">
        <v>352</v>
      </c>
      <c r="K7" s="6" t="s">
        <v>353</v>
      </c>
      <c r="L7" s="4" t="s">
        <v>354</v>
      </c>
      <c r="M7" s="5" t="s">
        <v>355</v>
      </c>
      <c r="N7" s="5" t="s">
        <v>356</v>
      </c>
      <c r="O7" s="6" t="s">
        <v>357</v>
      </c>
      <c r="P7" s="4" t="s">
        <v>358</v>
      </c>
      <c r="Q7" s="5" t="s">
        <v>359</v>
      </c>
      <c r="R7" s="5" t="s">
        <v>360</v>
      </c>
      <c r="S7" s="6" t="s">
        <v>361</v>
      </c>
      <c r="T7" s="4" t="s">
        <v>362</v>
      </c>
      <c r="U7" s="5" t="s">
        <v>363</v>
      </c>
      <c r="V7" s="5" t="s">
        <v>364</v>
      </c>
      <c r="W7" s="6" t="s">
        <v>365</v>
      </c>
      <c r="X7" s="4" t="s">
        <v>366</v>
      </c>
      <c r="Y7" s="5" t="s">
        <v>367</v>
      </c>
      <c r="Z7" s="5" t="s">
        <v>368</v>
      </c>
      <c r="AA7" s="6" t="s">
        <v>369</v>
      </c>
      <c r="AB7" s="4" t="s">
        <v>370</v>
      </c>
      <c r="AC7" s="5" t="s">
        <v>371</v>
      </c>
      <c r="AD7" s="5" t="s">
        <v>372</v>
      </c>
      <c r="AE7" s="6" t="s">
        <v>373</v>
      </c>
      <c r="AF7" s="4" t="s">
        <v>374</v>
      </c>
      <c r="AG7" s="5" t="s">
        <v>375</v>
      </c>
      <c r="AH7" s="5" t="s">
        <v>376</v>
      </c>
      <c r="AI7" s="6" t="s">
        <v>377</v>
      </c>
      <c r="AJ7" s="4" t="s">
        <v>325</v>
      </c>
      <c r="AK7" s="5" t="s">
        <v>326</v>
      </c>
      <c r="AL7" s="5" t="s">
        <v>327</v>
      </c>
      <c r="AM7" s="6" t="s">
        <v>328</v>
      </c>
      <c r="AN7" s="4" t="s">
        <v>329</v>
      </c>
      <c r="AO7" s="5" t="s">
        <v>330</v>
      </c>
      <c r="AP7" s="5" t="s">
        <v>331</v>
      </c>
      <c r="AQ7" s="6" t="s">
        <v>332</v>
      </c>
      <c r="AR7" s="4" t="s">
        <v>378</v>
      </c>
      <c r="AS7" s="5" t="s">
        <v>379</v>
      </c>
      <c r="AT7" s="5" t="s">
        <v>380</v>
      </c>
      <c r="AU7" s="6" t="s">
        <v>381</v>
      </c>
      <c r="AV7" s="4" t="s">
        <v>382</v>
      </c>
      <c r="AW7" s="5" t="s">
        <v>383</v>
      </c>
      <c r="AX7" s="5" t="s">
        <v>384</v>
      </c>
      <c r="AY7" s="6" t="s">
        <v>385</v>
      </c>
      <c r="AZ7" s="4" t="s">
        <v>453</v>
      </c>
      <c r="BA7" s="5" t="s">
        <v>452</v>
      </c>
      <c r="BB7" s="5" t="s">
        <v>478</v>
      </c>
      <c r="BC7" s="470" t="s">
        <v>477</v>
      </c>
      <c r="BD7" s="469" t="s">
        <v>456</v>
      </c>
      <c r="BE7" s="469" t="s">
        <v>457</v>
      </c>
      <c r="BF7" s="469" t="s">
        <v>492</v>
      </c>
      <c r="BG7" s="469" t="s">
        <v>500</v>
      </c>
      <c r="BH7" s="635" t="s">
        <v>461</v>
      </c>
      <c r="BI7" s="469" t="s">
        <v>462</v>
      </c>
      <c r="BJ7" s="469" t="s">
        <v>463</v>
      </c>
      <c r="BK7" s="469" t="s">
        <v>464</v>
      </c>
      <c r="BL7" s="635" t="s">
        <v>484</v>
      </c>
      <c r="BM7" s="469" t="s">
        <v>485</v>
      </c>
      <c r="BN7" s="469" t="s">
        <v>486</v>
      </c>
      <c r="BO7" s="470" t="s">
        <v>487</v>
      </c>
      <c r="BP7" s="686"/>
      <c r="BQ7" s="559" t="s">
        <v>426</v>
      </c>
      <c r="BR7" s="569" t="s">
        <v>427</v>
      </c>
      <c r="BS7" s="569" t="s">
        <v>428</v>
      </c>
      <c r="BT7" s="569" t="s">
        <v>429</v>
      </c>
      <c r="BU7" s="569" t="s">
        <v>430</v>
      </c>
      <c r="BV7" s="569" t="s">
        <v>431</v>
      </c>
      <c r="BW7" s="569" t="s">
        <v>432</v>
      </c>
      <c r="BX7" s="569" t="s">
        <v>433</v>
      </c>
      <c r="BY7" s="569" t="s">
        <v>434</v>
      </c>
      <c r="BZ7" s="569" t="s">
        <v>435</v>
      </c>
      <c r="CA7" s="569" t="s">
        <v>436</v>
      </c>
      <c r="CB7" s="569" t="s">
        <v>437</v>
      </c>
      <c r="CC7" s="567" t="s">
        <v>479</v>
      </c>
      <c r="CD7" s="559" t="s">
        <v>503</v>
      </c>
      <c r="CE7" s="559" t="s">
        <v>459</v>
      </c>
      <c r="CF7" s="559" t="s">
        <v>469</v>
      </c>
      <c r="CG7" s="571" t="s">
        <v>498</v>
      </c>
      <c r="CH7" s="336"/>
    </row>
    <row r="8" spans="1:87" ht="15">
      <c r="B8" s="269" t="s">
        <v>86</v>
      </c>
      <c r="C8" s="7"/>
      <c r="D8" s="8">
        <v>38107</v>
      </c>
      <c r="E8" s="9">
        <v>38199</v>
      </c>
      <c r="F8" s="9">
        <v>38291</v>
      </c>
      <c r="G8" s="10">
        <v>38383</v>
      </c>
      <c r="H8" s="9">
        <v>38472</v>
      </c>
      <c r="I8" s="9">
        <v>38564</v>
      </c>
      <c r="J8" s="9">
        <v>38656</v>
      </c>
      <c r="K8" s="10">
        <v>38748</v>
      </c>
      <c r="L8" s="9">
        <v>38837</v>
      </c>
      <c r="M8" s="9">
        <v>38929</v>
      </c>
      <c r="N8" s="9">
        <v>39021</v>
      </c>
      <c r="O8" s="10">
        <v>39113</v>
      </c>
      <c r="P8" s="9">
        <v>39202</v>
      </c>
      <c r="Q8" s="9">
        <v>39294</v>
      </c>
      <c r="R8" s="9">
        <v>39386</v>
      </c>
      <c r="S8" s="10">
        <v>39478</v>
      </c>
      <c r="T8" s="9">
        <v>39568</v>
      </c>
      <c r="U8" s="9">
        <v>39660</v>
      </c>
      <c r="V8" s="9">
        <v>39752</v>
      </c>
      <c r="W8" s="10">
        <v>39844</v>
      </c>
      <c r="X8" s="9">
        <v>39933</v>
      </c>
      <c r="Y8" s="9">
        <v>40025</v>
      </c>
      <c r="Z8" s="9">
        <v>40117</v>
      </c>
      <c r="AA8" s="10">
        <v>40209</v>
      </c>
      <c r="AB8" s="9">
        <v>40298</v>
      </c>
      <c r="AC8" s="9">
        <v>40390</v>
      </c>
      <c r="AD8" s="9">
        <v>40482</v>
      </c>
      <c r="AE8" s="10">
        <v>40574</v>
      </c>
      <c r="AF8" s="9">
        <v>40663</v>
      </c>
      <c r="AG8" s="9">
        <v>40755</v>
      </c>
      <c r="AH8" s="9">
        <v>40847</v>
      </c>
      <c r="AI8" s="10">
        <v>40939</v>
      </c>
      <c r="AJ8" s="9">
        <v>41029</v>
      </c>
      <c r="AK8" s="9">
        <v>41121</v>
      </c>
      <c r="AL8" s="9">
        <v>41213</v>
      </c>
      <c r="AM8" s="10">
        <v>41305</v>
      </c>
      <c r="AN8" s="104">
        <v>41394</v>
      </c>
      <c r="AO8" s="9">
        <v>41486</v>
      </c>
      <c r="AP8" s="9">
        <v>41578</v>
      </c>
      <c r="AQ8" s="10">
        <v>41670</v>
      </c>
      <c r="AR8" s="9">
        <v>41759</v>
      </c>
      <c r="AS8" s="9">
        <v>41851</v>
      </c>
      <c r="AT8" s="9">
        <v>41943</v>
      </c>
      <c r="AU8" s="10">
        <v>42035</v>
      </c>
      <c r="AV8" s="104">
        <v>42124</v>
      </c>
      <c r="AW8" s="9">
        <v>42216</v>
      </c>
      <c r="AX8" s="9">
        <v>42308</v>
      </c>
      <c r="AY8" s="10">
        <v>42400</v>
      </c>
      <c r="AZ8" s="104">
        <v>42490</v>
      </c>
      <c r="BA8" s="9">
        <v>42582</v>
      </c>
      <c r="BB8" s="9">
        <v>42674</v>
      </c>
      <c r="BC8" s="473">
        <v>42766</v>
      </c>
      <c r="BD8" s="471">
        <v>42855</v>
      </c>
      <c r="BE8" s="472">
        <v>42947</v>
      </c>
      <c r="BF8" s="472">
        <v>43039</v>
      </c>
      <c r="BG8" s="472">
        <v>43131</v>
      </c>
      <c r="BH8" s="471">
        <v>43220</v>
      </c>
      <c r="BI8" s="472">
        <v>43312</v>
      </c>
      <c r="BJ8" s="472">
        <v>43404</v>
      </c>
      <c r="BK8" s="472">
        <v>43496</v>
      </c>
      <c r="BL8" s="471">
        <v>43585</v>
      </c>
      <c r="BM8" s="472">
        <v>43677</v>
      </c>
      <c r="BN8" s="472">
        <v>43769</v>
      </c>
      <c r="BO8" s="571">
        <v>43861</v>
      </c>
      <c r="BP8" s="347"/>
      <c r="BQ8" s="685">
        <v>38383</v>
      </c>
      <c r="BR8" s="559">
        <v>38748</v>
      </c>
      <c r="BS8" s="559">
        <v>39113</v>
      </c>
      <c r="BT8" s="559">
        <v>39478</v>
      </c>
      <c r="BU8" s="559">
        <v>39844</v>
      </c>
      <c r="BV8" s="559">
        <v>40209</v>
      </c>
      <c r="BW8" s="559">
        <v>40574</v>
      </c>
      <c r="BX8" s="559">
        <v>40939</v>
      </c>
      <c r="BY8" s="559">
        <v>41305</v>
      </c>
      <c r="BZ8" s="559">
        <v>41670</v>
      </c>
      <c r="CA8" s="559">
        <v>42035</v>
      </c>
      <c r="CB8" s="559">
        <v>42400</v>
      </c>
      <c r="CC8" s="559">
        <v>42766</v>
      </c>
      <c r="CD8" s="559">
        <v>43131</v>
      </c>
      <c r="CE8" s="559">
        <v>43496</v>
      </c>
      <c r="CF8" s="559">
        <v>43861</v>
      </c>
      <c r="CG8" s="571">
        <v>43861</v>
      </c>
      <c r="CH8" s="336"/>
    </row>
    <row r="9" spans="1:87" ht="15">
      <c r="B9" s="11"/>
      <c r="C9" s="12"/>
      <c r="D9" s="13" t="s">
        <v>386</v>
      </c>
      <c r="E9" s="14" t="s">
        <v>387</v>
      </c>
      <c r="F9" s="14" t="s">
        <v>388</v>
      </c>
      <c r="G9" s="15" t="s">
        <v>389</v>
      </c>
      <c r="H9" s="13" t="s">
        <v>390</v>
      </c>
      <c r="I9" s="14" t="s">
        <v>391</v>
      </c>
      <c r="J9" s="14" t="s">
        <v>392</v>
      </c>
      <c r="K9" s="15" t="s">
        <v>393</v>
      </c>
      <c r="L9" s="13" t="s">
        <v>394</v>
      </c>
      <c r="M9" s="14" t="s">
        <v>395</v>
      </c>
      <c r="N9" s="14" t="s">
        <v>396</v>
      </c>
      <c r="O9" s="15" t="s">
        <v>397</v>
      </c>
      <c r="P9" s="13" t="s">
        <v>398</v>
      </c>
      <c r="Q9" s="14" t="s">
        <v>399</v>
      </c>
      <c r="R9" s="14" t="s">
        <v>400</v>
      </c>
      <c r="S9" s="15" t="s">
        <v>401</v>
      </c>
      <c r="T9" s="13" t="s">
        <v>402</v>
      </c>
      <c r="U9" s="14" t="s">
        <v>403</v>
      </c>
      <c r="V9" s="14" t="s">
        <v>404</v>
      </c>
      <c r="W9" s="15" t="s">
        <v>405</v>
      </c>
      <c r="X9" s="13" t="s">
        <v>406</v>
      </c>
      <c r="Y9" s="14" t="s">
        <v>407</v>
      </c>
      <c r="Z9" s="14" t="s">
        <v>408</v>
      </c>
      <c r="AA9" s="15" t="s">
        <v>409</v>
      </c>
      <c r="AB9" s="13" t="s">
        <v>410</v>
      </c>
      <c r="AC9" s="14" t="s">
        <v>411</v>
      </c>
      <c r="AD9" s="14" t="s">
        <v>412</v>
      </c>
      <c r="AE9" s="15" t="s">
        <v>413</v>
      </c>
      <c r="AF9" s="13" t="s">
        <v>414</v>
      </c>
      <c r="AG9" s="14" t="s">
        <v>415</v>
      </c>
      <c r="AH9" s="14" t="s">
        <v>416</v>
      </c>
      <c r="AI9" s="15" t="s">
        <v>417</v>
      </c>
      <c r="AJ9" s="13" t="s">
        <v>333</v>
      </c>
      <c r="AK9" s="14" t="s">
        <v>334</v>
      </c>
      <c r="AL9" s="14" t="s">
        <v>335</v>
      </c>
      <c r="AM9" s="15" t="s">
        <v>336</v>
      </c>
      <c r="AN9" s="13" t="s">
        <v>337</v>
      </c>
      <c r="AO9" s="14" t="s">
        <v>338</v>
      </c>
      <c r="AP9" s="14" t="s">
        <v>339</v>
      </c>
      <c r="AQ9" s="15" t="s">
        <v>340</v>
      </c>
      <c r="AR9" s="13" t="s">
        <v>418</v>
      </c>
      <c r="AS9" s="14" t="s">
        <v>419</v>
      </c>
      <c r="AT9" s="14" t="s">
        <v>420</v>
      </c>
      <c r="AU9" s="15" t="s">
        <v>421</v>
      </c>
      <c r="AV9" s="13" t="s">
        <v>422</v>
      </c>
      <c r="AW9" s="14" t="s">
        <v>423</v>
      </c>
      <c r="AX9" s="14" t="s">
        <v>424</v>
      </c>
      <c r="AY9" s="15" t="s">
        <v>425</v>
      </c>
      <c r="AZ9" s="13" t="s">
        <v>451</v>
      </c>
      <c r="BA9" s="14" t="s">
        <v>454</v>
      </c>
      <c r="BB9" s="14" t="s">
        <v>458</v>
      </c>
      <c r="BC9" s="476" t="s">
        <v>476</v>
      </c>
      <c r="BD9" s="474" t="s">
        <v>481</v>
      </c>
      <c r="BE9" s="475" t="s">
        <v>482</v>
      </c>
      <c r="BF9" s="475" t="s">
        <v>493</v>
      </c>
      <c r="BG9" s="475" t="s">
        <v>501</v>
      </c>
      <c r="BH9" s="474" t="s">
        <v>465</v>
      </c>
      <c r="BI9" s="475" t="s">
        <v>466</v>
      </c>
      <c r="BJ9" s="475" t="s">
        <v>467</v>
      </c>
      <c r="BK9" s="475" t="s">
        <v>468</v>
      </c>
      <c r="BL9" s="474" t="s">
        <v>488</v>
      </c>
      <c r="BM9" s="475" t="s">
        <v>489</v>
      </c>
      <c r="BN9" s="475" t="s">
        <v>490</v>
      </c>
      <c r="BO9" s="572" t="s">
        <v>491</v>
      </c>
      <c r="BP9" s="347"/>
      <c r="BQ9" s="13" t="s">
        <v>438</v>
      </c>
      <c r="BR9" s="568" t="s">
        <v>439</v>
      </c>
      <c r="BS9" s="568" t="s">
        <v>440</v>
      </c>
      <c r="BT9" s="568" t="s">
        <v>441</v>
      </c>
      <c r="BU9" s="568" t="s">
        <v>442</v>
      </c>
      <c r="BV9" s="568" t="s">
        <v>443</v>
      </c>
      <c r="BW9" s="568" t="s">
        <v>444</v>
      </c>
      <c r="BX9" s="568" t="s">
        <v>445</v>
      </c>
      <c r="BY9" s="568" t="s">
        <v>446</v>
      </c>
      <c r="BZ9" s="568" t="s">
        <v>447</v>
      </c>
      <c r="CA9" s="568" t="s">
        <v>448</v>
      </c>
      <c r="CB9" s="568" t="s">
        <v>449</v>
      </c>
      <c r="CC9" s="568" t="s">
        <v>480</v>
      </c>
      <c r="CD9" s="560" t="s">
        <v>504</v>
      </c>
      <c r="CE9" s="560" t="s">
        <v>460</v>
      </c>
      <c r="CF9" s="560" t="s">
        <v>470</v>
      </c>
      <c r="CG9" s="572" t="s">
        <v>499</v>
      </c>
      <c r="CH9" s="336"/>
    </row>
    <row r="10" spans="1:87" ht="14.25" hidden="1" outlineLevel="1">
      <c r="B10" s="16" t="s">
        <v>483</v>
      </c>
      <c r="C10" s="17"/>
      <c r="D10" s="18">
        <v>269.577</v>
      </c>
      <c r="E10" s="19">
        <v>297.154</v>
      </c>
      <c r="F10" s="19">
        <v>317.58300000000003</v>
      </c>
      <c r="G10" s="98">
        <v>340.26599999999985</v>
      </c>
      <c r="H10" s="18">
        <v>364.77</v>
      </c>
      <c r="I10" s="19">
        <v>390.45400000000001</v>
      </c>
      <c r="J10" s="19">
        <v>426.02600000000001</v>
      </c>
      <c r="K10" s="98">
        <v>489.01600000000008</v>
      </c>
      <c r="L10" s="18">
        <v>521.19600000000003</v>
      </c>
      <c r="M10" s="19">
        <v>573.98500000000001</v>
      </c>
      <c r="N10" s="19">
        <v>520.39800000000002</v>
      </c>
      <c r="O10" s="98">
        <v>621.97399999999959</v>
      </c>
      <c r="P10" s="18">
        <v>635.04999999999995</v>
      </c>
      <c r="Q10" s="19">
        <v>656.71100000000001</v>
      </c>
      <c r="R10" s="19">
        <v>758.24599999999998</v>
      </c>
      <c r="S10" s="98">
        <v>844.68600000000015</v>
      </c>
      <c r="T10" s="18">
        <v>804.07500000000005</v>
      </c>
      <c r="U10" s="19">
        <v>842.57500000000005</v>
      </c>
      <c r="V10" s="19">
        <v>791.04600000000005</v>
      </c>
      <c r="W10" s="98">
        <v>512.86699999999973</v>
      </c>
      <c r="X10" s="18">
        <v>521.43399999999997</v>
      </c>
      <c r="Y10" s="19">
        <v>640.62</v>
      </c>
      <c r="Z10" s="19">
        <v>803.09799999999996</v>
      </c>
      <c r="AA10" s="98">
        <v>842.53499999999997</v>
      </c>
      <c r="AB10" s="18">
        <v>855.57899999999995</v>
      </c>
      <c r="AC10" s="19">
        <v>896.47400000000005</v>
      </c>
      <c r="AD10" s="19">
        <v>959.327</v>
      </c>
      <c r="AE10" s="98">
        <v>900.51300000000003</v>
      </c>
      <c r="AF10" s="356">
        <v>802.40200000000004</v>
      </c>
      <c r="AG10" s="19">
        <v>897.52</v>
      </c>
      <c r="AH10" s="19">
        <v>950.41700000000003</v>
      </c>
      <c r="AI10" s="98">
        <v>742.70100000000002</v>
      </c>
      <c r="AJ10" s="356">
        <v>796.351</v>
      </c>
      <c r="AK10" s="19">
        <v>816.10400000000004</v>
      </c>
      <c r="AL10" s="19">
        <v>780.88099999999997</v>
      </c>
      <c r="AM10" s="98">
        <v>775.29399999999998</v>
      </c>
      <c r="AN10" s="356">
        <v>734.36900000000003</v>
      </c>
      <c r="AO10" s="19">
        <v>807.05600000000004</v>
      </c>
      <c r="AP10" s="391">
        <v>931.226</v>
      </c>
      <c r="AQ10" s="98">
        <v>931.74900000000002</v>
      </c>
      <c r="AR10" s="356">
        <v>957.83</v>
      </c>
      <c r="AS10" s="19">
        <v>961.54499999999996</v>
      </c>
      <c r="AT10" s="391">
        <v>930.13599999999997</v>
      </c>
      <c r="AU10" s="98">
        <v>857.452</v>
      </c>
      <c r="AV10" s="356">
        <v>724.28800000000001</v>
      </c>
      <c r="AW10" s="19">
        <v>710.49199999999996</v>
      </c>
      <c r="AX10" s="19">
        <v>674.89</v>
      </c>
      <c r="AY10" s="98">
        <v>616.15800000000002</v>
      </c>
      <c r="AZ10" s="356">
        <v>540.822</v>
      </c>
      <c r="BA10" s="19">
        <v>626.404</v>
      </c>
      <c r="BB10" s="391">
        <v>654.42200000000003</v>
      </c>
      <c r="BC10" s="98">
        <v>571.4</v>
      </c>
      <c r="BD10" s="356">
        <v>579.17999999999995</v>
      </c>
      <c r="BE10" s="391">
        <v>604.75</v>
      </c>
      <c r="BF10" s="391">
        <v>616.30200000000002</v>
      </c>
      <c r="BG10" s="98">
        <v>615.40899999999999</v>
      </c>
      <c r="BH10" s="356">
        <f>'BU-Segment'!BH34</f>
        <v>600.68138999999996</v>
      </c>
      <c r="BI10" s="391">
        <f>'BU-Segment'!BI34</f>
        <v>619.66605270000002</v>
      </c>
      <c r="BJ10" s="391">
        <f>'BU-Segment'!BJ34</f>
        <v>637.97721058349998</v>
      </c>
      <c r="BK10" s="19">
        <f>'BU-Segment'!BK34</f>
        <v>632.02231666349996</v>
      </c>
      <c r="BL10" s="356">
        <f>'BU-Segment'!BL34</f>
        <v>597.48641668489495</v>
      </c>
      <c r="BM10" s="391">
        <f>'BU-Segment'!BM34</f>
        <v>635.57319957303957</v>
      </c>
      <c r="BN10" s="391">
        <f>'BU-Segment'!BN34</f>
        <v>656.9704723593793</v>
      </c>
      <c r="BO10" s="636">
        <f>'BU-Segment'!BO34</f>
        <v>649.33726648683034</v>
      </c>
      <c r="BP10" s="347"/>
      <c r="BQ10" s="423">
        <f>SUM(D10:G10)</f>
        <v>1224.58</v>
      </c>
      <c r="BR10" s="424">
        <f>SUM(H10:K10)</f>
        <v>1670.2660000000001</v>
      </c>
      <c r="BS10" s="424">
        <f>SUM(L10:O10)</f>
        <v>2237.5529999999999</v>
      </c>
      <c r="BT10" s="424">
        <f>SUM(P10:S10)</f>
        <v>2894.6930000000002</v>
      </c>
      <c r="BU10" s="424">
        <f>SUM(T10:W10)</f>
        <v>2950.5629999999996</v>
      </c>
      <c r="BV10" s="424">
        <f>SUM(X10:AA10)</f>
        <v>2807.6869999999999</v>
      </c>
      <c r="BW10" s="424">
        <f>SUM(AB10:AE10)</f>
        <v>3611.893</v>
      </c>
      <c r="BX10" s="424">
        <f>SUM(AF10:AI10)</f>
        <v>3393.04</v>
      </c>
      <c r="BY10" s="424">
        <f>SUM(AJ10:AM10)</f>
        <v>3168.6299999999997</v>
      </c>
      <c r="BZ10" s="424">
        <f>SUM(AN10:AQ10)</f>
        <v>3404.4000000000005</v>
      </c>
      <c r="CA10" s="424">
        <f>SUM(AR10:AU10)</f>
        <v>3706.9629999999997</v>
      </c>
      <c r="CB10" s="424">
        <f>SUM(AV10:AY10)</f>
        <v>2725.828</v>
      </c>
      <c r="CC10" s="424">
        <f>SUM(AZ10:BC10)</f>
        <v>2393.0480000000002</v>
      </c>
      <c r="CD10" s="424">
        <f>SUM(BD10:BG10)</f>
        <v>2415.6410000000001</v>
      </c>
      <c r="CE10" s="424">
        <f>SUM(BH10:BK10)</f>
        <v>2490.3469699470002</v>
      </c>
      <c r="CF10" s="424">
        <f>SUM(BL10:BO10)</f>
        <v>2539.3673551041443</v>
      </c>
      <c r="CG10" s="696">
        <f>CF10*(1+CG14)</f>
        <v>2539.3673551041443</v>
      </c>
      <c r="CH10" s="336"/>
    </row>
    <row r="11" spans="1:87" ht="14.25" hidden="1" outlineLevel="1">
      <c r="B11" s="20" t="s">
        <v>1</v>
      </c>
      <c r="C11" s="21"/>
      <c r="D11" s="22">
        <v>0</v>
      </c>
      <c r="E11" s="23">
        <v>0</v>
      </c>
      <c r="F11" s="23">
        <v>0</v>
      </c>
      <c r="G11" s="24">
        <v>0</v>
      </c>
      <c r="H11" s="22">
        <v>0</v>
      </c>
      <c r="I11" s="23">
        <v>0</v>
      </c>
      <c r="J11" s="23">
        <v>0</v>
      </c>
      <c r="K11" s="24">
        <v>0</v>
      </c>
      <c r="L11" s="22">
        <v>0</v>
      </c>
      <c r="M11" s="23">
        <v>0</v>
      </c>
      <c r="N11" s="23">
        <v>0</v>
      </c>
      <c r="O11" s="24">
        <v>0</v>
      </c>
      <c r="P11" s="22">
        <v>0</v>
      </c>
      <c r="Q11" s="23">
        <v>0</v>
      </c>
      <c r="R11" s="23">
        <v>0</v>
      </c>
      <c r="S11" s="24">
        <v>0</v>
      </c>
      <c r="T11" s="22">
        <v>0</v>
      </c>
      <c r="U11" s="23">
        <v>0</v>
      </c>
      <c r="V11" s="23">
        <v>0</v>
      </c>
      <c r="W11" s="24">
        <v>0</v>
      </c>
      <c r="X11" s="22">
        <v>0</v>
      </c>
      <c r="Y11" s="23">
        <v>0</v>
      </c>
      <c r="Z11" s="23">
        <v>0</v>
      </c>
      <c r="AA11" s="24">
        <v>0</v>
      </c>
      <c r="AB11" s="22">
        <v>0</v>
      </c>
      <c r="AC11" s="23">
        <v>0</v>
      </c>
      <c r="AD11" s="23">
        <v>0</v>
      </c>
      <c r="AE11" s="24">
        <v>0</v>
      </c>
      <c r="AF11" s="22">
        <v>0</v>
      </c>
      <c r="AG11" s="23">
        <v>0</v>
      </c>
      <c r="AH11" s="23">
        <v>0</v>
      </c>
      <c r="AI11" s="24">
        <v>0</v>
      </c>
      <c r="AJ11" s="22">
        <v>0</v>
      </c>
      <c r="AK11" s="23">
        <v>0</v>
      </c>
      <c r="AL11" s="23">
        <v>0</v>
      </c>
      <c r="AM11" s="24">
        <v>0</v>
      </c>
      <c r="AN11" s="22">
        <v>0</v>
      </c>
      <c r="AO11" s="23">
        <v>0</v>
      </c>
      <c r="AP11" s="23">
        <v>0</v>
      </c>
      <c r="AQ11" s="24">
        <v>0</v>
      </c>
      <c r="AR11" s="22">
        <v>0</v>
      </c>
      <c r="AS11" s="23">
        <v>0</v>
      </c>
      <c r="AT11" s="23">
        <v>0</v>
      </c>
      <c r="AU11" s="24">
        <v>0</v>
      </c>
      <c r="AV11" s="22">
        <v>0</v>
      </c>
      <c r="AW11" s="23">
        <v>0</v>
      </c>
      <c r="AX11" s="23">
        <v>0</v>
      </c>
      <c r="AY11" s="24">
        <v>0</v>
      </c>
      <c r="AZ11" s="22">
        <v>0</v>
      </c>
      <c r="BA11" s="23">
        <v>0</v>
      </c>
      <c r="BB11" s="23">
        <v>0</v>
      </c>
      <c r="BC11" s="24">
        <v>0</v>
      </c>
      <c r="BD11" s="22">
        <v>0</v>
      </c>
      <c r="BE11" s="23">
        <v>0</v>
      </c>
      <c r="BF11" s="23">
        <v>0</v>
      </c>
      <c r="BG11" s="24">
        <v>0</v>
      </c>
      <c r="BH11" s="637">
        <v>0</v>
      </c>
      <c r="BI11" s="325">
        <v>0</v>
      </c>
      <c r="BJ11" s="325">
        <v>0</v>
      </c>
      <c r="BK11" s="325">
        <v>0</v>
      </c>
      <c r="BL11" s="637">
        <v>0</v>
      </c>
      <c r="BM11" s="325">
        <v>0</v>
      </c>
      <c r="BN11" s="325">
        <v>0</v>
      </c>
      <c r="BO11" s="596">
        <v>0</v>
      </c>
      <c r="BP11" s="347"/>
      <c r="BQ11" s="25">
        <f>SUM(D11:G11)</f>
        <v>0</v>
      </c>
      <c r="BR11" s="26">
        <f>SUM(H11:K11)</f>
        <v>0</v>
      </c>
      <c r="BS11" s="26">
        <f>SUM(L11:O11)</f>
        <v>0</v>
      </c>
      <c r="BT11" s="26">
        <f>SUM(P11:S11)</f>
        <v>0</v>
      </c>
      <c r="BU11" s="26">
        <f>SUM(T11:W11)</f>
        <v>0</v>
      </c>
      <c r="BV11" s="26">
        <f>SUM(X11:AA11)</f>
        <v>0</v>
      </c>
      <c r="BW11" s="26">
        <f>SUM(AB11:AE11)</f>
        <v>0</v>
      </c>
      <c r="BX11" s="26">
        <f>SUM(AF11:AI11)</f>
        <v>0</v>
      </c>
      <c r="BY11" s="26">
        <f>SUM(AJ11:AM11)</f>
        <v>0</v>
      </c>
      <c r="BZ11" s="26">
        <f>SUM(AN11:AQ11)</f>
        <v>0</v>
      </c>
      <c r="CA11" s="26">
        <f>SUM(AR11:AU11)</f>
        <v>0</v>
      </c>
      <c r="CB11" s="26">
        <f>SUM(AV11:AY11)</f>
        <v>0</v>
      </c>
      <c r="CC11" s="26">
        <f>SUM(AZ11:BC11)</f>
        <v>0</v>
      </c>
      <c r="CD11" s="26">
        <f>SUM(BD11:BG11)</f>
        <v>0</v>
      </c>
      <c r="CE11" s="26">
        <f>SUM(BH11:BK11)</f>
        <v>0</v>
      </c>
      <c r="CF11" s="26">
        <f>SUM(BL11:BO11)</f>
        <v>0</v>
      </c>
      <c r="CG11" s="596">
        <v>0</v>
      </c>
      <c r="CH11" s="25"/>
      <c r="CI11" s="26"/>
    </row>
    <row r="12" spans="1:87" ht="14.25" collapsed="1">
      <c r="B12" s="16" t="s">
        <v>324</v>
      </c>
      <c r="C12" s="17"/>
      <c r="D12" s="25">
        <v>269.577</v>
      </c>
      <c r="E12" s="26">
        <v>297.154</v>
      </c>
      <c r="F12" s="26">
        <v>317.58300000000003</v>
      </c>
      <c r="G12" s="27">
        <v>340.26599999999985</v>
      </c>
      <c r="H12" s="25">
        <v>364.77</v>
      </c>
      <c r="I12" s="26">
        <v>390.45400000000001</v>
      </c>
      <c r="J12" s="26">
        <v>426.02600000000001</v>
      </c>
      <c r="K12" s="27">
        <v>489.01600000000008</v>
      </c>
      <c r="L12" s="25">
        <v>521.19600000000003</v>
      </c>
      <c r="M12" s="26">
        <v>573.98500000000001</v>
      </c>
      <c r="N12" s="26">
        <v>520.39800000000002</v>
      </c>
      <c r="O12" s="27">
        <v>621.97399999999959</v>
      </c>
      <c r="P12" s="25">
        <v>635.04999999999995</v>
      </c>
      <c r="Q12" s="26">
        <v>656.71100000000001</v>
      </c>
      <c r="R12" s="26">
        <v>758.24599999999998</v>
      </c>
      <c r="S12" s="27">
        <v>844.68600000000015</v>
      </c>
      <c r="T12" s="25">
        <v>804.07500000000005</v>
      </c>
      <c r="U12" s="26">
        <v>842.57500000000005</v>
      </c>
      <c r="V12" s="26">
        <v>791.04600000000005</v>
      </c>
      <c r="W12" s="27">
        <v>512.86699999999973</v>
      </c>
      <c r="X12" s="25">
        <v>521.43399999999997</v>
      </c>
      <c r="Y12" s="26">
        <v>640.62</v>
      </c>
      <c r="Z12" s="26">
        <v>803.09799999999996</v>
      </c>
      <c r="AA12" s="27">
        <v>842.53499999999997</v>
      </c>
      <c r="AB12" s="25">
        <v>855.57899999999995</v>
      </c>
      <c r="AC12" s="26">
        <v>896.47400000000005</v>
      </c>
      <c r="AD12" s="26">
        <v>959.327</v>
      </c>
      <c r="AE12" s="27">
        <v>900.51300000000003</v>
      </c>
      <c r="AF12" s="25">
        <v>802.40200000000004</v>
      </c>
      <c r="AG12" s="26">
        <v>897.52</v>
      </c>
      <c r="AH12" s="26">
        <v>950.41700000000003</v>
      </c>
      <c r="AI12" s="27">
        <v>742.70100000000002</v>
      </c>
      <c r="AJ12" s="25">
        <v>796.351</v>
      </c>
      <c r="AK12" s="26">
        <v>816.10400000000004</v>
      </c>
      <c r="AL12" s="26">
        <v>780.88099999999997</v>
      </c>
      <c r="AM12" s="27">
        <v>775.29399999999998</v>
      </c>
      <c r="AN12" s="25">
        <v>734.36900000000003</v>
      </c>
      <c r="AO12" s="26">
        <v>807.05600000000004</v>
      </c>
      <c r="AP12" s="26">
        <v>931.226</v>
      </c>
      <c r="AQ12" s="27">
        <v>931.74900000000002</v>
      </c>
      <c r="AR12" s="25">
        <f t="shared" ref="AR12:AX12" si="0">AR10</f>
        <v>957.83</v>
      </c>
      <c r="AS12" s="26">
        <f t="shared" si="0"/>
        <v>961.54499999999996</v>
      </c>
      <c r="AT12" s="26">
        <f t="shared" si="0"/>
        <v>930.13599999999997</v>
      </c>
      <c r="AU12" s="27">
        <f t="shared" si="0"/>
        <v>857.452</v>
      </c>
      <c r="AV12" s="25">
        <f t="shared" si="0"/>
        <v>724.28800000000001</v>
      </c>
      <c r="AW12" s="26">
        <f t="shared" si="0"/>
        <v>710.49199999999996</v>
      </c>
      <c r="AX12" s="26">
        <f t="shared" si="0"/>
        <v>674.89</v>
      </c>
      <c r="AY12" s="27">
        <f t="shared" ref="AY12:BB12" si="1">AY10</f>
        <v>616.15800000000002</v>
      </c>
      <c r="AZ12" s="25">
        <f t="shared" si="1"/>
        <v>540.822</v>
      </c>
      <c r="BA12" s="26">
        <f t="shared" si="1"/>
        <v>626.404</v>
      </c>
      <c r="BB12" s="26">
        <f t="shared" si="1"/>
        <v>654.42200000000003</v>
      </c>
      <c r="BC12" s="27">
        <f t="shared" ref="BC12:BF12" si="2">BC10</f>
        <v>571.4</v>
      </c>
      <c r="BD12" s="25">
        <f t="shared" si="2"/>
        <v>579.17999999999995</v>
      </c>
      <c r="BE12" s="26">
        <f t="shared" si="2"/>
        <v>604.75</v>
      </c>
      <c r="BF12" s="26">
        <f t="shared" si="2"/>
        <v>616.30200000000002</v>
      </c>
      <c r="BG12" s="27">
        <f t="shared" ref="BG12" si="3">BG10</f>
        <v>615.40899999999999</v>
      </c>
      <c r="BH12" s="25">
        <f>'BU-Segment'!BH34</f>
        <v>600.68138999999996</v>
      </c>
      <c r="BI12" s="26">
        <f>'BU-Segment'!BI34</f>
        <v>619.66605270000002</v>
      </c>
      <c r="BJ12" s="26">
        <f>'BU-Segment'!BJ34</f>
        <v>637.97721058349998</v>
      </c>
      <c r="BK12" s="26">
        <f>'BU-Segment'!BK34</f>
        <v>632.02231666349996</v>
      </c>
      <c r="BL12" s="25">
        <f>'BU-Segment'!BL34</f>
        <v>597.48641668489495</v>
      </c>
      <c r="BM12" s="26">
        <f>'BU-Segment'!BM34</f>
        <v>635.57319957303957</v>
      </c>
      <c r="BN12" s="26">
        <f>'BU-Segment'!BN34</f>
        <v>656.9704723593793</v>
      </c>
      <c r="BO12" s="597">
        <f>'BU-Segment'!BO34</f>
        <v>649.33726648683034</v>
      </c>
      <c r="BP12" s="347"/>
      <c r="BQ12" s="423">
        <f>SUM(D12:G12)</f>
        <v>1224.58</v>
      </c>
      <c r="BR12" s="424">
        <f>SUM(H12:K12)</f>
        <v>1670.2660000000001</v>
      </c>
      <c r="BS12" s="424">
        <f>SUM(L12:O12)</f>
        <v>2237.5529999999999</v>
      </c>
      <c r="BT12" s="424">
        <f>SUM(P12:S12)</f>
        <v>2894.6930000000002</v>
      </c>
      <c r="BU12" s="424">
        <f>SUM(T12:W12)</f>
        <v>2950.5629999999996</v>
      </c>
      <c r="BV12" s="424">
        <f>SUM(X12:AA12)</f>
        <v>2807.6869999999999</v>
      </c>
      <c r="BW12" s="424">
        <f>SUM(AB12:AE12)</f>
        <v>3611.893</v>
      </c>
      <c r="BX12" s="424">
        <f>SUM(AF12:AI12)</f>
        <v>3393.04</v>
      </c>
      <c r="BY12" s="424">
        <f>SUM(AJ12:AM12)</f>
        <v>3168.6299999999997</v>
      </c>
      <c r="BZ12" s="424">
        <f>SUM(AN12:AQ12)</f>
        <v>3404.4000000000005</v>
      </c>
      <c r="CA12" s="424">
        <f>SUM(AR12:AU12)</f>
        <v>3706.9629999999997</v>
      </c>
      <c r="CB12" s="424">
        <f>SUM(AV12:AY12)</f>
        <v>2725.828</v>
      </c>
      <c r="CC12" s="424">
        <f>SUM(AZ12:BC12)</f>
        <v>2393.0480000000002</v>
      </c>
      <c r="CD12" s="424">
        <f>SUM(BD12:BG12)</f>
        <v>2415.6410000000001</v>
      </c>
      <c r="CE12" s="424">
        <f>SUM(BH12:BK12)</f>
        <v>2490.3469699470002</v>
      </c>
      <c r="CF12" s="424">
        <f>SUM(BL12:BO12)</f>
        <v>2539.3673551041443</v>
      </c>
      <c r="CG12" s="597">
        <f>CG10-CG11</f>
        <v>2539.3673551041443</v>
      </c>
      <c r="CH12" s="336"/>
    </row>
    <row r="13" spans="1:87" ht="14.25">
      <c r="B13" s="28" t="s">
        <v>2</v>
      </c>
      <c r="C13" s="29"/>
      <c r="D13" s="30"/>
      <c r="E13" s="31">
        <f t="shared" ref="E13:AS13" si="4">E12/D12-1</f>
        <v>0.10229730281144156</v>
      </c>
      <c r="F13" s="31">
        <f t="shared" si="4"/>
        <v>6.8748864225284034E-2</v>
      </c>
      <c r="G13" s="32">
        <f t="shared" si="4"/>
        <v>7.1423848253841626E-2</v>
      </c>
      <c r="H13" s="31">
        <f t="shared" si="4"/>
        <v>7.2014247676817966E-2</v>
      </c>
      <c r="I13" s="31">
        <f t="shared" si="4"/>
        <v>7.0411492173150236E-2</v>
      </c>
      <c r="J13" s="31">
        <f t="shared" si="4"/>
        <v>9.1104201775369154E-2</v>
      </c>
      <c r="K13" s="32">
        <f t="shared" si="4"/>
        <v>0.1478548257618082</v>
      </c>
      <c r="L13" s="31">
        <f t="shared" si="4"/>
        <v>6.580561781209604E-2</v>
      </c>
      <c r="M13" s="31">
        <f t="shared" si="4"/>
        <v>0.10128435367884636</v>
      </c>
      <c r="N13" s="31">
        <f t="shared" si="4"/>
        <v>-9.3359582567488664E-2</v>
      </c>
      <c r="O13" s="32">
        <f t="shared" si="4"/>
        <v>0.19518906682961812</v>
      </c>
      <c r="P13" s="31">
        <f t="shared" si="4"/>
        <v>2.1023386829675195E-2</v>
      </c>
      <c r="Q13" s="31">
        <f t="shared" si="4"/>
        <v>3.4109125265727291E-2</v>
      </c>
      <c r="R13" s="31">
        <f t="shared" si="4"/>
        <v>0.15461138918032424</v>
      </c>
      <c r="S13" s="32">
        <f t="shared" si="4"/>
        <v>0.11399994197133934</v>
      </c>
      <c r="T13" s="31">
        <f t="shared" si="4"/>
        <v>-4.8078220782634129E-2</v>
      </c>
      <c r="U13" s="31">
        <f t="shared" si="4"/>
        <v>4.7881105618257092E-2</v>
      </c>
      <c r="V13" s="31">
        <f t="shared" si="4"/>
        <v>-6.1156573598789454E-2</v>
      </c>
      <c r="W13" s="32">
        <f t="shared" si="4"/>
        <v>-0.35165970120574563</v>
      </c>
      <c r="X13" s="31">
        <f t="shared" si="4"/>
        <v>1.6704135770092998E-2</v>
      </c>
      <c r="Y13" s="31">
        <f t="shared" si="4"/>
        <v>0.22857351074153209</v>
      </c>
      <c r="Z13" s="31">
        <f t="shared" si="4"/>
        <v>0.25362617464331416</v>
      </c>
      <c r="AA13" s="32">
        <f t="shared" si="4"/>
        <v>4.9106086679334249E-2</v>
      </c>
      <c r="AB13" s="31">
        <f t="shared" si="4"/>
        <v>1.5481849418718552E-2</v>
      </c>
      <c r="AC13" s="31">
        <f t="shared" si="4"/>
        <v>4.7798040858880508E-2</v>
      </c>
      <c r="AD13" s="31">
        <f t="shared" si="4"/>
        <v>7.0111347345265917E-2</v>
      </c>
      <c r="AE13" s="32">
        <f t="shared" si="4"/>
        <v>-6.1307562489119949E-2</v>
      </c>
      <c r="AF13" s="31">
        <f t="shared" si="4"/>
        <v>-0.10895012065344978</v>
      </c>
      <c r="AG13" s="31">
        <f t="shared" si="4"/>
        <v>0.11854157890932471</v>
      </c>
      <c r="AH13" s="31">
        <f t="shared" si="4"/>
        <v>5.8936848203939851E-2</v>
      </c>
      <c r="AI13" s="32">
        <f t="shared" si="4"/>
        <v>-0.2185524880131563</v>
      </c>
      <c r="AJ13" s="31">
        <f t="shared" si="4"/>
        <v>7.2236337368604575E-2</v>
      </c>
      <c r="AK13" s="31">
        <f t="shared" si="4"/>
        <v>2.4804389019414952E-2</v>
      </c>
      <c r="AL13" s="31">
        <f t="shared" si="4"/>
        <v>-4.3159940399753016E-2</v>
      </c>
      <c r="AM13" s="32">
        <f t="shared" si="4"/>
        <v>-7.1547393264786985E-3</v>
      </c>
      <c r="AN13" s="38">
        <f t="shared" si="4"/>
        <v>-5.2786426826468391E-2</v>
      </c>
      <c r="AO13" s="31">
        <f t="shared" si="4"/>
        <v>9.8978851231465326E-2</v>
      </c>
      <c r="AP13" s="31">
        <f t="shared" ref="AP13:AV13" si="5">AP12/AO12-1</f>
        <v>0.15385549453817315</v>
      </c>
      <c r="AQ13" s="32">
        <f t="shared" si="4"/>
        <v>5.616252123545884E-4</v>
      </c>
      <c r="AR13" s="38">
        <f t="shared" si="4"/>
        <v>2.7991444047699598E-2</v>
      </c>
      <c r="AS13" s="31">
        <f t="shared" si="4"/>
        <v>3.8785588256788905E-3</v>
      </c>
      <c r="AT13" s="31">
        <f t="shared" si="5"/>
        <v>-3.2665137877062378E-2</v>
      </c>
      <c r="AU13" s="32">
        <f t="shared" si="5"/>
        <v>-7.814341128609148E-2</v>
      </c>
      <c r="AV13" s="38">
        <f t="shared" si="5"/>
        <v>-0.15530198774975157</v>
      </c>
      <c r="AW13" s="31">
        <f t="shared" ref="AW13:BG13" si="6">AW12/AV12-1</f>
        <v>-1.9047671644428776E-2</v>
      </c>
      <c r="AX13" s="31">
        <f t="shared" si="6"/>
        <v>-5.0108938594663921E-2</v>
      </c>
      <c r="AY13" s="32">
        <f t="shared" si="6"/>
        <v>-8.7024552149239098E-2</v>
      </c>
      <c r="AZ13" s="38">
        <f t="shared" si="6"/>
        <v>-0.1222673405198017</v>
      </c>
      <c r="BA13" s="31">
        <f t="shared" si="6"/>
        <v>0.15824430219184871</v>
      </c>
      <c r="BB13" s="492">
        <f t="shared" si="6"/>
        <v>4.4728322296792467E-2</v>
      </c>
      <c r="BC13" s="32">
        <f t="shared" si="6"/>
        <v>-0.12686309445587107</v>
      </c>
      <c r="BD13" s="38">
        <f t="shared" si="6"/>
        <v>1.3615680784039075E-2</v>
      </c>
      <c r="BE13" s="492">
        <f t="shared" si="6"/>
        <v>4.4148623916571816E-2</v>
      </c>
      <c r="BF13" s="562">
        <f t="shared" si="6"/>
        <v>1.9102108309218657E-2</v>
      </c>
      <c r="BG13" s="563">
        <f t="shared" si="6"/>
        <v>-1.4489649554926265E-3</v>
      </c>
      <c r="BH13" s="566">
        <f t="shared" ref="BH13" si="7">BH12/BG12-1</f>
        <v>-2.393141796756304E-2</v>
      </c>
      <c r="BI13" s="562">
        <f t="shared" ref="BI13" si="8">BI12/BH12-1</f>
        <v>3.1605212040945796E-2</v>
      </c>
      <c r="BJ13" s="562">
        <f t="shared" ref="BJ13" si="9">BJ12/BI12-1</f>
        <v>2.9550042000388466E-2</v>
      </c>
      <c r="BK13" s="562">
        <f t="shared" ref="BK13" si="10">BK12/BJ12-1</f>
        <v>-9.3340229419066612E-3</v>
      </c>
      <c r="BL13" s="566">
        <f t="shared" ref="BL13" si="11">BL12/BK12-1</f>
        <v>-5.4643481832924778E-2</v>
      </c>
      <c r="BM13" s="562">
        <f t="shared" ref="BM13" si="12">BM12/BL12-1</f>
        <v>6.3745018839869383E-2</v>
      </c>
      <c r="BN13" s="562">
        <f t="shared" ref="BN13" si="13">BN12/BM12-1</f>
        <v>3.3666102977145451E-2</v>
      </c>
      <c r="BO13" s="598">
        <f t="shared" ref="BO13" si="14">BO12/BN12-1</f>
        <v>-1.1618795963745265E-2</v>
      </c>
      <c r="BP13" s="347"/>
      <c r="BQ13" s="566"/>
      <c r="BR13" s="338"/>
      <c r="BS13" s="338"/>
      <c r="BT13" s="338"/>
      <c r="BU13" s="338"/>
      <c r="BV13" s="338"/>
      <c r="BW13" s="338"/>
      <c r="BX13" s="338"/>
      <c r="BY13" s="338"/>
      <c r="BZ13" s="338"/>
      <c r="CA13" s="338"/>
      <c r="CB13" s="338"/>
      <c r="CC13" s="338"/>
      <c r="CD13" s="338"/>
      <c r="CE13" s="338"/>
      <c r="CF13" s="338"/>
      <c r="CG13" s="598"/>
      <c r="CH13" s="336"/>
    </row>
    <row r="14" spans="1:87" ht="14.25">
      <c r="B14" s="28" t="s">
        <v>3</v>
      </c>
      <c r="C14" s="29"/>
      <c r="D14" s="30"/>
      <c r="E14" s="33"/>
      <c r="F14" s="33" t="s">
        <v>4</v>
      </c>
      <c r="G14" s="34"/>
      <c r="H14" s="31">
        <f t="shared" ref="H14:X14" si="15">H10/D10-1</f>
        <v>0.35311988782425785</v>
      </c>
      <c r="I14" s="31">
        <f t="shared" si="15"/>
        <v>0.31397861041749398</v>
      </c>
      <c r="J14" s="31">
        <f t="shared" si="15"/>
        <v>0.34146349143373533</v>
      </c>
      <c r="K14" s="32">
        <f t="shared" si="15"/>
        <v>0.43715798816220341</v>
      </c>
      <c r="L14" s="31">
        <f t="shared" si="15"/>
        <v>0.42883460810921958</v>
      </c>
      <c r="M14" s="31">
        <f t="shared" si="15"/>
        <v>0.47004512695477563</v>
      </c>
      <c r="N14" s="31">
        <f t="shared" si="15"/>
        <v>0.22151699661523017</v>
      </c>
      <c r="O14" s="32">
        <f t="shared" si="15"/>
        <v>0.27188885435241272</v>
      </c>
      <c r="P14" s="31">
        <f t="shared" si="15"/>
        <v>0.2184475705876483</v>
      </c>
      <c r="Q14" s="31">
        <f t="shared" si="15"/>
        <v>0.14412571757101666</v>
      </c>
      <c r="R14" s="31">
        <f t="shared" si="15"/>
        <v>0.45705018082313909</v>
      </c>
      <c r="S14" s="32">
        <f t="shared" si="15"/>
        <v>0.3580728454887192</v>
      </c>
      <c r="T14" s="31">
        <f t="shared" si="15"/>
        <v>0.2661601448704829</v>
      </c>
      <c r="U14" s="31">
        <f t="shared" si="15"/>
        <v>0.28302251675394507</v>
      </c>
      <c r="V14" s="31">
        <f t="shared" si="15"/>
        <v>4.3257729021979774E-2</v>
      </c>
      <c r="W14" s="32">
        <f t="shared" si="15"/>
        <v>-0.39283118223813385</v>
      </c>
      <c r="X14" s="31">
        <f t="shared" si="15"/>
        <v>-0.35151074215713718</v>
      </c>
      <c r="Y14" s="31">
        <f t="shared" ref="Y14:AS14" si="16">Y10/U10-1</f>
        <v>-0.23968786161469313</v>
      </c>
      <c r="Z14" s="31">
        <f t="shared" si="16"/>
        <v>1.523552359786895E-2</v>
      </c>
      <c r="AA14" s="32">
        <f t="shared" si="16"/>
        <v>0.64279433069392344</v>
      </c>
      <c r="AB14" s="31">
        <f t="shared" si="16"/>
        <v>0.64081935585328154</v>
      </c>
      <c r="AC14" s="31">
        <f t="shared" si="16"/>
        <v>0.39938497080952828</v>
      </c>
      <c r="AD14" s="31">
        <f t="shared" si="16"/>
        <v>0.1945329212624114</v>
      </c>
      <c r="AE14" s="32">
        <f t="shared" si="16"/>
        <v>6.8813758478876386E-2</v>
      </c>
      <c r="AF14" s="31">
        <f t="shared" si="16"/>
        <v>-6.2153231904943818E-2</v>
      </c>
      <c r="AG14" s="31">
        <f t="shared" si="16"/>
        <v>1.1667934597099361E-3</v>
      </c>
      <c r="AH14" s="31">
        <f t="shared" si="16"/>
        <v>-9.2877611075263822E-3</v>
      </c>
      <c r="AI14" s="32">
        <f t="shared" si="16"/>
        <v>-0.17524677600434424</v>
      </c>
      <c r="AJ14" s="31">
        <f t="shared" si="16"/>
        <v>-7.5411078237591633E-3</v>
      </c>
      <c r="AK14" s="31">
        <f t="shared" si="16"/>
        <v>-9.0712184686692177E-2</v>
      </c>
      <c r="AL14" s="31">
        <f t="shared" si="16"/>
        <v>-0.17838064765255679</v>
      </c>
      <c r="AM14" s="32">
        <f t="shared" si="16"/>
        <v>4.3884416474462729E-2</v>
      </c>
      <c r="AN14" s="38">
        <f t="shared" si="16"/>
        <v>-7.7832513552441029E-2</v>
      </c>
      <c r="AO14" s="31">
        <f t="shared" si="16"/>
        <v>-1.1086822267750152E-2</v>
      </c>
      <c r="AP14" s="31">
        <f t="shared" ref="AP14:AV14" si="17">AP10/AL10-1</f>
        <v>0.19253253696786077</v>
      </c>
      <c r="AQ14" s="32">
        <f t="shared" si="16"/>
        <v>0.20180086522016172</v>
      </c>
      <c r="AR14" s="38">
        <f t="shared" si="16"/>
        <v>0.3042898052613876</v>
      </c>
      <c r="AS14" s="31">
        <f t="shared" si="16"/>
        <v>0.19142290002180751</v>
      </c>
      <c r="AT14" s="31">
        <f t="shared" si="17"/>
        <v>-1.1704999645628655E-3</v>
      </c>
      <c r="AU14" s="32">
        <f t="shared" si="17"/>
        <v>-7.9739286009429589E-2</v>
      </c>
      <c r="AV14" s="38">
        <f t="shared" si="17"/>
        <v>-0.24382406063706508</v>
      </c>
      <c r="AW14" s="31">
        <f t="shared" ref="AW14:BG14" si="18">AW10/AS10-1</f>
        <v>-0.26109334456525701</v>
      </c>
      <c r="AX14" s="31">
        <f t="shared" si="18"/>
        <v>-0.27441793458160957</v>
      </c>
      <c r="AY14" s="32">
        <f t="shared" si="18"/>
        <v>-0.28140817211925562</v>
      </c>
      <c r="AZ14" s="38">
        <f t="shared" si="18"/>
        <v>-0.25330531501281262</v>
      </c>
      <c r="BA14" s="31">
        <f t="shared" si="18"/>
        <v>-0.11835179002719243</v>
      </c>
      <c r="BB14" s="492">
        <f t="shared" si="18"/>
        <v>-3.0327905288269119E-2</v>
      </c>
      <c r="BC14" s="32">
        <f t="shared" si="18"/>
        <v>-7.2640459103022303E-2</v>
      </c>
      <c r="BD14" s="38">
        <f t="shared" si="18"/>
        <v>7.0925369160278251E-2</v>
      </c>
      <c r="BE14" s="492">
        <f t="shared" si="18"/>
        <v>-3.4568744771744764E-2</v>
      </c>
      <c r="BF14" s="562">
        <f t="shared" si="18"/>
        <v>-5.8249875462621947E-2</v>
      </c>
      <c r="BG14" s="563">
        <f t="shared" si="18"/>
        <v>7.7019600980049008E-2</v>
      </c>
      <c r="BH14" s="566">
        <f t="shared" ref="BH14" si="19">BH10/BD10-1</f>
        <v>3.7123847508546692E-2</v>
      </c>
      <c r="BI14" s="562">
        <f t="shared" ref="BI14" si="20">BI10/BE10-1</f>
        <v>2.4664824638280347E-2</v>
      </c>
      <c r="BJ14" s="562">
        <f t="shared" ref="BJ14" si="21">BJ10/BF10-1</f>
        <v>3.5169787836969446E-2</v>
      </c>
      <c r="BK14" s="562">
        <f t="shared" ref="BK14" si="22">BK10/BG10-1</f>
        <v>2.6995569878730974E-2</v>
      </c>
      <c r="BL14" s="566">
        <f t="shared" ref="BL14" si="23">BL10/BH10-1</f>
        <v>-5.3189150992425382E-3</v>
      </c>
      <c r="BM14" s="562">
        <f t="shared" ref="BM14" si="24">BM10/BI10-1</f>
        <v>2.5670515277913308E-2</v>
      </c>
      <c r="BN14" s="562">
        <f t="shared" ref="BN14" si="25">BN10/BJ10-1</f>
        <v>2.9771066208631236E-2</v>
      </c>
      <c r="BO14" s="598">
        <f t="shared" ref="BO14" si="26">BO10/BK10-1</f>
        <v>2.7396105116568537E-2</v>
      </c>
      <c r="BP14" s="347"/>
      <c r="BQ14" s="566"/>
      <c r="BR14" s="562">
        <f t="shared" ref="BR14:CF14" si="27">BR10/BQ10-1</f>
        <v>0.36395008901010972</v>
      </c>
      <c r="BS14" s="562">
        <f t="shared" si="27"/>
        <v>0.33963871622843289</v>
      </c>
      <c r="BT14" s="562">
        <f t="shared" si="27"/>
        <v>0.29368689814274807</v>
      </c>
      <c r="BU14" s="562">
        <f t="shared" si="27"/>
        <v>1.930083777450653E-2</v>
      </c>
      <c r="BV14" s="562">
        <f t="shared" si="27"/>
        <v>-4.8423300909012923E-2</v>
      </c>
      <c r="BW14" s="562">
        <f t="shared" si="27"/>
        <v>0.28643007571712942</v>
      </c>
      <c r="BX14" s="562">
        <f t="shared" si="27"/>
        <v>-6.0592326516870854E-2</v>
      </c>
      <c r="BY14" s="562">
        <f t="shared" si="27"/>
        <v>-6.6138330228939335E-2</v>
      </c>
      <c r="BZ14" s="562">
        <f t="shared" si="27"/>
        <v>7.4407551528578919E-2</v>
      </c>
      <c r="CA14" s="562">
        <f t="shared" si="27"/>
        <v>8.8874104100575391E-2</v>
      </c>
      <c r="CB14" s="562">
        <f t="shared" si="27"/>
        <v>-0.26467353464277898</v>
      </c>
      <c r="CC14" s="562">
        <f t="shared" si="27"/>
        <v>-0.12208400530040775</v>
      </c>
      <c r="CD14" s="562">
        <f t="shared" si="27"/>
        <v>9.4410977130421347E-3</v>
      </c>
      <c r="CE14" s="562">
        <f t="shared" si="27"/>
        <v>3.0925940546215225E-2</v>
      </c>
      <c r="CF14" s="562">
        <f t="shared" si="27"/>
        <v>1.968415877334051E-2</v>
      </c>
      <c r="CG14" s="697">
        <v>0</v>
      </c>
      <c r="CH14" s="336"/>
    </row>
    <row r="15" spans="1:87" ht="9" customHeight="1">
      <c r="B15" s="16"/>
      <c r="C15" s="17"/>
      <c r="D15" s="35"/>
      <c r="E15" s="36"/>
      <c r="F15" s="36"/>
      <c r="G15" s="37"/>
      <c r="H15" s="35"/>
      <c r="I15" s="36"/>
      <c r="J15" s="36"/>
      <c r="K15" s="37"/>
      <c r="L15" s="35"/>
      <c r="M15" s="36"/>
      <c r="N15" s="36"/>
      <c r="O15" s="37"/>
      <c r="P15" s="35"/>
      <c r="Q15" s="36"/>
      <c r="R15" s="36"/>
      <c r="S15" s="37"/>
      <c r="T15" s="35"/>
      <c r="U15" s="36"/>
      <c r="V15" s="36"/>
      <c r="W15" s="37"/>
      <c r="X15" s="35"/>
      <c r="Y15" s="36"/>
      <c r="Z15" s="36"/>
      <c r="AA15" s="37"/>
      <c r="AB15" s="35"/>
      <c r="AC15" s="36"/>
      <c r="AD15" s="36"/>
      <c r="AE15" s="37"/>
      <c r="AF15" s="35"/>
      <c r="AG15" s="36"/>
      <c r="AH15" s="36"/>
      <c r="AI15" s="37"/>
      <c r="AJ15" s="35"/>
      <c r="AK15" s="36"/>
      <c r="AL15" s="36"/>
      <c r="AM15" s="37"/>
      <c r="AN15" s="35"/>
      <c r="AO15" s="36"/>
      <c r="AP15" s="36"/>
      <c r="AQ15" s="37"/>
      <c r="AR15" s="35"/>
      <c r="AS15" s="36"/>
      <c r="AT15" s="36"/>
      <c r="AU15" s="37"/>
      <c r="AV15" s="35"/>
      <c r="AW15" s="36"/>
      <c r="AX15" s="36"/>
      <c r="AY15" s="37"/>
      <c r="AZ15" s="35"/>
      <c r="BA15" s="36"/>
      <c r="BB15" s="36"/>
      <c r="BC15" s="37"/>
      <c r="BD15" s="35"/>
      <c r="BE15" s="36"/>
      <c r="BF15" s="36"/>
      <c r="BG15" s="37"/>
      <c r="BH15" s="35"/>
      <c r="BI15" s="36"/>
      <c r="BJ15" s="36"/>
      <c r="BK15" s="36"/>
      <c r="BL15" s="35"/>
      <c r="BM15" s="36"/>
      <c r="BN15" s="36"/>
      <c r="BO15" s="599"/>
      <c r="BP15" s="347"/>
      <c r="BQ15" s="683"/>
      <c r="BR15" s="338"/>
      <c r="BS15" s="338"/>
      <c r="BT15" s="338"/>
      <c r="BU15" s="338"/>
      <c r="BV15" s="338"/>
      <c r="BW15" s="338"/>
      <c r="BX15" s="338"/>
      <c r="BY15" s="338"/>
      <c r="BZ15" s="338"/>
      <c r="CA15" s="338"/>
      <c r="CB15" s="338"/>
      <c r="CC15" s="338"/>
      <c r="CD15" s="338"/>
      <c r="CE15" s="338"/>
      <c r="CF15" s="338"/>
      <c r="CG15" s="599"/>
      <c r="CH15" s="336"/>
    </row>
    <row r="16" spans="1:87" ht="14.25">
      <c r="B16" s="16" t="s">
        <v>5</v>
      </c>
      <c r="C16" s="17"/>
      <c r="D16" s="22">
        <v>127.836</v>
      </c>
      <c r="E16" s="23">
        <v>140.905</v>
      </c>
      <c r="F16" s="23">
        <v>150.26</v>
      </c>
      <c r="G16" s="24">
        <v>162.75599999999997</v>
      </c>
      <c r="H16" s="22">
        <v>175.785</v>
      </c>
      <c r="I16" s="23">
        <v>185.45099999999999</v>
      </c>
      <c r="J16" s="23">
        <v>197.58</v>
      </c>
      <c r="K16" s="24">
        <v>224.42799999999997</v>
      </c>
      <c r="L16" s="22">
        <v>240.233</v>
      </c>
      <c r="M16" s="23">
        <v>279.07499999999999</v>
      </c>
      <c r="N16" s="23">
        <v>256.08999999999997</v>
      </c>
      <c r="O16" s="24">
        <v>324.84300000000002</v>
      </c>
      <c r="P16" s="22">
        <v>327.41699999999997</v>
      </c>
      <c r="Q16" s="23">
        <v>335.53</v>
      </c>
      <c r="R16" s="23">
        <v>396.209</v>
      </c>
      <c r="S16" s="24">
        <v>438.64</v>
      </c>
      <c r="T16" s="22">
        <v>388.84199999999998</v>
      </c>
      <c r="U16" s="23">
        <v>405.91300000000001</v>
      </c>
      <c r="V16" s="23">
        <v>379.137</v>
      </c>
      <c r="W16" s="24">
        <v>252.73200000000008</v>
      </c>
      <c r="X16" s="22">
        <v>257.63</v>
      </c>
      <c r="Y16" s="23">
        <v>288.05900000000003</v>
      </c>
      <c r="Z16" s="23">
        <v>341.61700000000002</v>
      </c>
      <c r="AA16" s="24">
        <v>339.79</v>
      </c>
      <c r="AB16" s="22">
        <v>343.98500000000001</v>
      </c>
      <c r="AC16" s="23">
        <v>366.68200000000002</v>
      </c>
      <c r="AD16" s="23">
        <v>390.80799999999999</v>
      </c>
      <c r="AE16" s="24">
        <v>371.79899999999998</v>
      </c>
      <c r="AF16" s="22">
        <v>334.47500000000002</v>
      </c>
      <c r="AG16" s="23">
        <v>378.11700000000002</v>
      </c>
      <c r="AH16" s="23">
        <v>412.1</v>
      </c>
      <c r="AI16" s="24">
        <v>341.113</v>
      </c>
      <c r="AJ16" s="22">
        <v>366.322</v>
      </c>
      <c r="AK16" s="23">
        <v>381.839</v>
      </c>
      <c r="AL16" s="23">
        <v>374.50299999999999</v>
      </c>
      <c r="AM16" s="24">
        <v>370.83300000000003</v>
      </c>
      <c r="AN16" s="22">
        <v>335.43799999999999</v>
      </c>
      <c r="AO16" s="23">
        <v>386.05900000000003</v>
      </c>
      <c r="AP16" s="23">
        <v>464.98099999999999</v>
      </c>
      <c r="AQ16" s="417">
        <f>1663.73-AN16-AO16-AP16</f>
        <v>477.25199999999995</v>
      </c>
      <c r="AR16" s="22">
        <v>493.86</v>
      </c>
      <c r="AS16" s="23">
        <v>477.74099999999999</v>
      </c>
      <c r="AT16" s="23">
        <v>454.97399999999999</v>
      </c>
      <c r="AU16" s="24">
        <v>417.13099999999997</v>
      </c>
      <c r="AV16" s="22">
        <v>351.15300000000002</v>
      </c>
      <c r="AW16" s="23">
        <v>461.71899999999999</v>
      </c>
      <c r="AX16" s="23">
        <v>379.25400000000002</v>
      </c>
      <c r="AY16" s="24">
        <v>302.61</v>
      </c>
      <c r="AZ16" s="22">
        <v>259.20999999999998</v>
      </c>
      <c r="BA16" s="23">
        <v>287.608</v>
      </c>
      <c r="BB16" s="23">
        <v>286.06299999999999</v>
      </c>
      <c r="BC16" s="24">
        <v>243.88300000000001</v>
      </c>
      <c r="BD16" s="22">
        <v>230.54900000000001</v>
      </c>
      <c r="BE16" s="23">
        <v>239.572</v>
      </c>
      <c r="BF16" s="23">
        <v>238.53299999999999</v>
      </c>
      <c r="BG16" s="24">
        <v>241.92699999999999</v>
      </c>
      <c r="BH16" s="25">
        <f t="shared" ref="BH16:BK16" si="28">BH10*(1-BH27)</f>
        <v>226.45688403</v>
      </c>
      <c r="BI16" s="26">
        <f t="shared" si="28"/>
        <v>232.06493673615003</v>
      </c>
      <c r="BJ16" s="26">
        <f t="shared" si="28"/>
        <v>237.32752233706205</v>
      </c>
      <c r="BK16" s="26">
        <f t="shared" si="28"/>
        <v>233.53224600716334</v>
      </c>
      <c r="BL16" s="25">
        <f t="shared" ref="BL16:BO16" si="29">BL10*(1-BL27)</f>
        <v>219.27751492335656</v>
      </c>
      <c r="BM16" s="26">
        <f t="shared" si="29"/>
        <v>232.30200444394615</v>
      </c>
      <c r="BN16" s="26">
        <f t="shared" si="29"/>
        <v>239.13725193881427</v>
      </c>
      <c r="BO16" s="597">
        <f t="shared" si="29"/>
        <v>235.38475910147625</v>
      </c>
      <c r="BP16" s="347"/>
      <c r="BQ16" s="25">
        <f>SUM(D16:G16)</f>
        <v>581.75699999999995</v>
      </c>
      <c r="BR16" s="26">
        <f>SUM(H16:K16)</f>
        <v>783.24400000000003</v>
      </c>
      <c r="BS16" s="26">
        <f>SUM(L16:O16)</f>
        <v>1100.241</v>
      </c>
      <c r="BT16" s="26">
        <f>SUM(P16:S16)</f>
        <v>1497.7959999999998</v>
      </c>
      <c r="BU16" s="26">
        <f>SUM(T16:W16)</f>
        <v>1426.6240000000003</v>
      </c>
      <c r="BV16" s="26">
        <f>SUM(X16:AA16)</f>
        <v>1227.096</v>
      </c>
      <c r="BW16" s="26">
        <f>SUM(AB16:AE16)</f>
        <v>1473.2739999999999</v>
      </c>
      <c r="BX16" s="26">
        <f>SUM(AF16:AI16)</f>
        <v>1465.8050000000001</v>
      </c>
      <c r="BY16" s="26">
        <f>SUM(AJ16:AM16)</f>
        <v>1493.4970000000001</v>
      </c>
      <c r="BZ16" s="26">
        <f>SUM(AN16:AQ16)</f>
        <v>1663.73</v>
      </c>
      <c r="CA16" s="26">
        <f>SUM(AR16:AU16)</f>
        <v>1843.7060000000001</v>
      </c>
      <c r="CB16" s="26">
        <f>SUM(AV16:AY16)</f>
        <v>1494.7360000000003</v>
      </c>
      <c r="CC16" s="26">
        <f>SUM(AZ16:BC16)</f>
        <v>1076.7639999999999</v>
      </c>
      <c r="CD16" s="26">
        <f>SUM(BD16:BG16)</f>
        <v>950.58100000000002</v>
      </c>
      <c r="CE16" s="26">
        <f>SUM(BH16:BK16)</f>
        <v>929.38158911037544</v>
      </c>
      <c r="CF16" s="26">
        <f>SUM(BL16:BO16)</f>
        <v>926.10153040759326</v>
      </c>
      <c r="CG16" s="597">
        <f>CG10*(1-CG27)</f>
        <v>918.4834283422806</v>
      </c>
      <c r="CH16" s="336"/>
    </row>
    <row r="17" spans="2:86" ht="14.25" hidden="1" outlineLevel="1">
      <c r="B17" s="28" t="s">
        <v>6</v>
      </c>
      <c r="C17" s="29"/>
      <c r="D17" s="38">
        <f t="shared" ref="D17:AO17" si="30">D16/D10</f>
        <v>0.47420959503221716</v>
      </c>
      <c r="E17" s="31">
        <f t="shared" si="30"/>
        <v>0.47418173741561614</v>
      </c>
      <c r="F17" s="31">
        <f t="shared" si="30"/>
        <v>0.47313615653230801</v>
      </c>
      <c r="G17" s="32">
        <f t="shared" si="30"/>
        <v>0.47831990266438623</v>
      </c>
      <c r="H17" s="38">
        <f t="shared" si="30"/>
        <v>0.48190640677687313</v>
      </c>
      <c r="I17" s="31">
        <f t="shared" si="30"/>
        <v>0.47496247957505877</v>
      </c>
      <c r="J17" s="31">
        <f t="shared" si="30"/>
        <v>0.46377451141479631</v>
      </c>
      <c r="K17" s="32">
        <f t="shared" si="30"/>
        <v>0.45893794886056882</v>
      </c>
      <c r="L17" s="38">
        <f t="shared" si="30"/>
        <v>0.46092640772377375</v>
      </c>
      <c r="M17" s="31">
        <f t="shared" si="30"/>
        <v>0.48620608552488304</v>
      </c>
      <c r="N17" s="31">
        <f t="shared" si="30"/>
        <v>0.49210412030791811</v>
      </c>
      <c r="O17" s="32">
        <f t="shared" si="30"/>
        <v>0.52227745854328356</v>
      </c>
      <c r="P17" s="38">
        <f t="shared" si="30"/>
        <v>0.51557672624202822</v>
      </c>
      <c r="Q17" s="31">
        <f t="shared" si="30"/>
        <v>0.51092489694858156</v>
      </c>
      <c r="R17" s="31">
        <f t="shared" si="30"/>
        <v>0.52253358408748618</v>
      </c>
      <c r="S17" s="32">
        <f t="shared" si="30"/>
        <v>0.51929355997376525</v>
      </c>
      <c r="T17" s="38">
        <f t="shared" si="30"/>
        <v>0.48358921742374772</v>
      </c>
      <c r="U17" s="31">
        <f t="shared" si="30"/>
        <v>0.48175295967718007</v>
      </c>
      <c r="V17" s="31">
        <f t="shared" si="30"/>
        <v>0.47928565469011913</v>
      </c>
      <c r="W17" s="32">
        <f t="shared" si="30"/>
        <v>0.4927827292455943</v>
      </c>
      <c r="X17" s="38">
        <f t="shared" si="30"/>
        <v>0.49407978766248462</v>
      </c>
      <c r="Y17" s="31">
        <f t="shared" si="30"/>
        <v>0.44965658268552344</v>
      </c>
      <c r="Z17" s="31">
        <f t="shared" si="30"/>
        <v>0.4253739892267196</v>
      </c>
      <c r="AA17" s="32">
        <f t="shared" si="30"/>
        <v>0.40329481861287664</v>
      </c>
      <c r="AB17" s="38">
        <f t="shared" si="30"/>
        <v>0.40204937241330146</v>
      </c>
      <c r="AC17" s="31">
        <f t="shared" si="30"/>
        <v>0.40902692102615357</v>
      </c>
      <c r="AD17" s="31">
        <f t="shared" si="30"/>
        <v>0.40737725509654166</v>
      </c>
      <c r="AE17" s="32">
        <f t="shared" si="30"/>
        <v>0.41287466144297746</v>
      </c>
      <c r="AF17" s="38">
        <f t="shared" si="30"/>
        <v>0.41684218135049517</v>
      </c>
      <c r="AG17" s="31">
        <f t="shared" si="30"/>
        <v>0.42129089045369467</v>
      </c>
      <c r="AH17" s="31">
        <f t="shared" si="30"/>
        <v>0.43359914647991354</v>
      </c>
      <c r="AI17" s="32">
        <f t="shared" si="30"/>
        <v>0.45928711554178597</v>
      </c>
      <c r="AJ17" s="38">
        <f t="shared" si="30"/>
        <v>0.46000067809295148</v>
      </c>
      <c r="AK17" s="31">
        <f t="shared" si="30"/>
        <v>0.46788031917500711</v>
      </c>
      <c r="AL17" s="31">
        <f t="shared" si="30"/>
        <v>0.47959036011889133</v>
      </c>
      <c r="AM17" s="32">
        <f t="shared" si="30"/>
        <v>0.47831274329480178</v>
      </c>
      <c r="AN17" s="38">
        <f t="shared" si="30"/>
        <v>0.45677037020898209</v>
      </c>
      <c r="AO17" s="31">
        <f t="shared" si="30"/>
        <v>0.47835466188219899</v>
      </c>
      <c r="AP17" s="31">
        <f t="shared" ref="AP17:AU17" si="31">AP16/AP10</f>
        <v>0.49932132479118924</v>
      </c>
      <c r="AQ17" s="32">
        <f t="shared" si="31"/>
        <v>0.51221090658535717</v>
      </c>
      <c r="AR17" s="38">
        <f t="shared" si="31"/>
        <v>0.5156029775638683</v>
      </c>
      <c r="AS17" s="31">
        <f t="shared" si="31"/>
        <v>0.49684726143862223</v>
      </c>
      <c r="AT17" s="31">
        <f>AT16/AT10</f>
        <v>0.48914782354408387</v>
      </c>
      <c r="AU17" s="32">
        <f t="shared" si="31"/>
        <v>0.4864773771593045</v>
      </c>
      <c r="AV17" s="38">
        <f>AV16/AV10</f>
        <v>0.48482509719890432</v>
      </c>
      <c r="AW17" s="31">
        <f t="shared" ref="AW17:AY17" si="32">AW16/AW10</f>
        <v>0.64985812648136787</v>
      </c>
      <c r="AX17" s="31">
        <f t="shared" si="32"/>
        <v>0.56194935470965646</v>
      </c>
      <c r="AY17" s="32">
        <f t="shared" si="32"/>
        <v>0.49112402987545406</v>
      </c>
      <c r="AZ17" s="38">
        <f>AZ16/AZ10</f>
        <v>0.47928893425193497</v>
      </c>
      <c r="BA17" s="31">
        <f t="shared" ref="BA17:BC17" si="33">BA16/BA10</f>
        <v>0.45914138479320055</v>
      </c>
      <c r="BB17" s="492">
        <f t="shared" si="33"/>
        <v>0.43712314072570907</v>
      </c>
      <c r="BC17" s="32">
        <f t="shared" si="33"/>
        <v>0.42681659082954149</v>
      </c>
      <c r="BD17" s="38">
        <f>BD16/BD10</f>
        <v>0.39806105183190033</v>
      </c>
      <c r="BE17" s="492">
        <f t="shared" ref="BE17:BG17" si="34">BE16/BE10</f>
        <v>0.39615047540305914</v>
      </c>
      <c r="BF17" s="562">
        <f t="shared" si="34"/>
        <v>0.3870391463925153</v>
      </c>
      <c r="BG17" s="563">
        <f t="shared" si="34"/>
        <v>0.39311579778651268</v>
      </c>
      <c r="BH17" s="566">
        <f t="shared" ref="BH17:BK17" si="35">BH16/BH10</f>
        <v>0.377</v>
      </c>
      <c r="BI17" s="562">
        <f t="shared" si="35"/>
        <v>0.37450000000000006</v>
      </c>
      <c r="BJ17" s="562">
        <f t="shared" si="35"/>
        <v>0.37200000000000011</v>
      </c>
      <c r="BK17" s="562">
        <f t="shared" si="35"/>
        <v>0.36950000000000016</v>
      </c>
      <c r="BL17" s="566">
        <f t="shared" ref="BL17:BO17" si="36">BL16/BL10</f>
        <v>0.36700000000000021</v>
      </c>
      <c r="BM17" s="562">
        <f t="shared" si="36"/>
        <v>0.36550000000000027</v>
      </c>
      <c r="BN17" s="562">
        <f t="shared" si="36"/>
        <v>0.36400000000000032</v>
      </c>
      <c r="BO17" s="598">
        <f t="shared" si="36"/>
        <v>0.36250000000000038</v>
      </c>
      <c r="BP17" s="347"/>
      <c r="BQ17" s="566">
        <f>BQ16/BQ10</f>
        <v>0.47506655343056392</v>
      </c>
      <c r="BR17" s="562">
        <f t="shared" ref="BR17:CA17" si="37">BR16/BR10</f>
        <v>0.46893369080134539</v>
      </c>
      <c r="BS17" s="562">
        <f t="shared" si="37"/>
        <v>0.49171617387387029</v>
      </c>
      <c r="BT17" s="562">
        <f t="shared" si="37"/>
        <v>0.51742827305002626</v>
      </c>
      <c r="BU17" s="562">
        <f t="shared" si="37"/>
        <v>0.48350907945365018</v>
      </c>
      <c r="BV17" s="562">
        <f t="shared" si="37"/>
        <v>0.43704871661264239</v>
      </c>
      <c r="BW17" s="562">
        <f t="shared" si="37"/>
        <v>0.40789525049606951</v>
      </c>
      <c r="BX17" s="562">
        <f t="shared" si="37"/>
        <v>0.43200345412963009</v>
      </c>
      <c r="BY17" s="562">
        <f t="shared" si="37"/>
        <v>0.47133840176985015</v>
      </c>
      <c r="BZ17" s="562">
        <f t="shared" si="37"/>
        <v>0.48869991775349542</v>
      </c>
      <c r="CA17" s="562">
        <f t="shared" si="37"/>
        <v>0.49736293564300488</v>
      </c>
      <c r="CB17" s="562">
        <f t="shared" ref="CB17:CG17" si="38">CB16/CB10</f>
        <v>0.54836035142349415</v>
      </c>
      <c r="CC17" s="562">
        <f t="shared" si="38"/>
        <v>0.44995503642216944</v>
      </c>
      <c r="CD17" s="562">
        <f t="shared" si="38"/>
        <v>0.39351087351141995</v>
      </c>
      <c r="CE17" s="562">
        <f t="shared" si="38"/>
        <v>0.3731936153178505</v>
      </c>
      <c r="CF17" s="562">
        <f t="shared" si="38"/>
        <v>0.36469773801971717</v>
      </c>
      <c r="CG17" s="598">
        <f t="shared" si="38"/>
        <v>0.36169773801971705</v>
      </c>
      <c r="CH17" s="336"/>
    </row>
    <row r="18" spans="2:86" ht="14.25" hidden="1" outlineLevel="1">
      <c r="B18" s="20" t="s">
        <v>7</v>
      </c>
      <c r="C18" s="21"/>
      <c r="D18" s="22"/>
      <c r="E18" s="23"/>
      <c r="F18" s="23"/>
      <c r="G18" s="24"/>
      <c r="H18" s="22">
        <v>0.54100000000000004</v>
      </c>
      <c r="I18" s="23">
        <v>1.8049999999999999</v>
      </c>
      <c r="J18" s="23">
        <v>0.503</v>
      </c>
      <c r="K18" s="24">
        <v>3.7629999999999999</v>
      </c>
      <c r="L18" s="22">
        <v>2.4340000000000002</v>
      </c>
      <c r="M18" s="23">
        <v>3.4609999999999999</v>
      </c>
      <c r="N18" s="23">
        <v>2.6019999999999999</v>
      </c>
      <c r="O18" s="24">
        <v>2.8420000000000001</v>
      </c>
      <c r="P18" s="22">
        <v>3.0179999999999998</v>
      </c>
      <c r="Q18" s="23">
        <v>3.2749999999999999</v>
      </c>
      <c r="R18" s="23">
        <v>4.3259999999999996</v>
      </c>
      <c r="S18" s="24">
        <v>4.9109999999999996</v>
      </c>
      <c r="T18" s="22">
        <v>3.073</v>
      </c>
      <c r="U18" s="23">
        <v>3.7549999999999999</v>
      </c>
      <c r="V18" s="23">
        <v>1.7949999999999999</v>
      </c>
      <c r="W18" s="24">
        <v>3.0209999999999999</v>
      </c>
      <c r="X18" s="22">
        <v>4.1159999999999997</v>
      </c>
      <c r="Y18" s="23">
        <v>1.81</v>
      </c>
      <c r="Z18" s="23">
        <v>2.3889999999999998</v>
      </c>
      <c r="AA18" s="24">
        <v>2.375</v>
      </c>
      <c r="AB18" s="22">
        <v>2.2360000000000002</v>
      </c>
      <c r="AC18" s="23">
        <v>1.6919999999999999</v>
      </c>
      <c r="AD18" s="23">
        <v>1.8180000000000001</v>
      </c>
      <c r="AE18" s="24">
        <v>1.776</v>
      </c>
      <c r="AF18" s="22">
        <v>1.6950000000000001</v>
      </c>
      <c r="AG18" s="23">
        <v>1.9159999999999999</v>
      </c>
      <c r="AH18" s="23">
        <v>1.94</v>
      </c>
      <c r="AI18" s="24">
        <v>1.444</v>
      </c>
      <c r="AJ18" s="22">
        <v>2.1230000000000002</v>
      </c>
      <c r="AK18" s="23">
        <v>1.7749999999999999</v>
      </c>
      <c r="AL18" s="23">
        <v>1.944</v>
      </c>
      <c r="AM18" s="24">
        <v>2.2999999999999998</v>
      </c>
      <c r="AN18" s="22">
        <v>1.867</v>
      </c>
      <c r="AO18" s="23">
        <v>1.8680000000000001</v>
      </c>
      <c r="AP18" s="23">
        <v>2.5310000000000001</v>
      </c>
      <c r="AQ18" s="24">
        <v>2.597</v>
      </c>
      <c r="AR18" s="22">
        <v>2.2989999999999999</v>
      </c>
      <c r="AS18" s="23">
        <v>1.7330000000000001</v>
      </c>
      <c r="AT18" s="23">
        <v>1.9339999999999999</v>
      </c>
      <c r="AU18" s="24">
        <v>2.0059999999999998</v>
      </c>
      <c r="AV18" s="22">
        <v>1.5469999999999999</v>
      </c>
      <c r="AW18" s="23">
        <v>2.012</v>
      </c>
      <c r="AX18" s="23">
        <v>2.4950000000000001</v>
      </c>
      <c r="AY18" s="24">
        <v>1.861</v>
      </c>
      <c r="AZ18" s="22">
        <v>1.802</v>
      </c>
      <c r="BA18" s="23">
        <v>2.8319999999999999</v>
      </c>
      <c r="BB18" s="23">
        <v>2.2250000000000001</v>
      </c>
      <c r="BC18" s="24">
        <v>1.641</v>
      </c>
      <c r="BD18" s="22">
        <v>1.4259999999999999</v>
      </c>
      <c r="BE18" s="23">
        <v>1.81</v>
      </c>
      <c r="BF18" s="23">
        <v>1.7470000000000001</v>
      </c>
      <c r="BG18" s="24">
        <v>1.6619999999999999</v>
      </c>
      <c r="BH18" s="638">
        <f t="shared" ref="BH18" si="39">BG18*1.01</f>
        <v>1.67862</v>
      </c>
      <c r="BI18" s="326">
        <f t="shared" ref="BI18" si="40">BH18*1.01</f>
        <v>1.6954062000000001</v>
      </c>
      <c r="BJ18" s="326">
        <f t="shared" ref="BJ18" si="41">BI18*1.01</f>
        <v>1.712360262</v>
      </c>
      <c r="BK18" s="326">
        <f t="shared" ref="BK18" si="42">BJ18*1.01</f>
        <v>1.7294838646200001</v>
      </c>
      <c r="BL18" s="638">
        <f t="shared" ref="BL18" si="43">BK18*1.01</f>
        <v>1.7467787032662001</v>
      </c>
      <c r="BM18" s="326">
        <f t="shared" ref="BM18" si="44">BL18*1.01</f>
        <v>1.7642464902988622</v>
      </c>
      <c r="BN18" s="326">
        <f t="shared" ref="BN18" si="45">BM18*1.01</f>
        <v>1.7818889552018509</v>
      </c>
      <c r="BO18" s="600">
        <f t="shared" ref="BO18" si="46">BN18*1.01</f>
        <v>1.7997078447538695</v>
      </c>
      <c r="BP18" s="347"/>
      <c r="BQ18" s="25">
        <f>SUM(D18:G18)</f>
        <v>0</v>
      </c>
      <c r="BR18" s="26">
        <f>SUM(H18:K18)</f>
        <v>6.6120000000000001</v>
      </c>
      <c r="BS18" s="26">
        <f>SUM(L18:O18)</f>
        <v>11.339</v>
      </c>
      <c r="BT18" s="26">
        <f>SUM(P18:S18)</f>
        <v>15.53</v>
      </c>
      <c r="BU18" s="26">
        <f>SUM(T18:W18)</f>
        <v>11.643999999999998</v>
      </c>
      <c r="BV18" s="26">
        <f>SUM(X18:AA18)</f>
        <v>10.69</v>
      </c>
      <c r="BW18" s="26">
        <f>SUM(AB18:AE18)</f>
        <v>7.5220000000000002</v>
      </c>
      <c r="BX18" s="26">
        <f>SUM(AF18:AI18)</f>
        <v>6.9950000000000001</v>
      </c>
      <c r="BY18" s="26">
        <f>SUM(AJ18:AM18)</f>
        <v>8.1419999999999995</v>
      </c>
      <c r="BZ18" s="26">
        <f>SUM(AN18:AQ18)</f>
        <v>8.8629999999999995</v>
      </c>
      <c r="CA18" s="26">
        <f>SUM(AR18:AU18)</f>
        <v>7.9719999999999995</v>
      </c>
      <c r="CB18" s="26">
        <f>SUM(AV18:AY18)</f>
        <v>7.915</v>
      </c>
      <c r="CC18" s="26">
        <f>SUM(AZ18:BC18)</f>
        <v>8.5</v>
      </c>
      <c r="CD18" s="26">
        <f>SUM(BD18:BG18)</f>
        <v>6.6449999999999996</v>
      </c>
      <c r="CE18" s="26">
        <f>SUM(BH18:BK18)</f>
        <v>6.8158703266200007</v>
      </c>
      <c r="CF18" s="26">
        <f>SUM(BL18:BO18)</f>
        <v>7.0926219935207824</v>
      </c>
      <c r="CG18" s="600">
        <f>CE18*1.01</f>
        <v>6.884029029886201</v>
      </c>
      <c r="CH18" s="336"/>
    </row>
    <row r="19" spans="2:86" ht="14.25" hidden="1" outlineLevel="1">
      <c r="B19" s="20" t="s">
        <v>8</v>
      </c>
      <c r="C19" s="21"/>
      <c r="D19" s="22"/>
      <c r="E19" s="23"/>
      <c r="F19" s="23"/>
      <c r="G19" s="24"/>
      <c r="H19" s="22"/>
      <c r="I19" s="23"/>
      <c r="J19" s="23"/>
      <c r="K19" s="24"/>
      <c r="L19" s="22"/>
      <c r="M19" s="23"/>
      <c r="N19" s="23"/>
      <c r="O19" s="24"/>
      <c r="P19" s="22"/>
      <c r="Q19" s="23"/>
      <c r="R19" s="23"/>
      <c r="S19" s="24"/>
      <c r="T19" s="22"/>
      <c r="U19" s="23"/>
      <c r="V19" s="23">
        <v>0</v>
      </c>
      <c r="W19" s="24"/>
      <c r="X19" s="22">
        <v>0.99</v>
      </c>
      <c r="Y19" s="23"/>
      <c r="Z19" s="23"/>
      <c r="AA19" s="24"/>
      <c r="AB19" s="22">
        <v>4.3730000000000002</v>
      </c>
      <c r="AC19" s="23"/>
      <c r="AD19" s="23"/>
      <c r="AE19" s="24">
        <v>4.0620000000000003</v>
      </c>
      <c r="AF19" s="22">
        <v>0</v>
      </c>
      <c r="AG19" s="23">
        <v>0</v>
      </c>
      <c r="AH19" s="23">
        <v>0</v>
      </c>
      <c r="AI19" s="24">
        <v>1.4570000000000001</v>
      </c>
      <c r="AJ19" s="22">
        <v>1.929</v>
      </c>
      <c r="AK19" s="23">
        <v>1.054</v>
      </c>
      <c r="AL19" s="23">
        <v>0</v>
      </c>
      <c r="AM19" s="24">
        <v>5.6980000000000004</v>
      </c>
      <c r="AN19" s="22">
        <v>0</v>
      </c>
      <c r="AO19" s="23">
        <v>4.7279999999999998</v>
      </c>
      <c r="AP19" s="23"/>
      <c r="AQ19" s="24">
        <v>0.22800000000000001</v>
      </c>
      <c r="AR19" s="22">
        <v>0.92500000000000004</v>
      </c>
      <c r="AS19" s="23">
        <v>0.92500000000000004</v>
      </c>
      <c r="AT19" s="23">
        <f>0.925-3.998</f>
        <v>-3.0730000000000004</v>
      </c>
      <c r="AU19" s="24">
        <f>1+0.925</f>
        <v>1.925</v>
      </c>
      <c r="AV19" s="22">
        <f>0.925-1.7</f>
        <v>-0.77499999999999991</v>
      </c>
      <c r="AW19" s="23">
        <f>81.39+0.778</f>
        <v>82.168000000000006</v>
      </c>
      <c r="AX19" s="23">
        <f>10.285+0.485+1.158</f>
        <v>11.927999999999999</v>
      </c>
      <c r="AY19" s="24">
        <f>0.007+0.485+3.711</f>
        <v>4.2029999999999994</v>
      </c>
      <c r="AZ19" s="22">
        <v>0.48499999999999999</v>
      </c>
      <c r="BA19" s="23">
        <v>0.48499999999999999</v>
      </c>
      <c r="BB19" s="23">
        <v>0.48499999999999999</v>
      </c>
      <c r="BC19" s="24">
        <v>0</v>
      </c>
      <c r="BD19" s="22">
        <v>0</v>
      </c>
      <c r="BE19" s="23">
        <v>3</v>
      </c>
      <c r="BF19" s="23">
        <v>0</v>
      </c>
      <c r="BG19" s="24">
        <v>8</v>
      </c>
      <c r="BH19" s="637"/>
      <c r="BI19" s="325"/>
      <c r="BJ19" s="325"/>
      <c r="BK19" s="325"/>
      <c r="BL19" s="637"/>
      <c r="BM19" s="325"/>
      <c r="BN19" s="325"/>
      <c r="BO19" s="596"/>
      <c r="BP19" s="347"/>
      <c r="BQ19" s="25">
        <f>SUM(D19:G19)</f>
        <v>0</v>
      </c>
      <c r="BR19" s="26">
        <f>SUM(H19:K19)</f>
        <v>0</v>
      </c>
      <c r="BS19" s="26">
        <f>SUM(L19:O19)</f>
        <v>0</v>
      </c>
      <c r="BT19" s="26">
        <f>SUM(P19:S19)</f>
        <v>0</v>
      </c>
      <c r="BU19" s="26">
        <f>SUM(T19:W19)</f>
        <v>0</v>
      </c>
      <c r="BV19" s="26">
        <f>SUM(X19:AA19)</f>
        <v>0.99</v>
      </c>
      <c r="BW19" s="26">
        <f>SUM(AB19:AE19)</f>
        <v>8.4350000000000005</v>
      </c>
      <c r="BX19" s="26">
        <f>SUM(AF19:AI19)</f>
        <v>1.4570000000000001</v>
      </c>
      <c r="BY19" s="26">
        <f>SUM(AJ19:AM19)</f>
        <v>8.6810000000000009</v>
      </c>
      <c r="BZ19" s="26">
        <f>SUM(AN19:AQ19)</f>
        <v>4.9559999999999995</v>
      </c>
      <c r="CA19" s="26">
        <f>SUM(AR19:AU19)</f>
        <v>0.70199999999999974</v>
      </c>
      <c r="CB19" s="26">
        <f>SUM(AV19:AY19)</f>
        <v>97.524000000000001</v>
      </c>
      <c r="CC19" s="26">
        <f>SUM(AZ19:BC19)</f>
        <v>1.4550000000000001</v>
      </c>
      <c r="CD19" s="26">
        <f>SUM(BD19:BG19)</f>
        <v>11</v>
      </c>
      <c r="CE19" s="26">
        <f>SUM(BH19:BK19)</f>
        <v>0</v>
      </c>
      <c r="CF19" s="26">
        <f>SUM(BL19:BO19)</f>
        <v>0</v>
      </c>
      <c r="CG19" s="596"/>
      <c r="CH19" s="336"/>
    </row>
    <row r="20" spans="2:86" ht="14.25" hidden="1" outlineLevel="1">
      <c r="B20" s="20" t="s">
        <v>9</v>
      </c>
      <c r="C20" s="21"/>
      <c r="D20" s="22"/>
      <c r="E20" s="23"/>
      <c r="F20" s="23"/>
      <c r="G20" s="24"/>
      <c r="H20" s="22"/>
      <c r="I20" s="23"/>
      <c r="J20" s="23"/>
      <c r="K20" s="24"/>
      <c r="L20" s="22"/>
      <c r="M20" s="23"/>
      <c r="N20" s="23"/>
      <c r="O20" s="24"/>
      <c r="P20" s="22"/>
      <c r="Q20" s="23"/>
      <c r="R20" s="23"/>
      <c r="S20" s="24"/>
      <c r="T20" s="22"/>
      <c r="U20" s="23"/>
      <c r="V20" s="23"/>
      <c r="W20" s="24"/>
      <c r="X20" s="22"/>
      <c r="Y20" s="23"/>
      <c r="Z20" s="23"/>
      <c r="AA20" s="24"/>
      <c r="AB20" s="22"/>
      <c r="AC20" s="23"/>
      <c r="AD20" s="23"/>
      <c r="AE20" s="24"/>
      <c r="AF20" s="22"/>
      <c r="AG20" s="23"/>
      <c r="AH20" s="23"/>
      <c r="AI20" s="24"/>
      <c r="AJ20" s="22"/>
      <c r="AK20" s="23"/>
      <c r="AL20" s="23"/>
      <c r="AM20" s="24"/>
      <c r="AN20" s="22"/>
      <c r="AO20" s="23"/>
      <c r="AP20" s="23"/>
      <c r="AQ20" s="24"/>
      <c r="AR20" s="22"/>
      <c r="AS20" s="23"/>
      <c r="AT20" s="23"/>
      <c r="AU20" s="24"/>
      <c r="AV20" s="22"/>
      <c r="AW20" s="23"/>
      <c r="AX20" s="23"/>
      <c r="AY20" s="24"/>
      <c r="AZ20" s="22"/>
      <c r="BA20" s="23"/>
      <c r="BB20" s="23"/>
      <c r="BC20" s="24"/>
      <c r="BD20" s="22"/>
      <c r="BE20" s="23"/>
      <c r="BF20" s="23"/>
      <c r="BG20" s="24"/>
      <c r="BH20" s="637"/>
      <c r="BI20" s="325"/>
      <c r="BJ20" s="325"/>
      <c r="BK20" s="325"/>
      <c r="BL20" s="637"/>
      <c r="BM20" s="325"/>
      <c r="BN20" s="325"/>
      <c r="BO20" s="596"/>
      <c r="BP20" s="347"/>
      <c r="BQ20" s="25">
        <f>SUM(D20:G20)</f>
        <v>0</v>
      </c>
      <c r="BR20" s="26">
        <f>SUM(H20:K20)</f>
        <v>0</v>
      </c>
      <c r="BS20" s="26">
        <f>SUM(L20:O20)</f>
        <v>0</v>
      </c>
      <c r="BT20" s="26">
        <f>SUM(P20:S20)</f>
        <v>0</v>
      </c>
      <c r="BU20" s="26">
        <f>SUM(T20:W20)</f>
        <v>0</v>
      </c>
      <c r="BV20" s="26">
        <f>SUM(X20:AA20)</f>
        <v>0</v>
      </c>
      <c r="BW20" s="26">
        <f>SUM(AB20:AE20)</f>
        <v>0</v>
      </c>
      <c r="BX20" s="26">
        <f>SUM(AF20:AI20)</f>
        <v>0</v>
      </c>
      <c r="BY20" s="26">
        <f>SUM(AJ20:AM20)</f>
        <v>0</v>
      </c>
      <c r="BZ20" s="26">
        <f>SUM(AN20:AQ20)</f>
        <v>0</v>
      </c>
      <c r="CA20" s="26">
        <f>SUM(AR20:AU20)</f>
        <v>0</v>
      </c>
      <c r="CB20" s="26">
        <f>SUM(AV20:AY20)</f>
        <v>0</v>
      </c>
      <c r="CC20" s="26">
        <f>SUM(AZ20:BC20)</f>
        <v>0</v>
      </c>
      <c r="CD20" s="26">
        <f>SUM(BD20:BG20)</f>
        <v>0</v>
      </c>
      <c r="CE20" s="26">
        <f>SUM(BH20:BK20)</f>
        <v>0</v>
      </c>
      <c r="CF20" s="26">
        <f>SUM(BL20:BO20)</f>
        <v>0</v>
      </c>
      <c r="CG20" s="596"/>
      <c r="CH20" s="336"/>
    </row>
    <row r="21" spans="2:86" ht="14.25" collapsed="1">
      <c r="B21" s="16" t="s">
        <v>10</v>
      </c>
      <c r="C21" s="17"/>
      <c r="D21" s="25">
        <f t="shared" ref="D21:AO21" si="47">D16-D19-D18-D20</f>
        <v>127.836</v>
      </c>
      <c r="E21" s="26">
        <f t="shared" si="47"/>
        <v>140.905</v>
      </c>
      <c r="F21" s="26">
        <f t="shared" si="47"/>
        <v>150.26</v>
      </c>
      <c r="G21" s="27">
        <f t="shared" si="47"/>
        <v>162.75599999999997</v>
      </c>
      <c r="H21" s="25">
        <f t="shared" si="47"/>
        <v>175.244</v>
      </c>
      <c r="I21" s="26">
        <f t="shared" si="47"/>
        <v>183.64599999999999</v>
      </c>
      <c r="J21" s="26">
        <f t="shared" si="47"/>
        <v>197.07700000000003</v>
      </c>
      <c r="K21" s="27">
        <f t="shared" si="47"/>
        <v>220.66499999999996</v>
      </c>
      <c r="L21" s="25">
        <f t="shared" si="47"/>
        <v>237.79900000000001</v>
      </c>
      <c r="M21" s="26">
        <f t="shared" si="47"/>
        <v>275.61399999999998</v>
      </c>
      <c r="N21" s="26">
        <f t="shared" si="47"/>
        <v>253.48799999999997</v>
      </c>
      <c r="O21" s="27">
        <f t="shared" si="47"/>
        <v>322.00100000000003</v>
      </c>
      <c r="P21" s="25">
        <f t="shared" si="47"/>
        <v>324.399</v>
      </c>
      <c r="Q21" s="26">
        <f t="shared" si="47"/>
        <v>332.255</v>
      </c>
      <c r="R21" s="26">
        <f t="shared" si="47"/>
        <v>391.88299999999998</v>
      </c>
      <c r="S21" s="27">
        <f t="shared" si="47"/>
        <v>433.72899999999998</v>
      </c>
      <c r="T21" s="25">
        <f t="shared" si="47"/>
        <v>385.76900000000001</v>
      </c>
      <c r="U21" s="26">
        <f t="shared" si="47"/>
        <v>402.15800000000002</v>
      </c>
      <c r="V21" s="26">
        <f t="shared" si="47"/>
        <v>377.34199999999998</v>
      </c>
      <c r="W21" s="27">
        <f t="shared" si="47"/>
        <v>249.7110000000001</v>
      </c>
      <c r="X21" s="25">
        <f t="shared" si="47"/>
        <v>252.524</v>
      </c>
      <c r="Y21" s="26">
        <f t="shared" si="47"/>
        <v>286.24900000000002</v>
      </c>
      <c r="Z21" s="26">
        <f t="shared" si="47"/>
        <v>339.22800000000001</v>
      </c>
      <c r="AA21" s="27">
        <f t="shared" si="47"/>
        <v>337.41500000000002</v>
      </c>
      <c r="AB21" s="25">
        <f t="shared" si="47"/>
        <v>337.37600000000003</v>
      </c>
      <c r="AC21" s="26">
        <f t="shared" si="47"/>
        <v>364.99</v>
      </c>
      <c r="AD21" s="26">
        <f t="shared" si="47"/>
        <v>388.99</v>
      </c>
      <c r="AE21" s="27">
        <f t="shared" si="47"/>
        <v>365.96099999999996</v>
      </c>
      <c r="AF21" s="25">
        <f t="shared" si="47"/>
        <v>332.78000000000003</v>
      </c>
      <c r="AG21" s="26">
        <f t="shared" si="47"/>
        <v>376.20100000000002</v>
      </c>
      <c r="AH21" s="26">
        <f t="shared" si="47"/>
        <v>410.16</v>
      </c>
      <c r="AI21" s="27">
        <f t="shared" si="47"/>
        <v>338.21199999999999</v>
      </c>
      <c r="AJ21" s="25">
        <f t="shared" si="47"/>
        <v>362.27000000000004</v>
      </c>
      <c r="AK21" s="26">
        <f t="shared" si="47"/>
        <v>379.01000000000005</v>
      </c>
      <c r="AL21" s="26">
        <f t="shared" si="47"/>
        <v>372.55899999999997</v>
      </c>
      <c r="AM21" s="27">
        <f t="shared" si="47"/>
        <v>362.83500000000004</v>
      </c>
      <c r="AN21" s="25">
        <f t="shared" si="47"/>
        <v>333.57099999999997</v>
      </c>
      <c r="AO21" s="26">
        <f t="shared" si="47"/>
        <v>379.46300000000002</v>
      </c>
      <c r="AP21" s="26">
        <f t="shared" ref="AP21:AU21" si="48">AP16-AP19-AP18-AP20</f>
        <v>462.45</v>
      </c>
      <c r="AQ21" s="27">
        <f t="shared" si="48"/>
        <v>474.42699999999996</v>
      </c>
      <c r="AR21" s="25">
        <f t="shared" si="48"/>
        <v>490.63600000000002</v>
      </c>
      <c r="AS21" s="26">
        <f t="shared" si="48"/>
        <v>475.08299999999997</v>
      </c>
      <c r="AT21" s="26">
        <f>AT16-AT19-AT18-AT20</f>
        <v>456.11299999999994</v>
      </c>
      <c r="AU21" s="27">
        <f t="shared" si="48"/>
        <v>413.2</v>
      </c>
      <c r="AV21" s="25">
        <f>AV16-AV19-AV18-AV20</f>
        <v>350.38099999999997</v>
      </c>
      <c r="AW21" s="26">
        <f t="shared" ref="AW21:AY21" si="49">AW16-AW19-AW18-AW20</f>
        <v>377.53899999999999</v>
      </c>
      <c r="AX21" s="26">
        <f t="shared" si="49"/>
        <v>364.83100000000002</v>
      </c>
      <c r="AY21" s="27">
        <f t="shared" si="49"/>
        <v>296.54600000000005</v>
      </c>
      <c r="AZ21" s="25">
        <f>AZ16-AZ19-AZ18-AZ20</f>
        <v>256.92299999999994</v>
      </c>
      <c r="BA21" s="26">
        <f t="shared" ref="BA21:BC21" si="50">BA16-BA19-BA18-BA20</f>
        <v>284.291</v>
      </c>
      <c r="BB21" s="26">
        <f t="shared" si="50"/>
        <v>283.35299999999995</v>
      </c>
      <c r="BC21" s="27">
        <f t="shared" si="50"/>
        <v>242.24200000000002</v>
      </c>
      <c r="BD21" s="25">
        <f>BD16-BD19-BD18-BD20</f>
        <v>229.12300000000002</v>
      </c>
      <c r="BE21" s="26">
        <f t="shared" ref="BE21:BG21" si="51">BE16-BE19-BE18-BE20</f>
        <v>234.762</v>
      </c>
      <c r="BF21" s="26">
        <f t="shared" si="51"/>
        <v>236.78599999999997</v>
      </c>
      <c r="BG21" s="27">
        <f t="shared" si="51"/>
        <v>232.26499999999999</v>
      </c>
      <c r="BH21" s="25">
        <f t="shared" ref="BH21:BK21" si="52">BH16-BH19-BH18-BH20</f>
        <v>224.77826403</v>
      </c>
      <c r="BI21" s="26">
        <f t="shared" si="52"/>
        <v>230.36953053615002</v>
      </c>
      <c r="BJ21" s="26">
        <f t="shared" si="52"/>
        <v>235.61516207506205</v>
      </c>
      <c r="BK21" s="26">
        <f t="shared" si="52"/>
        <v>231.80276214254334</v>
      </c>
      <c r="BL21" s="25">
        <f t="shared" ref="BL21:BO21" si="53">BL16-BL19-BL18-BL20</f>
        <v>217.53073622009038</v>
      </c>
      <c r="BM21" s="26">
        <f t="shared" si="53"/>
        <v>230.53775795364729</v>
      </c>
      <c r="BN21" s="26">
        <f t="shared" si="53"/>
        <v>237.35536298361242</v>
      </c>
      <c r="BO21" s="597">
        <f t="shared" si="53"/>
        <v>233.58505125672238</v>
      </c>
      <c r="BP21" s="347"/>
      <c r="BQ21" s="25">
        <f t="shared" ref="BQ21:CA21" si="54">BQ16-BQ19-BQ18-BQ20</f>
        <v>581.75699999999995</v>
      </c>
      <c r="BR21" s="26">
        <f t="shared" si="54"/>
        <v>776.63200000000006</v>
      </c>
      <c r="BS21" s="26">
        <f t="shared" si="54"/>
        <v>1088.902</v>
      </c>
      <c r="BT21" s="26">
        <f t="shared" si="54"/>
        <v>1482.2659999999998</v>
      </c>
      <c r="BU21" s="26">
        <f t="shared" si="54"/>
        <v>1414.9800000000002</v>
      </c>
      <c r="BV21" s="26">
        <f t="shared" si="54"/>
        <v>1215.4159999999999</v>
      </c>
      <c r="BW21" s="26">
        <f t="shared" si="54"/>
        <v>1457.317</v>
      </c>
      <c r="BX21" s="26">
        <f t="shared" si="54"/>
        <v>1457.3530000000001</v>
      </c>
      <c r="BY21" s="26">
        <f t="shared" si="54"/>
        <v>1476.674</v>
      </c>
      <c r="BZ21" s="26">
        <f t="shared" si="54"/>
        <v>1649.9110000000001</v>
      </c>
      <c r="CA21" s="26">
        <f t="shared" si="54"/>
        <v>1835.0320000000002</v>
      </c>
      <c r="CB21" s="26">
        <f t="shared" ref="CB21:CG21" si="55">CB16-CB19-CB18-CB20</f>
        <v>1389.2970000000005</v>
      </c>
      <c r="CC21" s="26">
        <f t="shared" si="55"/>
        <v>1066.809</v>
      </c>
      <c r="CD21" s="26">
        <f t="shared" si="55"/>
        <v>932.93600000000004</v>
      </c>
      <c r="CE21" s="26">
        <f t="shared" si="55"/>
        <v>922.56571878375541</v>
      </c>
      <c r="CF21" s="26">
        <f t="shared" si="55"/>
        <v>919.00890841407249</v>
      </c>
      <c r="CG21" s="597">
        <f t="shared" si="55"/>
        <v>911.59939931239444</v>
      </c>
      <c r="CH21" s="336"/>
    </row>
    <row r="22" spans="2:86" ht="14.25" hidden="1" outlineLevel="1">
      <c r="B22" s="28" t="s">
        <v>343</v>
      </c>
      <c r="C22" s="29"/>
      <c r="D22" s="38">
        <f t="shared" ref="D22:AO22" si="56">D21/D12</f>
        <v>0.47420959503221716</v>
      </c>
      <c r="E22" s="31">
        <f t="shared" si="56"/>
        <v>0.47418173741561614</v>
      </c>
      <c r="F22" s="31">
        <f t="shared" si="56"/>
        <v>0.47313615653230801</v>
      </c>
      <c r="G22" s="32">
        <f t="shared" si="56"/>
        <v>0.47831990266438623</v>
      </c>
      <c r="H22" s="38">
        <f t="shared" si="56"/>
        <v>0.48042328042328047</v>
      </c>
      <c r="I22" s="31">
        <f t="shared" si="56"/>
        <v>0.47033965588776139</v>
      </c>
      <c r="J22" s="31">
        <f t="shared" si="56"/>
        <v>0.46259383230131501</v>
      </c>
      <c r="K22" s="32">
        <f t="shared" si="56"/>
        <v>0.45124290411765655</v>
      </c>
      <c r="L22" s="38">
        <f t="shared" si="56"/>
        <v>0.45625637955778631</v>
      </c>
      <c r="M22" s="31">
        <f t="shared" si="56"/>
        <v>0.48017631122764526</v>
      </c>
      <c r="N22" s="31">
        <f t="shared" si="56"/>
        <v>0.48710410109185653</v>
      </c>
      <c r="O22" s="32">
        <f t="shared" si="56"/>
        <v>0.51770813570985319</v>
      </c>
      <c r="P22" s="38">
        <f t="shared" si="56"/>
        <v>0.51082434453980008</v>
      </c>
      <c r="Q22" s="31">
        <f t="shared" si="56"/>
        <v>0.50593792398787285</v>
      </c>
      <c r="R22" s="31">
        <f t="shared" si="56"/>
        <v>0.51682831165611154</v>
      </c>
      <c r="S22" s="32">
        <f t="shared" si="56"/>
        <v>0.51347956518753701</v>
      </c>
      <c r="T22" s="38">
        <f t="shared" si="56"/>
        <v>0.47976743462985416</v>
      </c>
      <c r="U22" s="31">
        <f t="shared" si="56"/>
        <v>0.47729638311129574</v>
      </c>
      <c r="V22" s="31">
        <f t="shared" si="56"/>
        <v>0.47701650725747929</v>
      </c>
      <c r="W22" s="32">
        <f t="shared" si="56"/>
        <v>0.48689231321180781</v>
      </c>
      <c r="X22" s="38">
        <f t="shared" si="56"/>
        <v>0.48428756084183239</v>
      </c>
      <c r="Y22" s="31">
        <f t="shared" si="56"/>
        <v>0.44683119478005684</v>
      </c>
      <c r="Z22" s="31">
        <f t="shared" si="56"/>
        <v>0.42239925887002588</v>
      </c>
      <c r="AA22" s="32">
        <f t="shared" si="56"/>
        <v>0.40047594461951141</v>
      </c>
      <c r="AB22" s="38">
        <f t="shared" si="56"/>
        <v>0.39432477889242262</v>
      </c>
      <c r="AC22" s="31">
        <f t="shared" si="56"/>
        <v>0.40713952663434744</v>
      </c>
      <c r="AD22" s="31">
        <f t="shared" si="56"/>
        <v>0.40548217656753122</v>
      </c>
      <c r="AE22" s="32">
        <f t="shared" si="56"/>
        <v>0.40639169006999337</v>
      </c>
      <c r="AF22" s="38">
        <f t="shared" si="56"/>
        <v>0.41472977385400339</v>
      </c>
      <c r="AG22" s="31">
        <f t="shared" si="56"/>
        <v>0.41915611908369732</v>
      </c>
      <c r="AH22" s="31">
        <f t="shared" si="56"/>
        <v>0.43155793720019742</v>
      </c>
      <c r="AI22" s="32">
        <f t="shared" si="56"/>
        <v>0.45538110222013972</v>
      </c>
      <c r="AJ22" s="38">
        <f t="shared" si="56"/>
        <v>0.45491246950151382</v>
      </c>
      <c r="AK22" s="31">
        <f t="shared" si="56"/>
        <v>0.4644138492152961</v>
      </c>
      <c r="AL22" s="31">
        <f t="shared" si="56"/>
        <v>0.47710086428021681</v>
      </c>
      <c r="AM22" s="32">
        <f t="shared" si="56"/>
        <v>0.4679966567521483</v>
      </c>
      <c r="AN22" s="38">
        <f t="shared" si="56"/>
        <v>0.45422805156535739</v>
      </c>
      <c r="AO22" s="31">
        <f t="shared" si="56"/>
        <v>0.47018174699153464</v>
      </c>
      <c r="AP22" s="31">
        <f t="shared" ref="AP22:AU22" si="57">AP21/AP12</f>
        <v>0.49660340239641076</v>
      </c>
      <c r="AQ22" s="32">
        <f t="shared" si="57"/>
        <v>0.50917897416578928</v>
      </c>
      <c r="AR22" s="38">
        <f t="shared" si="57"/>
        <v>0.51223703579967217</v>
      </c>
      <c r="AS22" s="31">
        <f t="shared" si="57"/>
        <v>0.49408296023587039</v>
      </c>
      <c r="AT22" s="31">
        <f>AT21/AT12</f>
        <v>0.49037237565259267</v>
      </c>
      <c r="AU22" s="32">
        <f t="shared" si="57"/>
        <v>0.48189286397372677</v>
      </c>
      <c r="AV22" s="38">
        <f>AV21/AV12</f>
        <v>0.48375922285057871</v>
      </c>
      <c r="AW22" s="31">
        <f t="shared" ref="AW22:AY22" si="58">AW21/AW12</f>
        <v>0.53137684871891588</v>
      </c>
      <c r="AX22" s="31">
        <f t="shared" si="58"/>
        <v>0.54057846463868187</v>
      </c>
      <c r="AY22" s="32">
        <f t="shared" si="58"/>
        <v>0.48128239834587888</v>
      </c>
      <c r="AZ22" s="38">
        <f>AZ21/AZ12</f>
        <v>0.47506018616106582</v>
      </c>
      <c r="BA22" s="31">
        <f t="shared" ref="BA22:BC22" si="59">BA21/BA12</f>
        <v>0.4538460801655162</v>
      </c>
      <c r="BB22" s="492">
        <f t="shared" si="59"/>
        <v>0.43298208189822462</v>
      </c>
      <c r="BC22" s="32">
        <f t="shared" si="59"/>
        <v>0.42394469723486178</v>
      </c>
      <c r="BD22" s="38">
        <f>BD21/BD12</f>
        <v>0.39559895023999453</v>
      </c>
      <c r="BE22" s="492">
        <f t="shared" ref="BE22:BG22" si="60">BE21/BE12</f>
        <v>0.38819677552707732</v>
      </c>
      <c r="BF22" s="562">
        <f t="shared" si="60"/>
        <v>0.38420449714587973</v>
      </c>
      <c r="BG22" s="563">
        <f t="shared" si="60"/>
        <v>0.37741566990408004</v>
      </c>
      <c r="BH22" s="566">
        <f t="shared" ref="BH22:BK22" si="61">BH21/BH12</f>
        <v>0.37420547360390177</v>
      </c>
      <c r="BI22" s="562">
        <f t="shared" si="61"/>
        <v>0.37176400019395484</v>
      </c>
      <c r="BJ22" s="562">
        <f t="shared" si="61"/>
        <v>0.36931595387171617</v>
      </c>
      <c r="BK22" s="562">
        <f t="shared" si="61"/>
        <v>0.36676357152426203</v>
      </c>
      <c r="BL22" s="566">
        <f t="shared" ref="BL22:BO22" si="62">BL21/BL12</f>
        <v>0.36407645453605803</v>
      </c>
      <c r="BM22" s="562">
        <f t="shared" si="62"/>
        <v>0.36272416475162289</v>
      </c>
      <c r="BN22" s="562">
        <f t="shared" si="62"/>
        <v>0.3612877183523906</v>
      </c>
      <c r="BO22" s="598">
        <f t="shared" si="62"/>
        <v>0.35972839279733515</v>
      </c>
      <c r="BP22" s="347"/>
      <c r="BQ22" s="566">
        <f t="shared" ref="BQ22:CA22" si="63">BQ21/BQ12</f>
        <v>0.47506655343056392</v>
      </c>
      <c r="BR22" s="562">
        <f t="shared" si="63"/>
        <v>0.46497503990382372</v>
      </c>
      <c r="BS22" s="562">
        <f t="shared" si="63"/>
        <v>0.48664858441341952</v>
      </c>
      <c r="BT22" s="562">
        <f t="shared" si="63"/>
        <v>0.51206328270389978</v>
      </c>
      <c r="BU22" s="562">
        <f t="shared" si="63"/>
        <v>0.47956271396340305</v>
      </c>
      <c r="BV22" s="562">
        <f t="shared" si="63"/>
        <v>0.43288870874851793</v>
      </c>
      <c r="BW22" s="562">
        <f t="shared" si="63"/>
        <v>0.40347734553598347</v>
      </c>
      <c r="BX22" s="562">
        <f t="shared" si="63"/>
        <v>0.42951247259095093</v>
      </c>
      <c r="BY22" s="562">
        <f t="shared" si="63"/>
        <v>0.46602916717950665</v>
      </c>
      <c r="BZ22" s="562">
        <f t="shared" si="63"/>
        <v>0.48464075901774167</v>
      </c>
      <c r="CA22" s="562">
        <f t="shared" si="63"/>
        <v>0.49502301479674882</v>
      </c>
      <c r="CB22" s="562">
        <f t="shared" ref="CB22:CG22" si="64">CB21/CB12</f>
        <v>0.50967889389939514</v>
      </c>
      <c r="CC22" s="562">
        <f t="shared" si="64"/>
        <v>0.44579506971861821</v>
      </c>
      <c r="CD22" s="562">
        <f t="shared" si="64"/>
        <v>0.38620639407925267</v>
      </c>
      <c r="CE22" s="562">
        <f t="shared" si="64"/>
        <v>0.37045669937446091</v>
      </c>
      <c r="CF22" s="562">
        <f t="shared" si="64"/>
        <v>0.36190467147924021</v>
      </c>
      <c r="CG22" s="598">
        <f t="shared" si="64"/>
        <v>0.35898681515302383</v>
      </c>
      <c r="CH22" s="336"/>
    </row>
    <row r="23" spans="2:86" ht="14.25" hidden="1" outlineLevel="1">
      <c r="B23" s="16" t="s">
        <v>12</v>
      </c>
      <c r="C23" s="17"/>
      <c r="D23" s="25">
        <f t="shared" ref="D23:O23" si="65">D16-D19-D20</f>
        <v>127.836</v>
      </c>
      <c r="E23" s="26">
        <f t="shared" si="65"/>
        <v>140.905</v>
      </c>
      <c r="F23" s="26">
        <f t="shared" si="65"/>
        <v>150.26</v>
      </c>
      <c r="G23" s="27">
        <f t="shared" si="65"/>
        <v>162.75599999999997</v>
      </c>
      <c r="H23" s="25">
        <f t="shared" si="65"/>
        <v>175.785</v>
      </c>
      <c r="I23" s="26">
        <f t="shared" si="65"/>
        <v>185.45099999999999</v>
      </c>
      <c r="J23" s="26">
        <f t="shared" si="65"/>
        <v>197.58</v>
      </c>
      <c r="K23" s="27">
        <f t="shared" si="65"/>
        <v>224.42799999999997</v>
      </c>
      <c r="L23" s="25">
        <f t="shared" si="65"/>
        <v>240.233</v>
      </c>
      <c r="M23" s="26">
        <f t="shared" si="65"/>
        <v>279.07499999999999</v>
      </c>
      <c r="N23" s="26">
        <f t="shared" si="65"/>
        <v>256.08999999999997</v>
      </c>
      <c r="O23" s="27">
        <f t="shared" si="65"/>
        <v>324.84300000000002</v>
      </c>
      <c r="P23" s="25">
        <f t="shared" ref="P23:W23" si="66">P16-P19-P20</f>
        <v>327.41699999999997</v>
      </c>
      <c r="Q23" s="26">
        <f t="shared" si="66"/>
        <v>335.53</v>
      </c>
      <c r="R23" s="26">
        <f t="shared" si="66"/>
        <v>396.209</v>
      </c>
      <c r="S23" s="27">
        <f t="shared" si="66"/>
        <v>438.64</v>
      </c>
      <c r="T23" s="25">
        <f t="shared" si="66"/>
        <v>388.84199999999998</v>
      </c>
      <c r="U23" s="26">
        <f t="shared" si="66"/>
        <v>405.91300000000001</v>
      </c>
      <c r="V23" s="26">
        <f t="shared" si="66"/>
        <v>379.137</v>
      </c>
      <c r="W23" s="27">
        <f t="shared" si="66"/>
        <v>252.73200000000008</v>
      </c>
      <c r="X23" s="25">
        <f t="shared" ref="X23:AD23" si="67">X16-X19-X20</f>
        <v>256.64</v>
      </c>
      <c r="Y23" s="26">
        <f t="shared" si="67"/>
        <v>288.05900000000003</v>
      </c>
      <c r="Z23" s="26">
        <f t="shared" si="67"/>
        <v>341.61700000000002</v>
      </c>
      <c r="AA23" s="27">
        <f t="shared" si="67"/>
        <v>339.79</v>
      </c>
      <c r="AB23" s="25">
        <f t="shared" si="67"/>
        <v>339.61200000000002</v>
      </c>
      <c r="AC23" s="26">
        <f t="shared" si="67"/>
        <v>366.68200000000002</v>
      </c>
      <c r="AD23" s="26">
        <f t="shared" si="67"/>
        <v>390.80799999999999</v>
      </c>
      <c r="AE23" s="27">
        <f t="shared" ref="AE23:AJ23" si="68">AE16-AE19-AE20</f>
        <v>367.73699999999997</v>
      </c>
      <c r="AF23" s="25">
        <f t="shared" si="68"/>
        <v>334.47500000000002</v>
      </c>
      <c r="AG23" s="26">
        <f t="shared" si="68"/>
        <v>378.11700000000002</v>
      </c>
      <c r="AH23" s="26">
        <f t="shared" si="68"/>
        <v>412.1</v>
      </c>
      <c r="AI23" s="27">
        <f t="shared" si="68"/>
        <v>339.65600000000001</v>
      </c>
      <c r="AJ23" s="25">
        <f t="shared" si="68"/>
        <v>364.39300000000003</v>
      </c>
      <c r="AK23" s="26">
        <f t="shared" ref="AK23:AU23" si="69">AK16-AK19-AK20</f>
        <v>380.78500000000003</v>
      </c>
      <c r="AL23" s="26">
        <f t="shared" si="69"/>
        <v>374.50299999999999</v>
      </c>
      <c r="AM23" s="27">
        <f t="shared" si="69"/>
        <v>365.13500000000005</v>
      </c>
      <c r="AN23" s="25">
        <f t="shared" si="69"/>
        <v>335.43799999999999</v>
      </c>
      <c r="AO23" s="26">
        <f t="shared" si="69"/>
        <v>381.33100000000002</v>
      </c>
      <c r="AP23" s="26">
        <f t="shared" si="69"/>
        <v>464.98099999999999</v>
      </c>
      <c r="AQ23" s="27">
        <f t="shared" si="69"/>
        <v>477.02399999999994</v>
      </c>
      <c r="AR23" s="25">
        <f t="shared" si="69"/>
        <v>492.935</v>
      </c>
      <c r="AS23" s="26">
        <f t="shared" si="69"/>
        <v>476.81599999999997</v>
      </c>
      <c r="AT23" s="26">
        <f t="shared" si="69"/>
        <v>458.04699999999997</v>
      </c>
      <c r="AU23" s="27">
        <f t="shared" si="69"/>
        <v>415.20599999999996</v>
      </c>
      <c r="AV23" s="25">
        <f>AV16-AV19-AV20</f>
        <v>351.928</v>
      </c>
      <c r="AW23" s="26">
        <f t="shared" ref="AW23:AY23" si="70">AW16-AW19-AW20</f>
        <v>379.55099999999999</v>
      </c>
      <c r="AX23" s="26">
        <f t="shared" si="70"/>
        <v>367.32600000000002</v>
      </c>
      <c r="AY23" s="27">
        <f t="shared" si="70"/>
        <v>298.40700000000004</v>
      </c>
      <c r="AZ23" s="25">
        <f>AZ16-AZ19-AZ20</f>
        <v>258.72499999999997</v>
      </c>
      <c r="BA23" s="26">
        <f t="shared" ref="BA23:BC23" si="71">BA16-BA19-BA20</f>
        <v>287.12299999999999</v>
      </c>
      <c r="BB23" s="26">
        <f t="shared" si="71"/>
        <v>285.57799999999997</v>
      </c>
      <c r="BC23" s="27">
        <f t="shared" si="71"/>
        <v>243.88300000000001</v>
      </c>
      <c r="BD23" s="25">
        <f>BD16-BD19-BD20</f>
        <v>230.54900000000001</v>
      </c>
      <c r="BE23" s="26">
        <f t="shared" ref="BE23:BG23" si="72">BE16-BE19-BE20</f>
        <v>236.572</v>
      </c>
      <c r="BF23" s="26">
        <f t="shared" si="72"/>
        <v>238.53299999999999</v>
      </c>
      <c r="BG23" s="27">
        <f t="shared" si="72"/>
        <v>233.92699999999999</v>
      </c>
      <c r="BH23" s="25">
        <f t="shared" ref="BH23:BK23" si="73">BH16-BH19-BH20</f>
        <v>226.45688403</v>
      </c>
      <c r="BI23" s="26">
        <f t="shared" si="73"/>
        <v>232.06493673615003</v>
      </c>
      <c r="BJ23" s="26">
        <f t="shared" si="73"/>
        <v>237.32752233706205</v>
      </c>
      <c r="BK23" s="26">
        <f t="shared" si="73"/>
        <v>233.53224600716334</v>
      </c>
      <c r="BL23" s="25">
        <f t="shared" ref="BL23:BO23" si="74">BL16-BL19-BL20</f>
        <v>219.27751492335656</v>
      </c>
      <c r="BM23" s="26">
        <f t="shared" si="74"/>
        <v>232.30200444394615</v>
      </c>
      <c r="BN23" s="26">
        <f t="shared" si="74"/>
        <v>239.13725193881427</v>
      </c>
      <c r="BO23" s="597">
        <f t="shared" si="74"/>
        <v>235.38475910147625</v>
      </c>
      <c r="BP23" s="347"/>
      <c r="BQ23" s="25">
        <f t="shared" ref="BQ23:BW23" si="75">BQ16-BQ19-BQ20</f>
        <v>581.75699999999995</v>
      </c>
      <c r="BR23" s="26">
        <f t="shared" si="75"/>
        <v>783.24400000000003</v>
      </c>
      <c r="BS23" s="26">
        <f t="shared" si="75"/>
        <v>1100.241</v>
      </c>
      <c r="BT23" s="26">
        <f t="shared" si="75"/>
        <v>1497.7959999999998</v>
      </c>
      <c r="BU23" s="26">
        <f t="shared" si="75"/>
        <v>1426.6240000000003</v>
      </c>
      <c r="BV23" s="26">
        <f t="shared" si="75"/>
        <v>1226.106</v>
      </c>
      <c r="BW23" s="26">
        <f t="shared" si="75"/>
        <v>1464.8389999999999</v>
      </c>
      <c r="BX23" s="26">
        <f t="shared" ref="BX23:CA23" si="76">BX16-BX19-BX20</f>
        <v>1464.348</v>
      </c>
      <c r="BY23" s="26">
        <f t="shared" si="76"/>
        <v>1484.816</v>
      </c>
      <c r="BZ23" s="26">
        <f t="shared" si="76"/>
        <v>1658.7740000000001</v>
      </c>
      <c r="CA23" s="26">
        <f t="shared" si="76"/>
        <v>1843.0040000000001</v>
      </c>
      <c r="CB23" s="26">
        <f>CB16-CB19-CB20</f>
        <v>1397.2120000000004</v>
      </c>
      <c r="CC23" s="26">
        <f>CC16-CC19-CC20</f>
        <v>1075.309</v>
      </c>
      <c r="CD23" s="26">
        <f>CD16-CD19-CD20</f>
        <v>939.58100000000002</v>
      </c>
      <c r="CE23" s="26">
        <f>CE16-CE19-CE20</f>
        <v>929.38158911037544</v>
      </c>
      <c r="CF23" s="26">
        <f>CF16-CF19-CF20</f>
        <v>926.10153040759326</v>
      </c>
      <c r="CG23" s="597">
        <f t="shared" ref="CG23" si="77">CG16-CG19-CG20</f>
        <v>918.4834283422806</v>
      </c>
      <c r="CH23" s="336"/>
    </row>
    <row r="24" spans="2:86" ht="14.25" hidden="1" outlineLevel="1">
      <c r="B24" s="28" t="s">
        <v>11</v>
      </c>
      <c r="C24" s="29"/>
      <c r="D24" s="38">
        <f t="shared" ref="D24:AO24" si="78">D23/D12</f>
        <v>0.47420959503221716</v>
      </c>
      <c r="E24" s="31">
        <f t="shared" si="78"/>
        <v>0.47418173741561614</v>
      </c>
      <c r="F24" s="31">
        <f t="shared" si="78"/>
        <v>0.47313615653230801</v>
      </c>
      <c r="G24" s="32">
        <f t="shared" si="78"/>
        <v>0.47831990266438623</v>
      </c>
      <c r="H24" s="38">
        <f t="shared" si="78"/>
        <v>0.48190640677687313</v>
      </c>
      <c r="I24" s="31">
        <f t="shared" si="78"/>
        <v>0.47496247957505877</v>
      </c>
      <c r="J24" s="31">
        <f t="shared" si="78"/>
        <v>0.46377451141479631</v>
      </c>
      <c r="K24" s="32">
        <f t="shared" si="78"/>
        <v>0.45893794886056882</v>
      </c>
      <c r="L24" s="38">
        <f t="shared" si="78"/>
        <v>0.46092640772377375</v>
      </c>
      <c r="M24" s="31">
        <f t="shared" si="78"/>
        <v>0.48620608552488304</v>
      </c>
      <c r="N24" s="31">
        <f t="shared" si="78"/>
        <v>0.49210412030791811</v>
      </c>
      <c r="O24" s="32">
        <f t="shared" si="78"/>
        <v>0.52227745854328356</v>
      </c>
      <c r="P24" s="38">
        <f t="shared" si="78"/>
        <v>0.51557672624202822</v>
      </c>
      <c r="Q24" s="31">
        <f t="shared" si="78"/>
        <v>0.51092489694858156</v>
      </c>
      <c r="R24" s="31">
        <f t="shared" si="78"/>
        <v>0.52253358408748618</v>
      </c>
      <c r="S24" s="32">
        <f t="shared" si="78"/>
        <v>0.51929355997376525</v>
      </c>
      <c r="T24" s="38">
        <f t="shared" si="78"/>
        <v>0.48358921742374772</v>
      </c>
      <c r="U24" s="31">
        <f t="shared" si="78"/>
        <v>0.48175295967718007</v>
      </c>
      <c r="V24" s="31">
        <f t="shared" si="78"/>
        <v>0.47928565469011913</v>
      </c>
      <c r="W24" s="32">
        <f t="shared" si="78"/>
        <v>0.4927827292455943</v>
      </c>
      <c r="X24" s="38">
        <f t="shared" si="78"/>
        <v>0.49218117729185284</v>
      </c>
      <c r="Y24" s="31">
        <f t="shared" si="78"/>
        <v>0.44965658268552344</v>
      </c>
      <c r="Z24" s="31">
        <f t="shared" si="78"/>
        <v>0.4253739892267196</v>
      </c>
      <c r="AA24" s="32">
        <f t="shared" si="78"/>
        <v>0.40329481861287664</v>
      </c>
      <c r="AB24" s="38">
        <f t="shared" si="78"/>
        <v>0.39693821377102528</v>
      </c>
      <c r="AC24" s="31">
        <f t="shared" si="78"/>
        <v>0.40902692102615357</v>
      </c>
      <c r="AD24" s="31">
        <f t="shared" si="78"/>
        <v>0.40737725509654166</v>
      </c>
      <c r="AE24" s="32">
        <f t="shared" si="78"/>
        <v>0.40836389924409749</v>
      </c>
      <c r="AF24" s="38">
        <f t="shared" si="78"/>
        <v>0.41684218135049517</v>
      </c>
      <c r="AG24" s="31">
        <f t="shared" si="78"/>
        <v>0.42129089045369467</v>
      </c>
      <c r="AH24" s="31">
        <f t="shared" si="78"/>
        <v>0.43359914647991354</v>
      </c>
      <c r="AI24" s="32">
        <f t="shared" si="78"/>
        <v>0.45732535704139349</v>
      </c>
      <c r="AJ24" s="38">
        <f t="shared" si="78"/>
        <v>0.45757837938296059</v>
      </c>
      <c r="AK24" s="31">
        <f t="shared" si="78"/>
        <v>0.4665888171115446</v>
      </c>
      <c r="AL24" s="31">
        <f t="shared" si="78"/>
        <v>0.47959036011889133</v>
      </c>
      <c r="AM24" s="32">
        <f t="shared" si="78"/>
        <v>0.47096327328729498</v>
      </c>
      <c r="AN24" s="38">
        <f t="shared" si="78"/>
        <v>0.45677037020898209</v>
      </c>
      <c r="AO24" s="31">
        <f t="shared" si="78"/>
        <v>0.4724963323486846</v>
      </c>
      <c r="AP24" s="31">
        <f t="shared" ref="AP24:AU24" si="79">AP23/AP12</f>
        <v>0.49932132479118924</v>
      </c>
      <c r="AQ24" s="32">
        <f t="shared" si="79"/>
        <v>0.51196620549096372</v>
      </c>
      <c r="AR24" s="38">
        <f t="shared" si="79"/>
        <v>0.5146372529572053</v>
      </c>
      <c r="AS24" s="31">
        <f t="shared" si="79"/>
        <v>0.49588526798017774</v>
      </c>
      <c r="AT24" s="31">
        <f>AT23/AT12</f>
        <v>0.49245164148038567</v>
      </c>
      <c r="AU24" s="32">
        <f t="shared" si="79"/>
        <v>0.48423235353115973</v>
      </c>
      <c r="AV24" s="38">
        <f>AV23/AV12</f>
        <v>0.48589511354599274</v>
      </c>
      <c r="AW24" s="31">
        <f t="shared" ref="AW24:AY24" si="80">AW23/AW12</f>
        <v>0.53420868919002606</v>
      </c>
      <c r="AX24" s="31">
        <f t="shared" si="80"/>
        <v>0.54427536339255289</v>
      </c>
      <c r="AY24" s="32">
        <f t="shared" si="80"/>
        <v>0.48430272754715514</v>
      </c>
      <c r="AZ24" s="38">
        <f>AZ23/AZ12</f>
        <v>0.47839215120686651</v>
      </c>
      <c r="BA24" s="31">
        <f t="shared" ref="BA24:BC24" si="81">BA23/BA12</f>
        <v>0.45836712409243874</v>
      </c>
      <c r="BB24" s="492">
        <f t="shared" si="81"/>
        <v>0.43638202872152826</v>
      </c>
      <c r="BC24" s="32">
        <f t="shared" si="81"/>
        <v>0.42681659082954149</v>
      </c>
      <c r="BD24" s="38">
        <f>BD23/BD12</f>
        <v>0.39806105183190033</v>
      </c>
      <c r="BE24" s="492">
        <f t="shared" ref="BE24:BG24" si="82">BE23/BE12</f>
        <v>0.39118974782968169</v>
      </c>
      <c r="BF24" s="562">
        <f t="shared" si="82"/>
        <v>0.3870391463925153</v>
      </c>
      <c r="BG24" s="563">
        <f t="shared" si="82"/>
        <v>0.3801163128911017</v>
      </c>
      <c r="BH24" s="566">
        <f t="shared" ref="BH24:BK24" si="83">BH23/BH12</f>
        <v>0.377</v>
      </c>
      <c r="BI24" s="562">
        <f t="shared" si="83"/>
        <v>0.37450000000000006</v>
      </c>
      <c r="BJ24" s="562">
        <f t="shared" si="83"/>
        <v>0.37200000000000011</v>
      </c>
      <c r="BK24" s="562">
        <f t="shared" si="83"/>
        <v>0.36950000000000016</v>
      </c>
      <c r="BL24" s="566">
        <f t="shared" ref="BL24:BO24" si="84">BL23/BL12</f>
        <v>0.36700000000000021</v>
      </c>
      <c r="BM24" s="562">
        <f t="shared" si="84"/>
        <v>0.36550000000000027</v>
      </c>
      <c r="BN24" s="562">
        <f t="shared" si="84"/>
        <v>0.36400000000000032</v>
      </c>
      <c r="BO24" s="598">
        <f t="shared" si="84"/>
        <v>0.36250000000000038</v>
      </c>
      <c r="BP24" s="347"/>
      <c r="BQ24" s="566">
        <f t="shared" ref="BQ24:CA24" si="85">BQ23/BQ12</f>
        <v>0.47506655343056392</v>
      </c>
      <c r="BR24" s="562">
        <f t="shared" si="85"/>
        <v>0.46893369080134539</v>
      </c>
      <c r="BS24" s="562">
        <f t="shared" si="85"/>
        <v>0.49171617387387029</v>
      </c>
      <c r="BT24" s="562">
        <f t="shared" si="85"/>
        <v>0.51742827305002626</v>
      </c>
      <c r="BU24" s="562">
        <f t="shared" si="85"/>
        <v>0.48350907945365018</v>
      </c>
      <c r="BV24" s="562">
        <f t="shared" si="85"/>
        <v>0.43669611320635099</v>
      </c>
      <c r="BW24" s="562">
        <f t="shared" si="85"/>
        <v>0.40555990999733377</v>
      </c>
      <c r="BX24" s="562">
        <f t="shared" si="85"/>
        <v>0.43157404569353736</v>
      </c>
      <c r="BY24" s="562">
        <f t="shared" si="85"/>
        <v>0.46859873194408946</v>
      </c>
      <c r="BZ24" s="562">
        <f t="shared" si="85"/>
        <v>0.48724415462342846</v>
      </c>
      <c r="CA24" s="562">
        <f t="shared" si="85"/>
        <v>0.49717356229344623</v>
      </c>
      <c r="CB24" s="562">
        <f t="shared" ref="CB24:CG24" si="86">CB23/CB12</f>
        <v>0.5125825987553142</v>
      </c>
      <c r="CC24" s="562">
        <f t="shared" si="86"/>
        <v>0.44934702521637671</v>
      </c>
      <c r="CD24" s="562">
        <f t="shared" si="86"/>
        <v>0.3889572167387455</v>
      </c>
      <c r="CE24" s="562">
        <f t="shared" si="86"/>
        <v>0.3731936153178505</v>
      </c>
      <c r="CF24" s="562">
        <f t="shared" si="86"/>
        <v>0.36469773801971717</v>
      </c>
      <c r="CG24" s="598">
        <f t="shared" si="86"/>
        <v>0.36169773801971705</v>
      </c>
      <c r="CH24" s="336"/>
    </row>
    <row r="25" spans="2:86" ht="9" customHeight="1" collapsed="1">
      <c r="B25" s="16"/>
      <c r="C25" s="17"/>
      <c r="D25" s="35"/>
      <c r="E25" s="36"/>
      <c r="F25" s="36"/>
      <c r="G25" s="37"/>
      <c r="H25" s="35"/>
      <c r="I25" s="36"/>
      <c r="J25" s="36"/>
      <c r="K25" s="37"/>
      <c r="L25" s="35"/>
      <c r="M25" s="36"/>
      <c r="N25" s="36"/>
      <c r="O25" s="37"/>
      <c r="P25" s="35"/>
      <c r="Q25" s="36"/>
      <c r="R25" s="36"/>
      <c r="S25" s="37"/>
      <c r="T25" s="35"/>
      <c r="U25" s="36"/>
      <c r="V25" s="36"/>
      <c r="W25" s="37"/>
      <c r="X25" s="35"/>
      <c r="Y25" s="36"/>
      <c r="Z25" s="36"/>
      <c r="AA25" s="37"/>
      <c r="AB25" s="35"/>
      <c r="AC25" s="36"/>
      <c r="AD25" s="36"/>
      <c r="AE25" s="37"/>
      <c r="AF25" s="35"/>
      <c r="AG25" s="36"/>
      <c r="AH25" s="36"/>
      <c r="AI25" s="37"/>
      <c r="AJ25" s="35"/>
      <c r="AK25" s="36"/>
      <c r="AL25" s="36"/>
      <c r="AM25" s="37"/>
      <c r="AN25" s="35"/>
      <c r="AO25" s="36"/>
      <c r="AP25" s="36"/>
      <c r="AQ25" s="37"/>
      <c r="AR25" s="35"/>
      <c r="AS25" s="36"/>
      <c r="AT25" s="36"/>
      <c r="AU25" s="37"/>
      <c r="AV25" s="35"/>
      <c r="AW25" s="36"/>
      <c r="AX25" s="36"/>
      <c r="AY25" s="37"/>
      <c r="AZ25" s="35"/>
      <c r="BA25" s="36"/>
      <c r="BB25" s="36"/>
      <c r="BC25" s="37"/>
      <c r="BD25" s="35"/>
      <c r="BE25" s="36"/>
      <c r="BF25" s="36"/>
      <c r="BG25" s="37"/>
      <c r="BH25" s="35"/>
      <c r="BI25" s="36"/>
      <c r="BJ25" s="36"/>
      <c r="BK25" s="36"/>
      <c r="BL25" s="35"/>
      <c r="BM25" s="36"/>
      <c r="BN25" s="36"/>
      <c r="BO25" s="599"/>
      <c r="BP25" s="347"/>
      <c r="BQ25" s="683"/>
      <c r="BR25" s="338"/>
      <c r="BS25" s="338"/>
      <c r="BT25" s="338"/>
      <c r="BU25" s="338"/>
      <c r="BV25" s="338"/>
      <c r="BW25" s="338"/>
      <c r="BX25" s="338"/>
      <c r="BY25" s="338"/>
      <c r="BZ25" s="338"/>
      <c r="CA25" s="338"/>
      <c r="CB25" s="338"/>
      <c r="CC25" s="338"/>
      <c r="CD25" s="338"/>
      <c r="CE25" s="338"/>
      <c r="CF25" s="338"/>
      <c r="CG25" s="599"/>
      <c r="CH25" s="336"/>
    </row>
    <row r="26" spans="2:86" ht="15">
      <c r="B26" s="39" t="s">
        <v>87</v>
      </c>
      <c r="C26" s="40"/>
      <c r="D26" s="41">
        <f t="shared" ref="D26:O26" si="87">D10-D16</f>
        <v>141.74099999999999</v>
      </c>
      <c r="E26" s="42">
        <f t="shared" si="87"/>
        <v>156.249</v>
      </c>
      <c r="F26" s="42">
        <f t="shared" si="87"/>
        <v>167.32300000000004</v>
      </c>
      <c r="G26" s="43">
        <f t="shared" si="87"/>
        <v>177.50999999999988</v>
      </c>
      <c r="H26" s="41">
        <f t="shared" si="87"/>
        <v>188.98499999999999</v>
      </c>
      <c r="I26" s="42">
        <f t="shared" si="87"/>
        <v>205.00300000000001</v>
      </c>
      <c r="J26" s="42">
        <f t="shared" si="87"/>
        <v>228.446</v>
      </c>
      <c r="K26" s="43">
        <f t="shared" si="87"/>
        <v>264.58800000000008</v>
      </c>
      <c r="L26" s="41">
        <f t="shared" si="87"/>
        <v>280.96300000000002</v>
      </c>
      <c r="M26" s="42">
        <f t="shared" si="87"/>
        <v>294.91000000000003</v>
      </c>
      <c r="N26" s="42">
        <f t="shared" si="87"/>
        <v>264.30800000000005</v>
      </c>
      <c r="O26" s="43">
        <f t="shared" si="87"/>
        <v>297.13099999999957</v>
      </c>
      <c r="P26" s="41">
        <f t="shared" ref="P26:W26" si="88">P10-P16</f>
        <v>307.63299999999998</v>
      </c>
      <c r="Q26" s="42">
        <f t="shared" si="88"/>
        <v>321.18100000000004</v>
      </c>
      <c r="R26" s="42">
        <f t="shared" si="88"/>
        <v>362.03699999999998</v>
      </c>
      <c r="S26" s="43">
        <f t="shared" si="88"/>
        <v>406.04600000000016</v>
      </c>
      <c r="T26" s="41">
        <f t="shared" si="88"/>
        <v>415.23300000000006</v>
      </c>
      <c r="U26" s="42">
        <f t="shared" si="88"/>
        <v>436.66200000000003</v>
      </c>
      <c r="V26" s="42">
        <f t="shared" si="88"/>
        <v>411.90900000000005</v>
      </c>
      <c r="W26" s="43">
        <f t="shared" si="88"/>
        <v>260.13499999999965</v>
      </c>
      <c r="X26" s="41">
        <f t="shared" ref="X26:AD26" si="89">X10-X16</f>
        <v>263.80399999999997</v>
      </c>
      <c r="Y26" s="42">
        <f t="shared" si="89"/>
        <v>352.56099999999998</v>
      </c>
      <c r="Z26" s="42">
        <f t="shared" si="89"/>
        <v>461.48099999999994</v>
      </c>
      <c r="AA26" s="43">
        <f t="shared" si="89"/>
        <v>502.74499999999995</v>
      </c>
      <c r="AB26" s="41">
        <f t="shared" si="89"/>
        <v>511.59399999999994</v>
      </c>
      <c r="AC26" s="42">
        <f t="shared" si="89"/>
        <v>529.79200000000003</v>
      </c>
      <c r="AD26" s="42">
        <f t="shared" si="89"/>
        <v>568.51900000000001</v>
      </c>
      <c r="AE26" s="43">
        <f t="shared" ref="AE26:AJ26" si="90">AE10-AE16</f>
        <v>528.71400000000006</v>
      </c>
      <c r="AF26" s="41">
        <f t="shared" si="90"/>
        <v>467.92700000000002</v>
      </c>
      <c r="AG26" s="42">
        <f t="shared" si="90"/>
        <v>519.40300000000002</v>
      </c>
      <c r="AH26" s="42">
        <f t="shared" si="90"/>
        <v>538.31700000000001</v>
      </c>
      <c r="AI26" s="43">
        <f t="shared" si="90"/>
        <v>401.58800000000002</v>
      </c>
      <c r="AJ26" s="41">
        <f t="shared" si="90"/>
        <v>430.029</v>
      </c>
      <c r="AK26" s="42">
        <f t="shared" ref="AK26:AP26" si="91">AK10-AK16</f>
        <v>434.26500000000004</v>
      </c>
      <c r="AL26" s="42">
        <f t="shared" si="91"/>
        <v>406.37799999999999</v>
      </c>
      <c r="AM26" s="43">
        <f t="shared" si="91"/>
        <v>404.46099999999996</v>
      </c>
      <c r="AN26" s="41">
        <f t="shared" si="91"/>
        <v>398.93100000000004</v>
      </c>
      <c r="AO26" s="42">
        <f t="shared" si="91"/>
        <v>420.99700000000001</v>
      </c>
      <c r="AP26" s="42">
        <f t="shared" si="91"/>
        <v>466.245</v>
      </c>
      <c r="AQ26" s="43">
        <f t="shared" ref="AQ26:AV26" si="92">AQ10-AQ16</f>
        <v>454.49700000000007</v>
      </c>
      <c r="AR26" s="41">
        <f t="shared" si="92"/>
        <v>463.97</v>
      </c>
      <c r="AS26" s="42">
        <f t="shared" si="92"/>
        <v>483.80399999999997</v>
      </c>
      <c r="AT26" s="42">
        <f t="shared" si="92"/>
        <v>475.16199999999998</v>
      </c>
      <c r="AU26" s="43">
        <f t="shared" si="92"/>
        <v>440.32100000000003</v>
      </c>
      <c r="AV26" s="41">
        <f t="shared" si="92"/>
        <v>373.13499999999999</v>
      </c>
      <c r="AW26" s="42">
        <f t="shared" ref="AW26:AZ26" si="93">AW10-AW16</f>
        <v>248.77299999999997</v>
      </c>
      <c r="AX26" s="42">
        <f t="shared" si="93"/>
        <v>295.63599999999997</v>
      </c>
      <c r="AY26" s="43">
        <f t="shared" si="93"/>
        <v>313.548</v>
      </c>
      <c r="AZ26" s="41">
        <f t="shared" si="93"/>
        <v>281.61200000000002</v>
      </c>
      <c r="BA26" s="42">
        <f t="shared" ref="BA26:BD26" si="94">BA10-BA16</f>
        <v>338.79599999999999</v>
      </c>
      <c r="BB26" s="42">
        <f t="shared" si="94"/>
        <v>368.35900000000004</v>
      </c>
      <c r="BC26" s="43">
        <f t="shared" si="94"/>
        <v>327.51699999999994</v>
      </c>
      <c r="BD26" s="41">
        <f t="shared" si="94"/>
        <v>348.63099999999997</v>
      </c>
      <c r="BE26" s="42">
        <f t="shared" ref="BE26:BG26" si="95">BE10-BE16</f>
        <v>365.178</v>
      </c>
      <c r="BF26" s="42">
        <f t="shared" si="95"/>
        <v>377.76900000000001</v>
      </c>
      <c r="BG26" s="43">
        <f t="shared" si="95"/>
        <v>373.48199999999997</v>
      </c>
      <c r="BH26" s="41">
        <f t="shared" ref="BH26:BK26" si="96">BH10*BH27</f>
        <v>374.22450597</v>
      </c>
      <c r="BI26" s="42">
        <f t="shared" si="96"/>
        <v>387.60111596384996</v>
      </c>
      <c r="BJ26" s="42">
        <f t="shared" si="96"/>
        <v>400.6496882464379</v>
      </c>
      <c r="BK26" s="42">
        <f t="shared" si="96"/>
        <v>398.49007065633663</v>
      </c>
      <c r="BL26" s="41">
        <f t="shared" ref="BL26:BO26" si="97">BL10*BL27</f>
        <v>378.20890176153836</v>
      </c>
      <c r="BM26" s="42">
        <f t="shared" si="97"/>
        <v>403.27119512909343</v>
      </c>
      <c r="BN26" s="42">
        <f t="shared" si="97"/>
        <v>417.833220420565</v>
      </c>
      <c r="BO26" s="601">
        <f t="shared" si="97"/>
        <v>413.95250738535412</v>
      </c>
      <c r="BP26" s="347"/>
      <c r="BQ26" s="41">
        <f t="shared" ref="BQ26:BW26" si="98">BQ10-BQ16</f>
        <v>642.82299999999998</v>
      </c>
      <c r="BR26" s="42">
        <f t="shared" si="98"/>
        <v>887.02200000000005</v>
      </c>
      <c r="BS26" s="42">
        <f t="shared" si="98"/>
        <v>1137.3119999999999</v>
      </c>
      <c r="BT26" s="42">
        <f t="shared" si="98"/>
        <v>1396.8970000000004</v>
      </c>
      <c r="BU26" s="42">
        <f t="shared" si="98"/>
        <v>1523.9389999999994</v>
      </c>
      <c r="BV26" s="42">
        <f t="shared" si="98"/>
        <v>1580.5909999999999</v>
      </c>
      <c r="BW26" s="42">
        <f t="shared" si="98"/>
        <v>2138.6190000000001</v>
      </c>
      <c r="BX26" s="42">
        <f t="shared" ref="BX26:CB26" si="99">BX10-BX16</f>
        <v>1927.2349999999999</v>
      </c>
      <c r="BY26" s="42">
        <f t="shared" si="99"/>
        <v>1675.1329999999996</v>
      </c>
      <c r="BZ26" s="42">
        <f t="shared" si="99"/>
        <v>1740.6700000000005</v>
      </c>
      <c r="CA26" s="42">
        <f t="shared" si="99"/>
        <v>1863.2569999999996</v>
      </c>
      <c r="CB26" s="42">
        <f t="shared" si="99"/>
        <v>1231.0919999999996</v>
      </c>
      <c r="CC26" s="42">
        <f t="shared" ref="CC26:CD26" si="100">CC10-CC16</f>
        <v>1316.2840000000003</v>
      </c>
      <c r="CD26" s="42">
        <f t="shared" si="100"/>
        <v>1465.06</v>
      </c>
      <c r="CE26" s="42">
        <f t="shared" ref="CE26:CF26" si="101">CE10-CE16</f>
        <v>1560.9653808366247</v>
      </c>
      <c r="CF26" s="42">
        <f t="shared" si="101"/>
        <v>1613.2658246965511</v>
      </c>
      <c r="CG26" s="601">
        <f>CG10*CG27</f>
        <v>1620.8839267618637</v>
      </c>
      <c r="CH26" s="336"/>
    </row>
    <row r="27" spans="2:86" ht="14.25">
      <c r="B27" s="28" t="s">
        <v>13</v>
      </c>
      <c r="C27" s="29"/>
      <c r="D27" s="38">
        <f t="shared" ref="D27:AR27" si="102">D26/D10</f>
        <v>0.52579040496778284</v>
      </c>
      <c r="E27" s="31">
        <f t="shared" si="102"/>
        <v>0.5258182625843838</v>
      </c>
      <c r="F27" s="31">
        <f t="shared" si="102"/>
        <v>0.52686384346769199</v>
      </c>
      <c r="G27" s="32">
        <f t="shared" si="102"/>
        <v>0.52168009733561382</v>
      </c>
      <c r="H27" s="38">
        <f t="shared" si="102"/>
        <v>0.51809359322312687</v>
      </c>
      <c r="I27" s="31">
        <f t="shared" si="102"/>
        <v>0.52503752042494123</v>
      </c>
      <c r="J27" s="31">
        <f t="shared" si="102"/>
        <v>0.53622548858520369</v>
      </c>
      <c r="K27" s="32">
        <f t="shared" si="102"/>
        <v>0.54106205113943107</v>
      </c>
      <c r="L27" s="38">
        <f t="shared" si="102"/>
        <v>0.5390735922762262</v>
      </c>
      <c r="M27" s="31">
        <f t="shared" si="102"/>
        <v>0.51379391447511702</v>
      </c>
      <c r="N27" s="31">
        <f t="shared" si="102"/>
        <v>0.50789587969208194</v>
      </c>
      <c r="O27" s="32">
        <f t="shared" si="102"/>
        <v>0.47772254145671644</v>
      </c>
      <c r="P27" s="38">
        <f t="shared" si="102"/>
        <v>0.48442327375797184</v>
      </c>
      <c r="Q27" s="31">
        <f t="shared" si="102"/>
        <v>0.48907510305141838</v>
      </c>
      <c r="R27" s="31">
        <f t="shared" si="102"/>
        <v>0.47746641591251388</v>
      </c>
      <c r="S27" s="32">
        <f t="shared" si="102"/>
        <v>0.48070644002623469</v>
      </c>
      <c r="T27" s="38">
        <f t="shared" si="102"/>
        <v>0.51641078257625228</v>
      </c>
      <c r="U27" s="31">
        <f t="shared" si="102"/>
        <v>0.51824704032281999</v>
      </c>
      <c r="V27" s="31">
        <f t="shared" si="102"/>
        <v>0.52071434530988092</v>
      </c>
      <c r="W27" s="32">
        <f t="shared" si="102"/>
        <v>0.5072172707544057</v>
      </c>
      <c r="X27" s="38">
        <f t="shared" si="102"/>
        <v>0.50592021233751538</v>
      </c>
      <c r="Y27" s="31">
        <f t="shared" si="102"/>
        <v>0.55034341731447656</v>
      </c>
      <c r="Z27" s="31">
        <f t="shared" si="102"/>
        <v>0.57462601077328046</v>
      </c>
      <c r="AA27" s="32">
        <f t="shared" si="102"/>
        <v>0.59670518138712336</v>
      </c>
      <c r="AB27" s="38">
        <f t="shared" si="102"/>
        <v>0.59795062758669859</v>
      </c>
      <c r="AC27" s="31">
        <f t="shared" si="102"/>
        <v>0.59097307897384643</v>
      </c>
      <c r="AD27" s="31">
        <f t="shared" si="102"/>
        <v>0.59262274490345834</v>
      </c>
      <c r="AE27" s="32">
        <f t="shared" si="102"/>
        <v>0.58712533855702254</v>
      </c>
      <c r="AF27" s="38">
        <f t="shared" si="102"/>
        <v>0.58315781864950489</v>
      </c>
      <c r="AG27" s="31">
        <f t="shared" si="102"/>
        <v>0.57870910954630539</v>
      </c>
      <c r="AH27" s="31">
        <f t="shared" si="102"/>
        <v>0.5664008535200864</v>
      </c>
      <c r="AI27" s="32">
        <f t="shared" si="102"/>
        <v>0.54071288445821397</v>
      </c>
      <c r="AJ27" s="38">
        <f t="shared" si="102"/>
        <v>0.53999932190704847</v>
      </c>
      <c r="AK27" s="31">
        <f t="shared" si="102"/>
        <v>0.53211968082499295</v>
      </c>
      <c r="AL27" s="31">
        <f t="shared" si="102"/>
        <v>0.52040963988110867</v>
      </c>
      <c r="AM27" s="32">
        <f t="shared" si="102"/>
        <v>0.52168725670519822</v>
      </c>
      <c r="AN27" s="38">
        <f t="shared" si="102"/>
        <v>0.54322962979101785</v>
      </c>
      <c r="AO27" s="31">
        <f t="shared" si="102"/>
        <v>0.52164533811780101</v>
      </c>
      <c r="AP27" s="31">
        <f t="shared" si="102"/>
        <v>0.50067867520881071</v>
      </c>
      <c r="AQ27" s="32">
        <f>AQ26/AQ10</f>
        <v>0.48778909341464283</v>
      </c>
      <c r="AR27" s="38">
        <f t="shared" si="102"/>
        <v>0.4843970224361317</v>
      </c>
      <c r="AS27" s="31">
        <f t="shared" ref="AS27:AX27" si="103">AS26/AS10</f>
        <v>0.50315273856137777</v>
      </c>
      <c r="AT27" s="31">
        <f t="shared" si="103"/>
        <v>0.51085217645591607</v>
      </c>
      <c r="AU27" s="32">
        <f t="shared" si="103"/>
        <v>0.5135226228406955</v>
      </c>
      <c r="AV27" s="38">
        <f t="shared" si="103"/>
        <v>0.51517490280109568</v>
      </c>
      <c r="AW27" s="31">
        <f t="shared" si="103"/>
        <v>0.35014187351863213</v>
      </c>
      <c r="AX27" s="31">
        <f t="shared" si="103"/>
        <v>0.4380506452903436</v>
      </c>
      <c r="AY27" s="32">
        <f t="shared" ref="AY27:BB27" si="104">AY26/AY10</f>
        <v>0.508875970124546</v>
      </c>
      <c r="AZ27" s="38">
        <f t="shared" si="104"/>
        <v>0.52071106574806503</v>
      </c>
      <c r="BA27" s="31">
        <f t="shared" si="104"/>
        <v>0.54085861520679945</v>
      </c>
      <c r="BB27" s="492">
        <f t="shared" si="104"/>
        <v>0.56287685927429099</v>
      </c>
      <c r="BC27" s="32">
        <f t="shared" ref="BC27:BF27" si="105">BC26/BC10</f>
        <v>0.5731834091704584</v>
      </c>
      <c r="BD27" s="38">
        <f t="shared" si="105"/>
        <v>0.60193894816809979</v>
      </c>
      <c r="BE27" s="492">
        <f t="shared" si="105"/>
        <v>0.60384952459694086</v>
      </c>
      <c r="BF27" s="562">
        <f t="shared" si="105"/>
        <v>0.61296085360748465</v>
      </c>
      <c r="BG27" s="563">
        <f t="shared" ref="BG27" si="106">BG26/BG10</f>
        <v>0.60688420221348727</v>
      </c>
      <c r="BH27" s="561">
        <v>0.623</v>
      </c>
      <c r="BI27" s="564">
        <f>BH27+0.25%</f>
        <v>0.62549999999999994</v>
      </c>
      <c r="BJ27" s="564">
        <f>BI27+0.25%</f>
        <v>0.62799999999999989</v>
      </c>
      <c r="BK27" s="564">
        <f>BJ27+0.25%</f>
        <v>0.63049999999999984</v>
      </c>
      <c r="BL27" s="561">
        <f>BK27+0.25%</f>
        <v>0.63299999999999979</v>
      </c>
      <c r="BM27" s="564">
        <f t="shared" ref="BM27:BO27" si="107">BL27+0.15%</f>
        <v>0.63449999999999973</v>
      </c>
      <c r="BN27" s="564">
        <f t="shared" si="107"/>
        <v>0.63599999999999968</v>
      </c>
      <c r="BO27" s="604">
        <f t="shared" si="107"/>
        <v>0.63749999999999962</v>
      </c>
      <c r="BP27" s="1"/>
      <c r="BQ27" s="566">
        <f t="shared" ref="BQ27:CB27" si="108">BQ26/BQ10</f>
        <v>0.52493344656943608</v>
      </c>
      <c r="BR27" s="562">
        <f t="shared" si="108"/>
        <v>0.53106630919865461</v>
      </c>
      <c r="BS27" s="562">
        <f t="shared" si="108"/>
        <v>0.50828382612612977</v>
      </c>
      <c r="BT27" s="562">
        <f t="shared" si="108"/>
        <v>0.48257172694997374</v>
      </c>
      <c r="BU27" s="562">
        <f t="shared" si="108"/>
        <v>0.51649092054634982</v>
      </c>
      <c r="BV27" s="562">
        <f t="shared" si="108"/>
        <v>0.56295128338735767</v>
      </c>
      <c r="BW27" s="562">
        <f t="shared" si="108"/>
        <v>0.59210474950393055</v>
      </c>
      <c r="BX27" s="562">
        <f t="shared" si="108"/>
        <v>0.56799654587036996</v>
      </c>
      <c r="BY27" s="562">
        <f t="shared" si="108"/>
        <v>0.52866159823014991</v>
      </c>
      <c r="BZ27" s="562">
        <f t="shared" si="108"/>
        <v>0.51130008224650458</v>
      </c>
      <c r="CA27" s="562">
        <f t="shared" si="108"/>
        <v>0.50263706435699518</v>
      </c>
      <c r="CB27" s="562">
        <f t="shared" si="108"/>
        <v>0.45163964857650579</v>
      </c>
      <c r="CC27" s="562">
        <f t="shared" ref="CC27:CD27" si="109">CC26/CC10</f>
        <v>0.5500449635778305</v>
      </c>
      <c r="CD27" s="562">
        <f t="shared" si="109"/>
        <v>0.60648912648858</v>
      </c>
      <c r="CE27" s="562">
        <f t="shared" ref="CE27:CF27" si="110">CE26/CE10</f>
        <v>0.62680638468214944</v>
      </c>
      <c r="CF27" s="562">
        <f t="shared" si="110"/>
        <v>0.63530226198028295</v>
      </c>
      <c r="CG27" s="697">
        <f>CF27+0.3%</f>
        <v>0.63830226198028295</v>
      </c>
      <c r="CH27" s="336"/>
    </row>
    <row r="28" spans="2:86" ht="15">
      <c r="B28" s="39" t="s">
        <v>88</v>
      </c>
      <c r="C28" s="40"/>
      <c r="D28" s="41">
        <f t="shared" ref="D28:AD28" si="111">D12-D21</f>
        <v>141.74099999999999</v>
      </c>
      <c r="E28" s="42">
        <f t="shared" si="111"/>
        <v>156.249</v>
      </c>
      <c r="F28" s="42">
        <f t="shared" si="111"/>
        <v>167.32300000000004</v>
      </c>
      <c r="G28" s="43">
        <f t="shared" si="111"/>
        <v>177.50999999999988</v>
      </c>
      <c r="H28" s="41">
        <f t="shared" si="111"/>
        <v>189.52599999999998</v>
      </c>
      <c r="I28" s="42">
        <f t="shared" si="111"/>
        <v>206.80800000000002</v>
      </c>
      <c r="J28" s="42">
        <f t="shared" si="111"/>
        <v>228.94899999999998</v>
      </c>
      <c r="K28" s="43">
        <f t="shared" si="111"/>
        <v>268.35100000000011</v>
      </c>
      <c r="L28" s="41">
        <f t="shared" si="111"/>
        <v>283.39700000000005</v>
      </c>
      <c r="M28" s="42">
        <f t="shared" si="111"/>
        <v>298.37100000000004</v>
      </c>
      <c r="N28" s="42">
        <f t="shared" si="111"/>
        <v>266.91000000000008</v>
      </c>
      <c r="O28" s="43">
        <f t="shared" si="111"/>
        <v>299.97299999999956</v>
      </c>
      <c r="P28" s="41">
        <f t="shared" si="111"/>
        <v>310.65099999999995</v>
      </c>
      <c r="Q28" s="42">
        <f t="shared" si="111"/>
        <v>324.45600000000002</v>
      </c>
      <c r="R28" s="42">
        <f t="shared" si="111"/>
        <v>366.363</v>
      </c>
      <c r="S28" s="43">
        <f t="shared" si="111"/>
        <v>410.95700000000016</v>
      </c>
      <c r="T28" s="41">
        <f t="shared" si="111"/>
        <v>418.30600000000004</v>
      </c>
      <c r="U28" s="42">
        <f t="shared" si="111"/>
        <v>440.41700000000003</v>
      </c>
      <c r="V28" s="42">
        <f t="shared" si="111"/>
        <v>413.70400000000006</v>
      </c>
      <c r="W28" s="43">
        <f t="shared" si="111"/>
        <v>263.15599999999961</v>
      </c>
      <c r="X28" s="41">
        <f t="shared" si="111"/>
        <v>268.90999999999997</v>
      </c>
      <c r="Y28" s="42">
        <f t="shared" si="111"/>
        <v>354.37099999999998</v>
      </c>
      <c r="Z28" s="42">
        <f t="shared" si="111"/>
        <v>463.86999999999995</v>
      </c>
      <c r="AA28" s="43">
        <f t="shared" si="111"/>
        <v>505.11999999999995</v>
      </c>
      <c r="AB28" s="41">
        <f t="shared" si="111"/>
        <v>518.20299999999997</v>
      </c>
      <c r="AC28" s="42">
        <f t="shared" si="111"/>
        <v>531.48400000000004</v>
      </c>
      <c r="AD28" s="42">
        <f t="shared" si="111"/>
        <v>570.33699999999999</v>
      </c>
      <c r="AE28" s="43">
        <f t="shared" ref="AE28:AJ28" si="112">AE12-AE21</f>
        <v>534.55200000000013</v>
      </c>
      <c r="AF28" s="41">
        <f t="shared" si="112"/>
        <v>469.62200000000001</v>
      </c>
      <c r="AG28" s="42">
        <f t="shared" si="112"/>
        <v>521.31899999999996</v>
      </c>
      <c r="AH28" s="42">
        <f t="shared" si="112"/>
        <v>540.25700000000006</v>
      </c>
      <c r="AI28" s="43">
        <f t="shared" si="112"/>
        <v>404.48900000000003</v>
      </c>
      <c r="AJ28" s="41">
        <f t="shared" si="112"/>
        <v>434.08099999999996</v>
      </c>
      <c r="AK28" s="42">
        <f t="shared" ref="AK28:AU28" si="113">AK12-AK21</f>
        <v>437.09399999999999</v>
      </c>
      <c r="AL28" s="42">
        <f t="shared" si="113"/>
        <v>408.322</v>
      </c>
      <c r="AM28" s="43">
        <f t="shared" si="113"/>
        <v>412.45899999999995</v>
      </c>
      <c r="AN28" s="41">
        <f t="shared" si="113"/>
        <v>400.79800000000006</v>
      </c>
      <c r="AO28" s="42">
        <f t="shared" si="113"/>
        <v>427.59300000000002</v>
      </c>
      <c r="AP28" s="42">
        <f t="shared" si="113"/>
        <v>468.77600000000001</v>
      </c>
      <c r="AQ28" s="43">
        <f t="shared" si="113"/>
        <v>457.32200000000006</v>
      </c>
      <c r="AR28" s="41">
        <f t="shared" si="113"/>
        <v>467.19400000000002</v>
      </c>
      <c r="AS28" s="42">
        <f t="shared" si="113"/>
        <v>486.46199999999999</v>
      </c>
      <c r="AT28" s="42">
        <f>AT12-AT21</f>
        <v>474.02300000000002</v>
      </c>
      <c r="AU28" s="43">
        <f t="shared" si="113"/>
        <v>444.25200000000001</v>
      </c>
      <c r="AV28" s="41">
        <f>AV12-AV21</f>
        <v>373.90700000000004</v>
      </c>
      <c r="AW28" s="42">
        <f t="shared" ref="AW28:AY28" si="114">AW12-AW21</f>
        <v>332.95299999999997</v>
      </c>
      <c r="AX28" s="42">
        <f t="shared" si="114"/>
        <v>310.05899999999997</v>
      </c>
      <c r="AY28" s="43">
        <f t="shared" si="114"/>
        <v>319.61199999999997</v>
      </c>
      <c r="AZ28" s="41">
        <f>AZ12-AZ21</f>
        <v>283.89900000000006</v>
      </c>
      <c r="BA28" s="42">
        <f t="shared" ref="BA28:BC28" si="115">BA12-BA21</f>
        <v>342.113</v>
      </c>
      <c r="BB28" s="42">
        <f t="shared" si="115"/>
        <v>371.06900000000007</v>
      </c>
      <c r="BC28" s="43">
        <f t="shared" si="115"/>
        <v>329.15799999999996</v>
      </c>
      <c r="BD28" s="41">
        <f>BD12-BD21</f>
        <v>350.0569999999999</v>
      </c>
      <c r="BE28" s="42">
        <f t="shared" ref="BE28:BG28" si="116">BE12-BE21</f>
        <v>369.988</v>
      </c>
      <c r="BF28" s="42">
        <f t="shared" si="116"/>
        <v>379.51600000000008</v>
      </c>
      <c r="BG28" s="43">
        <f t="shared" si="116"/>
        <v>383.14400000000001</v>
      </c>
      <c r="BH28" s="41">
        <f t="shared" ref="BH28:BK28" si="117">BH12-BH21</f>
        <v>375.90312596999996</v>
      </c>
      <c r="BI28" s="42">
        <f t="shared" si="117"/>
        <v>389.29652216385</v>
      </c>
      <c r="BJ28" s="42">
        <f t="shared" si="117"/>
        <v>402.36204850843797</v>
      </c>
      <c r="BK28" s="42">
        <f t="shared" si="117"/>
        <v>400.21955452095665</v>
      </c>
      <c r="BL28" s="41">
        <f t="shared" ref="BL28:BO28" si="118">BL12-BL21</f>
        <v>379.95568046480457</v>
      </c>
      <c r="BM28" s="42">
        <f t="shared" si="118"/>
        <v>405.03544161939226</v>
      </c>
      <c r="BN28" s="42">
        <f t="shared" si="118"/>
        <v>419.61510937576691</v>
      </c>
      <c r="BO28" s="601">
        <f t="shared" si="118"/>
        <v>415.75221523010794</v>
      </c>
      <c r="BP28" s="347"/>
      <c r="BQ28" s="41">
        <f t="shared" ref="BQ28:BW28" si="119">BQ12-BQ21</f>
        <v>642.82299999999998</v>
      </c>
      <c r="BR28" s="42">
        <f t="shared" si="119"/>
        <v>893.63400000000001</v>
      </c>
      <c r="BS28" s="42">
        <f t="shared" si="119"/>
        <v>1148.6509999999998</v>
      </c>
      <c r="BT28" s="42">
        <f t="shared" si="119"/>
        <v>1412.4270000000004</v>
      </c>
      <c r="BU28" s="42">
        <f t="shared" si="119"/>
        <v>1535.5829999999994</v>
      </c>
      <c r="BV28" s="42">
        <f t="shared" si="119"/>
        <v>1592.271</v>
      </c>
      <c r="BW28" s="42">
        <f t="shared" si="119"/>
        <v>2154.576</v>
      </c>
      <c r="BX28" s="42">
        <f t="shared" ref="BX28:CA28" si="120">BX12-BX21</f>
        <v>1935.6869999999999</v>
      </c>
      <c r="BY28" s="42">
        <f t="shared" si="120"/>
        <v>1691.9559999999997</v>
      </c>
      <c r="BZ28" s="42">
        <f t="shared" si="120"/>
        <v>1754.4890000000005</v>
      </c>
      <c r="CA28" s="42">
        <f t="shared" si="120"/>
        <v>1871.9309999999996</v>
      </c>
      <c r="CB28" s="42">
        <f>CB12-CB21</f>
        <v>1336.5309999999995</v>
      </c>
      <c r="CC28" s="42">
        <f>CC12-CC21</f>
        <v>1326.2390000000003</v>
      </c>
      <c r="CD28" s="42">
        <f>CD12-CD21</f>
        <v>1482.7049999999999</v>
      </c>
      <c r="CE28" s="42">
        <f>CE12-CE21</f>
        <v>1567.7812511632446</v>
      </c>
      <c r="CF28" s="42">
        <f>CF12-CF21</f>
        <v>1620.3584466900718</v>
      </c>
      <c r="CG28" s="601">
        <f t="shared" ref="CG28" si="121">CG12-CG21</f>
        <v>1627.76795579175</v>
      </c>
      <c r="CH28" s="336"/>
    </row>
    <row r="29" spans="2:86" ht="14.25">
      <c r="B29" s="28" t="s">
        <v>14</v>
      </c>
      <c r="C29" s="29"/>
      <c r="D29" s="38">
        <f t="shared" ref="D29:AO29" si="122">D28/D12</f>
        <v>0.52579040496778284</v>
      </c>
      <c r="E29" s="31">
        <f t="shared" si="122"/>
        <v>0.5258182625843838</v>
      </c>
      <c r="F29" s="31">
        <f t="shared" si="122"/>
        <v>0.52686384346769199</v>
      </c>
      <c r="G29" s="32">
        <f t="shared" si="122"/>
        <v>0.52168009733561382</v>
      </c>
      <c r="H29" s="38">
        <f t="shared" si="122"/>
        <v>0.51957671957671958</v>
      </c>
      <c r="I29" s="31">
        <f t="shared" si="122"/>
        <v>0.52966034411223861</v>
      </c>
      <c r="J29" s="31">
        <f t="shared" si="122"/>
        <v>0.53740616769868499</v>
      </c>
      <c r="K29" s="32">
        <f t="shared" si="122"/>
        <v>0.54875709588234345</v>
      </c>
      <c r="L29" s="38">
        <f t="shared" si="122"/>
        <v>0.54374362044221369</v>
      </c>
      <c r="M29" s="31">
        <f t="shared" si="122"/>
        <v>0.51982368877235474</v>
      </c>
      <c r="N29" s="31">
        <f t="shared" si="122"/>
        <v>0.51289589890814347</v>
      </c>
      <c r="O29" s="32">
        <f t="shared" si="122"/>
        <v>0.48229186429014681</v>
      </c>
      <c r="P29" s="38">
        <f t="shared" si="122"/>
        <v>0.48917565546019992</v>
      </c>
      <c r="Q29" s="31">
        <f t="shared" si="122"/>
        <v>0.49406207601212709</v>
      </c>
      <c r="R29" s="31">
        <f t="shared" si="122"/>
        <v>0.48317168834388841</v>
      </c>
      <c r="S29" s="32">
        <f t="shared" si="122"/>
        <v>0.48652043481246299</v>
      </c>
      <c r="T29" s="38">
        <f t="shared" si="122"/>
        <v>0.52023256537014584</v>
      </c>
      <c r="U29" s="31">
        <f t="shared" si="122"/>
        <v>0.52270361688870426</v>
      </c>
      <c r="V29" s="31">
        <f t="shared" si="122"/>
        <v>0.52298349274252076</v>
      </c>
      <c r="W29" s="32">
        <f t="shared" si="122"/>
        <v>0.51310768678819219</v>
      </c>
      <c r="X29" s="38">
        <f t="shared" si="122"/>
        <v>0.51571243915816767</v>
      </c>
      <c r="Y29" s="31">
        <f t="shared" si="122"/>
        <v>0.55316880521994316</v>
      </c>
      <c r="Z29" s="31">
        <f t="shared" si="122"/>
        <v>0.57760074112997417</v>
      </c>
      <c r="AA29" s="32">
        <f t="shared" si="122"/>
        <v>0.59952405538048859</v>
      </c>
      <c r="AB29" s="38">
        <f t="shared" si="122"/>
        <v>0.60567522110757743</v>
      </c>
      <c r="AC29" s="31">
        <f t="shared" si="122"/>
        <v>0.59286047336565251</v>
      </c>
      <c r="AD29" s="31">
        <f t="shared" si="122"/>
        <v>0.59451782343246884</v>
      </c>
      <c r="AE29" s="32">
        <f t="shared" si="122"/>
        <v>0.59360830993000668</v>
      </c>
      <c r="AF29" s="38">
        <f t="shared" si="122"/>
        <v>0.58527022614599666</v>
      </c>
      <c r="AG29" s="31">
        <f t="shared" si="122"/>
        <v>0.58084388091630268</v>
      </c>
      <c r="AH29" s="31">
        <f t="shared" si="122"/>
        <v>0.56844206279980269</v>
      </c>
      <c r="AI29" s="32">
        <f t="shared" si="122"/>
        <v>0.54461889777986028</v>
      </c>
      <c r="AJ29" s="38">
        <f t="shared" si="122"/>
        <v>0.54508753049848613</v>
      </c>
      <c r="AK29" s="31">
        <f t="shared" si="122"/>
        <v>0.53558615078470384</v>
      </c>
      <c r="AL29" s="31">
        <f t="shared" si="122"/>
        <v>0.52289913571978319</v>
      </c>
      <c r="AM29" s="32">
        <f t="shared" si="122"/>
        <v>0.5320033432478517</v>
      </c>
      <c r="AN29" s="38">
        <f t="shared" si="122"/>
        <v>0.54577194843464261</v>
      </c>
      <c r="AO29" s="31">
        <f t="shared" si="122"/>
        <v>0.5298182530084653</v>
      </c>
      <c r="AP29" s="31">
        <f t="shared" ref="AP29:AU29" si="123">AP28/AP12</f>
        <v>0.50339659760358924</v>
      </c>
      <c r="AQ29" s="32">
        <f t="shared" si="123"/>
        <v>0.49082102583421078</v>
      </c>
      <c r="AR29" s="38">
        <f t="shared" si="123"/>
        <v>0.48776296420032783</v>
      </c>
      <c r="AS29" s="31">
        <f t="shared" si="123"/>
        <v>0.50591703976412961</v>
      </c>
      <c r="AT29" s="31">
        <f>AT28/AT12</f>
        <v>0.50962762434740727</v>
      </c>
      <c r="AU29" s="32">
        <f t="shared" si="123"/>
        <v>0.51810713602627323</v>
      </c>
      <c r="AV29" s="38">
        <f>AV28/AV12</f>
        <v>0.51624077714942129</v>
      </c>
      <c r="AW29" s="31">
        <f t="shared" ref="AW29:AY29" si="124">AW28/AW12</f>
        <v>0.46862315128108406</v>
      </c>
      <c r="AX29" s="31">
        <f t="shared" si="124"/>
        <v>0.45942153536131808</v>
      </c>
      <c r="AY29" s="32">
        <f t="shared" si="124"/>
        <v>0.51871760165412106</v>
      </c>
      <c r="AZ29" s="38">
        <f>AZ28/AZ12</f>
        <v>0.52493981383893418</v>
      </c>
      <c r="BA29" s="31">
        <f t="shared" ref="BA29:BC29" si="125">BA28/BA12</f>
        <v>0.5461539198344838</v>
      </c>
      <c r="BB29" s="492">
        <f t="shared" si="125"/>
        <v>0.56701791810177538</v>
      </c>
      <c r="BC29" s="32">
        <f t="shared" si="125"/>
        <v>0.57605530276513817</v>
      </c>
      <c r="BD29" s="38">
        <f>BD28/BD12</f>
        <v>0.60440104976000542</v>
      </c>
      <c r="BE29" s="492">
        <f t="shared" ref="BE29:BG29" si="126">BE28/BE12</f>
        <v>0.61180322447292268</v>
      </c>
      <c r="BF29" s="562">
        <f t="shared" si="126"/>
        <v>0.61579550285412032</v>
      </c>
      <c r="BG29" s="563">
        <f t="shared" si="126"/>
        <v>0.62258433009591996</v>
      </c>
      <c r="BH29" s="566">
        <f t="shared" ref="BH29:BK29" si="127">BH28/BH12</f>
        <v>0.62579452639609823</v>
      </c>
      <c r="BI29" s="562">
        <f t="shared" si="127"/>
        <v>0.62823599980604516</v>
      </c>
      <c r="BJ29" s="562">
        <f t="shared" si="127"/>
        <v>0.63068404612828388</v>
      </c>
      <c r="BK29" s="562">
        <f t="shared" si="127"/>
        <v>0.63323642847573802</v>
      </c>
      <c r="BL29" s="566">
        <f t="shared" ref="BL29:BO29" si="128">BL28/BL12</f>
        <v>0.63592354546394203</v>
      </c>
      <c r="BM29" s="562">
        <f t="shared" si="128"/>
        <v>0.63727583524837705</v>
      </c>
      <c r="BN29" s="562">
        <f t="shared" si="128"/>
        <v>0.63871228164760951</v>
      </c>
      <c r="BO29" s="598">
        <f t="shared" si="128"/>
        <v>0.64027160720266485</v>
      </c>
      <c r="BP29" s="347"/>
      <c r="BQ29" s="566">
        <f t="shared" ref="BQ29:CA29" si="129">BQ28/BQ12</f>
        <v>0.52493344656943608</v>
      </c>
      <c r="BR29" s="562">
        <f t="shared" si="129"/>
        <v>0.53502496009617628</v>
      </c>
      <c r="BS29" s="562">
        <f t="shared" si="129"/>
        <v>0.51335141558658048</v>
      </c>
      <c r="BT29" s="562">
        <f t="shared" si="129"/>
        <v>0.48793671729610022</v>
      </c>
      <c r="BU29" s="562">
        <f t="shared" si="129"/>
        <v>0.52043728603659689</v>
      </c>
      <c r="BV29" s="562">
        <f t="shared" si="129"/>
        <v>0.56711129125148207</v>
      </c>
      <c r="BW29" s="562">
        <f t="shared" si="129"/>
        <v>0.59652265446401653</v>
      </c>
      <c r="BX29" s="562">
        <f t="shared" si="129"/>
        <v>0.57048752740904907</v>
      </c>
      <c r="BY29" s="562">
        <f t="shared" si="129"/>
        <v>0.5339708328204934</v>
      </c>
      <c r="BZ29" s="562">
        <f t="shared" si="129"/>
        <v>0.51535924098225827</v>
      </c>
      <c r="CA29" s="562">
        <f t="shared" si="129"/>
        <v>0.50497698520325118</v>
      </c>
      <c r="CB29" s="562">
        <f t="shared" ref="CB29:CG29" si="130">CB28/CB12</f>
        <v>0.49032110610060486</v>
      </c>
      <c r="CC29" s="562">
        <f t="shared" si="130"/>
        <v>0.55420493028138185</v>
      </c>
      <c r="CD29" s="562">
        <f t="shared" si="130"/>
        <v>0.61379360592074728</v>
      </c>
      <c r="CE29" s="562">
        <f t="shared" si="130"/>
        <v>0.62954330062553909</v>
      </c>
      <c r="CF29" s="562">
        <f t="shared" si="130"/>
        <v>0.63809532852075979</v>
      </c>
      <c r="CG29" s="598">
        <f t="shared" si="130"/>
        <v>0.64101318484697623</v>
      </c>
      <c r="CH29" s="336"/>
    </row>
    <row r="30" spans="2:86" ht="15" hidden="1" outlineLevel="1">
      <c r="B30" s="39" t="s">
        <v>89</v>
      </c>
      <c r="C30" s="40"/>
      <c r="D30" s="41">
        <f t="shared" ref="D30:O30" si="131">D12-D23</f>
        <v>141.74099999999999</v>
      </c>
      <c r="E30" s="42">
        <f t="shared" si="131"/>
        <v>156.249</v>
      </c>
      <c r="F30" s="42">
        <f t="shared" si="131"/>
        <v>167.32300000000004</v>
      </c>
      <c r="G30" s="43">
        <f t="shared" si="131"/>
        <v>177.50999999999988</v>
      </c>
      <c r="H30" s="41">
        <f t="shared" si="131"/>
        <v>188.98499999999999</v>
      </c>
      <c r="I30" s="42">
        <f t="shared" si="131"/>
        <v>205.00300000000001</v>
      </c>
      <c r="J30" s="42">
        <f t="shared" si="131"/>
        <v>228.446</v>
      </c>
      <c r="K30" s="43">
        <f t="shared" si="131"/>
        <v>264.58800000000008</v>
      </c>
      <c r="L30" s="41">
        <f t="shared" si="131"/>
        <v>280.96300000000002</v>
      </c>
      <c r="M30" s="42">
        <f t="shared" si="131"/>
        <v>294.91000000000003</v>
      </c>
      <c r="N30" s="42">
        <f t="shared" si="131"/>
        <v>264.30800000000005</v>
      </c>
      <c r="O30" s="43">
        <f t="shared" si="131"/>
        <v>297.13099999999957</v>
      </c>
      <c r="P30" s="41">
        <f t="shared" ref="P30:W30" si="132">P12-P23</f>
        <v>307.63299999999998</v>
      </c>
      <c r="Q30" s="42">
        <f t="shared" si="132"/>
        <v>321.18100000000004</v>
      </c>
      <c r="R30" s="42">
        <f t="shared" si="132"/>
        <v>362.03699999999998</v>
      </c>
      <c r="S30" s="43">
        <f t="shared" si="132"/>
        <v>406.04600000000016</v>
      </c>
      <c r="T30" s="41">
        <f t="shared" si="132"/>
        <v>415.23300000000006</v>
      </c>
      <c r="U30" s="42">
        <f t="shared" si="132"/>
        <v>436.66200000000003</v>
      </c>
      <c r="V30" s="42">
        <f t="shared" si="132"/>
        <v>411.90900000000005</v>
      </c>
      <c r="W30" s="43">
        <f t="shared" si="132"/>
        <v>260.13499999999965</v>
      </c>
      <c r="X30" s="41">
        <f t="shared" ref="X30:AD30" si="133">X12-X23</f>
        <v>264.79399999999998</v>
      </c>
      <c r="Y30" s="42">
        <f t="shared" si="133"/>
        <v>352.56099999999998</v>
      </c>
      <c r="Z30" s="42">
        <f t="shared" si="133"/>
        <v>461.48099999999994</v>
      </c>
      <c r="AA30" s="43">
        <f t="shared" si="133"/>
        <v>502.74499999999995</v>
      </c>
      <c r="AB30" s="41">
        <f t="shared" si="133"/>
        <v>515.96699999999987</v>
      </c>
      <c r="AC30" s="42">
        <f t="shared" si="133"/>
        <v>529.79200000000003</v>
      </c>
      <c r="AD30" s="42">
        <f t="shared" si="133"/>
        <v>568.51900000000001</v>
      </c>
      <c r="AE30" s="43">
        <f t="shared" ref="AE30:AJ30" si="134">AE12-AE23</f>
        <v>532.77600000000007</v>
      </c>
      <c r="AF30" s="41">
        <f t="shared" si="134"/>
        <v>467.92700000000002</v>
      </c>
      <c r="AG30" s="42">
        <f t="shared" si="134"/>
        <v>519.40300000000002</v>
      </c>
      <c r="AH30" s="42">
        <f t="shared" si="134"/>
        <v>538.31700000000001</v>
      </c>
      <c r="AI30" s="43">
        <f t="shared" si="134"/>
        <v>403.04500000000002</v>
      </c>
      <c r="AJ30" s="41">
        <f t="shared" si="134"/>
        <v>431.95799999999997</v>
      </c>
      <c r="AK30" s="42">
        <f t="shared" ref="AK30:AU30" si="135">AK12-AK23</f>
        <v>435.31900000000002</v>
      </c>
      <c r="AL30" s="42">
        <f t="shared" si="135"/>
        <v>406.37799999999999</v>
      </c>
      <c r="AM30" s="43">
        <f t="shared" si="135"/>
        <v>410.15899999999993</v>
      </c>
      <c r="AN30" s="41">
        <f t="shared" si="135"/>
        <v>398.93100000000004</v>
      </c>
      <c r="AO30" s="42">
        <f t="shared" si="135"/>
        <v>425.72500000000002</v>
      </c>
      <c r="AP30" s="42">
        <f t="shared" si="135"/>
        <v>466.245</v>
      </c>
      <c r="AQ30" s="43">
        <f t="shared" si="135"/>
        <v>454.72500000000008</v>
      </c>
      <c r="AR30" s="41">
        <f t="shared" si="135"/>
        <v>464.89500000000004</v>
      </c>
      <c r="AS30" s="42">
        <f t="shared" si="135"/>
        <v>484.72899999999998</v>
      </c>
      <c r="AT30" s="42">
        <f t="shared" si="135"/>
        <v>472.089</v>
      </c>
      <c r="AU30" s="43">
        <f t="shared" si="135"/>
        <v>442.24600000000004</v>
      </c>
      <c r="AV30" s="41">
        <f>AV12-AV23</f>
        <v>372.36</v>
      </c>
      <c r="AW30" s="42">
        <f t="shared" ref="AW30:AY30" si="136">AW12-AW23</f>
        <v>330.94099999999997</v>
      </c>
      <c r="AX30" s="42">
        <f t="shared" si="136"/>
        <v>307.56399999999996</v>
      </c>
      <c r="AY30" s="43">
        <f t="shared" si="136"/>
        <v>317.75099999999998</v>
      </c>
      <c r="AZ30" s="41">
        <f>AZ12-AZ23</f>
        <v>282.09700000000004</v>
      </c>
      <c r="BA30" s="42">
        <f t="shared" ref="BA30:BC30" si="137">BA12-BA23</f>
        <v>339.28100000000001</v>
      </c>
      <c r="BB30" s="42">
        <f t="shared" si="137"/>
        <v>368.84400000000005</v>
      </c>
      <c r="BC30" s="43">
        <f t="shared" si="137"/>
        <v>327.51699999999994</v>
      </c>
      <c r="BD30" s="41">
        <f>BD12-BD23</f>
        <v>348.63099999999997</v>
      </c>
      <c r="BE30" s="42">
        <f t="shared" ref="BE30:BG30" si="138">BE12-BE23</f>
        <v>368.178</v>
      </c>
      <c r="BF30" s="42">
        <f t="shared" si="138"/>
        <v>377.76900000000001</v>
      </c>
      <c r="BG30" s="43">
        <f t="shared" si="138"/>
        <v>381.48199999999997</v>
      </c>
      <c r="BH30" s="41">
        <f t="shared" ref="BH30:BK30" si="139">BH12-BH23</f>
        <v>374.22450597</v>
      </c>
      <c r="BI30" s="42">
        <f t="shared" si="139"/>
        <v>387.60111596385002</v>
      </c>
      <c r="BJ30" s="42">
        <f t="shared" si="139"/>
        <v>400.6496882464379</v>
      </c>
      <c r="BK30" s="42">
        <f t="shared" si="139"/>
        <v>398.49007065633663</v>
      </c>
      <c r="BL30" s="41">
        <f t="shared" ref="BL30:BO30" si="140">BL12-BL23</f>
        <v>378.20890176153841</v>
      </c>
      <c r="BM30" s="42">
        <f t="shared" si="140"/>
        <v>403.27119512909343</v>
      </c>
      <c r="BN30" s="42">
        <f t="shared" si="140"/>
        <v>417.833220420565</v>
      </c>
      <c r="BO30" s="601">
        <f t="shared" si="140"/>
        <v>413.95250738535412</v>
      </c>
      <c r="BP30" s="347"/>
      <c r="BQ30" s="41">
        <f>BQ12-BQ23</f>
        <v>642.82299999999998</v>
      </c>
      <c r="BR30" s="42">
        <f t="shared" ref="BR30:BW30" si="141">BR12-BR23</f>
        <v>887.02200000000005</v>
      </c>
      <c r="BS30" s="42">
        <f t="shared" si="141"/>
        <v>1137.3119999999999</v>
      </c>
      <c r="BT30" s="42">
        <f t="shared" si="141"/>
        <v>1396.8970000000004</v>
      </c>
      <c r="BU30" s="42">
        <f t="shared" si="141"/>
        <v>1523.9389999999994</v>
      </c>
      <c r="BV30" s="42">
        <f t="shared" si="141"/>
        <v>1581.5809999999999</v>
      </c>
      <c r="BW30" s="42">
        <f t="shared" si="141"/>
        <v>2147.0540000000001</v>
      </c>
      <c r="BX30" s="42">
        <f t="shared" ref="BX30:CA30" si="142">BX12-BX23</f>
        <v>1928.692</v>
      </c>
      <c r="BY30" s="42">
        <f t="shared" si="142"/>
        <v>1683.8139999999996</v>
      </c>
      <c r="BZ30" s="42">
        <f t="shared" si="142"/>
        <v>1745.6260000000004</v>
      </c>
      <c r="CA30" s="42">
        <f t="shared" si="142"/>
        <v>1863.9589999999996</v>
      </c>
      <c r="CB30" s="42">
        <f>CB12-CB23</f>
        <v>1328.6159999999995</v>
      </c>
      <c r="CC30" s="42">
        <f>CC12-CC23</f>
        <v>1317.7390000000003</v>
      </c>
      <c r="CD30" s="42">
        <f>CD12-CD23</f>
        <v>1476.06</v>
      </c>
      <c r="CE30" s="42">
        <f>CE12-CE23</f>
        <v>1560.9653808366247</v>
      </c>
      <c r="CF30" s="42">
        <f>CF12-CF23</f>
        <v>1613.2658246965511</v>
      </c>
      <c r="CG30" s="601">
        <f t="shared" ref="CG30" si="143">CG12-CG23</f>
        <v>1620.8839267618637</v>
      </c>
      <c r="CH30" s="336"/>
    </row>
    <row r="31" spans="2:86" ht="14.25" hidden="1" outlineLevel="1">
      <c r="B31" s="28" t="s">
        <v>15</v>
      </c>
      <c r="C31" s="29"/>
      <c r="D31" s="38">
        <f t="shared" ref="D31:AO31" si="144">D30/D12</f>
        <v>0.52579040496778284</v>
      </c>
      <c r="E31" s="31">
        <f t="shared" si="144"/>
        <v>0.5258182625843838</v>
      </c>
      <c r="F31" s="31">
        <f t="shared" si="144"/>
        <v>0.52686384346769199</v>
      </c>
      <c r="G31" s="32">
        <f t="shared" si="144"/>
        <v>0.52168009733561382</v>
      </c>
      <c r="H31" s="38">
        <f t="shared" si="144"/>
        <v>0.51809359322312687</v>
      </c>
      <c r="I31" s="31">
        <f t="shared" si="144"/>
        <v>0.52503752042494123</v>
      </c>
      <c r="J31" s="31">
        <f t="shared" si="144"/>
        <v>0.53622548858520369</v>
      </c>
      <c r="K31" s="32">
        <f t="shared" si="144"/>
        <v>0.54106205113943107</v>
      </c>
      <c r="L31" s="38">
        <f t="shared" si="144"/>
        <v>0.5390735922762262</v>
      </c>
      <c r="M31" s="31">
        <f t="shared" si="144"/>
        <v>0.51379391447511702</v>
      </c>
      <c r="N31" s="31">
        <f t="shared" si="144"/>
        <v>0.50789587969208194</v>
      </c>
      <c r="O31" s="32">
        <f t="shared" si="144"/>
        <v>0.47772254145671644</v>
      </c>
      <c r="P31" s="38">
        <f t="shared" si="144"/>
        <v>0.48442327375797184</v>
      </c>
      <c r="Q31" s="31">
        <f t="shared" si="144"/>
        <v>0.48907510305141838</v>
      </c>
      <c r="R31" s="31">
        <f t="shared" si="144"/>
        <v>0.47746641591251388</v>
      </c>
      <c r="S31" s="32">
        <f t="shared" si="144"/>
        <v>0.48070644002623469</v>
      </c>
      <c r="T31" s="38">
        <f t="shared" si="144"/>
        <v>0.51641078257625228</v>
      </c>
      <c r="U31" s="31">
        <f t="shared" si="144"/>
        <v>0.51824704032281999</v>
      </c>
      <c r="V31" s="31">
        <f t="shared" si="144"/>
        <v>0.52071434530988092</v>
      </c>
      <c r="W31" s="32">
        <f t="shared" si="144"/>
        <v>0.5072172707544057</v>
      </c>
      <c r="X31" s="38">
        <f t="shared" si="144"/>
        <v>0.50781882270814716</v>
      </c>
      <c r="Y31" s="31">
        <f t="shared" si="144"/>
        <v>0.55034341731447656</v>
      </c>
      <c r="Z31" s="31">
        <f t="shared" si="144"/>
        <v>0.57462601077328046</v>
      </c>
      <c r="AA31" s="32">
        <f t="shared" si="144"/>
        <v>0.59670518138712336</v>
      </c>
      <c r="AB31" s="38">
        <f t="shared" si="144"/>
        <v>0.60306178622897466</v>
      </c>
      <c r="AC31" s="31">
        <f t="shared" si="144"/>
        <v>0.59097307897384643</v>
      </c>
      <c r="AD31" s="31">
        <f t="shared" si="144"/>
        <v>0.59262274490345834</v>
      </c>
      <c r="AE31" s="32">
        <f t="shared" si="144"/>
        <v>0.59163610075590256</v>
      </c>
      <c r="AF31" s="38">
        <f t="shared" si="144"/>
        <v>0.58315781864950489</v>
      </c>
      <c r="AG31" s="31">
        <f t="shared" si="144"/>
        <v>0.57870910954630539</v>
      </c>
      <c r="AH31" s="31">
        <f t="shared" si="144"/>
        <v>0.5664008535200864</v>
      </c>
      <c r="AI31" s="32">
        <f t="shared" si="144"/>
        <v>0.54267464295860646</v>
      </c>
      <c r="AJ31" s="38">
        <f t="shared" si="144"/>
        <v>0.54242162061703947</v>
      </c>
      <c r="AK31" s="31">
        <f t="shared" si="144"/>
        <v>0.53341118288845535</v>
      </c>
      <c r="AL31" s="31">
        <f t="shared" si="144"/>
        <v>0.52040963988110867</v>
      </c>
      <c r="AM31" s="32">
        <f t="shared" si="144"/>
        <v>0.52903672671270507</v>
      </c>
      <c r="AN31" s="38">
        <f t="shared" si="144"/>
        <v>0.54322962979101785</v>
      </c>
      <c r="AO31" s="31">
        <f t="shared" si="144"/>
        <v>0.5275036676513154</v>
      </c>
      <c r="AP31" s="31">
        <f t="shared" ref="AP31:AU31" si="145">AP30/AP12</f>
        <v>0.50067867520881071</v>
      </c>
      <c r="AQ31" s="32">
        <f t="shared" si="145"/>
        <v>0.48803379450903628</v>
      </c>
      <c r="AR31" s="38">
        <f t="shared" si="145"/>
        <v>0.4853627470427947</v>
      </c>
      <c r="AS31" s="31">
        <f t="shared" si="145"/>
        <v>0.50411473201982226</v>
      </c>
      <c r="AT31" s="31">
        <f>AT30/AT12</f>
        <v>0.50754835851961433</v>
      </c>
      <c r="AU31" s="32">
        <f t="shared" si="145"/>
        <v>0.51576764646884032</v>
      </c>
      <c r="AV31" s="38">
        <f>AV30/AV12</f>
        <v>0.5141048864540072</v>
      </c>
      <c r="AW31" s="31">
        <f t="shared" ref="AW31:AY31" si="146">AW30/AW12</f>
        <v>0.46579131080997394</v>
      </c>
      <c r="AX31" s="31">
        <f t="shared" si="146"/>
        <v>0.45572463660744711</v>
      </c>
      <c r="AY31" s="32">
        <f t="shared" si="146"/>
        <v>0.5156972724528448</v>
      </c>
      <c r="AZ31" s="38">
        <f>AZ30/AZ12</f>
        <v>0.52160784879313349</v>
      </c>
      <c r="BA31" s="31">
        <f t="shared" ref="BA31:BC31" si="147">BA30/BA12</f>
        <v>0.54163287590756126</v>
      </c>
      <c r="BB31" s="492">
        <f t="shared" si="147"/>
        <v>0.5636179712784718</v>
      </c>
      <c r="BC31" s="32">
        <f t="shared" si="147"/>
        <v>0.5731834091704584</v>
      </c>
      <c r="BD31" s="38">
        <f>BD30/BD12</f>
        <v>0.60193894816809979</v>
      </c>
      <c r="BE31" s="492">
        <f t="shared" ref="BE31:BG31" si="148">BE30/BE12</f>
        <v>0.60881025217031826</v>
      </c>
      <c r="BF31" s="562">
        <f t="shared" si="148"/>
        <v>0.61296085360748465</v>
      </c>
      <c r="BG31" s="563">
        <f t="shared" si="148"/>
        <v>0.6198836871088983</v>
      </c>
      <c r="BH31" s="566">
        <f t="shared" ref="BH31:BK31" si="149">BH30/BH12</f>
        <v>0.623</v>
      </c>
      <c r="BI31" s="562">
        <f t="shared" si="149"/>
        <v>0.62550000000000006</v>
      </c>
      <c r="BJ31" s="562">
        <f t="shared" si="149"/>
        <v>0.62799999999999989</v>
      </c>
      <c r="BK31" s="562">
        <f t="shared" si="149"/>
        <v>0.63049999999999984</v>
      </c>
      <c r="BL31" s="566">
        <f t="shared" ref="BL31:BO31" si="150">BL30/BL12</f>
        <v>0.6329999999999999</v>
      </c>
      <c r="BM31" s="562">
        <f t="shared" si="150"/>
        <v>0.63449999999999973</v>
      </c>
      <c r="BN31" s="562">
        <f t="shared" si="150"/>
        <v>0.63599999999999968</v>
      </c>
      <c r="BO31" s="598">
        <f t="shared" si="150"/>
        <v>0.63749999999999962</v>
      </c>
      <c r="BP31" s="347"/>
      <c r="BQ31" s="566">
        <f t="shared" ref="BQ31:CA31" si="151">BQ30/BQ12</f>
        <v>0.52493344656943608</v>
      </c>
      <c r="BR31" s="562">
        <f t="shared" si="151"/>
        <v>0.53106630919865461</v>
      </c>
      <c r="BS31" s="562">
        <f t="shared" si="151"/>
        <v>0.50828382612612977</v>
      </c>
      <c r="BT31" s="562">
        <f t="shared" si="151"/>
        <v>0.48257172694997374</v>
      </c>
      <c r="BU31" s="562">
        <f t="shared" si="151"/>
        <v>0.51649092054634982</v>
      </c>
      <c r="BV31" s="562">
        <f t="shared" si="151"/>
        <v>0.56330388679364896</v>
      </c>
      <c r="BW31" s="562">
        <f t="shared" si="151"/>
        <v>0.59444009000266618</v>
      </c>
      <c r="BX31" s="562">
        <f t="shared" si="151"/>
        <v>0.5684259543064627</v>
      </c>
      <c r="BY31" s="562">
        <f t="shared" si="151"/>
        <v>0.53140126805591059</v>
      </c>
      <c r="BZ31" s="562">
        <f t="shared" si="151"/>
        <v>0.5127558453765716</v>
      </c>
      <c r="CA31" s="562">
        <f t="shared" si="151"/>
        <v>0.50282643770655377</v>
      </c>
      <c r="CB31" s="562">
        <f t="shared" ref="CB31:CG31" si="152">CB30/CB12</f>
        <v>0.48741740124468586</v>
      </c>
      <c r="CC31" s="562">
        <f t="shared" si="152"/>
        <v>0.55065297478362329</v>
      </c>
      <c r="CD31" s="562">
        <f t="shared" si="152"/>
        <v>0.61104278326125439</v>
      </c>
      <c r="CE31" s="562">
        <f t="shared" si="152"/>
        <v>0.62680638468214944</v>
      </c>
      <c r="CF31" s="562">
        <f t="shared" si="152"/>
        <v>0.63530226198028295</v>
      </c>
      <c r="CG31" s="598">
        <f t="shared" si="152"/>
        <v>0.63830226198028295</v>
      </c>
      <c r="CH31" s="336"/>
    </row>
    <row r="32" spans="2:86" ht="9" customHeight="1" collapsed="1">
      <c r="B32" s="16"/>
      <c r="C32" s="17"/>
      <c r="D32" s="35"/>
      <c r="E32" s="36"/>
      <c r="F32" s="36"/>
      <c r="G32" s="37"/>
      <c r="H32" s="35"/>
      <c r="I32" s="36"/>
      <c r="J32" s="36"/>
      <c r="K32" s="37"/>
      <c r="L32" s="35"/>
      <c r="M32" s="36"/>
      <c r="N32" s="36"/>
      <c r="O32" s="37"/>
      <c r="P32" s="35"/>
      <c r="Q32" s="36"/>
      <c r="R32" s="36"/>
      <c r="S32" s="37"/>
      <c r="T32" s="35"/>
      <c r="U32" s="36"/>
      <c r="V32" s="36"/>
      <c r="W32" s="37"/>
      <c r="X32" s="35"/>
      <c r="Y32" s="36"/>
      <c r="Z32" s="36"/>
      <c r="AA32" s="37"/>
      <c r="AB32" s="35"/>
      <c r="AC32" s="36"/>
      <c r="AD32" s="36"/>
      <c r="AE32" s="37"/>
      <c r="AF32" s="35"/>
      <c r="AG32" s="36"/>
      <c r="AH32" s="36"/>
      <c r="AI32" s="37"/>
      <c r="AJ32" s="35"/>
      <c r="AK32" s="36"/>
      <c r="AL32" s="36"/>
      <c r="AM32" s="37"/>
      <c r="AN32" s="35"/>
      <c r="AO32" s="36"/>
      <c r="AP32" s="36"/>
      <c r="AQ32" s="37"/>
      <c r="AR32" s="35"/>
      <c r="AS32" s="36"/>
      <c r="AT32" s="36"/>
      <c r="AU32" s="37"/>
      <c r="AV32" s="35"/>
      <c r="AW32" s="36"/>
      <c r="AX32" s="36"/>
      <c r="AY32" s="37"/>
      <c r="AZ32" s="35"/>
      <c r="BA32" s="36"/>
      <c r="BB32" s="36"/>
      <c r="BC32" s="37"/>
      <c r="BD32" s="35"/>
      <c r="BE32" s="36"/>
      <c r="BF32" s="36"/>
      <c r="BG32" s="37"/>
      <c r="BH32" s="35"/>
      <c r="BI32" s="36"/>
      <c r="BJ32" s="36"/>
      <c r="BK32" s="36"/>
      <c r="BL32" s="35"/>
      <c r="BM32" s="36"/>
      <c r="BN32" s="36"/>
      <c r="BO32" s="599"/>
      <c r="BP32" s="347"/>
      <c r="BQ32" s="683"/>
      <c r="BR32" s="338"/>
      <c r="BS32" s="338"/>
      <c r="BT32" s="338"/>
      <c r="BU32" s="338"/>
      <c r="BV32" s="338"/>
      <c r="BW32" s="338"/>
      <c r="BX32" s="338"/>
      <c r="BY32" s="338"/>
      <c r="BZ32" s="338"/>
      <c r="CA32" s="338"/>
      <c r="CB32" s="338"/>
      <c r="CC32" s="338"/>
      <c r="CD32" s="338"/>
      <c r="CE32" s="338"/>
      <c r="CF32" s="338"/>
      <c r="CG32" s="599"/>
      <c r="CH32" s="336"/>
    </row>
    <row r="33" spans="2:86" ht="14.25" hidden="1" outlineLevel="1">
      <c r="B33" s="16" t="s">
        <v>16</v>
      </c>
      <c r="C33" s="17"/>
      <c r="D33" s="22">
        <v>63.271999999999998</v>
      </c>
      <c r="E33" s="23">
        <v>64.036000000000001</v>
      </c>
      <c r="F33" s="23">
        <v>66.378</v>
      </c>
      <c r="G33" s="24">
        <f>263.261-F33-E33-D33</f>
        <v>69.575000000000045</v>
      </c>
      <c r="H33" s="22">
        <v>77.95</v>
      </c>
      <c r="I33" s="23">
        <v>88.105000000000004</v>
      </c>
      <c r="J33" s="23">
        <v>83.043000000000006</v>
      </c>
      <c r="K33" s="24">
        <v>117.64199999999998</v>
      </c>
      <c r="L33" s="22">
        <v>129.22800000000001</v>
      </c>
      <c r="M33" s="23">
        <v>152.64500000000001</v>
      </c>
      <c r="N33" s="23">
        <v>152.93899999999999</v>
      </c>
      <c r="O33" s="24">
        <v>223.39900000000006</v>
      </c>
      <c r="P33" s="22">
        <v>234.13300000000001</v>
      </c>
      <c r="Q33" s="23">
        <v>236.19399999999999</v>
      </c>
      <c r="R33" s="23">
        <v>252.20500000000001</v>
      </c>
      <c r="S33" s="24">
        <v>271.67</v>
      </c>
      <c r="T33" s="22">
        <v>238.47499999999999</v>
      </c>
      <c r="U33" s="23">
        <v>249.714</v>
      </c>
      <c r="V33" s="23">
        <v>234.22200000000001</v>
      </c>
      <c r="W33" s="24">
        <v>212.86100000000008</v>
      </c>
      <c r="X33" s="22">
        <v>206.089</v>
      </c>
      <c r="Y33" s="23">
        <v>196.19</v>
      </c>
      <c r="Z33" s="23">
        <v>212.87299999999999</v>
      </c>
      <c r="AA33" s="24">
        <v>213.02400000000011</v>
      </c>
      <c r="AB33" s="22">
        <v>219.11099999999999</v>
      </c>
      <c r="AC33" s="23">
        <v>228.21100000000001</v>
      </c>
      <c r="AD33" s="23">
        <v>218.42</v>
      </c>
      <c r="AE33" s="24">
        <v>231.83600000000001</v>
      </c>
      <c r="AF33" s="22">
        <v>242.53700000000001</v>
      </c>
      <c r="AG33" s="23">
        <v>249.60400000000001</v>
      </c>
      <c r="AH33" s="23">
        <v>266.255</v>
      </c>
      <c r="AI33" s="24">
        <v>255.28200000000001</v>
      </c>
      <c r="AJ33" s="22">
        <v>255.97</v>
      </c>
      <c r="AK33" s="23">
        <v>264.17500000000001</v>
      </c>
      <c r="AL33" s="23">
        <v>263.61500000000001</v>
      </c>
      <c r="AM33" s="24">
        <v>273.685</v>
      </c>
      <c r="AN33" s="22">
        <v>279.05200000000002</v>
      </c>
      <c r="AO33" s="23">
        <v>292.642</v>
      </c>
      <c r="AP33" s="23">
        <v>296.291</v>
      </c>
      <c r="AQ33" s="24">
        <v>288.89999999999998</v>
      </c>
      <c r="AR33" s="22">
        <v>295.363</v>
      </c>
      <c r="AS33" s="23">
        <v>294.76400000000001</v>
      </c>
      <c r="AT33" s="23">
        <v>288.435</v>
      </c>
      <c r="AU33" s="24">
        <v>285.49700000000001</v>
      </c>
      <c r="AV33" s="22">
        <v>280.11399999999998</v>
      </c>
      <c r="AW33" s="23">
        <v>297.32100000000003</v>
      </c>
      <c r="AX33" s="23">
        <v>252.50200000000001</v>
      </c>
      <c r="AY33" s="24">
        <v>239.703</v>
      </c>
      <c r="AZ33" s="22">
        <v>241.27099999999999</v>
      </c>
      <c r="BA33" s="23">
        <v>228.56200000000001</v>
      </c>
      <c r="BB33" s="23">
        <v>223.51900000000001</v>
      </c>
      <c r="BC33" s="24">
        <v>228.66900000000001</v>
      </c>
      <c r="BD33" s="22">
        <v>193.02699999999999</v>
      </c>
      <c r="BE33" s="23">
        <v>180.87100000000001</v>
      </c>
      <c r="BF33" s="23">
        <v>165.477</v>
      </c>
      <c r="BG33" s="24">
        <v>180</v>
      </c>
      <c r="BH33" s="639">
        <f>BH10*BH34</f>
        <v>177.20101004999998</v>
      </c>
      <c r="BI33" s="2">
        <f t="shared" ref="BI33:BK33" si="153">BI10*BI34</f>
        <v>179.703155283</v>
      </c>
      <c r="BJ33" s="2">
        <f t="shared" si="153"/>
        <v>183.09945943746447</v>
      </c>
      <c r="BK33" s="2">
        <f t="shared" si="153"/>
        <v>181.39040488242446</v>
      </c>
      <c r="BL33" s="639">
        <f>BL10*BL34</f>
        <v>173.27106083861952</v>
      </c>
      <c r="BM33" s="2">
        <f t="shared" ref="BM33:BO33" si="154">BM10*BM34</f>
        <v>184.31622787618147</v>
      </c>
      <c r="BN33" s="2">
        <f t="shared" si="154"/>
        <v>190.52143698421997</v>
      </c>
      <c r="BO33" s="611">
        <f t="shared" si="154"/>
        <v>188.3078072811808</v>
      </c>
      <c r="BP33" s="1"/>
      <c r="BQ33" s="25">
        <f>SUM(D33:G33)</f>
        <v>263.26100000000002</v>
      </c>
      <c r="BR33" s="26">
        <f>SUM(H33:K33)</f>
        <v>366.74</v>
      </c>
      <c r="BS33" s="26">
        <f>SUM(L33:O33)</f>
        <v>658.21100000000001</v>
      </c>
      <c r="BT33" s="26">
        <f>SUM(P33:S33)</f>
        <v>994.202</v>
      </c>
      <c r="BU33" s="26">
        <f>SUM(T33:W33)</f>
        <v>935.27200000000005</v>
      </c>
      <c r="BV33" s="26">
        <f>SUM(X33:AA33)</f>
        <v>828.17600000000016</v>
      </c>
      <c r="BW33" s="26">
        <f>SUM(AB33:AE33)</f>
        <v>897.57799999999997</v>
      </c>
      <c r="BX33" s="26">
        <f>SUM(AF33:AI33)</f>
        <v>1013.678</v>
      </c>
      <c r="BY33" s="26">
        <f>SUM(AJ33:AM33)</f>
        <v>1057.4449999999999</v>
      </c>
      <c r="BZ33" s="26">
        <f>SUM(AN33:AQ33)</f>
        <v>1156.8849999999998</v>
      </c>
      <c r="CA33" s="26">
        <f>SUM(AR33:AU33)</f>
        <v>1164.059</v>
      </c>
      <c r="CB33" s="26">
        <f>SUM(AV33:AY33)</f>
        <v>1069.6399999999999</v>
      </c>
      <c r="CC33" s="26">
        <f>SUM(AZ33:BC33)</f>
        <v>922.02099999999996</v>
      </c>
      <c r="CD33" s="26">
        <f>SUM(BD33:BG33)</f>
        <v>719.375</v>
      </c>
      <c r="CE33" s="26">
        <f>SUM(BH33:BK33)</f>
        <v>721.394029652889</v>
      </c>
      <c r="CF33" s="26">
        <f>SUM(BL33:BO33)</f>
        <v>736.41653298020174</v>
      </c>
      <c r="CG33" s="597">
        <f>CG34*CG10</f>
        <v>736.41653298020174</v>
      </c>
      <c r="CH33" s="336"/>
    </row>
    <row r="34" spans="2:86" ht="14.25" hidden="1" outlineLevel="1">
      <c r="B34" s="28" t="s">
        <v>6</v>
      </c>
      <c r="C34" s="29"/>
      <c r="D34" s="38">
        <f t="shared" ref="D34:AO34" si="155">D33/D10</f>
        <v>0.234708450646754</v>
      </c>
      <c r="E34" s="31">
        <f t="shared" si="155"/>
        <v>0.21549768806746672</v>
      </c>
      <c r="F34" s="31">
        <f t="shared" si="155"/>
        <v>0.20900992811328062</v>
      </c>
      <c r="G34" s="32">
        <f t="shared" si="155"/>
        <v>0.20447238337065729</v>
      </c>
      <c r="H34" s="38">
        <f t="shared" si="155"/>
        <v>0.21369630177920335</v>
      </c>
      <c r="I34" s="31">
        <f t="shared" si="155"/>
        <v>0.22564757948439509</v>
      </c>
      <c r="J34" s="31">
        <f t="shared" si="155"/>
        <v>0.1949247229042359</v>
      </c>
      <c r="K34" s="32">
        <f t="shared" si="155"/>
        <v>0.24056881574427005</v>
      </c>
      <c r="L34" s="38">
        <f t="shared" si="155"/>
        <v>0.24794511086040569</v>
      </c>
      <c r="M34" s="31">
        <f t="shared" si="155"/>
        <v>0.26593900537470494</v>
      </c>
      <c r="N34" s="31">
        <f t="shared" si="155"/>
        <v>0.29388852378371938</v>
      </c>
      <c r="O34" s="32">
        <f t="shared" si="155"/>
        <v>0.35917739326724302</v>
      </c>
      <c r="P34" s="38">
        <f t="shared" si="155"/>
        <v>0.36868435556255419</v>
      </c>
      <c r="Q34" s="31">
        <f t="shared" si="155"/>
        <v>0.35966201266614994</v>
      </c>
      <c r="R34" s="31">
        <f t="shared" si="155"/>
        <v>0.33261632768257271</v>
      </c>
      <c r="S34" s="32">
        <f t="shared" si="155"/>
        <v>0.32162247272951128</v>
      </c>
      <c r="T34" s="38">
        <f t="shared" si="155"/>
        <v>0.29658303018996984</v>
      </c>
      <c r="U34" s="31">
        <f t="shared" si="155"/>
        <v>0.29637005607809391</v>
      </c>
      <c r="V34" s="31">
        <f t="shared" si="155"/>
        <v>0.29609150416031432</v>
      </c>
      <c r="W34" s="32">
        <f t="shared" si="155"/>
        <v>0.41504132650375281</v>
      </c>
      <c r="X34" s="38">
        <f t="shared" si="155"/>
        <v>0.39523506330619024</v>
      </c>
      <c r="Y34" s="31">
        <f t="shared" si="155"/>
        <v>0.30625019512347412</v>
      </c>
      <c r="Z34" s="31">
        <f t="shared" si="155"/>
        <v>0.26506478661383792</v>
      </c>
      <c r="AA34" s="32">
        <f t="shared" si="155"/>
        <v>0.25283697413163858</v>
      </c>
      <c r="AB34" s="38">
        <f t="shared" si="155"/>
        <v>0.2560967485176705</v>
      </c>
      <c r="AC34" s="31">
        <f t="shared" si="155"/>
        <v>0.25456510729814807</v>
      </c>
      <c r="AD34" s="31">
        <f t="shared" si="155"/>
        <v>0.22768044681323468</v>
      </c>
      <c r="AE34" s="32">
        <f t="shared" si="155"/>
        <v>0.25744880973400719</v>
      </c>
      <c r="AF34" s="38">
        <f t="shared" si="155"/>
        <v>0.30226370323104879</v>
      </c>
      <c r="AG34" s="31">
        <f t="shared" si="155"/>
        <v>0.27810410910063288</v>
      </c>
      <c r="AH34" s="31">
        <f t="shared" si="155"/>
        <v>0.28014545194372575</v>
      </c>
      <c r="AI34" s="32">
        <f t="shared" si="155"/>
        <v>0.34372109368373005</v>
      </c>
      <c r="AJ34" s="38">
        <f t="shared" si="155"/>
        <v>0.32142861627598884</v>
      </c>
      <c r="AK34" s="31">
        <f t="shared" si="155"/>
        <v>0.32370261633321246</v>
      </c>
      <c r="AL34" s="31">
        <f t="shared" si="155"/>
        <v>0.33758664892602075</v>
      </c>
      <c r="AM34" s="32">
        <f t="shared" si="155"/>
        <v>0.35300802018331112</v>
      </c>
      <c r="AN34" s="38">
        <f t="shared" si="155"/>
        <v>0.37998880671705915</v>
      </c>
      <c r="AO34" s="31">
        <f t="shared" si="155"/>
        <v>0.36260432981106638</v>
      </c>
      <c r="AP34" s="31">
        <f t="shared" ref="AP34:AU34" si="156">AP33/AP10</f>
        <v>0.31817303211035775</v>
      </c>
      <c r="AQ34" s="32">
        <f t="shared" si="156"/>
        <v>0.31006204460643366</v>
      </c>
      <c r="AR34" s="38">
        <f t="shared" si="156"/>
        <v>0.30836682918680769</v>
      </c>
      <c r="AS34" s="31">
        <f t="shared" si="156"/>
        <v>0.30655247544316699</v>
      </c>
      <c r="AT34" s="31">
        <f>AT33/AT10</f>
        <v>0.31009981336062686</v>
      </c>
      <c r="AU34" s="32">
        <f t="shared" si="156"/>
        <v>0.33295974585166283</v>
      </c>
      <c r="AV34" s="38">
        <f>AV33/AV10</f>
        <v>0.38674394715914107</v>
      </c>
      <c r="AW34" s="31">
        <f t="shared" ref="AW34:AY34" si="157">AW33/AW10</f>
        <v>0.4184719884249225</v>
      </c>
      <c r="AX34" s="31">
        <f t="shared" si="157"/>
        <v>0.3741380076753249</v>
      </c>
      <c r="AY34" s="32">
        <f t="shared" si="157"/>
        <v>0.38902846347852338</v>
      </c>
      <c r="AZ34" s="38">
        <f>AZ33/AZ10</f>
        <v>0.44611905580764094</v>
      </c>
      <c r="BA34" s="31">
        <f t="shared" ref="BA34:BC34" si="158">BA33/BA10</f>
        <v>0.36487953461344436</v>
      </c>
      <c r="BB34" s="492">
        <f t="shared" si="158"/>
        <v>0.34155178157213539</v>
      </c>
      <c r="BC34" s="32">
        <f t="shared" si="158"/>
        <v>0.40019075953797695</v>
      </c>
      <c r="BD34" s="38">
        <f>BD33/BD10</f>
        <v>0.3332763562277703</v>
      </c>
      <c r="BE34" s="492">
        <f t="shared" ref="BE34:BG34" si="159">BE33/BE10</f>
        <v>0.29908391897478298</v>
      </c>
      <c r="BF34" s="562">
        <f t="shared" si="159"/>
        <v>0.26849985883544109</v>
      </c>
      <c r="BG34" s="563">
        <f t="shared" si="159"/>
        <v>0.29248841014674792</v>
      </c>
      <c r="BH34" s="562">
        <v>0.29499999999999998</v>
      </c>
      <c r="BI34" s="562">
        <v>0.28999999999999998</v>
      </c>
      <c r="BJ34" s="562">
        <f>BI34-0.3%</f>
        <v>0.28699999999999998</v>
      </c>
      <c r="BK34" s="562">
        <f>BJ34</f>
        <v>0.28699999999999998</v>
      </c>
      <c r="BL34" s="566">
        <v>0.28999999999999998</v>
      </c>
      <c r="BM34" s="562">
        <f t="shared" ref="BM34:BO34" si="160">BL34</f>
        <v>0.28999999999999998</v>
      </c>
      <c r="BN34" s="562">
        <f t="shared" si="160"/>
        <v>0.28999999999999998</v>
      </c>
      <c r="BO34" s="598">
        <f t="shared" si="160"/>
        <v>0.28999999999999998</v>
      </c>
      <c r="BP34" s="1"/>
      <c r="BQ34" s="566">
        <f t="shared" ref="BQ34:CB34" si="161">BQ33/BQ10</f>
        <v>0.21498064642571335</v>
      </c>
      <c r="BR34" s="562">
        <f t="shared" si="161"/>
        <v>0.21956981702315678</v>
      </c>
      <c r="BS34" s="562">
        <f t="shared" si="161"/>
        <v>0.29416554602282047</v>
      </c>
      <c r="BT34" s="562">
        <f t="shared" si="161"/>
        <v>0.3434568018093801</v>
      </c>
      <c r="BU34" s="562">
        <f t="shared" si="161"/>
        <v>0.31698086094077643</v>
      </c>
      <c r="BV34" s="562">
        <f t="shared" si="161"/>
        <v>0.29496735213006298</v>
      </c>
      <c r="BW34" s="562">
        <f t="shared" si="161"/>
        <v>0.2485062541996676</v>
      </c>
      <c r="BX34" s="562">
        <f t="shared" si="161"/>
        <v>0.29875215146299483</v>
      </c>
      <c r="BY34" s="562">
        <f t="shared" si="161"/>
        <v>0.33372309168315645</v>
      </c>
      <c r="BZ34" s="562">
        <f t="shared" si="161"/>
        <v>0.33982052637762883</v>
      </c>
      <c r="CA34" s="562">
        <f t="shared" si="161"/>
        <v>0.31401958962093768</v>
      </c>
      <c r="CB34" s="562">
        <f t="shared" si="161"/>
        <v>0.3924092055698305</v>
      </c>
      <c r="CC34" s="562">
        <f t="shared" ref="CC34:CD34" si="162">CC33/CC10</f>
        <v>0.38529147764691718</v>
      </c>
      <c r="CD34" s="562">
        <f t="shared" si="162"/>
        <v>0.29779880371296891</v>
      </c>
      <c r="CE34" s="562">
        <f t="shared" ref="CE34:CF34" si="163">CE33/CE10</f>
        <v>0.28967611274996019</v>
      </c>
      <c r="CF34" s="562">
        <f t="shared" si="163"/>
        <v>0.28999999999999998</v>
      </c>
      <c r="CG34" s="697">
        <v>0.28999999999999998</v>
      </c>
      <c r="CH34" s="336"/>
    </row>
    <row r="35" spans="2:86" ht="14.25" hidden="1" outlineLevel="1">
      <c r="B35" s="20" t="s">
        <v>7</v>
      </c>
      <c r="C35" s="21"/>
      <c r="D35" s="22"/>
      <c r="E35" s="23"/>
      <c r="F35" s="23"/>
      <c r="G35" s="24"/>
      <c r="H35" s="22">
        <v>5.4969999999999999</v>
      </c>
      <c r="I35" s="23">
        <v>14.307</v>
      </c>
      <c r="J35" s="23">
        <v>4.8780000000000001</v>
      </c>
      <c r="K35" s="24">
        <v>49.21</v>
      </c>
      <c r="L35" s="22">
        <v>30.437000000000001</v>
      </c>
      <c r="M35" s="23">
        <v>36.244</v>
      </c>
      <c r="N35" s="23">
        <v>26.321999999999999</v>
      </c>
      <c r="O35" s="24">
        <v>28.478000000000002</v>
      </c>
      <c r="P35" s="22">
        <v>32.042000000000002</v>
      </c>
      <c r="Q35" s="23">
        <v>34.591000000000001</v>
      </c>
      <c r="R35" s="23">
        <v>39.988999999999997</v>
      </c>
      <c r="S35" s="24">
        <v>45.627000000000002</v>
      </c>
      <c r="T35" s="22">
        <v>29.931999999999999</v>
      </c>
      <c r="U35" s="23">
        <v>32.997999999999998</v>
      </c>
      <c r="V35" s="23">
        <v>30.606999999999999</v>
      </c>
      <c r="W35" s="24">
        <v>33.357999999999997</v>
      </c>
      <c r="X35" s="22">
        <v>21.736999999999998</v>
      </c>
      <c r="Y35" s="23">
        <v>22.193000000000001</v>
      </c>
      <c r="Z35" s="23">
        <v>24.134</v>
      </c>
      <c r="AA35" s="24">
        <v>21.702000000000002</v>
      </c>
      <c r="AB35" s="22">
        <v>18.850999999999999</v>
      </c>
      <c r="AC35" s="23">
        <v>22.088999999999999</v>
      </c>
      <c r="AD35" s="23">
        <v>19.795000000000002</v>
      </c>
      <c r="AE35" s="24">
        <v>21.789000000000001</v>
      </c>
      <c r="AF35" s="22">
        <v>19.593</v>
      </c>
      <c r="AG35" s="23">
        <v>22.128</v>
      </c>
      <c r="AH35" s="23">
        <v>21.905000000000001</v>
      </c>
      <c r="AI35" s="24">
        <v>22.297999999999998</v>
      </c>
      <c r="AJ35" s="22">
        <v>17.173999999999999</v>
      </c>
      <c r="AK35" s="23">
        <v>22.413</v>
      </c>
      <c r="AL35" s="23">
        <v>22.565000000000001</v>
      </c>
      <c r="AM35" s="24">
        <v>24.997</v>
      </c>
      <c r="AN35" s="22">
        <v>23.279</v>
      </c>
      <c r="AO35" s="23">
        <v>28.981999999999999</v>
      </c>
      <c r="AP35" s="23">
        <v>30.084</v>
      </c>
      <c r="AQ35" s="24">
        <v>27.087</v>
      </c>
      <c r="AR35" s="22">
        <v>20.367999999999999</v>
      </c>
      <c r="AS35" s="23">
        <v>24.276</v>
      </c>
      <c r="AT35" s="23">
        <v>24.198</v>
      </c>
      <c r="AU35" s="24">
        <v>25.59</v>
      </c>
      <c r="AV35" s="22">
        <v>24.780999999999999</v>
      </c>
      <c r="AW35" s="23">
        <v>27.806999999999999</v>
      </c>
      <c r="AX35" s="23">
        <v>22.573</v>
      </c>
      <c r="AY35" s="24">
        <v>23.631</v>
      </c>
      <c r="AZ35" s="22">
        <v>24.396000000000001</v>
      </c>
      <c r="BA35" s="23">
        <v>28.581</v>
      </c>
      <c r="BB35" s="23">
        <f>19.998</f>
        <v>19.998000000000001</v>
      </c>
      <c r="BC35" s="24">
        <v>11.798</v>
      </c>
      <c r="BD35" s="22">
        <v>14.611000000000001</v>
      </c>
      <c r="BE35" s="23">
        <v>12.371</v>
      </c>
      <c r="BF35" s="23">
        <v>12.712999999999999</v>
      </c>
      <c r="BG35" s="24">
        <v>13.053000000000001</v>
      </c>
      <c r="BH35" s="638">
        <f>BG35</f>
        <v>13.053000000000001</v>
      </c>
      <c r="BI35" s="326">
        <f t="shared" ref="BI35:BK35" si="164">BH35</f>
        <v>13.053000000000001</v>
      </c>
      <c r="BJ35" s="326">
        <f t="shared" si="164"/>
        <v>13.053000000000001</v>
      </c>
      <c r="BK35" s="326">
        <f t="shared" si="164"/>
        <v>13.053000000000001</v>
      </c>
      <c r="BL35" s="638">
        <f>BK35</f>
        <v>13.053000000000001</v>
      </c>
      <c r="BM35" s="326">
        <f t="shared" ref="BM35" si="165">BL35</f>
        <v>13.053000000000001</v>
      </c>
      <c r="BN35" s="326">
        <f t="shared" ref="BN35" si="166">BM35</f>
        <v>13.053000000000001</v>
      </c>
      <c r="BO35" s="600">
        <f t="shared" ref="BO35" si="167">BN35</f>
        <v>13.053000000000001</v>
      </c>
      <c r="BP35" s="347"/>
      <c r="BQ35" s="25">
        <f>SUM(D35:G35)</f>
        <v>0</v>
      </c>
      <c r="BR35" s="26">
        <f>SUM(H35:K35)</f>
        <v>73.891999999999996</v>
      </c>
      <c r="BS35" s="26">
        <f>SUM(L35:O35)</f>
        <v>121.48099999999999</v>
      </c>
      <c r="BT35" s="26">
        <f>SUM(P35:S35)</f>
        <v>152.24900000000002</v>
      </c>
      <c r="BU35" s="26">
        <f>SUM(T35:W35)</f>
        <v>126.89499999999998</v>
      </c>
      <c r="BV35" s="26">
        <f>SUM(X35:AA35)</f>
        <v>89.765999999999991</v>
      </c>
      <c r="BW35" s="26">
        <f>SUM(AB35:AE35)</f>
        <v>82.524000000000001</v>
      </c>
      <c r="BX35" s="26">
        <f>SUM(AF35:AI35)</f>
        <v>85.924000000000007</v>
      </c>
      <c r="BY35" s="26">
        <f>SUM(AJ35:AM35)</f>
        <v>87.149000000000001</v>
      </c>
      <c r="BZ35" s="26">
        <f>SUM(AN35:AQ35)</f>
        <v>109.432</v>
      </c>
      <c r="CA35" s="26">
        <f>SUM(AR35:AU35)</f>
        <v>94.432000000000002</v>
      </c>
      <c r="CB35" s="26">
        <f>SUM(AV35:AY35)</f>
        <v>98.792000000000002</v>
      </c>
      <c r="CC35" s="26">
        <f>SUM(AZ35:BC35)</f>
        <v>84.77300000000001</v>
      </c>
      <c r="CD35" s="26">
        <f>SUM(BD35:BG35)</f>
        <v>52.748000000000005</v>
      </c>
      <c r="CE35" s="26">
        <f>SUM(BH35:BK35)</f>
        <v>52.212000000000003</v>
      </c>
      <c r="CF35" s="26">
        <f>SUM(BL35:BO35)</f>
        <v>52.212000000000003</v>
      </c>
      <c r="CG35" s="600">
        <f>CF35</f>
        <v>52.212000000000003</v>
      </c>
      <c r="CH35" s="336"/>
    </row>
    <row r="36" spans="2:86" ht="14.25" hidden="1" outlineLevel="1">
      <c r="B36" s="20" t="s">
        <v>8</v>
      </c>
      <c r="C36" s="21"/>
      <c r="D36" s="22"/>
      <c r="E36" s="23"/>
      <c r="F36" s="23"/>
      <c r="G36" s="24"/>
      <c r="H36" s="22"/>
      <c r="I36" s="23"/>
      <c r="J36" s="23"/>
      <c r="K36" s="24"/>
      <c r="L36" s="22"/>
      <c r="M36" s="23"/>
      <c r="N36" s="23"/>
      <c r="O36" s="24"/>
      <c r="P36" s="22"/>
      <c r="Q36" s="23"/>
      <c r="R36" s="23"/>
      <c r="S36" s="24"/>
      <c r="T36" s="22"/>
      <c r="U36" s="23"/>
      <c r="V36" s="23"/>
      <c r="W36" s="24">
        <f>5.282-3.652</f>
        <v>1.63</v>
      </c>
      <c r="X36" s="22">
        <v>5.84</v>
      </c>
      <c r="Y36" s="23">
        <f>3.526-1.82</f>
        <v>1.7059999999999997</v>
      </c>
      <c r="Z36" s="23">
        <v>1.3380000000000001</v>
      </c>
      <c r="AA36" s="24">
        <v>4.3419999999999996</v>
      </c>
      <c r="AB36" s="22">
        <v>0.129</v>
      </c>
      <c r="AC36" s="23">
        <v>1.37</v>
      </c>
      <c r="AD36" s="23">
        <v>0.187</v>
      </c>
      <c r="AE36" s="24">
        <v>0.28000000000000003</v>
      </c>
      <c r="AF36" s="22">
        <v>0.16800000000000001</v>
      </c>
      <c r="AG36" s="23">
        <v>0.13900000000000001</v>
      </c>
      <c r="AH36" s="23">
        <f>0.001+3.137</f>
        <v>3.1379999999999999</v>
      </c>
      <c r="AI36" s="24">
        <f>0.279+0.42</f>
        <v>0.69900000000000007</v>
      </c>
      <c r="AJ36" s="22">
        <f>0.442+0.002</f>
        <v>0.44400000000000001</v>
      </c>
      <c r="AK36" s="23">
        <f>0.466+0.042</f>
        <v>0.50800000000000001</v>
      </c>
      <c r="AL36" s="23">
        <f>0.458+0.002</f>
        <v>0.46</v>
      </c>
      <c r="AM36" s="24">
        <f>0.262+0.001-0.69</f>
        <v>-0.42699999999999994</v>
      </c>
      <c r="AN36" s="22">
        <v>0.4</v>
      </c>
      <c r="AO36" s="23">
        <v>-1.135</v>
      </c>
      <c r="AP36" s="23">
        <f>0.414+4.613</f>
        <v>5.0270000000000001</v>
      </c>
      <c r="AQ36" s="24">
        <f>0.116+0.829</f>
        <v>0.94499999999999995</v>
      </c>
      <c r="AR36" s="22">
        <v>4.6820000000000004</v>
      </c>
      <c r="AS36" s="23">
        <v>0.41199999999999998</v>
      </c>
      <c r="AT36" s="23">
        <v>8.7999999999999995E-2</v>
      </c>
      <c r="AU36" s="24">
        <v>6.7000000000000004E-2</v>
      </c>
      <c r="AV36" s="22">
        <v>0</v>
      </c>
      <c r="AW36" s="23">
        <f>11.68+5+0.134</f>
        <v>16.814</v>
      </c>
      <c r="AX36" s="23">
        <f>31.806+0.894</f>
        <v>32.700000000000003</v>
      </c>
      <c r="AY36" s="24">
        <f>3.703+3.485</f>
        <v>7.1879999999999997</v>
      </c>
      <c r="AZ36" s="22">
        <f>0.813-0.049</f>
        <v>0.7639999999999999</v>
      </c>
      <c r="BA36" s="23">
        <f>-0.329+0.174</f>
        <v>-0.15500000000000003</v>
      </c>
      <c r="BB36" s="23">
        <v>1.056</v>
      </c>
      <c r="BC36" s="24">
        <v>0.29899999999999999</v>
      </c>
      <c r="BD36" s="22">
        <v>2.16</v>
      </c>
      <c r="BE36" s="23">
        <v>1.79</v>
      </c>
      <c r="BF36" s="23">
        <v>-0.26800000000000002</v>
      </c>
      <c r="BG36" s="24">
        <v>0</v>
      </c>
      <c r="BH36" s="638"/>
      <c r="BI36" s="326"/>
      <c r="BJ36" s="326"/>
      <c r="BK36" s="326"/>
      <c r="BL36" s="638"/>
      <c r="BM36" s="326"/>
      <c r="BN36" s="326"/>
      <c r="BO36" s="600"/>
      <c r="BP36" s="347"/>
      <c r="BQ36" s="25">
        <f>SUM(D36:G36)</f>
        <v>0</v>
      </c>
      <c r="BR36" s="26">
        <f>SUM(H36:K36)</f>
        <v>0</v>
      </c>
      <c r="BS36" s="26">
        <f>SUM(L36:O36)</f>
        <v>0</v>
      </c>
      <c r="BT36" s="26">
        <f>SUM(P36:S36)</f>
        <v>0</v>
      </c>
      <c r="BU36" s="26">
        <f>SUM(T36:W36)</f>
        <v>1.63</v>
      </c>
      <c r="BV36" s="26">
        <f>SUM(X36:AA36)</f>
        <v>13.225999999999999</v>
      </c>
      <c r="BW36" s="26">
        <f>SUM(AB36:AE36)</f>
        <v>1.9660000000000002</v>
      </c>
      <c r="BX36" s="26">
        <f>SUM(AF36:AI36)</f>
        <v>4.1440000000000001</v>
      </c>
      <c r="BY36" s="26">
        <f>SUM(AJ36:AM36)</f>
        <v>0.98499999999999999</v>
      </c>
      <c r="BZ36" s="26">
        <f>SUM(AN36:AQ36)</f>
        <v>5.2370000000000001</v>
      </c>
      <c r="CA36" s="26">
        <f>SUM(AR36:AU36)</f>
        <v>5.2490000000000006</v>
      </c>
      <c r="CB36" s="26">
        <f>SUM(AV36:AY36)</f>
        <v>56.702000000000005</v>
      </c>
      <c r="CC36" s="26">
        <f>SUM(AZ36:BC36)</f>
        <v>1.964</v>
      </c>
      <c r="CD36" s="26">
        <f>SUM(BD36:BG36)</f>
        <v>3.6820000000000004</v>
      </c>
      <c r="CE36" s="26">
        <f>SUM(BH36:BK36)</f>
        <v>0</v>
      </c>
      <c r="CF36" s="26">
        <f>SUM(BL36:BO36)</f>
        <v>0</v>
      </c>
      <c r="CG36" s="596">
        <v>0</v>
      </c>
      <c r="CH36" s="336"/>
    </row>
    <row r="37" spans="2:86" ht="14.25" hidden="1" outlineLevel="1">
      <c r="B37" s="20" t="s">
        <v>9</v>
      </c>
      <c r="C37" s="21"/>
      <c r="D37" s="22"/>
      <c r="E37" s="23"/>
      <c r="F37" s="23"/>
      <c r="G37" s="24"/>
      <c r="H37" s="22"/>
      <c r="I37" s="23"/>
      <c r="J37" s="23"/>
      <c r="K37" s="24"/>
      <c r="L37" s="22"/>
      <c r="M37" s="23"/>
      <c r="N37" s="23"/>
      <c r="O37" s="24"/>
      <c r="P37" s="22"/>
      <c r="Q37" s="23"/>
      <c r="R37" s="23"/>
      <c r="S37" s="24"/>
      <c r="T37" s="22"/>
      <c r="U37" s="23"/>
      <c r="V37" s="23"/>
      <c r="W37" s="24"/>
      <c r="X37" s="22"/>
      <c r="Y37" s="23"/>
      <c r="Z37" s="23"/>
      <c r="AA37" s="24"/>
      <c r="AB37" s="22"/>
      <c r="AC37" s="23"/>
      <c r="AD37" s="23"/>
      <c r="AE37" s="24"/>
      <c r="AF37" s="22"/>
      <c r="AG37" s="23"/>
      <c r="AH37" s="23"/>
      <c r="AI37" s="24"/>
      <c r="AJ37" s="22"/>
      <c r="AK37" s="23"/>
      <c r="AL37" s="23"/>
      <c r="AM37" s="24"/>
      <c r="AN37" s="22"/>
      <c r="AO37" s="23"/>
      <c r="AP37" s="23"/>
      <c r="AQ37" s="24"/>
      <c r="AR37" s="22"/>
      <c r="AS37" s="23"/>
      <c r="AT37" s="23"/>
      <c r="AU37" s="24"/>
      <c r="AV37" s="22"/>
      <c r="AW37" s="23"/>
      <c r="AX37" s="23"/>
      <c r="AY37" s="24"/>
      <c r="AZ37" s="22"/>
      <c r="BA37" s="23"/>
      <c r="BB37" s="23"/>
      <c r="BC37" s="24"/>
      <c r="BD37" s="22"/>
      <c r="BE37" s="23"/>
      <c r="BF37" s="23"/>
      <c r="BG37" s="24"/>
      <c r="BH37" s="637"/>
      <c r="BI37" s="325"/>
      <c r="BJ37" s="325"/>
      <c r="BK37" s="325"/>
      <c r="BL37" s="637"/>
      <c r="BM37" s="325"/>
      <c r="BN37" s="325"/>
      <c r="BO37" s="596"/>
      <c r="BP37" s="347"/>
      <c r="BQ37" s="25">
        <f>SUM(D37:G37)</f>
        <v>0</v>
      </c>
      <c r="BR37" s="26">
        <f>SUM(H37:K37)</f>
        <v>0</v>
      </c>
      <c r="BS37" s="26">
        <f>SUM(L37:O37)</f>
        <v>0</v>
      </c>
      <c r="BT37" s="26">
        <f>SUM(P37:S37)</f>
        <v>0</v>
      </c>
      <c r="BU37" s="26">
        <f>SUM(T37:W37)</f>
        <v>0</v>
      </c>
      <c r="BV37" s="26">
        <f>SUM(X37:AA37)</f>
        <v>0</v>
      </c>
      <c r="BW37" s="26">
        <f>SUM(AB37:AE37)</f>
        <v>0</v>
      </c>
      <c r="BX37" s="26">
        <f>SUM(AF37:AI37)</f>
        <v>0</v>
      </c>
      <c r="BY37" s="26">
        <f>SUM(AJ37:AM37)</f>
        <v>0</v>
      </c>
      <c r="BZ37" s="26">
        <f>SUM(AN37:AQ37)</f>
        <v>0</v>
      </c>
      <c r="CA37" s="26">
        <f>SUM(AR37:AU37)</f>
        <v>0</v>
      </c>
      <c r="CB37" s="26">
        <f>SUM(AV37:AY37)</f>
        <v>0</v>
      </c>
      <c r="CC37" s="26">
        <f>SUM(AZ37:BC37)</f>
        <v>0</v>
      </c>
      <c r="CD37" s="26">
        <f>SUM(BD37:BG37)</f>
        <v>0</v>
      </c>
      <c r="CE37" s="26">
        <f>SUM(BH37:BK37)</f>
        <v>0</v>
      </c>
      <c r="CF37" s="26">
        <f>SUM(BL37:BO37)</f>
        <v>0</v>
      </c>
      <c r="CG37" s="596">
        <v>0</v>
      </c>
      <c r="CH37" s="336"/>
    </row>
    <row r="38" spans="2:86" ht="14.25" collapsed="1">
      <c r="B38" s="16" t="s">
        <v>17</v>
      </c>
      <c r="C38" s="17"/>
      <c r="D38" s="25">
        <f t="shared" ref="D38:AO38" si="168">D33-D36-D35-D37</f>
        <v>63.271999999999998</v>
      </c>
      <c r="E38" s="26">
        <f t="shared" si="168"/>
        <v>64.036000000000001</v>
      </c>
      <c r="F38" s="26">
        <f t="shared" si="168"/>
        <v>66.378</v>
      </c>
      <c r="G38" s="27">
        <f t="shared" si="168"/>
        <v>69.575000000000045</v>
      </c>
      <c r="H38" s="25">
        <f t="shared" si="168"/>
        <v>72.453000000000003</v>
      </c>
      <c r="I38" s="26">
        <f t="shared" si="168"/>
        <v>73.798000000000002</v>
      </c>
      <c r="J38" s="26">
        <f t="shared" si="168"/>
        <v>78.165000000000006</v>
      </c>
      <c r="K38" s="27">
        <f t="shared" si="168"/>
        <v>68.431999999999988</v>
      </c>
      <c r="L38" s="25">
        <f t="shared" si="168"/>
        <v>98.791000000000011</v>
      </c>
      <c r="M38" s="26">
        <f t="shared" si="168"/>
        <v>116.40100000000001</v>
      </c>
      <c r="N38" s="26">
        <f t="shared" si="168"/>
        <v>126.61699999999999</v>
      </c>
      <c r="O38" s="27">
        <f t="shared" si="168"/>
        <v>194.92100000000005</v>
      </c>
      <c r="P38" s="25">
        <f t="shared" si="168"/>
        <v>202.09100000000001</v>
      </c>
      <c r="Q38" s="26">
        <f t="shared" si="168"/>
        <v>201.60299999999998</v>
      </c>
      <c r="R38" s="26">
        <f t="shared" si="168"/>
        <v>212.21600000000001</v>
      </c>
      <c r="S38" s="27">
        <f t="shared" si="168"/>
        <v>226.04300000000001</v>
      </c>
      <c r="T38" s="25">
        <f t="shared" si="168"/>
        <v>208.54300000000001</v>
      </c>
      <c r="U38" s="26">
        <f t="shared" si="168"/>
        <v>216.71600000000001</v>
      </c>
      <c r="V38" s="26">
        <f t="shared" si="168"/>
        <v>203.61500000000001</v>
      </c>
      <c r="W38" s="27">
        <f t="shared" si="168"/>
        <v>177.87300000000008</v>
      </c>
      <c r="X38" s="25">
        <f t="shared" si="168"/>
        <v>178.512</v>
      </c>
      <c r="Y38" s="26">
        <f t="shared" si="168"/>
        <v>172.291</v>
      </c>
      <c r="Z38" s="26">
        <f t="shared" si="168"/>
        <v>187.40100000000001</v>
      </c>
      <c r="AA38" s="27">
        <f t="shared" si="168"/>
        <v>186.9800000000001</v>
      </c>
      <c r="AB38" s="25">
        <f t="shared" si="168"/>
        <v>200.131</v>
      </c>
      <c r="AC38" s="26">
        <f t="shared" si="168"/>
        <v>204.75200000000001</v>
      </c>
      <c r="AD38" s="26">
        <f t="shared" si="168"/>
        <v>198.43799999999999</v>
      </c>
      <c r="AE38" s="27">
        <f t="shared" si="168"/>
        <v>209.767</v>
      </c>
      <c r="AF38" s="25">
        <f t="shared" si="168"/>
        <v>222.77600000000001</v>
      </c>
      <c r="AG38" s="26">
        <f t="shared" si="168"/>
        <v>227.33699999999999</v>
      </c>
      <c r="AH38" s="26">
        <f t="shared" si="168"/>
        <v>241.21200000000002</v>
      </c>
      <c r="AI38" s="27">
        <f t="shared" si="168"/>
        <v>232.285</v>
      </c>
      <c r="AJ38" s="25">
        <f t="shared" si="168"/>
        <v>238.352</v>
      </c>
      <c r="AK38" s="26">
        <f t="shared" si="168"/>
        <v>241.25400000000002</v>
      </c>
      <c r="AL38" s="26">
        <f t="shared" si="168"/>
        <v>240.59000000000003</v>
      </c>
      <c r="AM38" s="27">
        <f t="shared" si="168"/>
        <v>249.11500000000001</v>
      </c>
      <c r="AN38" s="25">
        <f t="shared" si="168"/>
        <v>255.37300000000005</v>
      </c>
      <c r="AO38" s="26">
        <f t="shared" si="168"/>
        <v>264.79499999999996</v>
      </c>
      <c r="AP38" s="26">
        <f t="shared" ref="AP38:AU38" si="169">AP33-AP36-AP35-AP37</f>
        <v>261.18</v>
      </c>
      <c r="AQ38" s="27">
        <f t="shared" si="169"/>
        <v>260.86799999999999</v>
      </c>
      <c r="AR38" s="25">
        <f t="shared" si="169"/>
        <v>270.31299999999999</v>
      </c>
      <c r="AS38" s="26">
        <f t="shared" si="169"/>
        <v>270.07600000000002</v>
      </c>
      <c r="AT38" s="26">
        <f>AT33-AT36-AT35-AT37</f>
        <v>264.149</v>
      </c>
      <c r="AU38" s="27">
        <f t="shared" si="169"/>
        <v>259.84000000000003</v>
      </c>
      <c r="AV38" s="25">
        <f>AV33-AV36-AV35-AV37</f>
        <v>255.33299999999997</v>
      </c>
      <c r="AW38" s="26">
        <f t="shared" ref="AW38:AY38" si="170">AW33-AW36-AW35-AW37</f>
        <v>252.70000000000002</v>
      </c>
      <c r="AX38" s="26">
        <f t="shared" si="170"/>
        <v>197.22900000000001</v>
      </c>
      <c r="AY38" s="27">
        <f t="shared" si="170"/>
        <v>208.88400000000001</v>
      </c>
      <c r="AZ38" s="25">
        <f>AZ33-AZ36-AZ35-AZ37</f>
        <v>216.11099999999999</v>
      </c>
      <c r="BA38" s="26">
        <f t="shared" ref="BA38:BC38" si="171">BA33-BA36-BA35-BA37</f>
        <v>200.13600000000002</v>
      </c>
      <c r="BB38" s="26">
        <f t="shared" si="171"/>
        <v>202.465</v>
      </c>
      <c r="BC38" s="27">
        <f t="shared" si="171"/>
        <v>216.572</v>
      </c>
      <c r="BD38" s="25">
        <f>BD33-BD36-BD35-BD37</f>
        <v>176.256</v>
      </c>
      <c r="BE38" s="26">
        <f t="shared" ref="BE38:BG38" si="172">BE33-BE36-BE35-BE37</f>
        <v>166.71</v>
      </c>
      <c r="BF38" s="26">
        <f t="shared" si="172"/>
        <v>153.03200000000001</v>
      </c>
      <c r="BG38" s="27">
        <f t="shared" si="172"/>
        <v>166.947</v>
      </c>
      <c r="BH38" s="25">
        <f t="shared" ref="BH38:BK38" si="173">BH33-BH36-BH35-BH37</f>
        <v>164.14801004999998</v>
      </c>
      <c r="BI38" s="26">
        <f t="shared" si="173"/>
        <v>166.650155283</v>
      </c>
      <c r="BJ38" s="26">
        <f t="shared" si="173"/>
        <v>170.04645943746448</v>
      </c>
      <c r="BK38" s="26">
        <f t="shared" si="173"/>
        <v>168.33740488242447</v>
      </c>
      <c r="BL38" s="25">
        <f t="shared" ref="BL38:BO38" si="174">BL33-BL36-BL35-BL37</f>
        <v>160.21806083861952</v>
      </c>
      <c r="BM38" s="26">
        <f t="shared" si="174"/>
        <v>171.26322787618147</v>
      </c>
      <c r="BN38" s="26">
        <f t="shared" si="174"/>
        <v>177.46843698421998</v>
      </c>
      <c r="BO38" s="597">
        <f t="shared" si="174"/>
        <v>175.2548072811808</v>
      </c>
      <c r="BP38" s="347"/>
      <c r="BQ38" s="25">
        <f t="shared" ref="BQ38:CA38" si="175">BQ33-BQ36-BQ35-BQ37</f>
        <v>263.26100000000002</v>
      </c>
      <c r="BR38" s="26">
        <f t="shared" si="175"/>
        <v>292.84800000000001</v>
      </c>
      <c r="BS38" s="26">
        <f t="shared" si="175"/>
        <v>536.73</v>
      </c>
      <c r="BT38" s="26">
        <f t="shared" si="175"/>
        <v>841.95299999999997</v>
      </c>
      <c r="BU38" s="26">
        <f t="shared" si="175"/>
        <v>806.74700000000007</v>
      </c>
      <c r="BV38" s="26">
        <f t="shared" si="175"/>
        <v>725.1840000000002</v>
      </c>
      <c r="BW38" s="26">
        <f t="shared" si="175"/>
        <v>813.08799999999997</v>
      </c>
      <c r="BX38" s="26">
        <f t="shared" si="175"/>
        <v>923.61</v>
      </c>
      <c r="BY38" s="26">
        <f t="shared" si="175"/>
        <v>969.31100000000004</v>
      </c>
      <c r="BZ38" s="26">
        <f t="shared" si="175"/>
        <v>1042.2159999999997</v>
      </c>
      <c r="CA38" s="26">
        <f t="shared" si="175"/>
        <v>1064.3779999999999</v>
      </c>
      <c r="CB38" s="26">
        <f t="shared" ref="CB38:CG38" si="176">CB33-CB36-CB35-CB37</f>
        <v>914.14599999999984</v>
      </c>
      <c r="CC38" s="26">
        <f t="shared" si="176"/>
        <v>835.28399999999988</v>
      </c>
      <c r="CD38" s="26">
        <f t="shared" si="176"/>
        <v>662.94499999999994</v>
      </c>
      <c r="CE38" s="26">
        <f t="shared" si="176"/>
        <v>669.18202965288901</v>
      </c>
      <c r="CF38" s="26">
        <f t="shared" si="176"/>
        <v>684.20453298020175</v>
      </c>
      <c r="CG38" s="597">
        <f t="shared" si="176"/>
        <v>684.20453298020175</v>
      </c>
      <c r="CH38" s="336"/>
    </row>
    <row r="39" spans="2:86" ht="12" customHeight="1">
      <c r="B39" s="28" t="s">
        <v>11</v>
      </c>
      <c r="C39" s="29"/>
      <c r="D39" s="38">
        <f t="shared" ref="D39:AO39" si="177">D38/D12</f>
        <v>0.234708450646754</v>
      </c>
      <c r="E39" s="31">
        <f t="shared" si="177"/>
        <v>0.21549768806746672</v>
      </c>
      <c r="F39" s="31">
        <f t="shared" si="177"/>
        <v>0.20900992811328062</v>
      </c>
      <c r="G39" s="32">
        <f t="shared" si="177"/>
        <v>0.20447238337065729</v>
      </c>
      <c r="H39" s="38">
        <f t="shared" si="177"/>
        <v>0.19862653178715356</v>
      </c>
      <c r="I39" s="31">
        <f t="shared" si="177"/>
        <v>0.18900561909981714</v>
      </c>
      <c r="J39" s="31">
        <f t="shared" si="177"/>
        <v>0.18347471750550437</v>
      </c>
      <c r="K39" s="32">
        <f t="shared" si="177"/>
        <v>0.13993816153254696</v>
      </c>
      <c r="L39" s="38">
        <f t="shared" si="177"/>
        <v>0.18954673481761181</v>
      </c>
      <c r="M39" s="31">
        <f t="shared" si="177"/>
        <v>0.20279449811406222</v>
      </c>
      <c r="N39" s="31">
        <f t="shared" si="177"/>
        <v>0.24330800656420659</v>
      </c>
      <c r="O39" s="32">
        <f t="shared" si="177"/>
        <v>0.31339091344654307</v>
      </c>
      <c r="P39" s="38">
        <f t="shared" si="177"/>
        <v>0.31822848594598852</v>
      </c>
      <c r="Q39" s="31">
        <f t="shared" si="177"/>
        <v>0.30698891902221825</v>
      </c>
      <c r="R39" s="31">
        <f t="shared" si="177"/>
        <v>0.27987750677220852</v>
      </c>
      <c r="S39" s="32">
        <f t="shared" si="177"/>
        <v>0.26760595061360076</v>
      </c>
      <c r="T39" s="38">
        <f t="shared" si="177"/>
        <v>0.25935764698566677</v>
      </c>
      <c r="U39" s="31">
        <f t="shared" si="177"/>
        <v>0.25720677684479126</v>
      </c>
      <c r="V39" s="31">
        <f t="shared" si="177"/>
        <v>0.25739969609858337</v>
      </c>
      <c r="W39" s="32">
        <f t="shared" si="177"/>
        <v>0.34682091068444676</v>
      </c>
      <c r="X39" s="38">
        <f t="shared" si="177"/>
        <v>0.34234821664870341</v>
      </c>
      <c r="Y39" s="31">
        <f t="shared" si="177"/>
        <v>0.26894414785676374</v>
      </c>
      <c r="Z39" s="31">
        <f t="shared" si="177"/>
        <v>0.23334761137495053</v>
      </c>
      <c r="AA39" s="32">
        <f t="shared" si="177"/>
        <v>0.22192549864397337</v>
      </c>
      <c r="AB39" s="38">
        <f t="shared" si="177"/>
        <v>0.23391294082720593</v>
      </c>
      <c r="AC39" s="31">
        <f t="shared" si="177"/>
        <v>0.22839703103492126</v>
      </c>
      <c r="AD39" s="31">
        <f t="shared" si="177"/>
        <v>0.20685126135301102</v>
      </c>
      <c r="AE39" s="32">
        <f t="shared" si="177"/>
        <v>0.23294166769385893</v>
      </c>
      <c r="AF39" s="38">
        <f t="shared" si="177"/>
        <v>0.27763639671885165</v>
      </c>
      <c r="AG39" s="31">
        <f t="shared" si="177"/>
        <v>0.25329463410286124</v>
      </c>
      <c r="AH39" s="31">
        <f t="shared" si="177"/>
        <v>0.25379596534994642</v>
      </c>
      <c r="AI39" s="32">
        <f t="shared" si="177"/>
        <v>0.3127570852873498</v>
      </c>
      <c r="AJ39" s="38">
        <f t="shared" si="177"/>
        <v>0.29930520587027581</v>
      </c>
      <c r="AK39" s="31">
        <f t="shared" si="177"/>
        <v>0.29561673512199427</v>
      </c>
      <c r="AL39" s="31">
        <f t="shared" si="177"/>
        <v>0.30810072213307793</v>
      </c>
      <c r="AM39" s="32">
        <f t="shared" si="177"/>
        <v>0.32131681658828781</v>
      </c>
      <c r="AN39" s="38">
        <f t="shared" si="177"/>
        <v>0.34774479859580132</v>
      </c>
      <c r="AO39" s="31">
        <f t="shared" si="177"/>
        <v>0.32809990880434559</v>
      </c>
      <c r="AP39" s="31">
        <f t="shared" ref="AP39:AU39" si="178">AP38/AP12</f>
        <v>0.28046897316011365</v>
      </c>
      <c r="AQ39" s="32">
        <f t="shared" si="178"/>
        <v>0.27997668900100775</v>
      </c>
      <c r="AR39" s="38">
        <f t="shared" si="178"/>
        <v>0.28221396281177241</v>
      </c>
      <c r="AS39" s="31">
        <f t="shared" si="178"/>
        <v>0.28087713003551579</v>
      </c>
      <c r="AT39" s="31">
        <f>AT38/AT12</f>
        <v>0.2839896531259945</v>
      </c>
      <c r="AU39" s="32">
        <f t="shared" si="178"/>
        <v>0.30303737118812485</v>
      </c>
      <c r="AV39" s="38">
        <f>AV38/AV12</f>
        <v>0.3525296567111425</v>
      </c>
      <c r="AW39" s="31">
        <f t="shared" ref="AW39:AY39" si="179">AW38/AW12</f>
        <v>0.35566902934867672</v>
      </c>
      <c r="AX39" s="31">
        <f t="shared" si="179"/>
        <v>0.29223873520129207</v>
      </c>
      <c r="AY39" s="32">
        <f t="shared" si="179"/>
        <v>0.33901044861869845</v>
      </c>
      <c r="AZ39" s="38">
        <f>AZ38/AZ12</f>
        <v>0.39959727969646203</v>
      </c>
      <c r="BA39" s="31">
        <f t="shared" ref="BA39:BC39" si="180">BA38/BA12</f>
        <v>0.31949987547972242</v>
      </c>
      <c r="BB39" s="492">
        <f t="shared" si="180"/>
        <v>0.3093798802607492</v>
      </c>
      <c r="BC39" s="32">
        <f t="shared" si="180"/>
        <v>0.37901995099754987</v>
      </c>
      <c r="BD39" s="38">
        <f>BD38/BD12</f>
        <v>0.30431990054905211</v>
      </c>
      <c r="BE39" s="492">
        <f t="shared" ref="BE39:BG39" si="181">BE38/BE12</f>
        <v>0.2756676312525837</v>
      </c>
      <c r="BF39" s="562">
        <f t="shared" si="181"/>
        <v>0.24830683658336336</v>
      </c>
      <c r="BG39" s="563">
        <f t="shared" si="181"/>
        <v>0.27127812560427295</v>
      </c>
      <c r="BH39" s="566">
        <f t="shared" ref="BH39:BK39" si="182">BH38/BH12</f>
        <v>0.27326967804013369</v>
      </c>
      <c r="BI39" s="562">
        <f t="shared" si="182"/>
        <v>0.26893542829540901</v>
      </c>
      <c r="BJ39" s="562">
        <f t="shared" si="182"/>
        <v>0.26654002151885392</v>
      </c>
      <c r="BK39" s="562">
        <f t="shared" si="182"/>
        <v>0.26634724826030204</v>
      </c>
      <c r="BL39" s="566">
        <f t="shared" ref="BL39:BO39" si="183">BL38/BL12</f>
        <v>0.26815347824570884</v>
      </c>
      <c r="BM39" s="562">
        <f t="shared" si="183"/>
        <v>0.2694626330865294</v>
      </c>
      <c r="BN39" s="562">
        <f t="shared" si="183"/>
        <v>0.27013152713983818</v>
      </c>
      <c r="BO39" s="598">
        <f t="shared" si="183"/>
        <v>0.26989796570490732</v>
      </c>
      <c r="BP39" s="347"/>
      <c r="BQ39" s="566">
        <f t="shared" ref="BQ39:CA39" si="184">BQ38/BQ12</f>
        <v>0.21498064642571335</v>
      </c>
      <c r="BR39" s="562">
        <f t="shared" si="184"/>
        <v>0.17533015699295801</v>
      </c>
      <c r="BS39" s="562">
        <f t="shared" si="184"/>
        <v>0.23987364768566377</v>
      </c>
      <c r="BT39" s="562">
        <f t="shared" si="184"/>
        <v>0.29086089612957228</v>
      </c>
      <c r="BU39" s="562">
        <f t="shared" si="184"/>
        <v>0.27342137754726814</v>
      </c>
      <c r="BV39" s="562">
        <f t="shared" si="184"/>
        <v>0.25828520059394094</v>
      </c>
      <c r="BW39" s="562">
        <f t="shared" si="184"/>
        <v>0.22511408837415725</v>
      </c>
      <c r="BX39" s="562">
        <f t="shared" si="184"/>
        <v>0.27220722420012733</v>
      </c>
      <c r="BY39" s="562">
        <f t="shared" si="184"/>
        <v>0.30590854722703509</v>
      </c>
      <c r="BZ39" s="562">
        <f t="shared" si="184"/>
        <v>0.30613793913758652</v>
      </c>
      <c r="CA39" s="562">
        <f t="shared" si="184"/>
        <v>0.28712938327142729</v>
      </c>
      <c r="CB39" s="562">
        <f t="shared" ref="CB39:CG39" si="185">CB38/CB12</f>
        <v>0.33536452043195675</v>
      </c>
      <c r="CC39" s="562">
        <f t="shared" si="185"/>
        <v>0.34904607011643718</v>
      </c>
      <c r="CD39" s="562">
        <f t="shared" si="185"/>
        <v>0.27443854446914917</v>
      </c>
      <c r="CE39" s="562">
        <f t="shared" si="185"/>
        <v>0.2687103595316</v>
      </c>
      <c r="CF39" s="562">
        <f t="shared" si="185"/>
        <v>0.26943897329582756</v>
      </c>
      <c r="CG39" s="598">
        <f t="shared" si="185"/>
        <v>0.26943897329582756</v>
      </c>
      <c r="CH39" s="336"/>
    </row>
    <row r="40" spans="2:86" ht="14.25" hidden="1" outlineLevel="1">
      <c r="B40" s="16" t="s">
        <v>18</v>
      </c>
      <c r="C40" s="17"/>
      <c r="D40" s="25">
        <f t="shared" ref="D40:O40" si="186">D33-D36-D37</f>
        <v>63.271999999999998</v>
      </c>
      <c r="E40" s="26">
        <f t="shared" si="186"/>
        <v>64.036000000000001</v>
      </c>
      <c r="F40" s="26">
        <f t="shared" si="186"/>
        <v>66.378</v>
      </c>
      <c r="G40" s="27">
        <f t="shared" si="186"/>
        <v>69.575000000000045</v>
      </c>
      <c r="H40" s="25">
        <f t="shared" si="186"/>
        <v>77.95</v>
      </c>
      <c r="I40" s="26">
        <f t="shared" si="186"/>
        <v>88.105000000000004</v>
      </c>
      <c r="J40" s="26">
        <f t="shared" si="186"/>
        <v>83.043000000000006</v>
      </c>
      <c r="K40" s="27">
        <f t="shared" si="186"/>
        <v>117.64199999999998</v>
      </c>
      <c r="L40" s="25">
        <f t="shared" si="186"/>
        <v>129.22800000000001</v>
      </c>
      <c r="M40" s="26">
        <f t="shared" si="186"/>
        <v>152.64500000000001</v>
      </c>
      <c r="N40" s="26">
        <f t="shared" si="186"/>
        <v>152.93899999999999</v>
      </c>
      <c r="O40" s="27">
        <f t="shared" si="186"/>
        <v>223.39900000000006</v>
      </c>
      <c r="P40" s="25">
        <f t="shared" ref="P40:W40" si="187">P33-P36-P37</f>
        <v>234.13300000000001</v>
      </c>
      <c r="Q40" s="26">
        <f t="shared" si="187"/>
        <v>236.19399999999999</v>
      </c>
      <c r="R40" s="26">
        <f t="shared" si="187"/>
        <v>252.20500000000001</v>
      </c>
      <c r="S40" s="27">
        <f t="shared" si="187"/>
        <v>271.67</v>
      </c>
      <c r="T40" s="25">
        <f t="shared" si="187"/>
        <v>238.47499999999999</v>
      </c>
      <c r="U40" s="26">
        <f t="shared" si="187"/>
        <v>249.714</v>
      </c>
      <c r="V40" s="26">
        <f t="shared" si="187"/>
        <v>234.22200000000001</v>
      </c>
      <c r="W40" s="27">
        <f t="shared" si="187"/>
        <v>211.23100000000008</v>
      </c>
      <c r="X40" s="25">
        <f t="shared" ref="X40:AD40" si="188">X33-X36-X37</f>
        <v>200.249</v>
      </c>
      <c r="Y40" s="26">
        <f t="shared" si="188"/>
        <v>194.48400000000001</v>
      </c>
      <c r="Z40" s="26">
        <f t="shared" si="188"/>
        <v>211.535</v>
      </c>
      <c r="AA40" s="27">
        <f t="shared" si="188"/>
        <v>208.6820000000001</v>
      </c>
      <c r="AB40" s="25">
        <f t="shared" si="188"/>
        <v>218.982</v>
      </c>
      <c r="AC40" s="26">
        <f t="shared" si="188"/>
        <v>226.84100000000001</v>
      </c>
      <c r="AD40" s="26">
        <f t="shared" si="188"/>
        <v>218.23299999999998</v>
      </c>
      <c r="AE40" s="27">
        <f t="shared" ref="AE40:AJ40" si="189">AE33-AE36-AE37</f>
        <v>231.55600000000001</v>
      </c>
      <c r="AF40" s="25">
        <f t="shared" si="189"/>
        <v>242.369</v>
      </c>
      <c r="AG40" s="26">
        <f t="shared" si="189"/>
        <v>249.465</v>
      </c>
      <c r="AH40" s="26">
        <f t="shared" si="189"/>
        <v>263.11700000000002</v>
      </c>
      <c r="AI40" s="27">
        <f t="shared" si="189"/>
        <v>254.583</v>
      </c>
      <c r="AJ40" s="25">
        <f t="shared" si="189"/>
        <v>255.52600000000001</v>
      </c>
      <c r="AK40" s="26">
        <f t="shared" ref="AK40:AU40" si="190">AK33-AK36-AK37</f>
        <v>263.66700000000003</v>
      </c>
      <c r="AL40" s="26">
        <f t="shared" si="190"/>
        <v>263.15500000000003</v>
      </c>
      <c r="AM40" s="27">
        <f t="shared" si="190"/>
        <v>274.11200000000002</v>
      </c>
      <c r="AN40" s="25">
        <f t="shared" si="190"/>
        <v>278.65200000000004</v>
      </c>
      <c r="AO40" s="26">
        <f t="shared" si="190"/>
        <v>293.77699999999999</v>
      </c>
      <c r="AP40" s="26">
        <f t="shared" si="190"/>
        <v>291.26400000000001</v>
      </c>
      <c r="AQ40" s="27">
        <f t="shared" si="190"/>
        <v>287.95499999999998</v>
      </c>
      <c r="AR40" s="25">
        <f t="shared" si="190"/>
        <v>290.68099999999998</v>
      </c>
      <c r="AS40" s="26">
        <f t="shared" si="190"/>
        <v>294.35200000000003</v>
      </c>
      <c r="AT40" s="26">
        <f t="shared" si="190"/>
        <v>288.34699999999998</v>
      </c>
      <c r="AU40" s="27">
        <f t="shared" si="190"/>
        <v>285.43</v>
      </c>
      <c r="AV40" s="25">
        <f>AV33-AV36-AV37</f>
        <v>280.11399999999998</v>
      </c>
      <c r="AW40" s="26">
        <f t="shared" ref="AW40:AY40" si="191">AW33-AW36-AW37</f>
        <v>280.50700000000001</v>
      </c>
      <c r="AX40" s="26">
        <f t="shared" si="191"/>
        <v>219.80200000000002</v>
      </c>
      <c r="AY40" s="27">
        <f t="shared" si="191"/>
        <v>232.51500000000001</v>
      </c>
      <c r="AZ40" s="25">
        <f>AZ33-AZ36-AZ37</f>
        <v>240.50699999999998</v>
      </c>
      <c r="BA40" s="26">
        <f t="shared" ref="BA40:BC40" si="192">BA33-BA36-BA37</f>
        <v>228.71700000000001</v>
      </c>
      <c r="BB40" s="26">
        <f t="shared" si="192"/>
        <v>222.46299999999999</v>
      </c>
      <c r="BC40" s="27">
        <f t="shared" si="192"/>
        <v>228.37</v>
      </c>
      <c r="BD40" s="25">
        <f>BD33-BD36-BD37</f>
        <v>190.86699999999999</v>
      </c>
      <c r="BE40" s="26">
        <f t="shared" ref="BE40:BG40" si="193">BE33-BE36-BE37</f>
        <v>179.08100000000002</v>
      </c>
      <c r="BF40" s="26">
        <f t="shared" si="193"/>
        <v>165.745</v>
      </c>
      <c r="BG40" s="27">
        <f t="shared" si="193"/>
        <v>180</v>
      </c>
      <c r="BH40" s="25">
        <f t="shared" ref="BH40:BK40" si="194">BH33-BH36-BH37</f>
        <v>177.20101004999998</v>
      </c>
      <c r="BI40" s="26">
        <f t="shared" si="194"/>
        <v>179.703155283</v>
      </c>
      <c r="BJ40" s="26">
        <f t="shared" si="194"/>
        <v>183.09945943746447</v>
      </c>
      <c r="BK40" s="26">
        <f t="shared" si="194"/>
        <v>181.39040488242446</v>
      </c>
      <c r="BL40" s="25">
        <f t="shared" ref="BL40:BO40" si="195">BL33-BL36-BL37</f>
        <v>173.27106083861952</v>
      </c>
      <c r="BM40" s="26">
        <f t="shared" si="195"/>
        <v>184.31622787618147</v>
      </c>
      <c r="BN40" s="26">
        <f t="shared" si="195"/>
        <v>190.52143698421997</v>
      </c>
      <c r="BO40" s="597">
        <f t="shared" si="195"/>
        <v>188.3078072811808</v>
      </c>
      <c r="BP40" s="347"/>
      <c r="BQ40" s="25">
        <f t="shared" ref="BQ40:BW40" si="196">BQ33-BQ36-BQ37</f>
        <v>263.26100000000002</v>
      </c>
      <c r="BR40" s="26">
        <f t="shared" si="196"/>
        <v>366.74</v>
      </c>
      <c r="BS40" s="26">
        <f t="shared" si="196"/>
        <v>658.21100000000001</v>
      </c>
      <c r="BT40" s="26">
        <f t="shared" si="196"/>
        <v>994.202</v>
      </c>
      <c r="BU40" s="26">
        <f t="shared" si="196"/>
        <v>933.64200000000005</v>
      </c>
      <c r="BV40" s="26">
        <f t="shared" si="196"/>
        <v>814.95000000000016</v>
      </c>
      <c r="BW40" s="26">
        <f t="shared" si="196"/>
        <v>895.61199999999997</v>
      </c>
      <c r="BX40" s="26">
        <f t="shared" ref="BX40:CA40" si="197">BX33-BX36-BX37</f>
        <v>1009.534</v>
      </c>
      <c r="BY40" s="26">
        <f t="shared" si="197"/>
        <v>1056.46</v>
      </c>
      <c r="BZ40" s="26">
        <f t="shared" si="197"/>
        <v>1151.6479999999997</v>
      </c>
      <c r="CA40" s="26">
        <f t="shared" si="197"/>
        <v>1158.81</v>
      </c>
      <c r="CB40" s="26">
        <f>CB33-CB36-CB37</f>
        <v>1012.9379999999999</v>
      </c>
      <c r="CC40" s="26">
        <f>CC33-CC36-CC37</f>
        <v>920.0569999999999</v>
      </c>
      <c r="CD40" s="26">
        <f>CD33-CD36-CD37</f>
        <v>715.69299999999998</v>
      </c>
      <c r="CE40" s="26">
        <f>CE33-CE36-CE37</f>
        <v>721.394029652889</v>
      </c>
      <c r="CF40" s="26">
        <f>CF33-CF36-CF37</f>
        <v>736.41653298020174</v>
      </c>
      <c r="CG40" s="597">
        <f t="shared" ref="CG40" si="198">CG33-CG36-CG37</f>
        <v>736.41653298020174</v>
      </c>
      <c r="CH40" s="336"/>
    </row>
    <row r="41" spans="2:86" ht="14.25" hidden="1" outlineLevel="1">
      <c r="B41" s="28" t="s">
        <v>11</v>
      </c>
      <c r="C41" s="29"/>
      <c r="D41" s="38">
        <f t="shared" ref="D41:AO41" si="199">D40/D12</f>
        <v>0.234708450646754</v>
      </c>
      <c r="E41" s="31">
        <f t="shared" si="199"/>
        <v>0.21549768806746672</v>
      </c>
      <c r="F41" s="31">
        <f t="shared" si="199"/>
        <v>0.20900992811328062</v>
      </c>
      <c r="G41" s="32">
        <f t="shared" si="199"/>
        <v>0.20447238337065729</v>
      </c>
      <c r="H41" s="38">
        <f t="shared" si="199"/>
        <v>0.21369630177920335</v>
      </c>
      <c r="I41" s="31">
        <f t="shared" si="199"/>
        <v>0.22564757948439509</v>
      </c>
      <c r="J41" s="31">
        <f t="shared" si="199"/>
        <v>0.1949247229042359</v>
      </c>
      <c r="K41" s="32">
        <f t="shared" si="199"/>
        <v>0.24056881574427005</v>
      </c>
      <c r="L41" s="38">
        <f t="shared" si="199"/>
        <v>0.24794511086040569</v>
      </c>
      <c r="M41" s="31">
        <f t="shared" si="199"/>
        <v>0.26593900537470494</v>
      </c>
      <c r="N41" s="31">
        <f t="shared" si="199"/>
        <v>0.29388852378371938</v>
      </c>
      <c r="O41" s="32">
        <f t="shared" si="199"/>
        <v>0.35917739326724302</v>
      </c>
      <c r="P41" s="38">
        <f t="shared" si="199"/>
        <v>0.36868435556255419</v>
      </c>
      <c r="Q41" s="31">
        <f t="shared" si="199"/>
        <v>0.35966201266614994</v>
      </c>
      <c r="R41" s="31">
        <f t="shared" si="199"/>
        <v>0.33261632768257271</v>
      </c>
      <c r="S41" s="32">
        <f t="shared" si="199"/>
        <v>0.32162247272951128</v>
      </c>
      <c r="T41" s="38">
        <f t="shared" si="199"/>
        <v>0.29658303018996984</v>
      </c>
      <c r="U41" s="31">
        <f t="shared" si="199"/>
        <v>0.29637005607809391</v>
      </c>
      <c r="V41" s="31">
        <f t="shared" si="199"/>
        <v>0.29609150416031432</v>
      </c>
      <c r="W41" s="32">
        <f t="shared" si="199"/>
        <v>0.4118631146086611</v>
      </c>
      <c r="X41" s="38">
        <f t="shared" si="199"/>
        <v>0.38403517990771602</v>
      </c>
      <c r="Y41" s="31">
        <f t="shared" si="199"/>
        <v>0.3035871499484874</v>
      </c>
      <c r="Z41" s="31">
        <f t="shared" si="199"/>
        <v>0.26339873838560179</v>
      </c>
      <c r="AA41" s="32">
        <f t="shared" si="199"/>
        <v>0.24768347902461038</v>
      </c>
      <c r="AB41" s="38">
        <f t="shared" si="199"/>
        <v>0.25594597342852032</v>
      </c>
      <c r="AC41" s="31">
        <f t="shared" si="199"/>
        <v>0.25303689789107103</v>
      </c>
      <c r="AD41" s="31">
        <f t="shared" si="199"/>
        <v>0.227485518493694</v>
      </c>
      <c r="AE41" s="32">
        <f t="shared" si="199"/>
        <v>0.25713787585520698</v>
      </c>
      <c r="AF41" s="38">
        <f t="shared" si="199"/>
        <v>0.30205433186856462</v>
      </c>
      <c r="AG41" s="31">
        <f t="shared" si="199"/>
        <v>0.2779492378999911</v>
      </c>
      <c r="AH41" s="31">
        <f t="shared" si="199"/>
        <v>0.27684374332529826</v>
      </c>
      <c r="AI41" s="32">
        <f t="shared" si="199"/>
        <v>0.34277993432081011</v>
      </c>
      <c r="AJ41" s="38">
        <f t="shared" si="199"/>
        <v>0.32087107318255392</v>
      </c>
      <c r="AK41" s="31">
        <f t="shared" si="199"/>
        <v>0.32308014664797624</v>
      </c>
      <c r="AL41" s="31">
        <f t="shared" si="199"/>
        <v>0.33699757069258957</v>
      </c>
      <c r="AM41" s="32">
        <f t="shared" si="199"/>
        <v>0.35355877899222748</v>
      </c>
      <c r="AN41" s="38">
        <f t="shared" si="199"/>
        <v>0.37944412141580053</v>
      </c>
      <c r="AO41" s="31">
        <f t="shared" si="199"/>
        <v>0.36401067583909913</v>
      </c>
      <c r="AP41" s="31">
        <f t="shared" ref="AP41:AU41" si="200">AP40/AP12</f>
        <v>0.31277477218204819</v>
      </c>
      <c r="AQ41" s="32">
        <f t="shared" si="200"/>
        <v>0.30904782296519767</v>
      </c>
      <c r="AR41" s="38">
        <f t="shared" si="200"/>
        <v>0.30347869663719029</v>
      </c>
      <c r="AS41" s="31">
        <f t="shared" si="200"/>
        <v>0.3061239983568112</v>
      </c>
      <c r="AT41" s="31">
        <f>AT40/AT12</f>
        <v>0.31000520354012745</v>
      </c>
      <c r="AU41" s="32">
        <f t="shared" si="200"/>
        <v>0.332881607366943</v>
      </c>
      <c r="AV41" s="38">
        <f>AV40/AV12</f>
        <v>0.38674394715914107</v>
      </c>
      <c r="AW41" s="31">
        <f t="shared" ref="AW41:AY41" si="201">AW40/AW12</f>
        <v>0.39480669733086371</v>
      </c>
      <c r="AX41" s="31">
        <f t="shared" si="201"/>
        <v>0.32568566729392939</v>
      </c>
      <c r="AY41" s="32">
        <f t="shared" si="201"/>
        <v>0.37736262452163244</v>
      </c>
      <c r="AZ41" s="38">
        <f>AZ40/AZ12</f>
        <v>0.44470639138200735</v>
      </c>
      <c r="BA41" s="31">
        <f t="shared" ref="BA41:BC41" si="202">BA40/BA12</f>
        <v>0.36512697875492495</v>
      </c>
      <c r="BB41" s="492">
        <f t="shared" si="202"/>
        <v>0.33993814388880567</v>
      </c>
      <c r="BC41" s="32">
        <f t="shared" si="202"/>
        <v>0.39966748337416874</v>
      </c>
      <c r="BD41" s="38">
        <f>BD40/BD12</f>
        <v>0.32954694568182602</v>
      </c>
      <c r="BE41" s="492">
        <f t="shared" ref="BE41:BG41" si="203">BE40/BE12</f>
        <v>0.29612401818933448</v>
      </c>
      <c r="BF41" s="562">
        <f t="shared" si="203"/>
        <v>0.26893471058020257</v>
      </c>
      <c r="BG41" s="563">
        <f t="shared" si="203"/>
        <v>0.29248841014674792</v>
      </c>
      <c r="BH41" s="566">
        <f t="shared" ref="BH41:BK41" si="204">BH40/BH12</f>
        <v>0.29499999999999998</v>
      </c>
      <c r="BI41" s="562">
        <f t="shared" si="204"/>
        <v>0.28999999999999998</v>
      </c>
      <c r="BJ41" s="562">
        <f t="shared" si="204"/>
        <v>0.28699999999999998</v>
      </c>
      <c r="BK41" s="562">
        <f t="shared" si="204"/>
        <v>0.28699999999999998</v>
      </c>
      <c r="BL41" s="566">
        <f t="shared" ref="BL41:BO41" si="205">BL40/BL12</f>
        <v>0.28999999999999998</v>
      </c>
      <c r="BM41" s="562">
        <f t="shared" si="205"/>
        <v>0.28999999999999998</v>
      </c>
      <c r="BN41" s="562">
        <f t="shared" si="205"/>
        <v>0.28999999999999998</v>
      </c>
      <c r="BO41" s="598">
        <f t="shared" si="205"/>
        <v>0.28999999999999998</v>
      </c>
      <c r="BP41" s="347"/>
      <c r="BQ41" s="566">
        <f t="shared" ref="BQ41:CA41" si="206">BQ40/BQ12</f>
        <v>0.21498064642571335</v>
      </c>
      <c r="BR41" s="562">
        <f t="shared" si="206"/>
        <v>0.21956981702315678</v>
      </c>
      <c r="BS41" s="562">
        <f t="shared" si="206"/>
        <v>0.29416554602282047</v>
      </c>
      <c r="BT41" s="562">
        <f t="shared" si="206"/>
        <v>0.3434568018093801</v>
      </c>
      <c r="BU41" s="562">
        <f t="shared" si="206"/>
        <v>0.31642842399908089</v>
      </c>
      <c r="BV41" s="562">
        <f t="shared" si="206"/>
        <v>0.29025671308803302</v>
      </c>
      <c r="BW41" s="562">
        <f t="shared" si="206"/>
        <v>0.24796194128674354</v>
      </c>
      <c r="BX41" s="562">
        <f t="shared" si="206"/>
        <v>0.29753082781222739</v>
      </c>
      <c r="BY41" s="562">
        <f t="shared" si="206"/>
        <v>0.33341223178471457</v>
      </c>
      <c r="BZ41" s="562">
        <f t="shared" si="206"/>
        <v>0.33828222300552213</v>
      </c>
      <c r="CA41" s="562">
        <f t="shared" si="206"/>
        <v>0.31260360570094714</v>
      </c>
      <c r="CB41" s="562">
        <f t="shared" ref="CB41:CG41" si="207">CB40/CB12</f>
        <v>0.37160745285469221</v>
      </c>
      <c r="CC41" s="562">
        <f t="shared" si="207"/>
        <v>0.38447076698837623</v>
      </c>
      <c r="CD41" s="562">
        <f t="shared" si="207"/>
        <v>0.29627457060051554</v>
      </c>
      <c r="CE41" s="562">
        <f t="shared" si="207"/>
        <v>0.28967611274996019</v>
      </c>
      <c r="CF41" s="562">
        <f t="shared" si="207"/>
        <v>0.28999999999999998</v>
      </c>
      <c r="CG41" s="598">
        <f t="shared" si="207"/>
        <v>0.28999999999999998</v>
      </c>
      <c r="CH41" s="336"/>
    </row>
    <row r="42" spans="2:86" ht="9" customHeight="1" collapsed="1">
      <c r="B42" s="44"/>
      <c r="C42" s="45"/>
      <c r="D42" s="35"/>
      <c r="E42" s="36"/>
      <c r="F42" s="36"/>
      <c r="G42" s="37"/>
      <c r="H42" s="35"/>
      <c r="I42" s="36"/>
      <c r="J42" s="36"/>
      <c r="K42" s="37"/>
      <c r="L42" s="35"/>
      <c r="M42" s="36"/>
      <c r="N42" s="36"/>
      <c r="O42" s="37"/>
      <c r="P42" s="35"/>
      <c r="Q42" s="36"/>
      <c r="R42" s="36"/>
      <c r="S42" s="37"/>
      <c r="T42" s="35"/>
      <c r="U42" s="36"/>
      <c r="V42" s="36"/>
      <c r="W42" s="37"/>
      <c r="X42" s="35"/>
      <c r="Y42" s="36"/>
      <c r="Z42" s="36"/>
      <c r="AA42" s="37"/>
      <c r="AB42" s="35"/>
      <c r="AC42" s="36"/>
      <c r="AD42" s="36"/>
      <c r="AE42" s="37"/>
      <c r="AF42" s="35"/>
      <c r="AG42" s="36"/>
      <c r="AH42" s="36"/>
      <c r="AI42" s="37"/>
      <c r="AJ42" s="35"/>
      <c r="AK42" s="36"/>
      <c r="AL42" s="36"/>
      <c r="AM42" s="37"/>
      <c r="AN42" s="35"/>
      <c r="AO42" s="36"/>
      <c r="AP42" s="36"/>
      <c r="AQ42" s="37"/>
      <c r="AR42" s="35"/>
      <c r="AS42" s="36"/>
      <c r="AT42" s="36"/>
      <c r="AU42" s="37"/>
      <c r="AV42" s="35"/>
      <c r="AW42" s="36"/>
      <c r="AX42" s="36"/>
      <c r="AY42" s="37"/>
      <c r="AZ42" s="35"/>
      <c r="BA42" s="36"/>
      <c r="BB42" s="36"/>
      <c r="BC42" s="37"/>
      <c r="BD42" s="35"/>
      <c r="BE42" s="36"/>
      <c r="BF42" s="36"/>
      <c r="BG42" s="37"/>
      <c r="BH42" s="35"/>
      <c r="BI42" s="36"/>
      <c r="BJ42" s="36"/>
      <c r="BK42" s="36"/>
      <c r="BL42" s="35"/>
      <c r="BM42" s="36"/>
      <c r="BN42" s="36"/>
      <c r="BO42" s="599"/>
      <c r="BP42" s="347"/>
      <c r="BQ42" s="683"/>
      <c r="BR42" s="338"/>
      <c r="BS42" s="338"/>
      <c r="BT42" s="338"/>
      <c r="BU42" s="338"/>
      <c r="BV42" s="338"/>
      <c r="BW42" s="338"/>
      <c r="BX42" s="338"/>
      <c r="BY42" s="338"/>
      <c r="BZ42" s="338"/>
      <c r="CA42" s="338"/>
      <c r="CB42" s="338"/>
      <c r="CC42" s="338"/>
      <c r="CD42" s="338"/>
      <c r="CE42" s="338"/>
      <c r="CF42" s="338"/>
      <c r="CG42" s="599"/>
      <c r="CH42" s="336"/>
    </row>
    <row r="43" spans="2:86" ht="14.25" hidden="1" outlineLevel="1">
      <c r="B43" s="16" t="s">
        <v>102</v>
      </c>
      <c r="C43" s="17"/>
      <c r="D43" s="22">
        <v>18.701000000000001</v>
      </c>
      <c r="E43" s="23">
        <v>19.884</v>
      </c>
      <c r="F43" s="23">
        <v>19.381</v>
      </c>
      <c r="G43" s="24">
        <f>76.57-F43-E43-D43</f>
        <v>18.603999999999992</v>
      </c>
      <c r="H43" s="22">
        <v>22.021999999999998</v>
      </c>
      <c r="I43" s="23">
        <v>26.138999999999999</v>
      </c>
      <c r="J43" s="23">
        <v>23.129000000000001</v>
      </c>
      <c r="K43" s="24">
        <v>33.428000000000004</v>
      </c>
      <c r="L43" s="22">
        <v>38.862000000000002</v>
      </c>
      <c r="M43" s="23">
        <v>39.267000000000003</v>
      </c>
      <c r="N43" s="23">
        <v>37.875</v>
      </c>
      <c r="O43" s="24">
        <v>60.099000000000011</v>
      </c>
      <c r="P43" s="22">
        <v>50.392000000000003</v>
      </c>
      <c r="Q43" s="23">
        <v>53.942</v>
      </c>
      <c r="R43" s="23">
        <v>46.423000000000002</v>
      </c>
      <c r="S43" s="24">
        <v>62.015999999999984</v>
      </c>
      <c r="T43" s="22">
        <v>46.088000000000001</v>
      </c>
      <c r="U43" s="23">
        <v>41.834000000000003</v>
      </c>
      <c r="V43" s="23">
        <v>41.158000000000001</v>
      </c>
      <c r="W43" s="24">
        <v>32.622999999999998</v>
      </c>
      <c r="X43" s="22">
        <v>33.909999999999997</v>
      </c>
      <c r="Y43" s="23">
        <v>32.908000000000001</v>
      </c>
      <c r="Z43" s="23">
        <v>35.442</v>
      </c>
      <c r="AA43" s="24">
        <v>37.143999999999991</v>
      </c>
      <c r="AB43" s="22">
        <v>38.423000000000002</v>
      </c>
      <c r="AC43" s="23">
        <v>36.863</v>
      </c>
      <c r="AD43" s="23">
        <v>39.750999999999998</v>
      </c>
      <c r="AE43" s="24">
        <v>40.444000000000003</v>
      </c>
      <c r="AF43" s="22">
        <v>38.152000000000001</v>
      </c>
      <c r="AG43" s="23">
        <v>40.39</v>
      </c>
      <c r="AH43" s="23">
        <v>40.5</v>
      </c>
      <c r="AI43" s="24">
        <v>40.392000000000003</v>
      </c>
      <c r="AJ43" s="22">
        <v>40.066000000000003</v>
      </c>
      <c r="AK43" s="23">
        <v>41.033999999999999</v>
      </c>
      <c r="AL43" s="23">
        <v>38.398000000000003</v>
      </c>
      <c r="AM43" s="24">
        <v>42.319000000000003</v>
      </c>
      <c r="AN43" s="22">
        <v>39.988999999999997</v>
      </c>
      <c r="AO43" s="23">
        <v>38.548000000000002</v>
      </c>
      <c r="AP43" s="23">
        <v>37.496000000000002</v>
      </c>
      <c r="AQ43" s="24">
        <v>36.664999999999999</v>
      </c>
      <c r="AR43" s="22">
        <v>38.357999999999997</v>
      </c>
      <c r="AS43" s="23">
        <v>33.948999999999998</v>
      </c>
      <c r="AT43" s="23">
        <v>34.409999999999997</v>
      </c>
      <c r="AU43" s="24">
        <v>37.234999999999999</v>
      </c>
      <c r="AV43" s="22">
        <v>36.173999999999999</v>
      </c>
      <c r="AW43" s="23">
        <v>30.841000000000001</v>
      </c>
      <c r="AX43" s="23">
        <v>30.582000000000001</v>
      </c>
      <c r="AY43" s="24">
        <v>31.300999999999998</v>
      </c>
      <c r="AZ43" s="22">
        <v>31.379000000000001</v>
      </c>
      <c r="BA43" s="23">
        <v>31.094000000000001</v>
      </c>
      <c r="BB43" s="23">
        <v>30.576000000000001</v>
      </c>
      <c r="BC43" s="24">
        <v>29.154</v>
      </c>
      <c r="BD43" s="22">
        <v>55.210999999999999</v>
      </c>
      <c r="BE43" s="23">
        <v>55.658999999999999</v>
      </c>
      <c r="BF43" s="23">
        <v>59.112000000000002</v>
      </c>
      <c r="BG43" s="24">
        <v>68.290999999999997</v>
      </c>
      <c r="BH43" s="639">
        <f>BH10*BH44</f>
        <v>57.064732049999996</v>
      </c>
      <c r="BI43" s="2">
        <f t="shared" ref="BI43:BK43" si="208">BI10*BI44</f>
        <v>57.009276848399999</v>
      </c>
      <c r="BJ43" s="2">
        <f t="shared" si="208"/>
        <v>58.693903373681998</v>
      </c>
      <c r="BK43" s="2">
        <f t="shared" si="208"/>
        <v>58.146053133041995</v>
      </c>
      <c r="BL43" s="639">
        <f>BL10*BL44</f>
        <v>55.267493543352785</v>
      </c>
      <c r="BM43" s="2">
        <f t="shared" ref="BM43:BO43" si="209">BM10*BM44</f>
        <v>58.790520960506157</v>
      </c>
      <c r="BN43" s="2">
        <f t="shared" si="209"/>
        <v>60.769768693242582</v>
      </c>
      <c r="BO43" s="611">
        <f t="shared" si="209"/>
        <v>60.063697150031807</v>
      </c>
      <c r="BP43" s="1"/>
      <c r="BQ43" s="25">
        <f>SUM(D43:G43)</f>
        <v>76.569999999999993</v>
      </c>
      <c r="BR43" s="26">
        <f>SUM(H43:K43)</f>
        <v>104.71800000000002</v>
      </c>
      <c r="BS43" s="26">
        <f>SUM(L43:O43)</f>
        <v>176.10300000000001</v>
      </c>
      <c r="BT43" s="26">
        <f>SUM(P43:S43)</f>
        <v>212.773</v>
      </c>
      <c r="BU43" s="26">
        <f>SUM(T43:W43)</f>
        <v>161.70299999999997</v>
      </c>
      <c r="BV43" s="26">
        <f>SUM(X43:AA43)</f>
        <v>139.404</v>
      </c>
      <c r="BW43" s="26">
        <f>SUM(AB43:AE43)</f>
        <v>155.48099999999999</v>
      </c>
      <c r="BX43" s="26">
        <f>SUM(AF43:AI43)</f>
        <v>159.434</v>
      </c>
      <c r="BY43" s="26">
        <f>SUM(AJ43:AM43)</f>
        <v>161.81700000000001</v>
      </c>
      <c r="BZ43" s="26">
        <f>SUM(AN43:AQ43)</f>
        <v>152.69800000000001</v>
      </c>
      <c r="CA43" s="26">
        <f>SUM(AR43:AU43)</f>
        <v>143.952</v>
      </c>
      <c r="CB43" s="26">
        <f>SUM(AV43:AY43)</f>
        <v>128.898</v>
      </c>
      <c r="CC43" s="26">
        <f>SUM(AZ43:BC43)</f>
        <v>122.203</v>
      </c>
      <c r="CD43" s="26">
        <f>SUM(BD43:BG43)</f>
        <v>238.273</v>
      </c>
      <c r="CE43" s="26">
        <f>SUM(BH43:BK43)</f>
        <v>230.91396540512397</v>
      </c>
      <c r="CF43" s="26">
        <f>SUM(BL43:BO43)</f>
        <v>234.89148034713332</v>
      </c>
      <c r="CG43" s="600">
        <f>CF43*(1+CG14*2/3)</f>
        <v>234.89148034713332</v>
      </c>
      <c r="CH43" s="336"/>
    </row>
    <row r="44" spans="2:86" ht="14.25" hidden="1" outlineLevel="1">
      <c r="B44" s="28" t="s">
        <v>6</v>
      </c>
      <c r="C44" s="29"/>
      <c r="D44" s="38">
        <f t="shared" ref="D44:AO44" si="210">D43/D10</f>
        <v>6.9371645207120788E-2</v>
      </c>
      <c r="E44" s="31">
        <f t="shared" si="210"/>
        <v>6.6914798387368163E-2</v>
      </c>
      <c r="F44" s="31">
        <f t="shared" si="210"/>
        <v>6.1026566283459753E-2</v>
      </c>
      <c r="G44" s="32">
        <f t="shared" si="210"/>
        <v>5.4674872011896573E-2</v>
      </c>
      <c r="H44" s="38">
        <f t="shared" si="210"/>
        <v>6.0372289387833428E-2</v>
      </c>
      <c r="I44" s="31">
        <f t="shared" si="210"/>
        <v>6.6945145907072276E-2</v>
      </c>
      <c r="J44" s="31">
        <f t="shared" si="210"/>
        <v>5.4290113748926123E-2</v>
      </c>
      <c r="K44" s="32">
        <f t="shared" si="210"/>
        <v>6.8357681548252003E-2</v>
      </c>
      <c r="L44" s="38">
        <f t="shared" si="210"/>
        <v>7.4563120208136671E-2</v>
      </c>
      <c r="M44" s="31">
        <f t="shared" si="210"/>
        <v>6.841119541451432E-2</v>
      </c>
      <c r="N44" s="31">
        <f t="shared" si="210"/>
        <v>7.2780833131564679E-2</v>
      </c>
      <c r="O44" s="32">
        <f t="shared" si="210"/>
        <v>9.6626225533543289E-2</v>
      </c>
      <c r="P44" s="38">
        <f t="shared" si="210"/>
        <v>7.9351232186442022E-2</v>
      </c>
      <c r="Q44" s="31">
        <f t="shared" si="210"/>
        <v>8.2139632197420168E-2</v>
      </c>
      <c r="R44" s="31">
        <f t="shared" si="210"/>
        <v>6.1224193731322027E-2</v>
      </c>
      <c r="S44" s="32">
        <f t="shared" si="210"/>
        <v>7.3418998302327704E-2</v>
      </c>
      <c r="T44" s="38">
        <f t="shared" si="210"/>
        <v>5.7318036252837108E-2</v>
      </c>
      <c r="U44" s="31">
        <f t="shared" si="210"/>
        <v>4.9650179509242505E-2</v>
      </c>
      <c r="V44" s="31">
        <f t="shared" si="210"/>
        <v>5.2029844029297917E-2</v>
      </c>
      <c r="W44" s="32">
        <f t="shared" si="210"/>
        <v>6.3609083836550243E-2</v>
      </c>
      <c r="X44" s="38">
        <f t="shared" si="210"/>
        <v>6.5032199664770612E-2</v>
      </c>
      <c r="Y44" s="31">
        <f t="shared" si="210"/>
        <v>5.1368986294527179E-2</v>
      </c>
      <c r="Z44" s="31">
        <f t="shared" si="210"/>
        <v>4.4131600377537987E-2</v>
      </c>
      <c r="AA44" s="32">
        <f t="shared" si="210"/>
        <v>4.4086002361919674E-2</v>
      </c>
      <c r="AB44" s="38">
        <f t="shared" si="210"/>
        <v>4.4908769383072755E-2</v>
      </c>
      <c r="AC44" s="31">
        <f t="shared" si="210"/>
        <v>4.1119987863563245E-2</v>
      </c>
      <c r="AD44" s="31">
        <f t="shared" si="210"/>
        <v>4.1436340267708503E-2</v>
      </c>
      <c r="AE44" s="32">
        <f t="shared" si="210"/>
        <v>4.4912177836411021E-2</v>
      </c>
      <c r="AF44" s="38">
        <f t="shared" si="210"/>
        <v>4.7547239413660486E-2</v>
      </c>
      <c r="AG44" s="31">
        <f t="shared" si="210"/>
        <v>4.5001782690079331E-2</v>
      </c>
      <c r="AH44" s="31">
        <f t="shared" si="210"/>
        <v>4.2612874138404512E-2</v>
      </c>
      <c r="AI44" s="32">
        <f t="shared" si="210"/>
        <v>5.4385277520832748E-2</v>
      </c>
      <c r="AJ44" s="38">
        <f t="shared" si="210"/>
        <v>5.0311985544062861E-2</v>
      </c>
      <c r="AK44" s="31">
        <f t="shared" si="210"/>
        <v>5.0280356425161495E-2</v>
      </c>
      <c r="AL44" s="31">
        <f t="shared" si="210"/>
        <v>4.9172665233242971E-2</v>
      </c>
      <c r="AM44" s="32">
        <f t="shared" si="210"/>
        <v>5.4584454413422523E-2</v>
      </c>
      <c r="AN44" s="38">
        <f t="shared" si="210"/>
        <v>5.445355128007854E-2</v>
      </c>
      <c r="AO44" s="31">
        <f t="shared" si="210"/>
        <v>4.7763723954719374E-2</v>
      </c>
      <c r="AP44" s="31">
        <f t="shared" ref="AP44:AU44" si="211">AP43/AP10</f>
        <v>4.0265198780961874E-2</v>
      </c>
      <c r="AQ44" s="32">
        <f t="shared" si="211"/>
        <v>3.9350726429542716E-2</v>
      </c>
      <c r="AR44" s="38">
        <f t="shared" si="211"/>
        <v>4.0046772391760535E-2</v>
      </c>
      <c r="AS44" s="31">
        <f t="shared" si="211"/>
        <v>3.5306719914304584E-2</v>
      </c>
      <c r="AT44" s="31">
        <f>AT43/AT10</f>
        <v>3.699459003844599E-2</v>
      </c>
      <c r="AU44" s="32">
        <f t="shared" si="211"/>
        <v>4.342517132154336E-2</v>
      </c>
      <c r="AV44" s="38">
        <f>AV43/AV10</f>
        <v>4.9944221083325968E-2</v>
      </c>
      <c r="AW44" s="31">
        <f t="shared" ref="AW44:AY44" si="212">AW43/AW10</f>
        <v>4.3407948294984323E-2</v>
      </c>
      <c r="AX44" s="31">
        <f t="shared" si="212"/>
        <v>4.531405117871061E-2</v>
      </c>
      <c r="AY44" s="32">
        <f t="shared" si="212"/>
        <v>5.0800281745915818E-2</v>
      </c>
      <c r="AZ44" s="38">
        <f>AZ43/AZ10</f>
        <v>5.8020938497324447E-2</v>
      </c>
      <c r="BA44" s="31">
        <f t="shared" ref="BA44:BC44" si="213">BA43/BA10</f>
        <v>4.9638891194819956E-2</v>
      </c>
      <c r="BB44" s="492">
        <f t="shared" si="213"/>
        <v>4.6722145649137709E-2</v>
      </c>
      <c r="BC44" s="32">
        <f t="shared" si="213"/>
        <v>5.102205110255513E-2</v>
      </c>
      <c r="BD44" s="38">
        <f>BD43/BD10</f>
        <v>9.5326150764874482E-2</v>
      </c>
      <c r="BE44" s="492">
        <f t="shared" ref="BE44:BG44" si="214">BE43/BE10</f>
        <v>9.2036378668871432E-2</v>
      </c>
      <c r="BF44" s="562">
        <f t="shared" si="214"/>
        <v>9.5914016180379105E-2</v>
      </c>
      <c r="BG44" s="563">
        <f t="shared" si="214"/>
        <v>0.11096847787406423</v>
      </c>
      <c r="BH44" s="566">
        <v>9.5000000000000001E-2</v>
      </c>
      <c r="BI44" s="562">
        <v>9.1999999999999998E-2</v>
      </c>
      <c r="BJ44" s="562">
        <f>BI44</f>
        <v>9.1999999999999998E-2</v>
      </c>
      <c r="BK44" s="562">
        <f>BJ44</f>
        <v>9.1999999999999998E-2</v>
      </c>
      <c r="BL44" s="566">
        <v>9.2499999999999999E-2</v>
      </c>
      <c r="BM44" s="562">
        <f t="shared" ref="BM44:BO44" si="215">BL44</f>
        <v>9.2499999999999999E-2</v>
      </c>
      <c r="BN44" s="562">
        <f t="shared" si="215"/>
        <v>9.2499999999999999E-2</v>
      </c>
      <c r="BO44" s="598">
        <f t="shared" si="215"/>
        <v>9.2499999999999999E-2</v>
      </c>
      <c r="BP44" s="347"/>
      <c r="BQ44" s="566">
        <f t="shared" ref="BQ44:CA44" si="216">BQ43/BQ10</f>
        <v>6.2527560469712057E-2</v>
      </c>
      <c r="BR44" s="562">
        <f t="shared" si="216"/>
        <v>6.2695403007664657E-2</v>
      </c>
      <c r="BS44" s="562">
        <f t="shared" si="216"/>
        <v>7.8703387137645464E-2</v>
      </c>
      <c r="BT44" s="562">
        <f t="shared" si="216"/>
        <v>7.3504513259264451E-2</v>
      </c>
      <c r="BU44" s="562">
        <f t="shared" si="216"/>
        <v>5.4804117044780942E-2</v>
      </c>
      <c r="BV44" s="562">
        <f t="shared" si="216"/>
        <v>4.9650833586507327E-2</v>
      </c>
      <c r="BW44" s="562">
        <f t="shared" si="216"/>
        <v>4.304695626365454E-2</v>
      </c>
      <c r="BX44" s="562">
        <f t="shared" si="216"/>
        <v>4.698854124914531E-2</v>
      </c>
      <c r="BY44" s="562">
        <f t="shared" si="216"/>
        <v>5.106844282860417E-2</v>
      </c>
      <c r="BZ44" s="562">
        <f t="shared" si="216"/>
        <v>4.4853131241922216E-2</v>
      </c>
      <c r="CA44" s="562">
        <f t="shared" si="216"/>
        <v>3.8832866688985029E-2</v>
      </c>
      <c r="CB44" s="562">
        <f>CB43/CB10</f>
        <v>4.7287649844377562E-2</v>
      </c>
      <c r="CC44" s="562">
        <f>CC43/CC10</f>
        <v>5.1065837375597979E-2</v>
      </c>
      <c r="CD44" s="562">
        <f>CD43/CD10</f>
        <v>9.8637587290495557E-2</v>
      </c>
      <c r="CE44" s="562">
        <f>CE43/CE10</f>
        <v>9.2723611686141197E-2</v>
      </c>
      <c r="CF44" s="562">
        <f>CF43/CF10</f>
        <v>9.2499999999999985E-2</v>
      </c>
      <c r="CG44" s="697">
        <f>CF44</f>
        <v>9.2499999999999985E-2</v>
      </c>
      <c r="CH44" s="336"/>
    </row>
    <row r="45" spans="2:86" ht="14.25" hidden="1" outlineLevel="1">
      <c r="B45" s="20" t="s">
        <v>7</v>
      </c>
      <c r="C45" s="21"/>
      <c r="D45" s="22"/>
      <c r="E45" s="23"/>
      <c r="F45" s="23"/>
      <c r="G45" s="24"/>
      <c r="H45" s="22">
        <v>0.77</v>
      </c>
      <c r="I45" s="23">
        <v>4.47</v>
      </c>
      <c r="J45" s="23">
        <v>1.415</v>
      </c>
      <c r="K45" s="24">
        <v>8.1069999999999993</v>
      </c>
      <c r="L45" s="22">
        <v>8.234</v>
      </c>
      <c r="M45" s="23">
        <v>8.4619999999999997</v>
      </c>
      <c r="N45" s="23">
        <v>6.5019999999999998</v>
      </c>
      <c r="O45" s="24">
        <v>7.2539999999999996</v>
      </c>
      <c r="P45" s="22">
        <v>7.1710000000000003</v>
      </c>
      <c r="Q45" s="23">
        <v>10.977</v>
      </c>
      <c r="R45" s="23">
        <v>6.9489999999999998</v>
      </c>
      <c r="S45" s="24">
        <v>13.925000000000001</v>
      </c>
      <c r="T45" s="22">
        <v>7.3479999999999999</v>
      </c>
      <c r="U45" s="23">
        <v>6.1589999999999998</v>
      </c>
      <c r="V45" s="23">
        <v>6.8959999999999999</v>
      </c>
      <c r="W45" s="24">
        <v>4.6769999999999996</v>
      </c>
      <c r="X45" s="22">
        <v>3.7109999999999999</v>
      </c>
      <c r="Y45" s="23">
        <v>3.6589999999999998</v>
      </c>
      <c r="Z45" s="23">
        <v>4.0869999999999997</v>
      </c>
      <c r="AA45" s="24">
        <v>3.8410000000000002</v>
      </c>
      <c r="AB45" s="22">
        <v>3.173</v>
      </c>
      <c r="AC45" s="23">
        <v>2.3969999999999998</v>
      </c>
      <c r="AD45" s="23">
        <v>3.2080000000000002</v>
      </c>
      <c r="AE45" s="24">
        <v>2.9910000000000001</v>
      </c>
      <c r="AF45" s="22">
        <v>2.6539999999999999</v>
      </c>
      <c r="AG45" s="23">
        <v>3.2069999999999999</v>
      </c>
      <c r="AH45" s="23">
        <v>3.4020000000000001</v>
      </c>
      <c r="AI45" s="24">
        <v>3.657</v>
      </c>
      <c r="AJ45" s="22">
        <v>3.036</v>
      </c>
      <c r="AK45" s="23">
        <v>3.4580000000000002</v>
      </c>
      <c r="AL45" s="23">
        <v>3.101</v>
      </c>
      <c r="AM45" s="24">
        <v>3.6829999999999998</v>
      </c>
      <c r="AN45" s="22">
        <v>3.3919999999999999</v>
      </c>
      <c r="AO45" s="23">
        <v>3.6480000000000001</v>
      </c>
      <c r="AP45" s="23">
        <v>3.738</v>
      </c>
      <c r="AQ45" s="24">
        <v>3.1619999999999999</v>
      </c>
      <c r="AR45" s="22">
        <v>2.9279999999999999</v>
      </c>
      <c r="AS45" s="23">
        <v>2.617</v>
      </c>
      <c r="AT45" s="23">
        <v>2.855</v>
      </c>
      <c r="AU45" s="24">
        <v>3.069</v>
      </c>
      <c r="AV45" s="22">
        <v>2.577</v>
      </c>
      <c r="AW45" s="23">
        <v>2.7069999999999999</v>
      </c>
      <c r="AX45" s="23">
        <v>2.6080000000000001</v>
      </c>
      <c r="AY45" s="24">
        <v>3.214</v>
      </c>
      <c r="AZ45" s="22">
        <v>2.9420000000000002</v>
      </c>
      <c r="BA45" s="23">
        <v>3.3149999999999999</v>
      </c>
      <c r="BB45" s="23">
        <v>2.9580000000000002</v>
      </c>
      <c r="BC45" s="24">
        <v>8.9659999999999993</v>
      </c>
      <c r="BD45" s="22">
        <v>6.33</v>
      </c>
      <c r="BE45" s="23">
        <v>7.1859999999999999</v>
      </c>
      <c r="BF45" s="23">
        <v>6.1790000000000003</v>
      </c>
      <c r="BG45" s="24">
        <v>6.6619999999999999</v>
      </c>
      <c r="BH45" s="638">
        <f t="shared" ref="BH45" si="217">BG45</f>
        <v>6.6619999999999999</v>
      </c>
      <c r="BI45" s="326">
        <f t="shared" ref="BI45" si="218">BH45</f>
        <v>6.6619999999999999</v>
      </c>
      <c r="BJ45" s="326">
        <f t="shared" ref="BJ45" si="219">BI45</f>
        <v>6.6619999999999999</v>
      </c>
      <c r="BK45" s="326">
        <f t="shared" ref="BK45" si="220">BJ45</f>
        <v>6.6619999999999999</v>
      </c>
      <c r="BL45" s="638">
        <f t="shared" ref="BL45" si="221">BK45</f>
        <v>6.6619999999999999</v>
      </c>
      <c r="BM45" s="326">
        <f t="shared" ref="BM45" si="222">BL45</f>
        <v>6.6619999999999999</v>
      </c>
      <c r="BN45" s="326">
        <f t="shared" ref="BN45" si="223">BM45</f>
        <v>6.6619999999999999</v>
      </c>
      <c r="BO45" s="600">
        <f t="shared" ref="BO45" si="224">BN45</f>
        <v>6.6619999999999999</v>
      </c>
      <c r="BP45" s="347"/>
      <c r="BQ45" s="25">
        <f>SUM(D45:G45)</f>
        <v>0</v>
      </c>
      <c r="BR45" s="26">
        <f>SUM(H45:K45)</f>
        <v>14.762</v>
      </c>
      <c r="BS45" s="26">
        <f>SUM(L45:O45)</f>
        <v>30.451999999999998</v>
      </c>
      <c r="BT45" s="26">
        <f>SUM(P45:S45)</f>
        <v>39.022000000000006</v>
      </c>
      <c r="BU45" s="26">
        <f>SUM(T45:W45)</f>
        <v>25.08</v>
      </c>
      <c r="BV45" s="26">
        <f>SUM(X45:AA45)</f>
        <v>15.297999999999998</v>
      </c>
      <c r="BW45" s="26">
        <f>SUM(AB45:AE45)</f>
        <v>11.769</v>
      </c>
      <c r="BX45" s="26">
        <f>SUM(AF45:AI45)</f>
        <v>12.92</v>
      </c>
      <c r="BY45" s="26">
        <f>SUM(AJ45:AM45)</f>
        <v>13.277999999999999</v>
      </c>
      <c r="BZ45" s="26">
        <f>SUM(AN45:AQ45)</f>
        <v>13.940000000000001</v>
      </c>
      <c r="CA45" s="26">
        <f>SUM(AR45:AU45)</f>
        <v>11.469000000000001</v>
      </c>
      <c r="CB45" s="26">
        <f>SUM(AV45:AY45)</f>
        <v>11.106</v>
      </c>
      <c r="CC45" s="26">
        <f>SUM(AZ45:BC45)</f>
        <v>18.180999999999997</v>
      </c>
      <c r="CD45" s="26">
        <f>SUM(BD45:BG45)</f>
        <v>26.356999999999999</v>
      </c>
      <c r="CE45" s="26">
        <f>SUM(BH45:BK45)</f>
        <v>26.648</v>
      </c>
      <c r="CF45" s="26">
        <f>SUM(BL45:BO45)</f>
        <v>26.648</v>
      </c>
      <c r="CG45" s="600">
        <f>CF45</f>
        <v>26.648</v>
      </c>
      <c r="CH45" s="336"/>
    </row>
    <row r="46" spans="2:86" ht="14.25" hidden="1" outlineLevel="1">
      <c r="B46" s="20" t="s">
        <v>8</v>
      </c>
      <c r="C46" s="21"/>
      <c r="D46" s="22"/>
      <c r="E46" s="23"/>
      <c r="F46" s="23"/>
      <c r="G46" s="24"/>
      <c r="H46" s="22"/>
      <c r="I46" s="23"/>
      <c r="J46" s="23"/>
      <c r="K46" s="24"/>
      <c r="L46" s="22"/>
      <c r="M46" s="23"/>
      <c r="N46" s="23"/>
      <c r="O46" s="24"/>
      <c r="P46" s="22"/>
      <c r="Q46" s="23"/>
      <c r="R46" s="23"/>
      <c r="S46" s="24"/>
      <c r="T46" s="22"/>
      <c r="U46" s="23"/>
      <c r="V46" s="23"/>
      <c r="W46" s="24">
        <f>0.73-1.323</f>
        <v>-0.59299999999999997</v>
      </c>
      <c r="X46" s="22">
        <v>1.264</v>
      </c>
      <c r="Y46" s="23">
        <f>0.524-0.659</f>
        <v>-0.13500000000000001</v>
      </c>
      <c r="Z46" s="23">
        <v>5.0999999999999997E-2</v>
      </c>
      <c r="AA46" s="24">
        <v>-1E-3</v>
      </c>
      <c r="AB46" s="22"/>
      <c r="AC46" s="23"/>
      <c r="AD46" s="23"/>
      <c r="AE46" s="24"/>
      <c r="AF46" s="22"/>
      <c r="AG46" s="23"/>
      <c r="AH46" s="23"/>
      <c r="AI46" s="24">
        <f>0.04+0.008</f>
        <v>4.8000000000000001E-2</v>
      </c>
      <c r="AJ46" s="22">
        <f>0.046-0.007</f>
        <v>3.9E-2</v>
      </c>
      <c r="AK46" s="23">
        <f>0.05+0.007</f>
        <v>5.7000000000000002E-2</v>
      </c>
      <c r="AL46" s="23">
        <f>0.057-0.003</f>
        <v>5.3999999999999999E-2</v>
      </c>
      <c r="AM46" s="24">
        <v>1.4E-2</v>
      </c>
      <c r="AN46" s="22">
        <v>4.4999999999999998E-2</v>
      </c>
      <c r="AO46" s="23">
        <v>3.4000000000000002E-2</v>
      </c>
      <c r="AP46" s="23">
        <v>0.79500000000000004</v>
      </c>
      <c r="AQ46" s="24">
        <v>0</v>
      </c>
      <c r="AR46" s="22">
        <v>4.8000000000000001E-2</v>
      </c>
      <c r="AS46" s="23">
        <v>-4.8000000000000001E-2</v>
      </c>
      <c r="AT46" s="23">
        <v>1.6</v>
      </c>
      <c r="AU46" s="24">
        <v>0</v>
      </c>
      <c r="AV46" s="22">
        <v>0</v>
      </c>
      <c r="AW46" s="23"/>
      <c r="AX46" s="23">
        <f>1.899+0.039</f>
        <v>1.9379999999999999</v>
      </c>
      <c r="AY46" s="24">
        <f>0.118+0.393</f>
        <v>0.51100000000000001</v>
      </c>
      <c r="AZ46" s="22">
        <f>-0.001+0.304</f>
        <v>0.30299999999999999</v>
      </c>
      <c r="BA46" s="23">
        <f>0.027-0.071</f>
        <v>-4.3999999999999997E-2</v>
      </c>
      <c r="BB46" s="23">
        <v>0</v>
      </c>
      <c r="BC46" s="24">
        <v>1.6E-2</v>
      </c>
      <c r="BD46" s="22">
        <f>1.071+0.144</f>
        <v>1.2149999999999999</v>
      </c>
      <c r="BE46" s="23">
        <f>1.065-0.103</f>
        <v>0.96199999999999997</v>
      </c>
      <c r="BF46" s="23">
        <f>1.076+0.388</f>
        <v>1.464</v>
      </c>
      <c r="BG46" s="24">
        <f>0.358+10.579</f>
        <v>10.937000000000001</v>
      </c>
      <c r="BH46" s="637"/>
      <c r="BI46" s="325"/>
      <c r="BJ46" s="325"/>
      <c r="BK46" s="325"/>
      <c r="BL46" s="637"/>
      <c r="BM46" s="325"/>
      <c r="BN46" s="325"/>
      <c r="BO46" s="596"/>
      <c r="BP46" s="347"/>
      <c r="BQ46" s="25">
        <f>SUM(D46:G46)</f>
        <v>0</v>
      </c>
      <c r="BR46" s="26">
        <f>SUM(H46:K46)</f>
        <v>0</v>
      </c>
      <c r="BS46" s="26">
        <f>SUM(L46:O46)</f>
        <v>0</v>
      </c>
      <c r="BT46" s="26">
        <f>SUM(P46:S46)</f>
        <v>0</v>
      </c>
      <c r="BU46" s="26">
        <f>SUM(T46:W46)</f>
        <v>-0.59299999999999997</v>
      </c>
      <c r="BV46" s="26">
        <f>SUM(X46:AA46)</f>
        <v>1.179</v>
      </c>
      <c r="BW46" s="26">
        <f>SUM(AB46:AE46)</f>
        <v>0</v>
      </c>
      <c r="BX46" s="26">
        <f>SUM(AF46:AI46)</f>
        <v>4.8000000000000001E-2</v>
      </c>
      <c r="BY46" s="26">
        <f>SUM(AJ46:AM46)</f>
        <v>0.16400000000000001</v>
      </c>
      <c r="BZ46" s="26">
        <f>SUM(AN46:AQ46)</f>
        <v>0.874</v>
      </c>
      <c r="CA46" s="26">
        <f>SUM(AR46:AU46)</f>
        <v>1.6</v>
      </c>
      <c r="CB46" s="26">
        <f>SUM(AV46:AY46)</f>
        <v>2.4489999999999998</v>
      </c>
      <c r="CC46" s="26">
        <f>SUM(AZ46:BC46)</f>
        <v>0.27500000000000002</v>
      </c>
      <c r="CD46" s="26">
        <f>SUM(BD46:BG46)</f>
        <v>14.578000000000001</v>
      </c>
      <c r="CE46" s="26">
        <f>SUM(BH46:BK46)</f>
        <v>0</v>
      </c>
      <c r="CF46" s="26">
        <f>SUM(BL46:BO46)</f>
        <v>0</v>
      </c>
      <c r="CG46" s="596">
        <v>0</v>
      </c>
      <c r="CH46" s="336"/>
    </row>
    <row r="47" spans="2:86" ht="14.25" hidden="1" outlineLevel="1">
      <c r="B47" s="20" t="s">
        <v>9</v>
      </c>
      <c r="C47" s="21"/>
      <c r="D47" s="22"/>
      <c r="E47" s="23"/>
      <c r="F47" s="23"/>
      <c r="G47" s="24"/>
      <c r="H47" s="22"/>
      <c r="I47" s="23"/>
      <c r="J47" s="23"/>
      <c r="K47" s="24"/>
      <c r="L47" s="22"/>
      <c r="M47" s="23"/>
      <c r="N47" s="23"/>
      <c r="O47" s="24"/>
      <c r="P47" s="22"/>
      <c r="Q47" s="23"/>
      <c r="R47" s="23"/>
      <c r="S47" s="24"/>
      <c r="T47" s="22"/>
      <c r="U47" s="23"/>
      <c r="V47" s="23"/>
      <c r="W47" s="24"/>
      <c r="X47" s="22"/>
      <c r="Y47" s="23"/>
      <c r="Z47" s="23"/>
      <c r="AA47" s="24"/>
      <c r="AB47" s="22"/>
      <c r="AC47" s="23"/>
      <c r="AD47" s="23"/>
      <c r="AE47" s="24"/>
      <c r="AF47" s="22"/>
      <c r="AG47" s="23"/>
      <c r="AH47" s="23"/>
      <c r="AI47" s="24"/>
      <c r="AJ47" s="22"/>
      <c r="AK47" s="23"/>
      <c r="AL47" s="23"/>
      <c r="AM47" s="24"/>
      <c r="AN47" s="22"/>
      <c r="AO47" s="23"/>
      <c r="AP47" s="23"/>
      <c r="AQ47" s="24"/>
      <c r="AR47" s="22"/>
      <c r="AS47" s="23"/>
      <c r="AT47" s="23"/>
      <c r="AU47" s="24"/>
      <c r="AV47" s="22"/>
      <c r="AW47" s="23"/>
      <c r="AX47" s="23"/>
      <c r="AY47" s="24"/>
      <c r="AZ47" s="22"/>
      <c r="BA47" s="23"/>
      <c r="BB47" s="23"/>
      <c r="BC47" s="24"/>
      <c r="BD47" s="22"/>
      <c r="BE47" s="23"/>
      <c r="BF47" s="23"/>
      <c r="BG47" s="24"/>
      <c r="BH47" s="637"/>
      <c r="BI47" s="325"/>
      <c r="BJ47" s="325"/>
      <c r="BK47" s="325"/>
      <c r="BL47" s="637"/>
      <c r="BM47" s="325"/>
      <c r="BN47" s="325"/>
      <c r="BO47" s="596"/>
      <c r="BP47" s="347"/>
      <c r="BQ47" s="25">
        <f>SUM(D47:G47)</f>
        <v>0</v>
      </c>
      <c r="BR47" s="26">
        <f>SUM(H47:K47)</f>
        <v>0</v>
      </c>
      <c r="BS47" s="26">
        <f>SUM(L47:O47)</f>
        <v>0</v>
      </c>
      <c r="BT47" s="26">
        <f>SUM(P47:S47)</f>
        <v>0</v>
      </c>
      <c r="BU47" s="26">
        <f>SUM(T47:W47)</f>
        <v>0</v>
      </c>
      <c r="BV47" s="26">
        <f>SUM(X47:AA47)</f>
        <v>0</v>
      </c>
      <c r="BW47" s="26">
        <f>SUM(AB47:AE47)</f>
        <v>0</v>
      </c>
      <c r="BX47" s="26">
        <f>SUM(AF47:AI47)</f>
        <v>0</v>
      </c>
      <c r="BY47" s="26">
        <f>SUM(AJ47:AM47)</f>
        <v>0</v>
      </c>
      <c r="BZ47" s="26">
        <f>SUM(AN47:AQ47)</f>
        <v>0</v>
      </c>
      <c r="CA47" s="26">
        <f>SUM(AR47:AU47)</f>
        <v>0</v>
      </c>
      <c r="CB47" s="26">
        <f>SUM(AV47:AY47)</f>
        <v>0</v>
      </c>
      <c r="CC47" s="26">
        <f>SUM(AZ47:BC47)</f>
        <v>0</v>
      </c>
      <c r="CD47" s="26">
        <f>SUM(BD47:BG47)</f>
        <v>0</v>
      </c>
      <c r="CE47" s="26">
        <f>SUM(BH47:BK47)</f>
        <v>0</v>
      </c>
      <c r="CF47" s="26">
        <f>SUM(BL47:BO47)</f>
        <v>0</v>
      </c>
      <c r="CG47" s="596">
        <v>0</v>
      </c>
      <c r="CH47" s="336"/>
    </row>
    <row r="48" spans="2:86" ht="14.25" collapsed="1">
      <c r="B48" s="16" t="s">
        <v>103</v>
      </c>
      <c r="C48" s="17"/>
      <c r="D48" s="25">
        <f t="shared" ref="D48:AO48" si="225">D43-D45-D46-D47</f>
        <v>18.701000000000001</v>
      </c>
      <c r="E48" s="26">
        <f t="shared" si="225"/>
        <v>19.884</v>
      </c>
      <c r="F48" s="26">
        <f t="shared" si="225"/>
        <v>19.381</v>
      </c>
      <c r="G48" s="27">
        <f t="shared" si="225"/>
        <v>18.603999999999992</v>
      </c>
      <c r="H48" s="25">
        <f t="shared" si="225"/>
        <v>21.251999999999999</v>
      </c>
      <c r="I48" s="26">
        <f t="shared" si="225"/>
        <v>21.669</v>
      </c>
      <c r="J48" s="26">
        <f t="shared" si="225"/>
        <v>21.714000000000002</v>
      </c>
      <c r="K48" s="27">
        <f t="shared" si="225"/>
        <v>25.321000000000005</v>
      </c>
      <c r="L48" s="25">
        <f t="shared" si="225"/>
        <v>30.628</v>
      </c>
      <c r="M48" s="26">
        <f t="shared" si="225"/>
        <v>30.805000000000003</v>
      </c>
      <c r="N48" s="26">
        <f t="shared" si="225"/>
        <v>31.373000000000001</v>
      </c>
      <c r="O48" s="27">
        <f t="shared" si="225"/>
        <v>52.845000000000013</v>
      </c>
      <c r="P48" s="25">
        <f t="shared" si="225"/>
        <v>43.221000000000004</v>
      </c>
      <c r="Q48" s="26">
        <f t="shared" si="225"/>
        <v>42.965000000000003</v>
      </c>
      <c r="R48" s="26">
        <f t="shared" si="225"/>
        <v>39.474000000000004</v>
      </c>
      <c r="S48" s="27">
        <f t="shared" si="225"/>
        <v>48.09099999999998</v>
      </c>
      <c r="T48" s="25">
        <f t="shared" si="225"/>
        <v>38.74</v>
      </c>
      <c r="U48" s="26">
        <f t="shared" si="225"/>
        <v>35.675000000000004</v>
      </c>
      <c r="V48" s="26">
        <f t="shared" si="225"/>
        <v>34.262</v>
      </c>
      <c r="W48" s="27">
        <f t="shared" si="225"/>
        <v>28.538999999999998</v>
      </c>
      <c r="X48" s="25">
        <f t="shared" si="225"/>
        <v>28.934999999999999</v>
      </c>
      <c r="Y48" s="26">
        <f t="shared" si="225"/>
        <v>29.384000000000004</v>
      </c>
      <c r="Z48" s="26">
        <f t="shared" si="225"/>
        <v>31.304000000000002</v>
      </c>
      <c r="AA48" s="27">
        <f t="shared" si="225"/>
        <v>33.303999999999988</v>
      </c>
      <c r="AB48" s="25">
        <f t="shared" si="225"/>
        <v>35.25</v>
      </c>
      <c r="AC48" s="26">
        <f t="shared" si="225"/>
        <v>34.466000000000001</v>
      </c>
      <c r="AD48" s="26">
        <f t="shared" si="225"/>
        <v>36.542999999999999</v>
      </c>
      <c r="AE48" s="27">
        <f t="shared" si="225"/>
        <v>37.453000000000003</v>
      </c>
      <c r="AF48" s="25">
        <f t="shared" si="225"/>
        <v>35.498000000000005</v>
      </c>
      <c r="AG48" s="26">
        <f t="shared" si="225"/>
        <v>37.183</v>
      </c>
      <c r="AH48" s="26">
        <f t="shared" si="225"/>
        <v>37.097999999999999</v>
      </c>
      <c r="AI48" s="27">
        <f t="shared" si="225"/>
        <v>36.686999999999998</v>
      </c>
      <c r="AJ48" s="25">
        <f t="shared" si="225"/>
        <v>36.991</v>
      </c>
      <c r="AK48" s="26">
        <f t="shared" si="225"/>
        <v>37.518999999999998</v>
      </c>
      <c r="AL48" s="26">
        <f t="shared" si="225"/>
        <v>35.243000000000002</v>
      </c>
      <c r="AM48" s="27">
        <f t="shared" si="225"/>
        <v>38.622</v>
      </c>
      <c r="AN48" s="25">
        <f t="shared" si="225"/>
        <v>36.551999999999992</v>
      </c>
      <c r="AO48" s="26">
        <f t="shared" si="225"/>
        <v>34.866</v>
      </c>
      <c r="AP48" s="26">
        <f t="shared" ref="AP48:AU48" si="226">AP43-AP45-AP46-AP47</f>
        <v>32.963000000000001</v>
      </c>
      <c r="AQ48" s="27">
        <f t="shared" si="226"/>
        <v>33.503</v>
      </c>
      <c r="AR48" s="25">
        <f t="shared" si="226"/>
        <v>35.381999999999998</v>
      </c>
      <c r="AS48" s="26">
        <f t="shared" si="226"/>
        <v>31.379999999999995</v>
      </c>
      <c r="AT48" s="26">
        <f>AT43-AT45-AT46-AT47</f>
        <v>29.954999999999995</v>
      </c>
      <c r="AU48" s="27">
        <f t="shared" si="226"/>
        <v>34.165999999999997</v>
      </c>
      <c r="AV48" s="25">
        <f>AV43-AV45-AV46-AV47</f>
        <v>33.597000000000001</v>
      </c>
      <c r="AW48" s="26">
        <f t="shared" ref="AW48:AY48" si="227">AW43-AW45-AW46-AW47</f>
        <v>28.134</v>
      </c>
      <c r="AX48" s="26">
        <f t="shared" si="227"/>
        <v>26.036000000000001</v>
      </c>
      <c r="AY48" s="27">
        <f t="shared" si="227"/>
        <v>27.576000000000001</v>
      </c>
      <c r="AZ48" s="25">
        <f>AZ43-AZ45-AZ46-AZ47</f>
        <v>28.134</v>
      </c>
      <c r="BA48" s="26">
        <f t="shared" ref="BA48:BC48" si="228">BA43-BA45-BA46-BA47</f>
        <v>27.823</v>
      </c>
      <c r="BB48" s="26">
        <f t="shared" si="228"/>
        <v>27.618000000000002</v>
      </c>
      <c r="BC48" s="27">
        <f t="shared" si="228"/>
        <v>20.172000000000004</v>
      </c>
      <c r="BD48" s="25">
        <f>BD43-BD45-BD46-BD47</f>
        <v>47.665999999999997</v>
      </c>
      <c r="BE48" s="26">
        <f t="shared" ref="BE48:BG48" si="229">BE43-BE45-BE46-BE47</f>
        <v>47.510999999999996</v>
      </c>
      <c r="BF48" s="26">
        <f t="shared" si="229"/>
        <v>51.469000000000001</v>
      </c>
      <c r="BG48" s="27">
        <f t="shared" si="229"/>
        <v>50.691999999999993</v>
      </c>
      <c r="BH48" s="25">
        <f t="shared" ref="BH48:BK48" si="230">BH43-BH45-BH46-BH47</f>
        <v>50.402732049999997</v>
      </c>
      <c r="BI48" s="26">
        <f t="shared" si="230"/>
        <v>50.3472768484</v>
      </c>
      <c r="BJ48" s="26">
        <f t="shared" si="230"/>
        <v>52.031903373681999</v>
      </c>
      <c r="BK48" s="26">
        <f t="shared" si="230"/>
        <v>51.484053133041996</v>
      </c>
      <c r="BL48" s="25">
        <f t="shared" ref="BL48:BO48" si="231">BL43-BL45-BL46-BL47</f>
        <v>48.605493543352786</v>
      </c>
      <c r="BM48" s="26">
        <f t="shared" si="231"/>
        <v>52.128520960506158</v>
      </c>
      <c r="BN48" s="26">
        <f t="shared" si="231"/>
        <v>54.107768693242583</v>
      </c>
      <c r="BO48" s="597">
        <f t="shared" si="231"/>
        <v>53.401697150031808</v>
      </c>
      <c r="BP48" s="347"/>
      <c r="BQ48" s="25">
        <f t="shared" ref="BQ48:CA48" si="232">BQ43-BQ45-BQ46-BQ47</f>
        <v>76.569999999999993</v>
      </c>
      <c r="BR48" s="26">
        <f t="shared" si="232"/>
        <v>89.956000000000017</v>
      </c>
      <c r="BS48" s="26">
        <f t="shared" si="232"/>
        <v>145.65100000000001</v>
      </c>
      <c r="BT48" s="26">
        <f t="shared" si="232"/>
        <v>173.75099999999998</v>
      </c>
      <c r="BU48" s="26">
        <f t="shared" si="232"/>
        <v>137.21599999999998</v>
      </c>
      <c r="BV48" s="26">
        <f t="shared" si="232"/>
        <v>122.92699999999999</v>
      </c>
      <c r="BW48" s="26">
        <f t="shared" si="232"/>
        <v>143.71199999999999</v>
      </c>
      <c r="BX48" s="26">
        <f t="shared" si="232"/>
        <v>146.46600000000001</v>
      </c>
      <c r="BY48" s="26">
        <f t="shared" si="232"/>
        <v>148.37500000000003</v>
      </c>
      <c r="BZ48" s="26">
        <f t="shared" si="232"/>
        <v>137.88400000000001</v>
      </c>
      <c r="CA48" s="26">
        <f t="shared" si="232"/>
        <v>130.88300000000001</v>
      </c>
      <c r="CB48" s="26">
        <f t="shared" ref="CB48:CG48" si="233">CB43-CB45-CB46-CB47</f>
        <v>115.343</v>
      </c>
      <c r="CC48" s="26">
        <f t="shared" si="233"/>
        <v>103.747</v>
      </c>
      <c r="CD48" s="26">
        <f t="shared" si="233"/>
        <v>197.33799999999999</v>
      </c>
      <c r="CE48" s="26">
        <f t="shared" si="233"/>
        <v>204.26596540512398</v>
      </c>
      <c r="CF48" s="26">
        <f t="shared" si="233"/>
        <v>208.24348034713333</v>
      </c>
      <c r="CG48" s="597">
        <f t="shared" si="233"/>
        <v>208.24348034713333</v>
      </c>
      <c r="CH48" s="336"/>
    </row>
    <row r="49" spans="2:86" ht="14.25">
      <c r="B49" s="28" t="s">
        <v>11</v>
      </c>
      <c r="C49" s="29"/>
      <c r="D49" s="38">
        <f t="shared" ref="D49:AO49" si="234">D48/D12</f>
        <v>6.9371645207120788E-2</v>
      </c>
      <c r="E49" s="31">
        <f t="shared" si="234"/>
        <v>6.6914798387368163E-2</v>
      </c>
      <c r="F49" s="31">
        <f t="shared" si="234"/>
        <v>6.1026566283459753E-2</v>
      </c>
      <c r="G49" s="32">
        <f t="shared" si="234"/>
        <v>5.4674872011896573E-2</v>
      </c>
      <c r="H49" s="38">
        <f t="shared" si="234"/>
        <v>5.8261370178468622E-2</v>
      </c>
      <c r="I49" s="31">
        <f t="shared" si="234"/>
        <v>5.5496934337975791E-2</v>
      </c>
      <c r="J49" s="31">
        <f t="shared" si="234"/>
        <v>5.0968720218953774E-2</v>
      </c>
      <c r="K49" s="32">
        <f t="shared" si="234"/>
        <v>5.1779491877566378E-2</v>
      </c>
      <c r="L49" s="38">
        <f t="shared" si="234"/>
        <v>5.8764840866008181E-2</v>
      </c>
      <c r="M49" s="31">
        <f t="shared" si="234"/>
        <v>5.3668649877610046E-2</v>
      </c>
      <c r="N49" s="31">
        <f t="shared" si="234"/>
        <v>6.0286549909876669E-2</v>
      </c>
      <c r="O49" s="32">
        <f t="shared" si="234"/>
        <v>8.4963358596983229E-2</v>
      </c>
      <c r="P49" s="38">
        <f t="shared" si="234"/>
        <v>6.8059207936382968E-2</v>
      </c>
      <c r="Q49" s="31">
        <f t="shared" si="234"/>
        <v>6.5424517024992732E-2</v>
      </c>
      <c r="R49" s="31">
        <f t="shared" si="234"/>
        <v>5.2059621811391031E-2</v>
      </c>
      <c r="S49" s="32">
        <f t="shared" si="234"/>
        <v>5.6933582419976148E-2</v>
      </c>
      <c r="T49" s="38">
        <f t="shared" si="234"/>
        <v>4.8179585237695485E-2</v>
      </c>
      <c r="U49" s="31">
        <f t="shared" si="234"/>
        <v>4.2340444470818625E-2</v>
      </c>
      <c r="V49" s="31">
        <f t="shared" si="234"/>
        <v>4.3312272611200867E-2</v>
      </c>
      <c r="W49" s="32">
        <f t="shared" si="234"/>
        <v>5.5646005689584263E-2</v>
      </c>
      <c r="X49" s="38">
        <f t="shared" si="234"/>
        <v>5.5491203105282744E-2</v>
      </c>
      <c r="Y49" s="31">
        <f t="shared" si="234"/>
        <v>4.5868065311729267E-2</v>
      </c>
      <c r="Z49" s="31">
        <f t="shared" si="234"/>
        <v>3.8979053614876392E-2</v>
      </c>
      <c r="AA49" s="32">
        <f t="shared" si="234"/>
        <v>3.9528328200015415E-2</v>
      </c>
      <c r="AB49" s="38">
        <f t="shared" si="234"/>
        <v>4.1200169709635234E-2</v>
      </c>
      <c r="AC49" s="31">
        <f t="shared" si="234"/>
        <v>3.8446179141837913E-2</v>
      </c>
      <c r="AD49" s="31">
        <f t="shared" si="234"/>
        <v>3.8092329310026714E-2</v>
      </c>
      <c r="AE49" s="32">
        <f t="shared" si="234"/>
        <v>4.1590737723941798E-2</v>
      </c>
      <c r="AF49" s="38">
        <f t="shared" si="234"/>
        <v>4.4239670389655067E-2</v>
      </c>
      <c r="AG49" s="31">
        <f t="shared" si="234"/>
        <v>4.1428603262322845E-2</v>
      </c>
      <c r="AH49" s="31">
        <f t="shared" si="234"/>
        <v>3.9033392710778526E-2</v>
      </c>
      <c r="AI49" s="32">
        <f t="shared" si="234"/>
        <v>4.9396728966300027E-2</v>
      </c>
      <c r="AJ49" s="38">
        <f t="shared" si="234"/>
        <v>4.6450622903719589E-2</v>
      </c>
      <c r="AK49" s="31">
        <f t="shared" si="234"/>
        <v>4.59733073235764E-2</v>
      </c>
      <c r="AL49" s="31">
        <f t="shared" si="234"/>
        <v>4.5132356914818011E-2</v>
      </c>
      <c r="AM49" s="32">
        <f t="shared" si="234"/>
        <v>4.9815940791493291E-2</v>
      </c>
      <c r="AN49" s="38">
        <f t="shared" si="234"/>
        <v>4.9773342829013738E-2</v>
      </c>
      <c r="AO49" s="31">
        <f t="shared" si="234"/>
        <v>4.3201463095497709E-2</v>
      </c>
      <c r="AP49" s="31">
        <f t="shared" ref="AP49:AU49" si="235">AP48/AP12</f>
        <v>3.5397422322830337E-2</v>
      </c>
      <c r="AQ49" s="32">
        <f t="shared" si="235"/>
        <v>3.5957108620454648E-2</v>
      </c>
      <c r="AR49" s="38">
        <f t="shared" si="235"/>
        <v>3.6939749224810248E-2</v>
      </c>
      <c r="AS49" s="31">
        <f t="shared" si="235"/>
        <v>3.263497808214904E-2</v>
      </c>
      <c r="AT49" s="31">
        <f>AT48/AT12</f>
        <v>3.2204967875665493E-2</v>
      </c>
      <c r="AU49" s="32">
        <f t="shared" si="235"/>
        <v>3.9845962222958248E-2</v>
      </c>
      <c r="AV49" s="38">
        <f>AV48/AV12</f>
        <v>4.6386244145975086E-2</v>
      </c>
      <c r="AW49" s="31">
        <f t="shared" ref="AW49:AY49" si="236">AW48/AW12</f>
        <v>3.959791243251156E-2</v>
      </c>
      <c r="AX49" s="31">
        <f t="shared" si="236"/>
        <v>3.8578138659633422E-2</v>
      </c>
      <c r="AY49" s="32">
        <f t="shared" si="236"/>
        <v>4.4754754462329467E-2</v>
      </c>
      <c r="AZ49" s="38">
        <f>AZ48/AZ12</f>
        <v>5.2020812762794411E-2</v>
      </c>
      <c r="BA49" s="31">
        <f t="shared" ref="BA49:BC49" si="237">BA48/BA12</f>
        <v>4.4417021602671761E-2</v>
      </c>
      <c r="BB49" s="492">
        <f t="shared" si="237"/>
        <v>4.2202126456628908E-2</v>
      </c>
      <c r="BC49" s="32">
        <f t="shared" si="237"/>
        <v>3.530276513825692E-2</v>
      </c>
      <c r="BD49" s="38">
        <f>BD48/BD12</f>
        <v>8.2299112538416389E-2</v>
      </c>
      <c r="BE49" s="492">
        <f t="shared" ref="BE49:BG49" si="238">BE48/BE12</f>
        <v>7.8563042579578329E-2</v>
      </c>
      <c r="BF49" s="562">
        <f t="shared" si="238"/>
        <v>8.3512628548990595E-2</v>
      </c>
      <c r="BG49" s="563">
        <f t="shared" si="238"/>
        <v>8.2371236039771908E-2</v>
      </c>
      <c r="BH49" s="566">
        <f t="shared" ref="BH49:BK49" si="239">BH48/BH12</f>
        <v>8.3909261863431464E-2</v>
      </c>
      <c r="BI49" s="562">
        <f t="shared" si="239"/>
        <v>8.1249047981614558E-2</v>
      </c>
      <c r="BJ49" s="562">
        <f t="shared" si="239"/>
        <v>8.1557620727695165E-2</v>
      </c>
      <c r="BK49" s="562">
        <f t="shared" si="239"/>
        <v>8.145923296637804E-2</v>
      </c>
      <c r="BL49" s="566">
        <f t="shared" ref="BL49:BO49" si="240">BL48/BL12</f>
        <v>8.1349955724577705E-2</v>
      </c>
      <c r="BM49" s="562">
        <f t="shared" si="240"/>
        <v>8.2018123161147524E-2</v>
      </c>
      <c r="BN49" s="562">
        <f t="shared" si="240"/>
        <v>8.2359513813345747E-2</v>
      </c>
      <c r="BO49" s="598">
        <f t="shared" si="240"/>
        <v>8.2240308551757652E-2</v>
      </c>
      <c r="BP49" s="347"/>
      <c r="BQ49" s="566">
        <f t="shared" ref="BQ49:CA49" si="241">BQ48/BQ12</f>
        <v>6.2527560469712057E-2</v>
      </c>
      <c r="BR49" s="562">
        <f t="shared" si="241"/>
        <v>5.3857289796954505E-2</v>
      </c>
      <c r="BS49" s="562">
        <f t="shared" si="241"/>
        <v>6.5093877105927775E-2</v>
      </c>
      <c r="BT49" s="562">
        <f t="shared" si="241"/>
        <v>6.0023981817760974E-2</v>
      </c>
      <c r="BU49" s="562">
        <f t="shared" si="241"/>
        <v>4.6505022939689812E-2</v>
      </c>
      <c r="BV49" s="562">
        <f t="shared" si="241"/>
        <v>4.3782301944625596E-2</v>
      </c>
      <c r="BW49" s="562">
        <f t="shared" si="241"/>
        <v>3.978855409061121E-2</v>
      </c>
      <c r="BX49" s="562">
        <f t="shared" si="241"/>
        <v>4.3166599863249479E-2</v>
      </c>
      <c r="BY49" s="562">
        <f t="shared" si="241"/>
        <v>4.6826230894740015E-2</v>
      </c>
      <c r="BZ49" s="562">
        <f t="shared" si="241"/>
        <v>4.0501703677593703E-2</v>
      </c>
      <c r="CA49" s="562">
        <f t="shared" si="241"/>
        <v>3.5307339188440784E-2</v>
      </c>
      <c r="CB49" s="562">
        <f t="shared" ref="CB49:CG49" si="242">CB48/CB12</f>
        <v>4.2314848919300853E-2</v>
      </c>
      <c r="CC49" s="562">
        <f t="shared" si="242"/>
        <v>4.33534972971708E-2</v>
      </c>
      <c r="CD49" s="562">
        <f t="shared" si="242"/>
        <v>8.1691774564184E-2</v>
      </c>
      <c r="CE49" s="562">
        <f t="shared" si="242"/>
        <v>8.20230947214039E-2</v>
      </c>
      <c r="CF49" s="562">
        <f t="shared" si="242"/>
        <v>8.2006047659296963E-2</v>
      </c>
      <c r="CG49" s="598">
        <f t="shared" si="242"/>
        <v>8.2006047659296963E-2</v>
      </c>
      <c r="CH49" s="336"/>
    </row>
    <row r="50" spans="2:86" ht="14.25" hidden="1" outlineLevel="1">
      <c r="B50" s="16" t="s">
        <v>104</v>
      </c>
      <c r="C50" s="17"/>
      <c r="D50" s="25">
        <f t="shared" ref="D50:O50" si="243">D43-D46-D47</f>
        <v>18.701000000000001</v>
      </c>
      <c r="E50" s="26">
        <f t="shared" si="243"/>
        <v>19.884</v>
      </c>
      <c r="F50" s="26">
        <f t="shared" si="243"/>
        <v>19.381</v>
      </c>
      <c r="G50" s="27">
        <f t="shared" si="243"/>
        <v>18.603999999999992</v>
      </c>
      <c r="H50" s="25">
        <f t="shared" si="243"/>
        <v>22.021999999999998</v>
      </c>
      <c r="I50" s="26">
        <f t="shared" si="243"/>
        <v>26.138999999999999</v>
      </c>
      <c r="J50" s="26">
        <f t="shared" si="243"/>
        <v>23.129000000000001</v>
      </c>
      <c r="K50" s="27">
        <f t="shared" si="243"/>
        <v>33.428000000000004</v>
      </c>
      <c r="L50" s="25">
        <f t="shared" si="243"/>
        <v>38.862000000000002</v>
      </c>
      <c r="M50" s="26">
        <f t="shared" si="243"/>
        <v>39.267000000000003</v>
      </c>
      <c r="N50" s="26">
        <f t="shared" si="243"/>
        <v>37.875</v>
      </c>
      <c r="O50" s="27">
        <f t="shared" si="243"/>
        <v>60.099000000000011</v>
      </c>
      <c r="P50" s="25">
        <f t="shared" ref="P50:W50" si="244">P43-P46-P47</f>
        <v>50.392000000000003</v>
      </c>
      <c r="Q50" s="26">
        <f t="shared" si="244"/>
        <v>53.942</v>
      </c>
      <c r="R50" s="26">
        <f t="shared" si="244"/>
        <v>46.423000000000002</v>
      </c>
      <c r="S50" s="27">
        <f t="shared" si="244"/>
        <v>62.015999999999984</v>
      </c>
      <c r="T50" s="25">
        <f t="shared" si="244"/>
        <v>46.088000000000001</v>
      </c>
      <c r="U50" s="26">
        <f t="shared" si="244"/>
        <v>41.834000000000003</v>
      </c>
      <c r="V50" s="26">
        <f t="shared" si="244"/>
        <v>41.158000000000001</v>
      </c>
      <c r="W50" s="27">
        <f t="shared" si="244"/>
        <v>33.215999999999994</v>
      </c>
      <c r="X50" s="25">
        <f t="shared" ref="X50:AD50" si="245">X43-X46-X47</f>
        <v>32.645999999999994</v>
      </c>
      <c r="Y50" s="26">
        <f t="shared" si="245"/>
        <v>33.042999999999999</v>
      </c>
      <c r="Z50" s="26">
        <f t="shared" si="245"/>
        <v>35.390999999999998</v>
      </c>
      <c r="AA50" s="27">
        <f t="shared" si="245"/>
        <v>37.144999999999989</v>
      </c>
      <c r="AB50" s="25">
        <f t="shared" si="245"/>
        <v>38.423000000000002</v>
      </c>
      <c r="AC50" s="26">
        <f t="shared" si="245"/>
        <v>36.863</v>
      </c>
      <c r="AD50" s="26">
        <f t="shared" si="245"/>
        <v>39.750999999999998</v>
      </c>
      <c r="AE50" s="27">
        <f t="shared" ref="AE50:AJ50" si="246">AE43-AE46-AE47</f>
        <v>40.444000000000003</v>
      </c>
      <c r="AF50" s="25">
        <f t="shared" si="246"/>
        <v>38.152000000000001</v>
      </c>
      <c r="AG50" s="26">
        <f t="shared" si="246"/>
        <v>40.39</v>
      </c>
      <c r="AH50" s="26">
        <f t="shared" si="246"/>
        <v>40.5</v>
      </c>
      <c r="AI50" s="27">
        <f t="shared" si="246"/>
        <v>40.344000000000001</v>
      </c>
      <c r="AJ50" s="25">
        <f t="shared" si="246"/>
        <v>40.027000000000001</v>
      </c>
      <c r="AK50" s="26">
        <f t="shared" ref="AK50:AU50" si="247">AK43-AK46-AK47</f>
        <v>40.976999999999997</v>
      </c>
      <c r="AL50" s="26">
        <f t="shared" si="247"/>
        <v>38.344000000000001</v>
      </c>
      <c r="AM50" s="27">
        <f t="shared" si="247"/>
        <v>42.305</v>
      </c>
      <c r="AN50" s="25">
        <f t="shared" si="247"/>
        <v>39.943999999999996</v>
      </c>
      <c r="AO50" s="26">
        <f t="shared" si="247"/>
        <v>38.514000000000003</v>
      </c>
      <c r="AP50" s="26">
        <f t="shared" si="247"/>
        <v>36.701000000000001</v>
      </c>
      <c r="AQ50" s="27">
        <f t="shared" si="247"/>
        <v>36.664999999999999</v>
      </c>
      <c r="AR50" s="25">
        <f t="shared" si="247"/>
        <v>38.309999999999995</v>
      </c>
      <c r="AS50" s="26">
        <f t="shared" si="247"/>
        <v>33.997</v>
      </c>
      <c r="AT50" s="26">
        <f t="shared" si="247"/>
        <v>32.809999999999995</v>
      </c>
      <c r="AU50" s="27">
        <f t="shared" si="247"/>
        <v>37.234999999999999</v>
      </c>
      <c r="AV50" s="25">
        <f>AV43-AV46-AV47</f>
        <v>36.173999999999999</v>
      </c>
      <c r="AW50" s="26">
        <f t="shared" ref="AW50:AY50" si="248">AW43-AW46-AW47</f>
        <v>30.841000000000001</v>
      </c>
      <c r="AX50" s="26">
        <f t="shared" si="248"/>
        <v>28.644000000000002</v>
      </c>
      <c r="AY50" s="27">
        <f t="shared" si="248"/>
        <v>30.79</v>
      </c>
      <c r="AZ50" s="25">
        <f>AZ43-AZ46-AZ47</f>
        <v>31.076000000000001</v>
      </c>
      <c r="BA50" s="26">
        <f t="shared" ref="BA50:BC50" si="249">BA43-BA46-BA47</f>
        <v>31.138000000000002</v>
      </c>
      <c r="BB50" s="26">
        <f t="shared" si="249"/>
        <v>30.576000000000001</v>
      </c>
      <c r="BC50" s="27">
        <f t="shared" si="249"/>
        <v>29.138000000000002</v>
      </c>
      <c r="BD50" s="25">
        <f>BD43-BD46-BD47</f>
        <v>53.995999999999995</v>
      </c>
      <c r="BE50" s="26">
        <f t="shared" ref="BE50:BG50" si="250">BE43-BE46-BE47</f>
        <v>54.696999999999996</v>
      </c>
      <c r="BF50" s="26">
        <f t="shared" si="250"/>
        <v>57.648000000000003</v>
      </c>
      <c r="BG50" s="27">
        <f t="shared" si="250"/>
        <v>57.353999999999999</v>
      </c>
      <c r="BH50" s="25">
        <f t="shared" ref="BH50:BK50" si="251">BH43-BH46-BH47</f>
        <v>57.064732049999996</v>
      </c>
      <c r="BI50" s="26">
        <f t="shared" si="251"/>
        <v>57.009276848399999</v>
      </c>
      <c r="BJ50" s="26">
        <f t="shared" si="251"/>
        <v>58.693903373681998</v>
      </c>
      <c r="BK50" s="26">
        <f t="shared" si="251"/>
        <v>58.146053133041995</v>
      </c>
      <c r="BL50" s="25">
        <f t="shared" ref="BL50:BO50" si="252">BL43-BL46-BL47</f>
        <v>55.267493543352785</v>
      </c>
      <c r="BM50" s="26">
        <f t="shared" si="252"/>
        <v>58.790520960506157</v>
      </c>
      <c r="BN50" s="26">
        <f t="shared" si="252"/>
        <v>60.769768693242582</v>
      </c>
      <c r="BO50" s="597">
        <f t="shared" si="252"/>
        <v>60.063697150031807</v>
      </c>
      <c r="BP50" s="347"/>
      <c r="BQ50" s="25">
        <f t="shared" ref="BQ50:BW50" si="253">BQ43-BQ46-BQ47</f>
        <v>76.569999999999993</v>
      </c>
      <c r="BR50" s="26">
        <f t="shared" si="253"/>
        <v>104.71800000000002</v>
      </c>
      <c r="BS50" s="26">
        <f t="shared" si="253"/>
        <v>176.10300000000001</v>
      </c>
      <c r="BT50" s="26">
        <f t="shared" si="253"/>
        <v>212.773</v>
      </c>
      <c r="BU50" s="26">
        <f t="shared" si="253"/>
        <v>162.29599999999996</v>
      </c>
      <c r="BV50" s="26">
        <f t="shared" si="253"/>
        <v>138.22499999999999</v>
      </c>
      <c r="BW50" s="26">
        <f t="shared" si="253"/>
        <v>155.48099999999999</v>
      </c>
      <c r="BX50" s="26">
        <f t="shared" ref="BX50:CA50" si="254">BX43-BX46-BX47</f>
        <v>159.386</v>
      </c>
      <c r="BY50" s="26">
        <f t="shared" si="254"/>
        <v>161.65300000000002</v>
      </c>
      <c r="BZ50" s="26">
        <f t="shared" si="254"/>
        <v>151.82400000000001</v>
      </c>
      <c r="CA50" s="26">
        <f t="shared" si="254"/>
        <v>142.352</v>
      </c>
      <c r="CB50" s="26">
        <f>CB43-CB46-CB47</f>
        <v>126.449</v>
      </c>
      <c r="CC50" s="26">
        <f>CC43-CC46-CC47</f>
        <v>121.928</v>
      </c>
      <c r="CD50" s="26">
        <f>CD43-CD46-CD47</f>
        <v>223.69499999999999</v>
      </c>
      <c r="CE50" s="26">
        <f>CE43-CE46-CE47</f>
        <v>230.91396540512397</v>
      </c>
      <c r="CF50" s="26">
        <f>CF43-CF46-CF47</f>
        <v>234.89148034713332</v>
      </c>
      <c r="CG50" s="597">
        <f t="shared" ref="CG50" si="255">CG43-CG46-CG47</f>
        <v>234.89148034713332</v>
      </c>
      <c r="CH50" s="336"/>
    </row>
    <row r="51" spans="2:86" ht="14.25" hidden="1" outlineLevel="1">
      <c r="B51" s="28" t="s">
        <v>11</v>
      </c>
      <c r="C51" s="29"/>
      <c r="D51" s="38">
        <f t="shared" ref="D51:AO51" si="256">D50/D12</f>
        <v>6.9371645207120788E-2</v>
      </c>
      <c r="E51" s="31">
        <f t="shared" si="256"/>
        <v>6.6914798387368163E-2</v>
      </c>
      <c r="F51" s="31">
        <f t="shared" si="256"/>
        <v>6.1026566283459753E-2</v>
      </c>
      <c r="G51" s="32">
        <f t="shared" si="256"/>
        <v>5.4674872011896573E-2</v>
      </c>
      <c r="H51" s="38">
        <f t="shared" si="256"/>
        <v>6.0372289387833428E-2</v>
      </c>
      <c r="I51" s="31">
        <f t="shared" si="256"/>
        <v>6.6945145907072276E-2</v>
      </c>
      <c r="J51" s="31">
        <f t="shared" si="256"/>
        <v>5.4290113748926123E-2</v>
      </c>
      <c r="K51" s="32">
        <f t="shared" si="256"/>
        <v>6.8357681548252003E-2</v>
      </c>
      <c r="L51" s="38">
        <f t="shared" si="256"/>
        <v>7.4563120208136671E-2</v>
      </c>
      <c r="M51" s="31">
        <f t="shared" si="256"/>
        <v>6.841119541451432E-2</v>
      </c>
      <c r="N51" s="31">
        <f t="shared" si="256"/>
        <v>7.2780833131564679E-2</v>
      </c>
      <c r="O51" s="32">
        <f t="shared" si="256"/>
        <v>9.6626225533543289E-2</v>
      </c>
      <c r="P51" s="38">
        <f t="shared" si="256"/>
        <v>7.9351232186442022E-2</v>
      </c>
      <c r="Q51" s="31">
        <f t="shared" si="256"/>
        <v>8.2139632197420168E-2</v>
      </c>
      <c r="R51" s="31">
        <f t="shared" si="256"/>
        <v>6.1224193731322027E-2</v>
      </c>
      <c r="S51" s="32">
        <f t="shared" si="256"/>
        <v>7.3418998302327704E-2</v>
      </c>
      <c r="T51" s="38">
        <f t="shared" si="256"/>
        <v>5.7318036252837108E-2</v>
      </c>
      <c r="U51" s="31">
        <f t="shared" si="256"/>
        <v>4.9650179509242505E-2</v>
      </c>
      <c r="V51" s="31">
        <f t="shared" si="256"/>
        <v>5.2029844029297917E-2</v>
      </c>
      <c r="W51" s="32">
        <f t="shared" si="256"/>
        <v>6.476532902292409E-2</v>
      </c>
      <c r="X51" s="38">
        <f t="shared" si="256"/>
        <v>6.2608115312772078E-2</v>
      </c>
      <c r="Y51" s="31">
        <f t="shared" si="256"/>
        <v>5.1579719646592359E-2</v>
      </c>
      <c r="Z51" s="31">
        <f t="shared" si="256"/>
        <v>4.4068096297089521E-2</v>
      </c>
      <c r="AA51" s="32">
        <f t="shared" si="256"/>
        <v>4.4087189256232666E-2</v>
      </c>
      <c r="AB51" s="38">
        <f t="shared" si="256"/>
        <v>4.4908769383072755E-2</v>
      </c>
      <c r="AC51" s="31">
        <f t="shared" si="256"/>
        <v>4.1119987863563245E-2</v>
      </c>
      <c r="AD51" s="31">
        <f t="shared" si="256"/>
        <v>4.1436340267708503E-2</v>
      </c>
      <c r="AE51" s="32">
        <f t="shared" si="256"/>
        <v>4.4912177836411021E-2</v>
      </c>
      <c r="AF51" s="38">
        <f t="shared" si="256"/>
        <v>4.7547239413660486E-2</v>
      </c>
      <c r="AG51" s="31">
        <f t="shared" si="256"/>
        <v>4.5001782690079331E-2</v>
      </c>
      <c r="AH51" s="31">
        <f t="shared" si="256"/>
        <v>4.2612874138404512E-2</v>
      </c>
      <c r="AI51" s="32">
        <f t="shared" si="256"/>
        <v>5.4320648551705195E-2</v>
      </c>
      <c r="AJ51" s="38">
        <f t="shared" si="256"/>
        <v>5.0263012164234115E-2</v>
      </c>
      <c r="AK51" s="31">
        <f t="shared" si="256"/>
        <v>5.021051238567633E-2</v>
      </c>
      <c r="AL51" s="31">
        <f t="shared" si="256"/>
        <v>4.9103512571057564E-2</v>
      </c>
      <c r="AM51" s="32">
        <f t="shared" si="256"/>
        <v>5.4566396747556409E-2</v>
      </c>
      <c r="AN51" s="38">
        <f t="shared" si="256"/>
        <v>5.4392274183686938E-2</v>
      </c>
      <c r="AO51" s="31">
        <f t="shared" si="256"/>
        <v>4.772159552744791E-2</v>
      </c>
      <c r="AP51" s="31">
        <f t="shared" ref="AP51:AU51" si="257">AP50/AP12</f>
        <v>3.9411485504055946E-2</v>
      </c>
      <c r="AQ51" s="32">
        <f t="shared" si="257"/>
        <v>3.9350726429542716E-2</v>
      </c>
      <c r="AR51" s="38">
        <f t="shared" si="257"/>
        <v>3.9996659114874239E-2</v>
      </c>
      <c r="AS51" s="31">
        <f t="shared" si="257"/>
        <v>3.5356639574850891E-2</v>
      </c>
      <c r="AT51" s="31">
        <f>AT50/AT12</f>
        <v>3.5274411483912027E-2</v>
      </c>
      <c r="AU51" s="32">
        <f t="shared" si="257"/>
        <v>4.342517132154336E-2</v>
      </c>
      <c r="AV51" s="38">
        <f>AV50/AV12</f>
        <v>4.9944221083325968E-2</v>
      </c>
      <c r="AW51" s="31">
        <f t="shared" ref="AW51:AY51" si="258">AW50/AW12</f>
        <v>4.3407948294984323E-2</v>
      </c>
      <c r="AX51" s="31">
        <f t="shared" si="258"/>
        <v>4.2442472106565515E-2</v>
      </c>
      <c r="AY51" s="32">
        <f t="shared" si="258"/>
        <v>4.9970949009831893E-2</v>
      </c>
      <c r="AZ51" s="38">
        <f>AZ50/AZ12</f>
        <v>5.7460680223807466E-2</v>
      </c>
      <c r="BA51" s="31">
        <f t="shared" ref="BA51:BC51" si="259">BA50/BA12</f>
        <v>4.9709133402724121E-2</v>
      </c>
      <c r="BB51" s="492">
        <f t="shared" si="259"/>
        <v>4.6722145649137709E-2</v>
      </c>
      <c r="BC51" s="32">
        <f t="shared" si="259"/>
        <v>5.0994049702485132E-2</v>
      </c>
      <c r="BD51" s="38">
        <f>BD50/BD12</f>
        <v>9.3228357332780828E-2</v>
      </c>
      <c r="BE51" s="492">
        <f t="shared" ref="BE51:BG51" si="260">BE50/BE12</f>
        <v>9.0445638693675071E-2</v>
      </c>
      <c r="BF51" s="562">
        <f t="shared" si="260"/>
        <v>9.3538557395562563E-2</v>
      </c>
      <c r="BG51" s="563">
        <f t="shared" si="260"/>
        <v>9.3196557086425449E-2</v>
      </c>
      <c r="BH51" s="566">
        <f t="shared" ref="BH51:BK51" si="261">BH50/BH12</f>
        <v>9.5000000000000001E-2</v>
      </c>
      <c r="BI51" s="562">
        <f t="shared" si="261"/>
        <v>9.1999999999999998E-2</v>
      </c>
      <c r="BJ51" s="562">
        <f t="shared" si="261"/>
        <v>9.1999999999999998E-2</v>
      </c>
      <c r="BK51" s="562">
        <f t="shared" si="261"/>
        <v>9.1999999999999998E-2</v>
      </c>
      <c r="BL51" s="566">
        <f t="shared" ref="BL51:BO51" si="262">BL50/BL12</f>
        <v>9.2499999999999999E-2</v>
      </c>
      <c r="BM51" s="562">
        <f t="shared" si="262"/>
        <v>9.2499999999999999E-2</v>
      </c>
      <c r="BN51" s="562">
        <f t="shared" si="262"/>
        <v>9.2499999999999999E-2</v>
      </c>
      <c r="BO51" s="598">
        <f t="shared" si="262"/>
        <v>9.2499999999999999E-2</v>
      </c>
      <c r="BP51" s="347"/>
      <c r="BQ51" s="566">
        <f t="shared" ref="BQ51:CA51" si="263">BQ50/BQ12</f>
        <v>6.2527560469712057E-2</v>
      </c>
      <c r="BR51" s="562">
        <f t="shared" si="263"/>
        <v>6.2695403007664657E-2</v>
      </c>
      <c r="BS51" s="562">
        <f t="shared" si="263"/>
        <v>7.8703387137645464E-2</v>
      </c>
      <c r="BT51" s="562">
        <f t="shared" si="263"/>
        <v>7.3504513259264451E-2</v>
      </c>
      <c r="BU51" s="562">
        <f t="shared" si="263"/>
        <v>5.5005095637679989E-2</v>
      </c>
      <c r="BV51" s="562">
        <f t="shared" si="263"/>
        <v>4.9230914984469423E-2</v>
      </c>
      <c r="BW51" s="562">
        <f t="shared" si="263"/>
        <v>4.304695626365454E-2</v>
      </c>
      <c r="BX51" s="562">
        <f t="shared" si="263"/>
        <v>4.6974394643151861E-2</v>
      </c>
      <c r="BY51" s="562">
        <f t="shared" si="263"/>
        <v>5.1016685444498104E-2</v>
      </c>
      <c r="BZ51" s="562">
        <f t="shared" si="263"/>
        <v>4.4596404652802249E-2</v>
      </c>
      <c r="CA51" s="562">
        <f t="shared" si="263"/>
        <v>3.8401246519050775E-2</v>
      </c>
      <c r="CB51" s="562">
        <f t="shared" ref="CB51:CG51" si="264">CB50/CB12</f>
        <v>4.638920724271671E-2</v>
      </c>
      <c r="CC51" s="562">
        <f t="shared" si="264"/>
        <v>5.0950921168317551E-2</v>
      </c>
      <c r="CD51" s="562">
        <f t="shared" si="264"/>
        <v>9.2602750160309416E-2</v>
      </c>
      <c r="CE51" s="562">
        <f t="shared" si="264"/>
        <v>9.2723611686141197E-2</v>
      </c>
      <c r="CF51" s="562">
        <f t="shared" si="264"/>
        <v>9.2499999999999985E-2</v>
      </c>
      <c r="CG51" s="598">
        <f t="shared" si="264"/>
        <v>9.2499999999999985E-2</v>
      </c>
      <c r="CH51" s="336"/>
    </row>
    <row r="52" spans="2:86" ht="9" customHeight="1" collapsed="1">
      <c r="B52" s="46"/>
      <c r="C52" s="45"/>
      <c r="D52" s="47"/>
      <c r="E52" s="47"/>
      <c r="F52" s="47"/>
      <c r="G52" s="48"/>
      <c r="H52" s="47"/>
      <c r="I52" s="47"/>
      <c r="J52" s="47"/>
      <c r="K52" s="48"/>
      <c r="L52" s="47"/>
      <c r="M52" s="47"/>
      <c r="N52" s="47"/>
      <c r="O52" s="48"/>
      <c r="P52" s="47"/>
      <c r="Q52" s="47"/>
      <c r="R52" s="47"/>
      <c r="S52" s="48"/>
      <c r="T52" s="47"/>
      <c r="U52" s="47"/>
      <c r="V52" s="47"/>
      <c r="W52" s="48"/>
      <c r="X52" s="47"/>
      <c r="Y52" s="47"/>
      <c r="Z52" s="47"/>
      <c r="AA52" s="48"/>
      <c r="AB52" s="47"/>
      <c r="AC52" s="47"/>
      <c r="AD52" s="47"/>
      <c r="AE52" s="48"/>
      <c r="AF52" s="47"/>
      <c r="AG52" s="47"/>
      <c r="AH52" s="47"/>
      <c r="AI52" s="48"/>
      <c r="AJ52" s="47"/>
      <c r="AK52" s="47"/>
      <c r="AL52" s="47"/>
      <c r="AM52" s="48"/>
      <c r="AN52" s="258"/>
      <c r="AO52" s="47"/>
      <c r="AP52" s="47"/>
      <c r="AQ52" s="48"/>
      <c r="AR52" s="258"/>
      <c r="AS52" s="47"/>
      <c r="AT52" s="47"/>
      <c r="AU52" s="48"/>
      <c r="AV52" s="258"/>
      <c r="AW52" s="47"/>
      <c r="AX52" s="47"/>
      <c r="AY52" s="48"/>
      <c r="AZ52" s="258"/>
      <c r="BA52" s="47"/>
      <c r="BB52" s="47"/>
      <c r="BC52" s="48"/>
      <c r="BD52" s="258"/>
      <c r="BE52" s="47"/>
      <c r="BF52" s="47"/>
      <c r="BG52" s="48"/>
      <c r="BH52" s="258"/>
      <c r="BI52" s="47"/>
      <c r="BJ52" s="47"/>
      <c r="BK52" s="47"/>
      <c r="BL52" s="258"/>
      <c r="BM52" s="47"/>
      <c r="BN52" s="47"/>
      <c r="BO52" s="602"/>
      <c r="BP52" s="347"/>
      <c r="BQ52" s="683"/>
      <c r="BR52" s="338"/>
      <c r="BS52" s="338"/>
      <c r="BT52" s="338"/>
      <c r="BU52" s="338"/>
      <c r="BV52" s="338"/>
      <c r="BW52" s="338"/>
      <c r="BX52" s="338"/>
      <c r="BY52" s="338"/>
      <c r="BZ52" s="338"/>
      <c r="CA52" s="338"/>
      <c r="CB52" s="338"/>
      <c r="CC52" s="338"/>
      <c r="CD52" s="338"/>
      <c r="CE52" s="338"/>
      <c r="CF52" s="338"/>
      <c r="CG52" s="602"/>
      <c r="CH52" s="336"/>
    </row>
    <row r="53" spans="2:86" ht="14.25" hidden="1" outlineLevel="1">
      <c r="B53" s="16" t="s">
        <v>105</v>
      </c>
      <c r="C53" s="17"/>
      <c r="D53" s="22">
        <v>6.8369999999999997</v>
      </c>
      <c r="E53" s="23">
        <v>7.6619999999999999</v>
      </c>
      <c r="F53" s="23">
        <v>9.33</v>
      </c>
      <c r="G53" s="24">
        <f>32.22-F53-E53-D53</f>
        <v>8.3910000000000018</v>
      </c>
      <c r="H53" s="22">
        <v>9.5679999999999996</v>
      </c>
      <c r="I53" s="23">
        <v>17.45</v>
      </c>
      <c r="J53" s="23">
        <v>11.833</v>
      </c>
      <c r="K53" s="24">
        <v>24.192999999999998</v>
      </c>
      <c r="L53" s="22">
        <v>18.558</v>
      </c>
      <c r="M53" s="23">
        <v>19.689</v>
      </c>
      <c r="N53" s="23">
        <v>40.427</v>
      </c>
      <c r="O53" s="24">
        <v>35.479999999999997</v>
      </c>
      <c r="P53" s="22">
        <v>23.988</v>
      </c>
      <c r="Q53" s="23">
        <v>33.774999999999999</v>
      </c>
      <c r="R53" s="23">
        <v>32.536999999999999</v>
      </c>
      <c r="S53" s="24">
        <v>49.47799999999998</v>
      </c>
      <c r="T53" s="22">
        <v>12.951000000000001</v>
      </c>
      <c r="U53" s="23">
        <v>30.989000000000001</v>
      </c>
      <c r="V53" s="23">
        <v>28.869</v>
      </c>
      <c r="W53" s="24">
        <v>35.655999999999999</v>
      </c>
      <c r="X53" s="22">
        <v>102.72799999999999</v>
      </c>
      <c r="Y53" s="23">
        <v>29.468</v>
      </c>
      <c r="Z53" s="23">
        <v>16.66</v>
      </c>
      <c r="AA53" s="24">
        <v>22.506</v>
      </c>
      <c r="AB53" s="22">
        <v>23.108000000000001</v>
      </c>
      <c r="AC53" s="23">
        <v>25.44</v>
      </c>
      <c r="AD53" s="23">
        <v>29.576000000000001</v>
      </c>
      <c r="AE53" s="24">
        <v>26.706</v>
      </c>
      <c r="AF53" s="22">
        <v>24.783999999999999</v>
      </c>
      <c r="AG53" s="23">
        <v>23.631</v>
      </c>
      <c r="AH53" s="23">
        <v>29.021000000000001</v>
      </c>
      <c r="AI53" s="24">
        <v>23.184000000000001</v>
      </c>
      <c r="AJ53" s="22">
        <v>25.704999999999998</v>
      </c>
      <c r="AK53" s="23">
        <v>25.718</v>
      </c>
      <c r="AL53" s="23">
        <v>24.513999999999999</v>
      </c>
      <c r="AM53" s="24">
        <v>32.576999999999998</v>
      </c>
      <c r="AN53" s="22">
        <v>26.323</v>
      </c>
      <c r="AO53" s="23">
        <v>27.192</v>
      </c>
      <c r="AP53" s="23">
        <v>26.588999999999999</v>
      </c>
      <c r="AQ53" s="24">
        <v>26.367000000000001</v>
      </c>
      <c r="AR53" s="22">
        <v>30.573</v>
      </c>
      <c r="AS53" s="23">
        <v>31.332999999999998</v>
      </c>
      <c r="AT53" s="23">
        <v>33.472999999999999</v>
      </c>
      <c r="AU53" s="24">
        <v>34.651000000000003</v>
      </c>
      <c r="AV53" s="22">
        <v>41.027000000000001</v>
      </c>
      <c r="AW53" s="23">
        <v>36.563000000000002</v>
      </c>
      <c r="AX53" s="23">
        <v>33.206000000000003</v>
      </c>
      <c r="AY53" s="24">
        <v>37.811999999999998</v>
      </c>
      <c r="AZ53" s="22">
        <v>35.622999999999998</v>
      </c>
      <c r="BA53" s="23">
        <v>37.173000000000002</v>
      </c>
      <c r="BB53" s="23">
        <v>29.012</v>
      </c>
      <c r="BC53" s="24">
        <v>80.346999999999994</v>
      </c>
      <c r="BD53" s="22"/>
      <c r="BE53" s="23"/>
      <c r="BF53" s="23"/>
      <c r="BG53" s="24"/>
      <c r="BH53" s="638"/>
      <c r="BI53" s="326"/>
      <c r="BJ53" s="326"/>
      <c r="BK53" s="326"/>
      <c r="BL53" s="638"/>
      <c r="BM53" s="326"/>
      <c r="BN53" s="326"/>
      <c r="BO53" s="600"/>
      <c r="BP53" s="347"/>
      <c r="BQ53" s="25">
        <f>SUM(D53:G53)</f>
        <v>32.22</v>
      </c>
      <c r="BR53" s="26">
        <f>SUM(H53:K53)</f>
        <v>63.043999999999997</v>
      </c>
      <c r="BS53" s="26">
        <f>SUM(L53:O53)</f>
        <v>114.154</v>
      </c>
      <c r="BT53" s="26">
        <f>SUM(P53:S53)</f>
        <v>139.77799999999996</v>
      </c>
      <c r="BU53" s="26">
        <f>SUM(T53:W53)</f>
        <v>108.465</v>
      </c>
      <c r="BV53" s="26">
        <f>SUM(X53:AA53)</f>
        <v>171.36199999999999</v>
      </c>
      <c r="BW53" s="26">
        <f>SUM(AB53:AE53)</f>
        <v>104.83</v>
      </c>
      <c r="BX53" s="26">
        <f>SUM(AF53:AI53)</f>
        <v>100.62</v>
      </c>
      <c r="BY53" s="26">
        <f>SUM(AJ53:AM53)</f>
        <v>108.514</v>
      </c>
      <c r="BZ53" s="26">
        <f>SUM(AN53:AQ53)</f>
        <v>106.471</v>
      </c>
      <c r="CA53" s="26">
        <f>SUM(AR53:AU53)</f>
        <v>130.03</v>
      </c>
      <c r="CB53" s="26">
        <f>SUM(AV53:AY53)</f>
        <v>148.608</v>
      </c>
      <c r="CC53" s="26">
        <f>SUM(AZ53:BC53)</f>
        <v>182.15499999999997</v>
      </c>
      <c r="CD53" s="26"/>
      <c r="CE53" s="26"/>
      <c r="CF53" s="26"/>
      <c r="CG53" s="597"/>
      <c r="CH53" s="336"/>
    </row>
    <row r="54" spans="2:86" ht="14.25" hidden="1" outlineLevel="1">
      <c r="B54" s="28" t="s">
        <v>6</v>
      </c>
      <c r="C54" s="29"/>
      <c r="D54" s="38">
        <f t="shared" ref="D54:AO54" si="265">D53/D10</f>
        <v>2.5361955953215592E-2</v>
      </c>
      <c r="E54" s="31">
        <f t="shared" si="265"/>
        <v>2.5784610000201914E-2</v>
      </c>
      <c r="F54" s="31">
        <f t="shared" si="265"/>
        <v>2.9378146815163278E-2</v>
      </c>
      <c r="G54" s="32">
        <f t="shared" si="265"/>
        <v>2.4660118848195252E-2</v>
      </c>
      <c r="H54" s="38">
        <f t="shared" si="265"/>
        <v>2.6230227266496698E-2</v>
      </c>
      <c r="I54" s="31">
        <f t="shared" si="265"/>
        <v>4.4691564179135057E-2</v>
      </c>
      <c r="J54" s="31">
        <f t="shared" si="265"/>
        <v>2.7775300099054986E-2</v>
      </c>
      <c r="K54" s="32">
        <f t="shared" si="265"/>
        <v>4.9472818885271636E-2</v>
      </c>
      <c r="L54" s="38">
        <f t="shared" si="265"/>
        <v>3.5606566435659522E-2</v>
      </c>
      <c r="M54" s="31">
        <f t="shared" si="265"/>
        <v>3.4302290129533002E-2</v>
      </c>
      <c r="N54" s="31">
        <f t="shared" si="265"/>
        <v>7.7684772039861794E-2</v>
      </c>
      <c r="O54" s="32">
        <f t="shared" si="265"/>
        <v>5.7044185126709508E-2</v>
      </c>
      <c r="P54" s="38">
        <f t="shared" si="265"/>
        <v>3.7773403669002441E-2</v>
      </c>
      <c r="Q54" s="31">
        <f t="shared" si="265"/>
        <v>5.1430537938301622E-2</v>
      </c>
      <c r="R54" s="31">
        <f t="shared" si="265"/>
        <v>4.2910875889882703E-2</v>
      </c>
      <c r="S54" s="32">
        <f t="shared" si="265"/>
        <v>5.8575612712889726E-2</v>
      </c>
      <c r="T54" s="38">
        <f t="shared" si="265"/>
        <v>1.6106706463949259E-2</v>
      </c>
      <c r="U54" s="31">
        <f t="shared" si="265"/>
        <v>3.6778921757707028E-2</v>
      </c>
      <c r="V54" s="31">
        <f t="shared" si="265"/>
        <v>3.6494717121381054E-2</v>
      </c>
      <c r="W54" s="32">
        <f t="shared" si="265"/>
        <v>6.9522897749319051E-2</v>
      </c>
      <c r="X54" s="38">
        <f t="shared" si="265"/>
        <v>0.1970105516709689</v>
      </c>
      <c r="Y54" s="31">
        <f t="shared" si="265"/>
        <v>4.5999188286347602E-2</v>
      </c>
      <c r="Z54" s="31">
        <f t="shared" si="265"/>
        <v>2.0744666279831354E-2</v>
      </c>
      <c r="AA54" s="32">
        <f t="shared" si="265"/>
        <v>2.6712243408285711E-2</v>
      </c>
      <c r="AB54" s="38">
        <f t="shared" si="265"/>
        <v>2.7008610543269532E-2</v>
      </c>
      <c r="AC54" s="31">
        <f t="shared" si="265"/>
        <v>2.8377844756233866E-2</v>
      </c>
      <c r="AD54" s="31">
        <f t="shared" si="265"/>
        <v>3.0829946410348089E-2</v>
      </c>
      <c r="AE54" s="32">
        <f t="shared" si="265"/>
        <v>2.9656429168707168E-2</v>
      </c>
      <c r="AF54" s="38">
        <f t="shared" si="265"/>
        <v>3.0887260998850946E-2</v>
      </c>
      <c r="AG54" s="31">
        <f t="shared" si="265"/>
        <v>2.6329218290400216E-2</v>
      </c>
      <c r="AH54" s="31">
        <f t="shared" si="265"/>
        <v>3.0535017786929314E-2</v>
      </c>
      <c r="AI54" s="32">
        <f t="shared" si="265"/>
        <v>3.1215792088606316E-2</v>
      </c>
      <c r="AJ54" s="38">
        <f t="shared" si="265"/>
        <v>3.2278480217893868E-2</v>
      </c>
      <c r="AK54" s="31">
        <f t="shared" si="265"/>
        <v>3.1513140482095414E-2</v>
      </c>
      <c r="AL54" s="31">
        <f t="shared" si="265"/>
        <v>3.1392747422462577E-2</v>
      </c>
      <c r="AM54" s="32">
        <f t="shared" si="265"/>
        <v>4.2018898637162162E-2</v>
      </c>
      <c r="AN54" s="38">
        <f t="shared" si="265"/>
        <v>3.5844377962577396E-2</v>
      </c>
      <c r="AO54" s="31">
        <f t="shared" si="265"/>
        <v>3.3692829246049841E-2</v>
      </c>
      <c r="AP54" s="31">
        <f t="shared" ref="AP54:AU54" si="266">AP53/AP10</f>
        <v>2.8552682163083935E-2</v>
      </c>
      <c r="AQ54" s="32">
        <f t="shared" si="266"/>
        <v>2.8298393666105356E-2</v>
      </c>
      <c r="AR54" s="38">
        <f t="shared" si="266"/>
        <v>3.1919025296764561E-2</v>
      </c>
      <c r="AS54" s="31">
        <f t="shared" si="266"/>
        <v>3.2586098414530779E-2</v>
      </c>
      <c r="AT54" s="31">
        <f>AT53/AT10</f>
        <v>3.5987210472447038E-2</v>
      </c>
      <c r="AU54" s="32">
        <f t="shared" si="266"/>
        <v>4.0411591552646682E-2</v>
      </c>
      <c r="AV54" s="38">
        <f>AV53/AV10</f>
        <v>5.6644594415481135E-2</v>
      </c>
      <c r="AW54" s="31">
        <f t="shared" ref="AW54:AY54" si="267">AW53/AW10</f>
        <v>5.1461522437972564E-2</v>
      </c>
      <c r="AX54" s="31">
        <f t="shared" si="267"/>
        <v>4.9202092192801798E-2</v>
      </c>
      <c r="AY54" s="32">
        <f t="shared" si="267"/>
        <v>6.1367376549521381E-2</v>
      </c>
      <c r="AZ54" s="38">
        <f>AZ53/AZ10</f>
        <v>6.5868252400974811E-2</v>
      </c>
      <c r="BA54" s="31">
        <f t="shared" ref="BA54:BC54" si="268">BA53/BA10</f>
        <v>5.9343490782306628E-2</v>
      </c>
      <c r="BB54" s="492">
        <f t="shared" si="268"/>
        <v>4.4332250443903168E-2</v>
      </c>
      <c r="BC54" s="32">
        <f t="shared" si="268"/>
        <v>0.1406142807140357</v>
      </c>
      <c r="BD54" s="38"/>
      <c r="BE54" s="492"/>
      <c r="BF54" s="562"/>
      <c r="BG54" s="563"/>
      <c r="BH54" s="566"/>
      <c r="BI54" s="562"/>
      <c r="BJ54" s="562"/>
      <c r="BK54" s="562"/>
      <c r="BL54" s="566"/>
      <c r="BM54" s="562"/>
      <c r="BN54" s="562"/>
      <c r="BO54" s="598"/>
      <c r="BP54" s="347"/>
      <c r="BQ54" s="566">
        <f>BQ53/BQ10</f>
        <v>2.6311061751784284E-2</v>
      </c>
      <c r="BR54" s="562">
        <f t="shared" ref="BR54:CB54" si="269">BR53/BR10</f>
        <v>3.7744886143883667E-2</v>
      </c>
      <c r="BS54" s="562">
        <f t="shared" si="269"/>
        <v>5.101733903062855E-2</v>
      </c>
      <c r="BT54" s="562">
        <f t="shared" si="269"/>
        <v>4.8287676793359414E-2</v>
      </c>
      <c r="BU54" s="562">
        <f t="shared" si="269"/>
        <v>3.6760780908592708E-2</v>
      </c>
      <c r="BV54" s="562">
        <f t="shared" si="269"/>
        <v>6.1033156473638266E-2</v>
      </c>
      <c r="BW54" s="562">
        <f t="shared" si="269"/>
        <v>2.9023561882923994E-2</v>
      </c>
      <c r="BX54" s="562">
        <f t="shared" si="269"/>
        <v>2.9654822813759935E-2</v>
      </c>
      <c r="BY54" s="562">
        <f t="shared" si="269"/>
        <v>3.4246346212716536E-2</v>
      </c>
      <c r="BZ54" s="562">
        <f t="shared" si="269"/>
        <v>3.1274527082598987E-2</v>
      </c>
      <c r="CA54" s="562">
        <f t="shared" si="269"/>
        <v>3.507723168534458E-2</v>
      </c>
      <c r="CB54" s="562">
        <f t="shared" si="269"/>
        <v>5.4518480256274426E-2</v>
      </c>
      <c r="CC54" s="562">
        <f t="shared" ref="CC54" si="270">CC53/CC10</f>
        <v>7.6118406316964787E-2</v>
      </c>
      <c r="CD54" s="562"/>
      <c r="CE54" s="562"/>
      <c r="CF54" s="562"/>
      <c r="CG54" s="697"/>
      <c r="CH54" s="336"/>
    </row>
    <row r="55" spans="2:86" ht="14.25" hidden="1" outlineLevel="1">
      <c r="B55" s="20" t="s">
        <v>7</v>
      </c>
      <c r="C55" s="21"/>
      <c r="D55" s="22"/>
      <c r="E55" s="23"/>
      <c r="F55" s="23"/>
      <c r="G55" s="24"/>
      <c r="H55" s="22">
        <v>2.782</v>
      </c>
      <c r="I55" s="23">
        <v>9.0549999999999997</v>
      </c>
      <c r="J55" s="23">
        <v>2.7709999999999999</v>
      </c>
      <c r="K55" s="24">
        <v>12.738</v>
      </c>
      <c r="L55" s="22">
        <v>7.657</v>
      </c>
      <c r="M55" s="23">
        <v>7.4370000000000003</v>
      </c>
      <c r="N55" s="23">
        <v>6.702</v>
      </c>
      <c r="O55" s="24">
        <v>7.0529999999999999</v>
      </c>
      <c r="P55" s="22">
        <v>4.5570000000000004</v>
      </c>
      <c r="Q55" s="23">
        <v>10.032999999999999</v>
      </c>
      <c r="R55" s="23">
        <v>4.0919999999999996</v>
      </c>
      <c r="S55" s="24">
        <v>5.4969999999999999</v>
      </c>
      <c r="T55" s="22">
        <f>4.837+0.036</f>
        <v>4.8729999999999993</v>
      </c>
      <c r="U55" s="23">
        <v>4.7149999999999999</v>
      </c>
      <c r="V55" s="23">
        <v>0.28000000000000003</v>
      </c>
      <c r="W55" s="24">
        <v>3.645</v>
      </c>
      <c r="X55" s="22">
        <v>2.0840000000000001</v>
      </c>
      <c r="Y55" s="23">
        <v>2.3530000000000002</v>
      </c>
      <c r="Z55" s="23">
        <v>3.7669999999999999</v>
      </c>
      <c r="AA55" s="24">
        <v>2.641</v>
      </c>
      <c r="AB55" s="22">
        <v>2.6360000000000001</v>
      </c>
      <c r="AC55" s="23">
        <v>4.5110000000000001</v>
      </c>
      <c r="AD55" s="23">
        <v>4.72</v>
      </c>
      <c r="AE55" s="24">
        <v>4.7229999999999999</v>
      </c>
      <c r="AF55" s="22">
        <v>3.5379999999999998</v>
      </c>
      <c r="AG55" s="23">
        <v>3.1040000000000001</v>
      </c>
      <c r="AH55" s="23">
        <v>3.3639999999999999</v>
      </c>
      <c r="AI55" s="24">
        <v>4.0179999999999998</v>
      </c>
      <c r="AJ55" s="22">
        <v>4.859</v>
      </c>
      <c r="AK55" s="23">
        <v>5.5819999999999999</v>
      </c>
      <c r="AL55" s="23">
        <v>2.7639999999999998</v>
      </c>
      <c r="AM55" s="24">
        <v>5.5060000000000002</v>
      </c>
      <c r="AN55" s="22">
        <v>4.9749999999999996</v>
      </c>
      <c r="AO55" s="23">
        <v>6.593</v>
      </c>
      <c r="AP55" s="23">
        <v>6.8479999999999999</v>
      </c>
      <c r="AQ55" s="24">
        <v>5.2220000000000004</v>
      </c>
      <c r="AR55" s="22">
        <v>4.3739999999999997</v>
      </c>
      <c r="AS55" s="23">
        <v>6.3940000000000001</v>
      </c>
      <c r="AT55" s="23">
        <v>5.3070000000000004</v>
      </c>
      <c r="AU55" s="24">
        <v>7.298</v>
      </c>
      <c r="AV55" s="22">
        <v>4.3159999999999998</v>
      </c>
      <c r="AW55" s="23">
        <v>4.1479999999999997</v>
      </c>
      <c r="AX55" s="23">
        <v>3.7890000000000001</v>
      </c>
      <c r="AY55" s="24">
        <v>3.7130000000000001</v>
      </c>
      <c r="AZ55" s="22">
        <v>-4.6870000000000003</v>
      </c>
      <c r="BA55" s="23">
        <v>2.468</v>
      </c>
      <c r="BB55" s="23">
        <v>3.0819999999999999</v>
      </c>
      <c r="BC55" s="24">
        <v>0</v>
      </c>
      <c r="BD55" s="22"/>
      <c r="BE55" s="23"/>
      <c r="BF55" s="23"/>
      <c r="BG55" s="24"/>
      <c r="BH55" s="638"/>
      <c r="BI55" s="326"/>
      <c r="BJ55" s="326"/>
      <c r="BK55" s="326"/>
      <c r="BL55" s="638"/>
      <c r="BM55" s="326"/>
      <c r="BN55" s="326"/>
      <c r="BO55" s="600"/>
      <c r="BP55" s="347"/>
      <c r="BQ55" s="25">
        <f>SUM(D55:G55)</f>
        <v>0</v>
      </c>
      <c r="BR55" s="26">
        <f>SUM(H55:K55)</f>
        <v>27.346</v>
      </c>
      <c r="BS55" s="26">
        <f>SUM(L55:O55)</f>
        <v>28.849</v>
      </c>
      <c r="BT55" s="26">
        <f>SUM(P55:S55)</f>
        <v>24.178999999999998</v>
      </c>
      <c r="BU55" s="26">
        <f>SUM(T55:W55)</f>
        <v>13.512999999999998</v>
      </c>
      <c r="BV55" s="26">
        <f>SUM(X55:AA55)</f>
        <v>10.845000000000001</v>
      </c>
      <c r="BW55" s="26">
        <f>SUM(AB55:AE55)</f>
        <v>16.59</v>
      </c>
      <c r="BX55" s="26">
        <f>SUM(AF55:AI55)</f>
        <v>14.024000000000001</v>
      </c>
      <c r="BY55" s="26">
        <f>SUM(AJ55:AM55)</f>
        <v>18.710999999999999</v>
      </c>
      <c r="BZ55" s="26">
        <f>SUM(AN55:AQ55)</f>
        <v>23.638000000000002</v>
      </c>
      <c r="CA55" s="26">
        <f>SUM(AR55:AU55)</f>
        <v>23.373000000000005</v>
      </c>
      <c r="CB55" s="26">
        <f>SUM(AV55:AY55)</f>
        <v>15.965999999999998</v>
      </c>
      <c r="CC55" s="26">
        <f>SUM(AZ55:BC55)</f>
        <v>0.86299999999999955</v>
      </c>
      <c r="CD55" s="26"/>
      <c r="CE55" s="26"/>
      <c r="CF55" s="26"/>
      <c r="CG55" s="600"/>
      <c r="CH55" s="336"/>
    </row>
    <row r="56" spans="2:86" ht="14.25" hidden="1" outlineLevel="1">
      <c r="B56" s="20" t="s">
        <v>8</v>
      </c>
      <c r="C56" s="21"/>
      <c r="D56" s="22"/>
      <c r="E56" s="23"/>
      <c r="F56" s="23"/>
      <c r="G56" s="24"/>
      <c r="H56" s="22"/>
      <c r="I56" s="23"/>
      <c r="J56" s="23"/>
      <c r="K56" s="24"/>
      <c r="L56" s="22"/>
      <c r="M56" s="23"/>
      <c r="N56" s="23"/>
      <c r="O56" s="24"/>
      <c r="P56" s="22"/>
      <c r="Q56" s="23"/>
      <c r="R56" s="23"/>
      <c r="S56" s="24">
        <v>7.8559999999999999</v>
      </c>
      <c r="T56" s="22"/>
      <c r="U56" s="23"/>
      <c r="V56" s="23"/>
      <c r="W56" s="24">
        <f>3.677-0.317</f>
        <v>3.36</v>
      </c>
      <c r="X56" s="22">
        <f>1.232+72</f>
        <v>73.231999999999999</v>
      </c>
      <c r="Y56" s="23">
        <f>0.906-0.158</f>
        <v>0.748</v>
      </c>
      <c r="Z56" s="23">
        <v>0.53</v>
      </c>
      <c r="AA56" s="24">
        <v>2.1110000000000002</v>
      </c>
      <c r="AB56" s="22">
        <v>0.45700000000000002</v>
      </c>
      <c r="AC56" s="23">
        <v>0.28999999999999998</v>
      </c>
      <c r="AD56" s="23">
        <v>7.1999999999999995E-2</v>
      </c>
      <c r="AE56" s="24">
        <v>0.39900000000000002</v>
      </c>
      <c r="AF56" s="22">
        <v>0.45100000000000001</v>
      </c>
      <c r="AG56" s="23">
        <v>0.42799999999999999</v>
      </c>
      <c r="AH56" s="23">
        <f>0.104+4.322</f>
        <v>4.4260000000000002</v>
      </c>
      <c r="AI56" s="24">
        <f>0.185+0.137-0.75</f>
        <v>-0.42799999999999999</v>
      </c>
      <c r="AJ56" s="22">
        <f>0.039+0.12</f>
        <v>0.159</v>
      </c>
      <c r="AK56" s="23">
        <f>0.007+0.81+0.25</f>
        <v>1.0670000000000002</v>
      </c>
      <c r="AL56" s="23">
        <f>0.008+0.13</f>
        <v>0.13800000000000001</v>
      </c>
      <c r="AM56" s="24">
        <f>0.019+0.153</f>
        <v>0.17199999999999999</v>
      </c>
      <c r="AN56" s="22">
        <f>0.02+0.228</f>
        <v>0.248</v>
      </c>
      <c r="AO56" s="23">
        <f>0.02+0.178+0.5</f>
        <v>0.69799999999999995</v>
      </c>
      <c r="AP56" s="23">
        <f>0.019+0.527</f>
        <v>0.54600000000000004</v>
      </c>
      <c r="AQ56" s="24">
        <f>0.005+0.118</f>
        <v>0.123</v>
      </c>
      <c r="AR56" s="22">
        <f>0.358+2</f>
        <v>2.3580000000000001</v>
      </c>
      <c r="AS56" s="23">
        <f>0.371+0.475+2.155</f>
        <v>3.0009999999999999</v>
      </c>
      <c r="AT56" s="23">
        <f>1.115+2.318</f>
        <v>3.4329999999999998</v>
      </c>
      <c r="AU56" s="24">
        <f>3.345+2.764</f>
        <v>6.109</v>
      </c>
      <c r="AV56" s="22">
        <f>0.592+18.302</f>
        <v>18.893999999999998</v>
      </c>
      <c r="AW56" s="23">
        <f>1.32+7.06+2.748</f>
        <v>11.128</v>
      </c>
      <c r="AX56" s="23">
        <f>1.565+2.901</f>
        <v>4.4659999999999993</v>
      </c>
      <c r="AY56" s="24">
        <f>0.568+0.08+2.876</f>
        <v>3.524</v>
      </c>
      <c r="AZ56" s="22">
        <f>-(-0.886-3.629-0.1)</f>
        <v>4.6149999999999993</v>
      </c>
      <c r="BA56" s="23">
        <f>1.023-0.115</f>
        <v>0.90799999999999992</v>
      </c>
      <c r="BB56" s="23">
        <v>0.108</v>
      </c>
      <c r="BC56" s="24">
        <v>0</v>
      </c>
      <c r="BD56" s="22"/>
      <c r="BE56" s="23"/>
      <c r="BF56" s="23"/>
      <c r="BG56" s="24"/>
      <c r="BH56" s="638"/>
      <c r="BI56" s="326"/>
      <c r="BJ56" s="326"/>
      <c r="BK56" s="326"/>
      <c r="BL56" s="638"/>
      <c r="BM56" s="326"/>
      <c r="BN56" s="326"/>
      <c r="BO56" s="600"/>
      <c r="BP56" s="347"/>
      <c r="BQ56" s="25">
        <f>SUM(D56:G56)</f>
        <v>0</v>
      </c>
      <c r="BR56" s="26">
        <f>SUM(H56:K56)</f>
        <v>0</v>
      </c>
      <c r="BS56" s="26">
        <f>SUM(L56:O56)</f>
        <v>0</v>
      </c>
      <c r="BT56" s="26">
        <f>SUM(P56:S56)</f>
        <v>7.8559999999999999</v>
      </c>
      <c r="BU56" s="26">
        <f>SUM(T56:W56)</f>
        <v>3.36</v>
      </c>
      <c r="BV56" s="26">
        <f>SUM(X56:AA56)</f>
        <v>76.621000000000009</v>
      </c>
      <c r="BW56" s="26">
        <f>SUM(AB56:AE56)</f>
        <v>1.218</v>
      </c>
      <c r="BX56" s="26">
        <f>SUM(AF56:AI56)</f>
        <v>4.8769999999999998</v>
      </c>
      <c r="BY56" s="26">
        <f>SUM(AJ56:AM56)</f>
        <v>1.5360000000000003</v>
      </c>
      <c r="BZ56" s="26">
        <f>SUM(AN56:AQ56)</f>
        <v>1.615</v>
      </c>
      <c r="CA56" s="26">
        <f>SUM(AR56:AU56)</f>
        <v>14.901</v>
      </c>
      <c r="CB56" s="26">
        <f>SUM(AV56:AY56)</f>
        <v>38.012</v>
      </c>
      <c r="CC56" s="26">
        <f>SUM(AZ56:BC56)</f>
        <v>5.6309999999999993</v>
      </c>
      <c r="CD56" s="26"/>
      <c r="CE56" s="26"/>
      <c r="CF56" s="26"/>
      <c r="CG56" s="600"/>
      <c r="CH56" s="336"/>
    </row>
    <row r="57" spans="2:86" ht="14.25" hidden="1" outlineLevel="1">
      <c r="B57" s="20" t="s">
        <v>9</v>
      </c>
      <c r="C57" s="21"/>
      <c r="D57" s="22"/>
      <c r="E57" s="23"/>
      <c r="F57" s="23"/>
      <c r="G57" s="24"/>
      <c r="H57" s="22"/>
      <c r="I57" s="23"/>
      <c r="J57" s="23"/>
      <c r="K57" s="24"/>
      <c r="L57" s="22"/>
      <c r="M57" s="23"/>
      <c r="N57" s="23"/>
      <c r="O57" s="24"/>
      <c r="P57" s="22"/>
      <c r="Q57" s="23"/>
      <c r="R57" s="23"/>
      <c r="S57" s="24"/>
      <c r="T57" s="22"/>
      <c r="U57" s="23"/>
      <c r="V57" s="23"/>
      <c r="W57" s="24"/>
      <c r="X57" s="22"/>
      <c r="Y57" s="23"/>
      <c r="Z57" s="23"/>
      <c r="AA57" s="24"/>
      <c r="AB57" s="22"/>
      <c r="AC57" s="23"/>
      <c r="AD57" s="23"/>
      <c r="AE57" s="24"/>
      <c r="AF57" s="22"/>
      <c r="AG57" s="23"/>
      <c r="AH57" s="23"/>
      <c r="AI57" s="24"/>
      <c r="AJ57" s="22"/>
      <c r="AK57" s="23"/>
      <c r="AL57" s="23"/>
      <c r="AM57" s="24"/>
      <c r="AN57" s="22"/>
      <c r="AO57" s="23"/>
      <c r="AP57" s="23"/>
      <c r="AQ57" s="24"/>
      <c r="AR57" s="22"/>
      <c r="AS57" s="23"/>
      <c r="AT57" s="23"/>
      <c r="AU57" s="24"/>
      <c r="AV57" s="22"/>
      <c r="AW57" s="23"/>
      <c r="AX57" s="23"/>
      <c r="AY57" s="24"/>
      <c r="AZ57" s="22"/>
      <c r="BA57" s="23"/>
      <c r="BB57" s="23"/>
      <c r="BC57" s="24"/>
      <c r="BD57" s="22"/>
      <c r="BE57" s="23"/>
      <c r="BF57" s="23"/>
      <c r="BG57" s="24"/>
      <c r="BH57" s="637"/>
      <c r="BI57" s="325"/>
      <c r="BJ57" s="325"/>
      <c r="BK57" s="325"/>
      <c r="BL57" s="637"/>
      <c r="BM57" s="325"/>
      <c r="BN57" s="325"/>
      <c r="BO57" s="596"/>
      <c r="BP57" s="347"/>
      <c r="BQ57" s="25">
        <f>SUM(D57:G57)</f>
        <v>0</v>
      </c>
      <c r="BR57" s="26">
        <f>SUM(H57:K57)</f>
        <v>0</v>
      </c>
      <c r="BS57" s="26">
        <f>SUM(L57:O57)</f>
        <v>0</v>
      </c>
      <c r="BT57" s="26">
        <f>SUM(P57:S57)</f>
        <v>0</v>
      </c>
      <c r="BU57" s="26">
        <f>SUM(T57:W57)</f>
        <v>0</v>
      </c>
      <c r="BV57" s="26">
        <f>SUM(X57:AA57)</f>
        <v>0</v>
      </c>
      <c r="BW57" s="26">
        <f>SUM(AB57:AE57)</f>
        <v>0</v>
      </c>
      <c r="BX57" s="26">
        <f>SUM(AF57:AI57)</f>
        <v>0</v>
      </c>
      <c r="BY57" s="26">
        <f>SUM(AJ57:AM57)</f>
        <v>0</v>
      </c>
      <c r="BZ57" s="26">
        <f>SUM(AN57:AQ57)</f>
        <v>0</v>
      </c>
      <c r="CA57" s="26">
        <f>SUM(AR57:AU57)</f>
        <v>0</v>
      </c>
      <c r="CB57" s="26">
        <f>SUM(AV57:AY57)</f>
        <v>0</v>
      </c>
      <c r="CC57" s="26">
        <f>SUM(AZ57:BC57)</f>
        <v>0</v>
      </c>
      <c r="CD57" s="26"/>
      <c r="CE57" s="26"/>
      <c r="CF57" s="26"/>
      <c r="CG57" s="596"/>
      <c r="CH57" s="336"/>
    </row>
    <row r="58" spans="2:86" ht="14.25" collapsed="1">
      <c r="B58" s="16" t="s">
        <v>106</v>
      </c>
      <c r="C58" s="17"/>
      <c r="D58" s="25">
        <f t="shared" ref="D58:AO58" si="271">D53-D55-D56-D57</f>
        <v>6.8369999999999997</v>
      </c>
      <c r="E58" s="26">
        <f t="shared" si="271"/>
        <v>7.6619999999999999</v>
      </c>
      <c r="F58" s="26">
        <f t="shared" si="271"/>
        <v>9.33</v>
      </c>
      <c r="G58" s="27">
        <f t="shared" si="271"/>
        <v>8.3910000000000018</v>
      </c>
      <c r="H58" s="25">
        <f t="shared" si="271"/>
        <v>6.7859999999999996</v>
      </c>
      <c r="I58" s="26">
        <f t="shared" si="271"/>
        <v>8.3949999999999996</v>
      </c>
      <c r="J58" s="26">
        <f t="shared" si="271"/>
        <v>9.0620000000000012</v>
      </c>
      <c r="K58" s="27">
        <f t="shared" si="271"/>
        <v>11.454999999999998</v>
      </c>
      <c r="L58" s="25">
        <f t="shared" si="271"/>
        <v>10.901</v>
      </c>
      <c r="M58" s="26">
        <f t="shared" si="271"/>
        <v>12.251999999999999</v>
      </c>
      <c r="N58" s="26">
        <f t="shared" si="271"/>
        <v>33.725000000000001</v>
      </c>
      <c r="O58" s="27">
        <f t="shared" si="271"/>
        <v>28.426999999999996</v>
      </c>
      <c r="P58" s="25">
        <f t="shared" si="271"/>
        <v>19.430999999999997</v>
      </c>
      <c r="Q58" s="26">
        <f t="shared" si="271"/>
        <v>23.741999999999997</v>
      </c>
      <c r="R58" s="26">
        <f t="shared" si="271"/>
        <v>28.445</v>
      </c>
      <c r="S58" s="27">
        <f t="shared" si="271"/>
        <v>36.124999999999979</v>
      </c>
      <c r="T58" s="25">
        <f t="shared" si="271"/>
        <v>8.0780000000000012</v>
      </c>
      <c r="U58" s="26">
        <f t="shared" si="271"/>
        <v>26.274000000000001</v>
      </c>
      <c r="V58" s="26">
        <f t="shared" si="271"/>
        <v>28.588999999999999</v>
      </c>
      <c r="W58" s="27">
        <f t="shared" si="271"/>
        <v>28.650999999999996</v>
      </c>
      <c r="X58" s="25">
        <f t="shared" si="271"/>
        <v>27.411999999999992</v>
      </c>
      <c r="Y58" s="26">
        <f t="shared" si="271"/>
        <v>26.366999999999997</v>
      </c>
      <c r="Z58" s="26">
        <f t="shared" si="271"/>
        <v>12.363000000000001</v>
      </c>
      <c r="AA58" s="27">
        <f t="shared" si="271"/>
        <v>17.754000000000001</v>
      </c>
      <c r="AB58" s="25">
        <f t="shared" si="271"/>
        <v>20.015000000000001</v>
      </c>
      <c r="AC58" s="26">
        <f t="shared" si="271"/>
        <v>20.639000000000003</v>
      </c>
      <c r="AD58" s="26">
        <f t="shared" si="271"/>
        <v>24.784000000000002</v>
      </c>
      <c r="AE58" s="27">
        <f t="shared" si="271"/>
        <v>21.584</v>
      </c>
      <c r="AF58" s="25">
        <f t="shared" si="271"/>
        <v>20.794999999999998</v>
      </c>
      <c r="AG58" s="26">
        <f t="shared" si="271"/>
        <v>20.099</v>
      </c>
      <c r="AH58" s="26">
        <f t="shared" si="271"/>
        <v>21.231000000000002</v>
      </c>
      <c r="AI58" s="27">
        <f t="shared" si="271"/>
        <v>19.594000000000001</v>
      </c>
      <c r="AJ58" s="25">
        <f t="shared" si="271"/>
        <v>20.686999999999998</v>
      </c>
      <c r="AK58" s="26">
        <f t="shared" si="271"/>
        <v>19.068999999999999</v>
      </c>
      <c r="AL58" s="26">
        <f t="shared" si="271"/>
        <v>21.611999999999998</v>
      </c>
      <c r="AM58" s="27">
        <f t="shared" si="271"/>
        <v>26.898999999999997</v>
      </c>
      <c r="AN58" s="25">
        <f t="shared" si="271"/>
        <v>21.099999999999998</v>
      </c>
      <c r="AO58" s="26">
        <f t="shared" si="271"/>
        <v>19.901</v>
      </c>
      <c r="AP58" s="26">
        <f t="shared" ref="AP58:AU58" si="272">AP53-AP55-AP56-AP57</f>
        <v>19.195</v>
      </c>
      <c r="AQ58" s="27">
        <f t="shared" si="272"/>
        <v>21.021999999999998</v>
      </c>
      <c r="AR58" s="25">
        <f t="shared" si="272"/>
        <v>23.841000000000001</v>
      </c>
      <c r="AS58" s="26">
        <f t="shared" si="272"/>
        <v>21.937999999999999</v>
      </c>
      <c r="AT58" s="26">
        <f>AT53-AT55-AT56-AT57</f>
        <v>24.732999999999997</v>
      </c>
      <c r="AU58" s="27">
        <f t="shared" si="272"/>
        <v>21.244</v>
      </c>
      <c r="AV58" s="25">
        <f>AV53-AV55-AV56-AV57</f>
        <v>17.817</v>
      </c>
      <c r="AW58" s="26">
        <f t="shared" ref="AW58:AZ58" si="273">AW53-AW55-AW56-AW57</f>
        <v>21.287000000000006</v>
      </c>
      <c r="AX58" s="26">
        <f t="shared" si="273"/>
        <v>24.951000000000001</v>
      </c>
      <c r="AY58" s="27">
        <f t="shared" si="273"/>
        <v>30.574999999999996</v>
      </c>
      <c r="AZ58" s="26">
        <f t="shared" si="273"/>
        <v>35.694999999999993</v>
      </c>
      <c r="BA58" s="26">
        <f t="shared" ref="BA58:BC58" si="274">BA53-BA55-BA56-BA57</f>
        <v>33.796999999999997</v>
      </c>
      <c r="BB58" s="26">
        <f t="shared" si="274"/>
        <v>25.821999999999999</v>
      </c>
      <c r="BC58" s="27">
        <f t="shared" si="274"/>
        <v>80.346999999999994</v>
      </c>
      <c r="BD58" s="26"/>
      <c r="BE58" s="26"/>
      <c r="BF58" s="26"/>
      <c r="BG58" s="27"/>
      <c r="BH58" s="25"/>
      <c r="BI58" s="26"/>
      <c r="BJ58" s="26"/>
      <c r="BK58" s="26"/>
      <c r="BL58" s="25"/>
      <c r="BM58" s="26"/>
      <c r="BN58" s="26"/>
      <c r="BO58" s="597"/>
      <c r="BP58" s="347"/>
      <c r="BQ58" s="25">
        <f t="shared" ref="BQ58:CA58" si="275">BQ53-BQ55-BQ56-BQ57</f>
        <v>32.22</v>
      </c>
      <c r="BR58" s="26">
        <f t="shared" si="275"/>
        <v>35.697999999999993</v>
      </c>
      <c r="BS58" s="26">
        <f t="shared" si="275"/>
        <v>85.304999999999993</v>
      </c>
      <c r="BT58" s="26">
        <f t="shared" si="275"/>
        <v>107.74299999999997</v>
      </c>
      <c r="BU58" s="26">
        <f t="shared" si="275"/>
        <v>91.591999999999999</v>
      </c>
      <c r="BV58" s="26">
        <f t="shared" si="275"/>
        <v>83.895999999999987</v>
      </c>
      <c r="BW58" s="26">
        <f t="shared" si="275"/>
        <v>87.021999999999991</v>
      </c>
      <c r="BX58" s="26">
        <f t="shared" si="275"/>
        <v>81.719000000000008</v>
      </c>
      <c r="BY58" s="26">
        <f t="shared" si="275"/>
        <v>88.266999999999996</v>
      </c>
      <c r="BZ58" s="26">
        <f t="shared" si="275"/>
        <v>81.218000000000004</v>
      </c>
      <c r="CA58" s="26">
        <f t="shared" si="275"/>
        <v>91.756</v>
      </c>
      <c r="CB58" s="26">
        <f>CB53-CB55-CB56-CB57</f>
        <v>94.63</v>
      </c>
      <c r="CC58" s="26">
        <f>CC53-CC55-CC56-CC57</f>
        <v>175.66099999999997</v>
      </c>
      <c r="CD58" s="26"/>
      <c r="CE58" s="26"/>
      <c r="CF58" s="26"/>
      <c r="CG58" s="597"/>
      <c r="CH58" s="336"/>
    </row>
    <row r="59" spans="2:86" ht="14.25">
      <c r="B59" s="28" t="s">
        <v>11</v>
      </c>
      <c r="C59" s="29"/>
      <c r="D59" s="38">
        <f t="shared" ref="D59:AO59" si="276">D58/D12</f>
        <v>2.5361955953215592E-2</v>
      </c>
      <c r="E59" s="31">
        <f t="shared" si="276"/>
        <v>2.5784610000201914E-2</v>
      </c>
      <c r="F59" s="31">
        <f t="shared" si="276"/>
        <v>2.9378146815163278E-2</v>
      </c>
      <c r="G59" s="32">
        <f t="shared" si="276"/>
        <v>2.4660118848195252E-2</v>
      </c>
      <c r="H59" s="38">
        <f t="shared" si="276"/>
        <v>1.8603503577596842E-2</v>
      </c>
      <c r="I59" s="31">
        <f t="shared" si="276"/>
        <v>2.1500612107956379E-2</v>
      </c>
      <c r="J59" s="31">
        <f t="shared" si="276"/>
        <v>2.1271002239299952E-2</v>
      </c>
      <c r="K59" s="32">
        <f t="shared" si="276"/>
        <v>2.3424591424411462E-2</v>
      </c>
      <c r="L59" s="38">
        <f t="shared" si="276"/>
        <v>2.0915356219157476E-2</v>
      </c>
      <c r="M59" s="31">
        <f t="shared" si="276"/>
        <v>2.1345505544569977E-2</v>
      </c>
      <c r="N59" s="31">
        <f t="shared" si="276"/>
        <v>6.480616758711602E-2</v>
      </c>
      <c r="O59" s="32">
        <f t="shared" si="276"/>
        <v>4.5704482824040903E-2</v>
      </c>
      <c r="P59" s="38">
        <f t="shared" si="276"/>
        <v>3.0597590740886544E-2</v>
      </c>
      <c r="Q59" s="31">
        <f t="shared" si="276"/>
        <v>3.6152889170426562E-2</v>
      </c>
      <c r="R59" s="31">
        <f t="shared" si="276"/>
        <v>3.7514210427750362E-2</v>
      </c>
      <c r="S59" s="32">
        <f t="shared" si="276"/>
        <v>4.276737154398199E-2</v>
      </c>
      <c r="T59" s="38">
        <f t="shared" si="276"/>
        <v>1.0046326524267016E-2</v>
      </c>
      <c r="U59" s="31">
        <f t="shared" si="276"/>
        <v>3.1182980743553985E-2</v>
      </c>
      <c r="V59" s="31">
        <f t="shared" si="276"/>
        <v>3.6140755404868989E-2</v>
      </c>
      <c r="W59" s="32">
        <f t="shared" si="276"/>
        <v>5.5864385893418786E-2</v>
      </c>
      <c r="X59" s="38">
        <f t="shared" si="276"/>
        <v>5.2570411595714885E-2</v>
      </c>
      <c r="Y59" s="31">
        <f t="shared" si="276"/>
        <v>4.11585651400206E-2</v>
      </c>
      <c r="Z59" s="31">
        <f t="shared" si="276"/>
        <v>1.5394136207536319E-2</v>
      </c>
      <c r="AA59" s="32">
        <f t="shared" si="276"/>
        <v>2.1072121632929198E-2</v>
      </c>
      <c r="AB59" s="38">
        <f t="shared" si="276"/>
        <v>2.3393514801087919E-2</v>
      </c>
      <c r="AC59" s="31">
        <f t="shared" si="276"/>
        <v>2.3022418943549953E-2</v>
      </c>
      <c r="AD59" s="31">
        <f t="shared" si="276"/>
        <v>2.5834777922439378E-2</v>
      </c>
      <c r="AE59" s="32">
        <f t="shared" si="276"/>
        <v>2.3968560142940746E-2</v>
      </c>
      <c r="AF59" s="38">
        <f t="shared" si="276"/>
        <v>2.5915937397962614E-2</v>
      </c>
      <c r="AG59" s="31">
        <f t="shared" si="276"/>
        <v>2.2393929940279882E-2</v>
      </c>
      <c r="AH59" s="31">
        <f t="shared" si="276"/>
        <v>2.2338615576110277E-2</v>
      </c>
      <c r="AI59" s="32">
        <f t="shared" si="276"/>
        <v>2.638208377260836E-2</v>
      </c>
      <c r="AJ59" s="38">
        <f t="shared" si="276"/>
        <v>2.5977238679928821E-2</v>
      </c>
      <c r="AK59" s="31">
        <f t="shared" si="276"/>
        <v>2.3365894542852379E-2</v>
      </c>
      <c r="AL59" s="31">
        <f t="shared" si="276"/>
        <v>2.7676432132424787E-2</v>
      </c>
      <c r="AM59" s="32">
        <f t="shared" si="276"/>
        <v>3.4695225295178343E-2</v>
      </c>
      <c r="AN59" s="38">
        <f t="shared" si="276"/>
        <v>2.8732149641392812E-2</v>
      </c>
      <c r="AO59" s="31">
        <f t="shared" si="276"/>
        <v>2.4658759739101126E-2</v>
      </c>
      <c r="AP59" s="31">
        <f t="shared" ref="AP59:AU59" si="277">AP58/AP12</f>
        <v>2.0612611761269554E-2</v>
      </c>
      <c r="AQ59" s="32">
        <f t="shared" si="277"/>
        <v>2.2561870203241428E-2</v>
      </c>
      <c r="AR59" s="38">
        <f t="shared" si="277"/>
        <v>2.4890638213461679E-2</v>
      </c>
      <c r="AS59" s="31">
        <f t="shared" si="277"/>
        <v>2.2815364855518983E-2</v>
      </c>
      <c r="AT59" s="31">
        <f>AT58/AT12</f>
        <v>2.6590735118305276E-2</v>
      </c>
      <c r="AU59" s="32">
        <f t="shared" si="277"/>
        <v>2.4775730886393642E-2</v>
      </c>
      <c r="AV59" s="38">
        <f>AV58/AV12</f>
        <v>2.459933065299991E-2</v>
      </c>
      <c r="AW59" s="31">
        <f t="shared" ref="AW59:AY59" si="278">AW58/AW12</f>
        <v>2.9960928483360835E-2</v>
      </c>
      <c r="AX59" s="31">
        <f t="shared" si="278"/>
        <v>3.6970469261657458E-2</v>
      </c>
      <c r="AY59" s="32">
        <f t="shared" si="278"/>
        <v>4.9622012535745691E-2</v>
      </c>
      <c r="AZ59" s="38">
        <f>AZ58/AZ12</f>
        <v>6.600138307983032E-2</v>
      </c>
      <c r="BA59" s="31">
        <f t="shared" ref="BA59:BC59" si="279">BA58/BA12</f>
        <v>5.3953997739478031E-2</v>
      </c>
      <c r="BB59" s="492">
        <f t="shared" si="279"/>
        <v>3.9457719942177984E-2</v>
      </c>
      <c r="BC59" s="32">
        <f t="shared" si="279"/>
        <v>0.1406142807140357</v>
      </c>
      <c r="BD59" s="38"/>
      <c r="BE59" s="492"/>
      <c r="BF59" s="562"/>
      <c r="BG59" s="563"/>
      <c r="BH59" s="566"/>
      <c r="BI59" s="562"/>
      <c r="BJ59" s="562"/>
      <c r="BK59" s="562"/>
      <c r="BL59" s="566"/>
      <c r="BM59" s="562"/>
      <c r="BN59" s="562"/>
      <c r="BO59" s="598"/>
      <c r="BP59" s="347"/>
      <c r="BQ59" s="566">
        <f>BQ58/BQ12</f>
        <v>2.6311061751784284E-2</v>
      </c>
      <c r="BR59" s="562">
        <f t="shared" ref="BR59:BW59" si="280">BR58/BR12</f>
        <v>2.1372643638797647E-2</v>
      </c>
      <c r="BS59" s="562">
        <f t="shared" si="280"/>
        <v>3.8124236610261299E-2</v>
      </c>
      <c r="BT59" s="562">
        <f t="shared" si="280"/>
        <v>3.7220872817946483E-2</v>
      </c>
      <c r="BU59" s="562">
        <f t="shared" si="280"/>
        <v>3.104221126612108E-2</v>
      </c>
      <c r="BV59" s="562">
        <f t="shared" si="280"/>
        <v>2.988082361032408E-2</v>
      </c>
      <c r="BW59" s="562">
        <f t="shared" si="280"/>
        <v>2.4093183269825545E-2</v>
      </c>
      <c r="BX59" s="562">
        <f t="shared" ref="BX59:CA59" si="281">BX58/BX12</f>
        <v>2.4084301982882611E-2</v>
      </c>
      <c r="BY59" s="562">
        <f t="shared" si="281"/>
        <v>2.7856518432256214E-2</v>
      </c>
      <c r="BZ59" s="562">
        <f t="shared" si="281"/>
        <v>2.3856773587122543E-2</v>
      </c>
      <c r="CA59" s="562">
        <f t="shared" si="281"/>
        <v>2.4752337695304757E-2</v>
      </c>
      <c r="CB59" s="562">
        <f>CB58/CB12</f>
        <v>3.4716056919218675E-2</v>
      </c>
      <c r="CC59" s="562">
        <f>CC58/CC12</f>
        <v>7.3404712316677292E-2</v>
      </c>
      <c r="CD59" s="562"/>
      <c r="CE59" s="562"/>
      <c r="CF59" s="562"/>
      <c r="CG59" s="598"/>
      <c r="CH59" s="336"/>
    </row>
    <row r="60" spans="2:86" ht="14.25" hidden="1" outlineLevel="1">
      <c r="B60" s="16" t="s">
        <v>107</v>
      </c>
      <c r="C60" s="17"/>
      <c r="D60" s="25">
        <f t="shared" ref="D60:S60" si="282">D53-D56-D57</f>
        <v>6.8369999999999997</v>
      </c>
      <c r="E60" s="26">
        <f t="shared" si="282"/>
        <v>7.6619999999999999</v>
      </c>
      <c r="F60" s="26">
        <f t="shared" si="282"/>
        <v>9.33</v>
      </c>
      <c r="G60" s="27">
        <f t="shared" si="282"/>
        <v>8.3910000000000018</v>
      </c>
      <c r="H60" s="25">
        <f t="shared" si="282"/>
        <v>9.5679999999999996</v>
      </c>
      <c r="I60" s="26">
        <f t="shared" si="282"/>
        <v>17.45</v>
      </c>
      <c r="J60" s="26">
        <f t="shared" si="282"/>
        <v>11.833</v>
      </c>
      <c r="K60" s="27">
        <f t="shared" si="282"/>
        <v>24.192999999999998</v>
      </c>
      <c r="L60" s="25">
        <f t="shared" si="282"/>
        <v>18.558</v>
      </c>
      <c r="M60" s="26">
        <f t="shared" si="282"/>
        <v>19.689</v>
      </c>
      <c r="N60" s="26">
        <f t="shared" si="282"/>
        <v>40.427</v>
      </c>
      <c r="O60" s="27">
        <f t="shared" si="282"/>
        <v>35.479999999999997</v>
      </c>
      <c r="P60" s="25">
        <f>P53-P56-P57</f>
        <v>23.988</v>
      </c>
      <c r="Q60" s="26">
        <f t="shared" si="282"/>
        <v>33.774999999999999</v>
      </c>
      <c r="R60" s="26">
        <f t="shared" si="282"/>
        <v>32.536999999999999</v>
      </c>
      <c r="S60" s="27">
        <f t="shared" si="282"/>
        <v>41.621999999999979</v>
      </c>
      <c r="T60" s="25">
        <f t="shared" ref="T60:AD60" si="283">T53-T56-T57</f>
        <v>12.951000000000001</v>
      </c>
      <c r="U60" s="26">
        <f t="shared" si="283"/>
        <v>30.989000000000001</v>
      </c>
      <c r="V60" s="26">
        <f t="shared" si="283"/>
        <v>28.869</v>
      </c>
      <c r="W60" s="27">
        <f t="shared" si="283"/>
        <v>32.295999999999999</v>
      </c>
      <c r="X60" s="25">
        <f t="shared" si="283"/>
        <v>29.495999999999995</v>
      </c>
      <c r="Y60" s="26">
        <f t="shared" si="283"/>
        <v>28.72</v>
      </c>
      <c r="Z60" s="26">
        <f t="shared" si="283"/>
        <v>16.13</v>
      </c>
      <c r="AA60" s="27">
        <f t="shared" si="283"/>
        <v>20.395</v>
      </c>
      <c r="AB60" s="25">
        <f t="shared" si="283"/>
        <v>22.651</v>
      </c>
      <c r="AC60" s="26">
        <f t="shared" si="283"/>
        <v>25.150000000000002</v>
      </c>
      <c r="AD60" s="26">
        <f t="shared" si="283"/>
        <v>29.504000000000001</v>
      </c>
      <c r="AE60" s="27">
        <f t="shared" ref="AE60:AJ60" si="284">AE53-AE56-AE57</f>
        <v>26.306999999999999</v>
      </c>
      <c r="AF60" s="25">
        <f t="shared" si="284"/>
        <v>24.332999999999998</v>
      </c>
      <c r="AG60" s="26">
        <f t="shared" si="284"/>
        <v>23.202999999999999</v>
      </c>
      <c r="AH60" s="26">
        <f t="shared" si="284"/>
        <v>24.594999999999999</v>
      </c>
      <c r="AI60" s="27">
        <f t="shared" si="284"/>
        <v>23.612000000000002</v>
      </c>
      <c r="AJ60" s="25">
        <f t="shared" si="284"/>
        <v>25.545999999999999</v>
      </c>
      <c r="AK60" s="26">
        <f t="shared" ref="AK60:AU60" si="285">AK53-AK56-AK57</f>
        <v>24.651</v>
      </c>
      <c r="AL60" s="26">
        <f t="shared" si="285"/>
        <v>24.375999999999998</v>
      </c>
      <c r="AM60" s="27">
        <f t="shared" si="285"/>
        <v>32.405000000000001</v>
      </c>
      <c r="AN60" s="25">
        <f t="shared" si="285"/>
        <v>26.074999999999999</v>
      </c>
      <c r="AO60" s="26">
        <f t="shared" si="285"/>
        <v>26.494</v>
      </c>
      <c r="AP60" s="26">
        <f t="shared" si="285"/>
        <v>26.042999999999999</v>
      </c>
      <c r="AQ60" s="27">
        <f t="shared" si="285"/>
        <v>26.244</v>
      </c>
      <c r="AR60" s="25">
        <f t="shared" si="285"/>
        <v>28.215</v>
      </c>
      <c r="AS60" s="26">
        <f t="shared" si="285"/>
        <v>28.331999999999997</v>
      </c>
      <c r="AT60" s="26">
        <f t="shared" si="285"/>
        <v>30.04</v>
      </c>
      <c r="AU60" s="27">
        <f t="shared" si="285"/>
        <v>28.542000000000002</v>
      </c>
      <c r="AV60" s="25">
        <f>AV53-AV56-AV57</f>
        <v>22.133000000000003</v>
      </c>
      <c r="AW60" s="26">
        <f t="shared" ref="AW60:AY60" si="286">AW53-AW56-AW57</f>
        <v>25.435000000000002</v>
      </c>
      <c r="AX60" s="26">
        <f t="shared" si="286"/>
        <v>28.740000000000002</v>
      </c>
      <c r="AY60" s="27">
        <f t="shared" si="286"/>
        <v>34.287999999999997</v>
      </c>
      <c r="AZ60" s="25">
        <f>AZ53-AZ56-AZ57</f>
        <v>31.007999999999999</v>
      </c>
      <c r="BA60" s="26">
        <f t="shared" ref="BA60:BC60" si="287">BA53-BA56-BA57</f>
        <v>36.265000000000001</v>
      </c>
      <c r="BB60" s="26">
        <f t="shared" si="287"/>
        <v>28.904</v>
      </c>
      <c r="BC60" s="27">
        <f t="shared" si="287"/>
        <v>80.346999999999994</v>
      </c>
      <c r="BD60" s="25"/>
      <c r="BE60" s="26"/>
      <c r="BF60" s="26"/>
      <c r="BG60" s="27"/>
      <c r="BH60" s="25"/>
      <c r="BI60" s="26"/>
      <c r="BJ60" s="26"/>
      <c r="BK60" s="26"/>
      <c r="BL60" s="25"/>
      <c r="BM60" s="26"/>
      <c r="BN60" s="26"/>
      <c r="BO60" s="597"/>
      <c r="BP60" s="347"/>
      <c r="BQ60" s="25">
        <f t="shared" ref="BQ60:BW60" si="288">BQ53-BQ56-BQ57</f>
        <v>32.22</v>
      </c>
      <c r="BR60" s="26">
        <f t="shared" si="288"/>
        <v>63.043999999999997</v>
      </c>
      <c r="BS60" s="26">
        <f t="shared" si="288"/>
        <v>114.154</v>
      </c>
      <c r="BT60" s="26">
        <f t="shared" si="288"/>
        <v>131.92199999999997</v>
      </c>
      <c r="BU60" s="26">
        <f t="shared" si="288"/>
        <v>105.105</v>
      </c>
      <c r="BV60" s="26">
        <f t="shared" si="288"/>
        <v>94.740999999999985</v>
      </c>
      <c r="BW60" s="26">
        <f t="shared" si="288"/>
        <v>103.61199999999999</v>
      </c>
      <c r="BX60" s="26">
        <f t="shared" ref="BX60:CA60" si="289">BX53-BX56-BX57</f>
        <v>95.743000000000009</v>
      </c>
      <c r="BY60" s="26">
        <f t="shared" si="289"/>
        <v>106.97799999999999</v>
      </c>
      <c r="BZ60" s="26">
        <f t="shared" si="289"/>
        <v>104.85600000000001</v>
      </c>
      <c r="CA60" s="26">
        <f t="shared" si="289"/>
        <v>115.129</v>
      </c>
      <c r="CB60" s="26">
        <f>CB53-CB56-CB57</f>
        <v>110.596</v>
      </c>
      <c r="CC60" s="26">
        <f>CC53-CC56-CC57</f>
        <v>176.52399999999997</v>
      </c>
      <c r="CD60" s="26"/>
      <c r="CE60" s="26"/>
      <c r="CF60" s="26"/>
      <c r="CG60" s="597"/>
      <c r="CH60" s="336"/>
    </row>
    <row r="61" spans="2:86" ht="14.25" hidden="1" outlineLevel="1">
      <c r="B61" s="28" t="s">
        <v>11</v>
      </c>
      <c r="C61" s="29"/>
      <c r="D61" s="38">
        <f t="shared" ref="D61:AO61" si="290">D60/D12</f>
        <v>2.5361955953215592E-2</v>
      </c>
      <c r="E61" s="31">
        <f t="shared" si="290"/>
        <v>2.5784610000201914E-2</v>
      </c>
      <c r="F61" s="31">
        <f t="shared" si="290"/>
        <v>2.9378146815163278E-2</v>
      </c>
      <c r="G61" s="32">
        <f t="shared" si="290"/>
        <v>2.4660118848195252E-2</v>
      </c>
      <c r="H61" s="38">
        <f t="shared" si="290"/>
        <v>2.6230227266496698E-2</v>
      </c>
      <c r="I61" s="31">
        <f t="shared" si="290"/>
        <v>4.4691564179135057E-2</v>
      </c>
      <c r="J61" s="31">
        <f t="shared" si="290"/>
        <v>2.7775300099054986E-2</v>
      </c>
      <c r="K61" s="32">
        <f t="shared" si="290"/>
        <v>4.9472818885271636E-2</v>
      </c>
      <c r="L61" s="38">
        <f t="shared" si="290"/>
        <v>3.5606566435659522E-2</v>
      </c>
      <c r="M61" s="31">
        <f t="shared" si="290"/>
        <v>3.4302290129533002E-2</v>
      </c>
      <c r="N61" s="31">
        <f t="shared" si="290"/>
        <v>7.7684772039861794E-2</v>
      </c>
      <c r="O61" s="32">
        <f t="shared" si="290"/>
        <v>5.7044185126709508E-2</v>
      </c>
      <c r="P61" s="38">
        <f t="shared" si="290"/>
        <v>3.7773403669002441E-2</v>
      </c>
      <c r="Q61" s="31">
        <f t="shared" si="290"/>
        <v>5.1430537938301622E-2</v>
      </c>
      <c r="R61" s="31">
        <f t="shared" si="290"/>
        <v>4.2910875889882703E-2</v>
      </c>
      <c r="S61" s="32">
        <f t="shared" si="290"/>
        <v>4.9275115249927157E-2</v>
      </c>
      <c r="T61" s="38">
        <f t="shared" si="290"/>
        <v>1.6106706463949259E-2</v>
      </c>
      <c r="U61" s="31">
        <f t="shared" si="290"/>
        <v>3.6778921757707028E-2</v>
      </c>
      <c r="V61" s="31">
        <f t="shared" si="290"/>
        <v>3.6494717121381054E-2</v>
      </c>
      <c r="W61" s="32">
        <f t="shared" si="290"/>
        <v>6.297149163428338E-2</v>
      </c>
      <c r="X61" s="38">
        <f t="shared" si="290"/>
        <v>5.6567082315307396E-2</v>
      </c>
      <c r="Y61" s="31">
        <f t="shared" si="290"/>
        <v>4.4831569417127154E-2</v>
      </c>
      <c r="Z61" s="31">
        <f t="shared" si="290"/>
        <v>2.0084721914386539E-2</v>
      </c>
      <c r="AA61" s="32">
        <f t="shared" si="290"/>
        <v>2.4206709513551368E-2</v>
      </c>
      <c r="AB61" s="38">
        <f t="shared" si="290"/>
        <v>2.6474469335970145E-2</v>
      </c>
      <c r="AC61" s="31">
        <f t="shared" si="290"/>
        <v>2.8054355173713907E-2</v>
      </c>
      <c r="AD61" s="31">
        <f t="shared" si="290"/>
        <v>3.0754893795337773E-2</v>
      </c>
      <c r="AE61" s="32">
        <f t="shared" si="290"/>
        <v>2.9213348391416889E-2</v>
      </c>
      <c r="AF61" s="38">
        <f t="shared" si="290"/>
        <v>3.032519859122983E-2</v>
      </c>
      <c r="AG61" s="31">
        <f t="shared" si="290"/>
        <v>2.5852348694179517E-2</v>
      </c>
      <c r="AH61" s="31">
        <f t="shared" si="290"/>
        <v>2.587811455392738E-2</v>
      </c>
      <c r="AI61" s="32">
        <f t="shared" si="290"/>
        <v>3.1792067063326969E-2</v>
      </c>
      <c r="AJ61" s="38">
        <f t="shared" si="290"/>
        <v>3.2078819515515146E-2</v>
      </c>
      <c r="AK61" s="31">
        <f t="shared" si="290"/>
        <v>3.0205709076294197E-2</v>
      </c>
      <c r="AL61" s="31">
        <f t="shared" si="290"/>
        <v>3.1216023952433211E-2</v>
      </c>
      <c r="AM61" s="32">
        <f t="shared" si="290"/>
        <v>4.1797047313664237E-2</v>
      </c>
      <c r="AN61" s="38">
        <f t="shared" si="290"/>
        <v>3.5506673075797045E-2</v>
      </c>
      <c r="AO61" s="31">
        <f t="shared" si="290"/>
        <v>3.2827957415594453E-2</v>
      </c>
      <c r="AP61" s="31">
        <f t="shared" ref="AP61:AU61" si="291">AP60/AP12</f>
        <v>2.7966358327624011E-2</v>
      </c>
      <c r="AQ61" s="32">
        <f t="shared" si="291"/>
        <v>2.8166383865182575E-2</v>
      </c>
      <c r="AR61" s="38">
        <f t="shared" si="291"/>
        <v>2.9457210569725317E-2</v>
      </c>
      <c r="AS61" s="31">
        <f t="shared" si="291"/>
        <v>2.9465079637458463E-2</v>
      </c>
      <c r="AT61" s="31">
        <f>AT60/AT12</f>
        <v>3.2296352361375111E-2</v>
      </c>
      <c r="AU61" s="32">
        <f t="shared" si="291"/>
        <v>3.3286994490653705E-2</v>
      </c>
      <c r="AV61" s="38">
        <f>AV60/AV12</f>
        <v>3.0558286206591855E-2</v>
      </c>
      <c r="AW61" s="31">
        <f t="shared" ref="AW61:AY61" si="292">AW60/AW12</f>
        <v>3.5799136373104841E-2</v>
      </c>
      <c r="AX61" s="31">
        <f t="shared" si="292"/>
        <v>4.2584717509520073E-2</v>
      </c>
      <c r="AY61" s="32">
        <f t="shared" si="292"/>
        <v>5.5648064295197003E-2</v>
      </c>
      <c r="AZ61" s="38">
        <f>AZ60/AZ12</f>
        <v>5.7334945693777249E-2</v>
      </c>
      <c r="BA61" s="31">
        <f t="shared" ref="BA61:BC61" si="293">BA60/BA12</f>
        <v>5.7893947037375243E-2</v>
      </c>
      <c r="BB61" s="492">
        <f t="shared" si="293"/>
        <v>4.416721931719899E-2</v>
      </c>
      <c r="BC61" s="32">
        <f t="shared" si="293"/>
        <v>0.1406142807140357</v>
      </c>
      <c r="BD61" s="38"/>
      <c r="BE61" s="492"/>
      <c r="BF61" s="562"/>
      <c r="BG61" s="563"/>
      <c r="BH61" s="566"/>
      <c r="BI61" s="562"/>
      <c r="BJ61" s="562"/>
      <c r="BK61" s="562"/>
      <c r="BL61" s="566"/>
      <c r="BM61" s="562"/>
      <c r="BN61" s="562"/>
      <c r="BO61" s="598"/>
      <c r="BP61" s="347"/>
      <c r="BQ61" s="566">
        <f>BQ60/BQ12</f>
        <v>2.6311061751784284E-2</v>
      </c>
      <c r="BR61" s="562">
        <f t="shared" ref="BR61:BW61" si="294">BR60/BR12</f>
        <v>3.7744886143883667E-2</v>
      </c>
      <c r="BS61" s="562">
        <f t="shared" si="294"/>
        <v>5.101733903062855E-2</v>
      </c>
      <c r="BT61" s="562">
        <f t="shared" si="294"/>
        <v>4.5573744780534574E-2</v>
      </c>
      <c r="BU61" s="562">
        <f t="shared" si="294"/>
        <v>3.5622015188287802E-2</v>
      </c>
      <c r="BV61" s="562">
        <f t="shared" si="294"/>
        <v>3.374343365197046E-2</v>
      </c>
      <c r="BW61" s="562">
        <f t="shared" si="294"/>
        <v>2.8686342590990375E-2</v>
      </c>
      <c r="BX61" s="562">
        <f t="shared" ref="BX61:CA61" si="295">BX60/BX12</f>
        <v>2.8217468700634244E-2</v>
      </c>
      <c r="BY61" s="562">
        <f t="shared" si="295"/>
        <v>3.3761594127430468E-2</v>
      </c>
      <c r="BZ61" s="562">
        <f t="shared" si="295"/>
        <v>3.0800140994007751E-2</v>
      </c>
      <c r="CA61" s="562">
        <f t="shared" si="295"/>
        <v>3.1057499090225614E-2</v>
      </c>
      <c r="CB61" s="562">
        <f>CB60/CB12</f>
        <v>4.0573359727759786E-2</v>
      </c>
      <c r="CC61" s="562">
        <f>CC60/CC12</f>
        <v>7.3765340268979129E-2</v>
      </c>
      <c r="CD61" s="562"/>
      <c r="CE61" s="562"/>
      <c r="CF61" s="562"/>
      <c r="CG61" s="598"/>
      <c r="CH61" s="336"/>
    </row>
    <row r="62" spans="2:86" ht="14.25" hidden="1" outlineLevel="1">
      <c r="B62" s="46"/>
      <c r="C62" s="45"/>
      <c r="D62" s="47"/>
      <c r="E62" s="47"/>
      <c r="F62" s="47"/>
      <c r="G62" s="48"/>
      <c r="H62" s="47"/>
      <c r="I62" s="47"/>
      <c r="J62" s="47"/>
      <c r="K62" s="48"/>
      <c r="L62" s="47"/>
      <c r="M62" s="47"/>
      <c r="N62" s="47"/>
      <c r="O62" s="48"/>
      <c r="P62" s="47"/>
      <c r="Q62" s="47"/>
      <c r="R62" s="47"/>
      <c r="S62" s="48"/>
      <c r="T62" s="47"/>
      <c r="U62" s="47"/>
      <c r="V62" s="47"/>
      <c r="W62" s="48"/>
      <c r="X62" s="47"/>
      <c r="Y62" s="47"/>
      <c r="Z62" s="47"/>
      <c r="AA62" s="48"/>
      <c r="AB62" s="47"/>
      <c r="AC62" s="47"/>
      <c r="AD62" s="47"/>
      <c r="AE62" s="48"/>
      <c r="AF62" s="47"/>
      <c r="AG62" s="47"/>
      <c r="AH62" s="47"/>
      <c r="AI62" s="48"/>
      <c r="AJ62" s="47"/>
      <c r="AK62" s="47"/>
      <c r="AL62" s="47"/>
      <c r="AM62" s="48"/>
      <c r="AN62" s="258"/>
      <c r="AO62" s="47"/>
      <c r="AP62" s="47"/>
      <c r="AQ62" s="48"/>
      <c r="AR62" s="258"/>
      <c r="AS62" s="47"/>
      <c r="AT62" s="47"/>
      <c r="AU62" s="48"/>
      <c r="AV62" s="258"/>
      <c r="AW62" s="47"/>
      <c r="AX62" s="47"/>
      <c r="AY62" s="48"/>
      <c r="AZ62" s="258"/>
      <c r="BA62" s="47"/>
      <c r="BB62" s="47"/>
      <c r="BC62" s="48"/>
      <c r="BD62" s="258"/>
      <c r="BE62" s="47"/>
      <c r="BF62" s="47"/>
      <c r="BG62" s="48"/>
      <c r="BH62" s="258"/>
      <c r="BI62" s="47"/>
      <c r="BJ62" s="47"/>
      <c r="BK62" s="47"/>
      <c r="BL62" s="258"/>
      <c r="BM62" s="47"/>
      <c r="BN62" s="47"/>
      <c r="BO62" s="602"/>
      <c r="BP62" s="347"/>
      <c r="BQ62" s="683"/>
      <c r="BR62" s="338"/>
      <c r="BS62" s="338"/>
      <c r="BT62" s="338"/>
      <c r="BU62" s="338"/>
      <c r="BV62" s="338"/>
      <c r="BW62" s="338"/>
      <c r="BX62" s="338"/>
      <c r="BY62" s="338"/>
      <c r="BZ62" s="338"/>
      <c r="CA62" s="338"/>
      <c r="CB62" s="338"/>
      <c r="CC62" s="338"/>
      <c r="CD62" s="338"/>
      <c r="CE62" s="338"/>
      <c r="CF62" s="338"/>
      <c r="CG62" s="602"/>
      <c r="CH62" s="336"/>
    </row>
    <row r="63" spans="2:86" ht="14.25" hidden="1" outlineLevel="1">
      <c r="B63" s="16" t="s">
        <v>19</v>
      </c>
      <c r="C63" s="17"/>
      <c r="D63" s="25">
        <f>D65+D64</f>
        <v>34.646000000000001</v>
      </c>
      <c r="E63" s="26">
        <f t="shared" ref="E63:CA63" si="296">E65+E64</f>
        <v>31.030999999999999</v>
      </c>
      <c r="F63" s="26">
        <f t="shared" si="296"/>
        <v>23.009</v>
      </c>
      <c r="G63" s="27">
        <f t="shared" si="296"/>
        <v>20.239000000000001</v>
      </c>
      <c r="H63" s="25">
        <f t="shared" si="296"/>
        <v>19.759</v>
      </c>
      <c r="I63" s="26">
        <f t="shared" si="296"/>
        <v>19.753</v>
      </c>
      <c r="J63" s="26">
        <f t="shared" si="296"/>
        <v>19.745999999999999</v>
      </c>
      <c r="K63" s="27">
        <f t="shared" si="296"/>
        <v>36.78</v>
      </c>
      <c r="L63" s="25">
        <f t="shared" si="296"/>
        <v>17.350999999999999</v>
      </c>
      <c r="M63" s="26">
        <f t="shared" si="296"/>
        <v>27.405000000000001</v>
      </c>
      <c r="N63" s="26">
        <f t="shared" si="296"/>
        <v>27.405000000000001</v>
      </c>
      <c r="O63" s="27">
        <f t="shared" si="296"/>
        <v>115.626</v>
      </c>
      <c r="P63" s="25">
        <f t="shared" si="296"/>
        <v>37.32</v>
      </c>
      <c r="Q63" s="26">
        <f t="shared" si="296"/>
        <v>37.292999999999999</v>
      </c>
      <c r="R63" s="26">
        <f t="shared" si="296"/>
        <v>37.311</v>
      </c>
      <c r="S63" s="27">
        <f t="shared" si="296"/>
        <v>43.81</v>
      </c>
      <c r="T63" s="25">
        <f t="shared" si="296"/>
        <v>35.247</v>
      </c>
      <c r="U63" s="26">
        <f t="shared" si="296"/>
        <v>34.988</v>
      </c>
      <c r="V63" s="26">
        <f t="shared" si="296"/>
        <v>34.814</v>
      </c>
      <c r="W63" s="27">
        <f t="shared" si="296"/>
        <v>48.274000000000015</v>
      </c>
      <c r="X63" s="25">
        <f t="shared" si="296"/>
        <v>30.356000000000002</v>
      </c>
      <c r="Y63" s="26">
        <f t="shared" si="296"/>
        <v>26.446000000000002</v>
      </c>
      <c r="Z63" s="26">
        <f t="shared" si="296"/>
        <v>26.45</v>
      </c>
      <c r="AA63" s="27">
        <f t="shared" si="296"/>
        <v>24.282000000000004</v>
      </c>
      <c r="AB63" s="25">
        <f t="shared" si="296"/>
        <v>22.548999999999999</v>
      </c>
      <c r="AC63" s="26">
        <f t="shared" si="296"/>
        <v>21.213999999999999</v>
      </c>
      <c r="AD63" s="26">
        <f t="shared" si="296"/>
        <v>21.77</v>
      </c>
      <c r="AE63" s="27">
        <f t="shared" ref="AE63:AJ63" si="297">AE65+AE64</f>
        <v>14.005000000000001</v>
      </c>
      <c r="AF63" s="25">
        <f t="shared" si="297"/>
        <v>14.340999999999999</v>
      </c>
      <c r="AG63" s="26">
        <f t="shared" si="297"/>
        <v>11.138</v>
      </c>
      <c r="AH63" s="26">
        <f t="shared" si="297"/>
        <v>11.154999999999999</v>
      </c>
      <c r="AI63" s="27">
        <f t="shared" si="297"/>
        <v>12.723000000000001</v>
      </c>
      <c r="AJ63" s="25">
        <f t="shared" si="297"/>
        <v>14.355</v>
      </c>
      <c r="AK63" s="26">
        <f>AK65+AK64</f>
        <v>13.023</v>
      </c>
      <c r="AL63" s="26">
        <f>AL65+AL64</f>
        <v>13.054</v>
      </c>
      <c r="AM63" s="27">
        <f>AM65+AM64</f>
        <v>12.268000000000001</v>
      </c>
      <c r="AN63" s="25">
        <f>AN65+AN64</f>
        <v>10.686</v>
      </c>
      <c r="AO63" s="26">
        <f>AO65+AO64</f>
        <v>10.638</v>
      </c>
      <c r="AP63" s="26">
        <f t="shared" si="296"/>
        <v>10.645</v>
      </c>
      <c r="AQ63" s="27">
        <f>AQ65+AQ64</f>
        <v>11.956</v>
      </c>
      <c r="AR63" s="25">
        <f>AR65+AR64</f>
        <v>6.6890000000000001</v>
      </c>
      <c r="AS63" s="26">
        <f>AS65+AS64</f>
        <v>3.3039999999999998</v>
      </c>
      <c r="AT63" s="26">
        <f>AT65+AT64</f>
        <v>3.3039999999999998</v>
      </c>
      <c r="AU63" s="27">
        <f t="shared" si="296"/>
        <v>3.1</v>
      </c>
      <c r="AV63" s="25">
        <f>AV65+AV64</f>
        <v>2.5680000000000001</v>
      </c>
      <c r="AW63" s="26">
        <f t="shared" ref="AW63:AY63" si="298">AW65+AW64</f>
        <v>657.23500000000001</v>
      </c>
      <c r="AX63" s="26">
        <f t="shared" si="298"/>
        <v>38.42</v>
      </c>
      <c r="AY63" s="27">
        <f t="shared" si="298"/>
        <v>2.4620000000000002</v>
      </c>
      <c r="AZ63" s="25">
        <f>AZ65+AZ64</f>
        <v>2.4609999999999999</v>
      </c>
      <c r="BA63" s="26">
        <f t="shared" ref="BA63:BC63" si="299">BA65+BA64</f>
        <v>2.4609999999999999</v>
      </c>
      <c r="BB63" s="26">
        <f t="shared" si="299"/>
        <v>2.2989999999999999</v>
      </c>
      <c r="BC63" s="27">
        <f t="shared" si="299"/>
        <v>1.48</v>
      </c>
      <c r="BD63" s="25">
        <f>BD65+BD64</f>
        <v>1.5049999999999999</v>
      </c>
      <c r="BE63" s="26">
        <f t="shared" ref="BE63:BG63" si="300">BE65+BE64</f>
        <v>4.2850000000000001</v>
      </c>
      <c r="BF63" s="26">
        <f t="shared" si="300"/>
        <v>3.2839999999999998</v>
      </c>
      <c r="BG63" s="27">
        <f t="shared" si="300"/>
        <v>71.180000000000007</v>
      </c>
      <c r="BH63" s="25">
        <f t="shared" ref="BH63:BK63" si="301">BH65+BH64</f>
        <v>0</v>
      </c>
      <c r="BI63" s="26">
        <f t="shared" si="301"/>
        <v>0</v>
      </c>
      <c r="BJ63" s="26">
        <f t="shared" si="301"/>
        <v>0</v>
      </c>
      <c r="BK63" s="26">
        <f t="shared" si="301"/>
        <v>0</v>
      </c>
      <c r="BL63" s="25">
        <f t="shared" ref="BL63:BO63" si="302">BL65+BL64</f>
        <v>0</v>
      </c>
      <c r="BM63" s="26">
        <f t="shared" si="302"/>
        <v>0</v>
      </c>
      <c r="BN63" s="26">
        <f t="shared" si="302"/>
        <v>0</v>
      </c>
      <c r="BO63" s="597">
        <f t="shared" si="302"/>
        <v>0</v>
      </c>
      <c r="BP63" s="347"/>
      <c r="BQ63" s="25">
        <f t="shared" si="296"/>
        <v>108.925</v>
      </c>
      <c r="BR63" s="26">
        <f t="shared" si="296"/>
        <v>96.037999999999997</v>
      </c>
      <c r="BS63" s="26">
        <f t="shared" si="296"/>
        <v>187.78700000000001</v>
      </c>
      <c r="BT63" s="26">
        <f t="shared" si="296"/>
        <v>155.73400000000001</v>
      </c>
      <c r="BU63" s="26">
        <f t="shared" si="296"/>
        <v>153.32300000000004</v>
      </c>
      <c r="BV63" s="26">
        <f t="shared" si="296"/>
        <v>107.53400000000002</v>
      </c>
      <c r="BW63" s="26">
        <f t="shared" si="296"/>
        <v>79.537999999999997</v>
      </c>
      <c r="BX63" s="26">
        <f t="shared" si="296"/>
        <v>49.356999999999999</v>
      </c>
      <c r="BY63" s="26">
        <f t="shared" si="296"/>
        <v>52.7</v>
      </c>
      <c r="BZ63" s="26">
        <f t="shared" si="296"/>
        <v>43.924999999999997</v>
      </c>
      <c r="CA63" s="26">
        <f t="shared" si="296"/>
        <v>16.397000000000002</v>
      </c>
      <c r="CB63" s="26">
        <f>CB65+CB64</f>
        <v>700.68500000000006</v>
      </c>
      <c r="CC63" s="26">
        <f>CC65+CC64</f>
        <v>8.7010000000000005</v>
      </c>
      <c r="CD63" s="26">
        <f>CD65+CD64</f>
        <v>80.254000000000005</v>
      </c>
      <c r="CE63" s="26">
        <f>CE65+CE64</f>
        <v>0</v>
      </c>
      <c r="CF63" s="26">
        <f>CF65+CF64</f>
        <v>0</v>
      </c>
      <c r="CG63" s="597">
        <f t="shared" ref="CG63" si="303">CG65+CG64</f>
        <v>0</v>
      </c>
      <c r="CH63" s="336"/>
    </row>
    <row r="64" spans="2:86" ht="14.25" hidden="1" outlineLevel="2">
      <c r="B64" s="20" t="s">
        <v>450</v>
      </c>
      <c r="C64" s="21"/>
      <c r="D64" s="22">
        <v>0</v>
      </c>
      <c r="E64" s="23">
        <v>0</v>
      </c>
      <c r="F64" s="23">
        <v>0</v>
      </c>
      <c r="G64" s="24">
        <v>0</v>
      </c>
      <c r="H64" s="22">
        <v>0</v>
      </c>
      <c r="I64" s="23">
        <v>0</v>
      </c>
      <c r="J64" s="23">
        <v>0</v>
      </c>
      <c r="K64" s="24">
        <v>0</v>
      </c>
      <c r="L64" s="22">
        <v>0</v>
      </c>
      <c r="M64" s="23">
        <v>0</v>
      </c>
      <c r="N64" s="23">
        <v>0</v>
      </c>
      <c r="O64" s="24">
        <v>0</v>
      </c>
      <c r="P64" s="22">
        <v>0</v>
      </c>
      <c r="Q64" s="23">
        <v>0</v>
      </c>
      <c r="R64" s="23">
        <v>0</v>
      </c>
      <c r="S64" s="24">
        <v>0</v>
      </c>
      <c r="T64" s="22">
        <v>0</v>
      </c>
      <c r="U64" s="23">
        <v>0</v>
      </c>
      <c r="V64" s="23">
        <v>0</v>
      </c>
      <c r="W64" s="24">
        <v>0</v>
      </c>
      <c r="X64" s="22">
        <v>0</v>
      </c>
      <c r="Y64" s="23">
        <v>0</v>
      </c>
      <c r="Z64" s="23">
        <v>0</v>
      </c>
      <c r="AA64" s="24">
        <v>0</v>
      </c>
      <c r="AB64" s="22">
        <v>0</v>
      </c>
      <c r="AC64" s="23">
        <v>0</v>
      </c>
      <c r="AD64" s="23">
        <v>0</v>
      </c>
      <c r="AE64" s="24">
        <v>0</v>
      </c>
      <c r="AF64" s="22">
        <v>0</v>
      </c>
      <c r="AG64" s="23">
        <v>0</v>
      </c>
      <c r="AH64" s="23">
        <v>0</v>
      </c>
      <c r="AI64" s="24">
        <v>0</v>
      </c>
      <c r="AJ64" s="22">
        <v>0</v>
      </c>
      <c r="AK64" s="23">
        <v>0</v>
      </c>
      <c r="AL64" s="23">
        <v>0</v>
      </c>
      <c r="AM64" s="24">
        <v>0</v>
      </c>
      <c r="AN64" s="22">
        <v>0</v>
      </c>
      <c r="AO64" s="23">
        <v>0</v>
      </c>
      <c r="AP64" s="23">
        <v>0</v>
      </c>
      <c r="AQ64" s="24">
        <v>0</v>
      </c>
      <c r="AR64" s="22">
        <v>0</v>
      </c>
      <c r="AS64" s="23">
        <v>0</v>
      </c>
      <c r="AT64" s="23">
        <v>0</v>
      </c>
      <c r="AU64" s="24"/>
      <c r="AV64" s="22">
        <v>0</v>
      </c>
      <c r="AW64" s="23">
        <v>654.66700000000003</v>
      </c>
      <c r="AX64" s="23">
        <v>35.270000000000003</v>
      </c>
      <c r="AY64" s="24"/>
      <c r="AZ64" s="22">
        <v>0</v>
      </c>
      <c r="BA64" s="23">
        <v>0</v>
      </c>
      <c r="BB64" s="23">
        <v>0</v>
      </c>
      <c r="BC64" s="24">
        <v>0</v>
      </c>
      <c r="BD64" s="22">
        <v>1.5049999999999999</v>
      </c>
      <c r="BE64" s="23">
        <v>4.2850000000000001</v>
      </c>
      <c r="BF64" s="23">
        <v>3.2839999999999998</v>
      </c>
      <c r="BG64" s="24">
        <f>-3.205+74.385</f>
        <v>71.180000000000007</v>
      </c>
      <c r="BH64" s="637"/>
      <c r="BI64" s="325"/>
      <c r="BJ64" s="325"/>
      <c r="BK64" s="325"/>
      <c r="BL64" s="637"/>
      <c r="BM64" s="325"/>
      <c r="BN64" s="325"/>
      <c r="BO64" s="596"/>
      <c r="BP64" s="347"/>
      <c r="BQ64" s="25">
        <f>SUM(D64:G64)</f>
        <v>0</v>
      </c>
      <c r="BR64" s="26">
        <f>SUM(H64:K64)</f>
        <v>0</v>
      </c>
      <c r="BS64" s="26">
        <f>SUM(L64:O64)</f>
        <v>0</v>
      </c>
      <c r="BT64" s="26">
        <f>SUM(P64:S64)</f>
        <v>0</v>
      </c>
      <c r="BU64" s="26">
        <f>SUM(T64:W64)</f>
        <v>0</v>
      </c>
      <c r="BV64" s="26">
        <f>SUM(X64:AA64)</f>
        <v>0</v>
      </c>
      <c r="BW64" s="26">
        <f>SUM(AB64:AE64)</f>
        <v>0</v>
      </c>
      <c r="BX64" s="26">
        <f>SUM(AF64:AI64)</f>
        <v>0</v>
      </c>
      <c r="BY64" s="26">
        <f>SUM(AJ64:AM64)</f>
        <v>0</v>
      </c>
      <c r="BZ64" s="26">
        <f>SUM(AN64:AQ64)</f>
        <v>0</v>
      </c>
      <c r="CA64" s="26">
        <f>SUM(AR64:AU64)</f>
        <v>0</v>
      </c>
      <c r="CB64" s="26">
        <f>SUM(AV64:AY64)</f>
        <v>689.93700000000001</v>
      </c>
      <c r="CC64" s="26">
        <f>SUM(AZ64:BC64)</f>
        <v>0</v>
      </c>
      <c r="CD64" s="26">
        <f>SUM(BD64:BG64)</f>
        <v>80.254000000000005</v>
      </c>
      <c r="CE64" s="26">
        <f>SUM(BH64:BK64)</f>
        <v>0</v>
      </c>
      <c r="CF64" s="26">
        <f>SUM(BL64:BO64)</f>
        <v>0</v>
      </c>
      <c r="CG64" s="596"/>
      <c r="CH64" s="336"/>
    </row>
    <row r="65" spans="2:86" ht="14.25" hidden="1" outlineLevel="2">
      <c r="B65" s="20" t="s">
        <v>297</v>
      </c>
      <c r="C65" s="21"/>
      <c r="D65" s="22">
        <f>33.258+1.388</f>
        <v>34.646000000000001</v>
      </c>
      <c r="E65" s="23">
        <f>1.272+29.759</f>
        <v>31.030999999999999</v>
      </c>
      <c r="F65" s="23">
        <f>19.758+0.837+2.414</f>
        <v>23.009</v>
      </c>
      <c r="G65" s="24">
        <f>16.262+3.977</f>
        <v>20.239000000000001</v>
      </c>
      <c r="H65" s="22">
        <v>19.759</v>
      </c>
      <c r="I65" s="23">
        <v>19.753</v>
      </c>
      <c r="J65" s="23">
        <v>19.745999999999999</v>
      </c>
      <c r="K65" s="24">
        <v>36.78</v>
      </c>
      <c r="L65" s="22">
        <v>17.350999999999999</v>
      </c>
      <c r="M65" s="23">
        <v>27.405000000000001</v>
      </c>
      <c r="N65" s="23">
        <v>27.405000000000001</v>
      </c>
      <c r="O65" s="24">
        <f>37.826+77.8</f>
        <v>115.626</v>
      </c>
      <c r="P65" s="22">
        <v>37.32</v>
      </c>
      <c r="Q65" s="23">
        <v>37.292999999999999</v>
      </c>
      <c r="R65" s="23">
        <v>37.311</v>
      </c>
      <c r="S65" s="24">
        <v>43.81</v>
      </c>
      <c r="T65" s="22">
        <v>35.247</v>
      </c>
      <c r="U65" s="23">
        <v>34.988</v>
      </c>
      <c r="V65" s="23">
        <v>34.814</v>
      </c>
      <c r="W65" s="24">
        <v>48.274000000000015</v>
      </c>
      <c r="X65" s="22">
        <v>30.356000000000002</v>
      </c>
      <c r="Y65" s="23">
        <v>26.446000000000002</v>
      </c>
      <c r="Z65" s="23">
        <v>26.45</v>
      </c>
      <c r="AA65" s="24">
        <v>24.282000000000004</v>
      </c>
      <c r="AB65" s="22">
        <v>22.548999999999999</v>
      </c>
      <c r="AC65" s="23">
        <v>21.213999999999999</v>
      </c>
      <c r="AD65" s="23">
        <v>21.77</v>
      </c>
      <c r="AE65" s="24">
        <v>14.005000000000001</v>
      </c>
      <c r="AF65" s="22">
        <v>14.340999999999999</v>
      </c>
      <c r="AG65" s="23">
        <v>11.138</v>
      </c>
      <c r="AH65" s="23">
        <v>11.154999999999999</v>
      </c>
      <c r="AI65" s="24">
        <v>12.723000000000001</v>
      </c>
      <c r="AJ65" s="22">
        <v>14.355</v>
      </c>
      <c r="AK65" s="23">
        <v>13.023</v>
      </c>
      <c r="AL65" s="23">
        <v>13.054</v>
      </c>
      <c r="AM65" s="24">
        <v>12.268000000000001</v>
      </c>
      <c r="AN65" s="22">
        <v>10.686</v>
      </c>
      <c r="AO65" s="23">
        <v>10.638</v>
      </c>
      <c r="AP65" s="23">
        <v>10.645</v>
      </c>
      <c r="AQ65" s="24">
        <v>11.956</v>
      </c>
      <c r="AR65" s="22">
        <v>6.6890000000000001</v>
      </c>
      <c r="AS65" s="23">
        <v>3.3039999999999998</v>
      </c>
      <c r="AT65" s="23">
        <v>3.3039999999999998</v>
      </c>
      <c r="AU65" s="24">
        <v>3.1</v>
      </c>
      <c r="AV65" s="22">
        <v>2.5680000000000001</v>
      </c>
      <c r="AW65" s="23">
        <v>2.5680000000000001</v>
      </c>
      <c r="AX65" s="23">
        <v>3.15</v>
      </c>
      <c r="AY65" s="24">
        <v>2.4620000000000002</v>
      </c>
      <c r="AZ65" s="22">
        <v>2.4609999999999999</v>
      </c>
      <c r="BA65" s="23">
        <v>2.4609999999999999</v>
      </c>
      <c r="BB65" s="23">
        <v>2.2989999999999999</v>
      </c>
      <c r="BC65" s="24">
        <v>1.48</v>
      </c>
      <c r="BD65" s="22">
        <v>0</v>
      </c>
      <c r="BE65" s="23">
        <v>0</v>
      </c>
      <c r="BF65" s="23">
        <v>0</v>
      </c>
      <c r="BG65" s="24">
        <v>0</v>
      </c>
      <c r="BH65" s="640">
        <f t="shared" ref="BH65" si="304">BG65</f>
        <v>0</v>
      </c>
      <c r="BI65" s="327">
        <f t="shared" ref="BI65" si="305">BH65</f>
        <v>0</v>
      </c>
      <c r="BJ65" s="327">
        <f t="shared" ref="BJ65" si="306">BI65</f>
        <v>0</v>
      </c>
      <c r="BK65" s="327">
        <f t="shared" ref="BK65" si="307">BJ65</f>
        <v>0</v>
      </c>
      <c r="BL65" s="640">
        <f t="shared" ref="BL65" si="308">BK65</f>
        <v>0</v>
      </c>
      <c r="BM65" s="327">
        <f t="shared" ref="BM65" si="309">BL65</f>
        <v>0</v>
      </c>
      <c r="BN65" s="327">
        <f t="shared" ref="BN65" si="310">BM65</f>
        <v>0</v>
      </c>
      <c r="BO65" s="603">
        <f t="shared" ref="BO65" si="311">BN65</f>
        <v>0</v>
      </c>
      <c r="BP65" s="347"/>
      <c r="BQ65" s="25">
        <f>SUM(D65:G65)</f>
        <v>108.925</v>
      </c>
      <c r="BR65" s="26">
        <f>SUM(H65:K65)</f>
        <v>96.037999999999997</v>
      </c>
      <c r="BS65" s="26">
        <f>SUM(L65:O65)</f>
        <v>187.78700000000001</v>
      </c>
      <c r="BT65" s="26">
        <f>SUM(P65:S65)</f>
        <v>155.73400000000001</v>
      </c>
      <c r="BU65" s="26">
        <f>SUM(T65:W65)</f>
        <v>153.32300000000004</v>
      </c>
      <c r="BV65" s="26">
        <f>SUM(X65:AA65)</f>
        <v>107.53400000000002</v>
      </c>
      <c r="BW65" s="26">
        <f>SUM(AB65:AE65)</f>
        <v>79.537999999999997</v>
      </c>
      <c r="BX65" s="26">
        <f>SUM(AF65:AI65)</f>
        <v>49.356999999999999</v>
      </c>
      <c r="BY65" s="26">
        <f>SUM(AJ65:AM65)</f>
        <v>52.7</v>
      </c>
      <c r="BZ65" s="26">
        <f>SUM(AN65:AQ65)</f>
        <v>43.924999999999997</v>
      </c>
      <c r="CA65" s="26">
        <f>SUM(AR65:AU65)</f>
        <v>16.397000000000002</v>
      </c>
      <c r="CB65" s="26">
        <f>SUM(AV65:AY65)</f>
        <v>10.747999999999999</v>
      </c>
      <c r="CC65" s="26">
        <f>SUM(AZ65:BC65)</f>
        <v>8.7010000000000005</v>
      </c>
      <c r="CD65" s="26">
        <f>SUM(BD65:BG65)</f>
        <v>0</v>
      </c>
      <c r="CE65" s="26">
        <f>SUM(BH65:BK65)</f>
        <v>0</v>
      </c>
      <c r="CF65" s="26">
        <f>SUM(BL65:BO65)</f>
        <v>0</v>
      </c>
      <c r="CG65" s="603">
        <f>CE65</f>
        <v>0</v>
      </c>
      <c r="CH65" s="336"/>
    </row>
    <row r="66" spans="2:86" ht="14.25" hidden="1" outlineLevel="2">
      <c r="B66" s="20" t="s">
        <v>8</v>
      </c>
      <c r="C66" s="21"/>
      <c r="D66" s="22">
        <v>0</v>
      </c>
      <c r="E66" s="23">
        <v>0</v>
      </c>
      <c r="F66" s="23">
        <v>0</v>
      </c>
      <c r="G66" s="24">
        <v>0</v>
      </c>
      <c r="H66" s="22">
        <v>0</v>
      </c>
      <c r="I66" s="23">
        <v>0</v>
      </c>
      <c r="J66" s="23">
        <v>0</v>
      </c>
      <c r="K66" s="24">
        <v>0</v>
      </c>
      <c r="L66" s="22">
        <v>0</v>
      </c>
      <c r="M66" s="23">
        <v>0</v>
      </c>
      <c r="N66" s="23">
        <v>0</v>
      </c>
      <c r="O66" s="24">
        <v>0</v>
      </c>
      <c r="P66" s="22">
        <v>0</v>
      </c>
      <c r="Q66" s="23">
        <v>0</v>
      </c>
      <c r="R66" s="23">
        <v>0</v>
      </c>
      <c r="S66" s="24">
        <v>0</v>
      </c>
      <c r="T66" s="22">
        <v>0</v>
      </c>
      <c r="U66" s="23">
        <v>0</v>
      </c>
      <c r="V66" s="23">
        <v>0</v>
      </c>
      <c r="W66" s="24">
        <v>0</v>
      </c>
      <c r="X66" s="22">
        <v>0</v>
      </c>
      <c r="Y66" s="23">
        <v>0</v>
      </c>
      <c r="Z66" s="23">
        <v>0</v>
      </c>
      <c r="AA66" s="24">
        <v>0</v>
      </c>
      <c r="AB66" s="22">
        <v>0</v>
      </c>
      <c r="AC66" s="23">
        <v>0</v>
      </c>
      <c r="AD66" s="23">
        <v>0</v>
      </c>
      <c r="AE66" s="24">
        <v>0</v>
      </c>
      <c r="AF66" s="22">
        <v>0</v>
      </c>
      <c r="AG66" s="23">
        <v>0</v>
      </c>
      <c r="AH66" s="23">
        <v>0</v>
      </c>
      <c r="AI66" s="24">
        <v>0</v>
      </c>
      <c r="AJ66" s="22">
        <v>0</v>
      </c>
      <c r="AK66" s="23">
        <v>0</v>
      </c>
      <c r="AL66" s="23">
        <v>0</v>
      </c>
      <c r="AM66" s="24">
        <v>0</v>
      </c>
      <c r="AN66" s="22">
        <v>0</v>
      </c>
      <c r="AO66" s="23">
        <v>0</v>
      </c>
      <c r="AP66" s="23">
        <v>0</v>
      </c>
      <c r="AQ66" s="24">
        <v>0</v>
      </c>
      <c r="AR66" s="22">
        <v>0</v>
      </c>
      <c r="AS66" s="23">
        <v>0</v>
      </c>
      <c r="AT66" s="23">
        <v>0</v>
      </c>
      <c r="AU66" s="24"/>
      <c r="AV66" s="22">
        <v>0</v>
      </c>
      <c r="AW66" s="23">
        <v>0</v>
      </c>
      <c r="AX66" s="23">
        <v>0</v>
      </c>
      <c r="AY66" s="24"/>
      <c r="AZ66" s="22">
        <v>0</v>
      </c>
      <c r="BA66" s="23">
        <v>0</v>
      </c>
      <c r="BB66" s="23">
        <v>0</v>
      </c>
      <c r="BC66" s="24">
        <v>98.86</v>
      </c>
      <c r="BD66" s="22">
        <v>0</v>
      </c>
      <c r="BE66" s="23">
        <v>0</v>
      </c>
      <c r="BF66" s="23">
        <v>0</v>
      </c>
      <c r="BG66" s="24">
        <v>0</v>
      </c>
      <c r="BH66" s="640"/>
      <c r="BI66" s="327"/>
      <c r="BJ66" s="327"/>
      <c r="BK66" s="327"/>
      <c r="BL66" s="640"/>
      <c r="BM66" s="327"/>
      <c r="BN66" s="327"/>
      <c r="BO66" s="603"/>
      <c r="BP66" s="347"/>
      <c r="BQ66" s="25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>
        <f>SUM(AZ66:BC66)</f>
        <v>98.86</v>
      </c>
      <c r="CD66" s="26"/>
      <c r="CE66" s="26"/>
      <c r="CF66" s="26"/>
      <c r="CG66" s="603"/>
      <c r="CH66" s="336"/>
    </row>
    <row r="67" spans="2:86" ht="14.25" hidden="1" outlineLevel="2">
      <c r="B67" s="20" t="s">
        <v>9</v>
      </c>
      <c r="C67" s="21"/>
      <c r="D67" s="22">
        <v>0</v>
      </c>
      <c r="E67" s="23">
        <v>0</v>
      </c>
      <c r="F67" s="23">
        <v>0</v>
      </c>
      <c r="G67" s="24">
        <v>0</v>
      </c>
      <c r="H67" s="22">
        <v>0</v>
      </c>
      <c r="I67" s="23">
        <v>0</v>
      </c>
      <c r="J67" s="23">
        <v>0</v>
      </c>
      <c r="K67" s="24">
        <v>0</v>
      </c>
      <c r="L67" s="22">
        <v>0</v>
      </c>
      <c r="M67" s="23">
        <v>0</v>
      </c>
      <c r="N67" s="23">
        <v>0</v>
      </c>
      <c r="O67" s="24">
        <v>0</v>
      </c>
      <c r="P67" s="22">
        <v>0</v>
      </c>
      <c r="Q67" s="23">
        <v>0</v>
      </c>
      <c r="R67" s="23">
        <v>0</v>
      </c>
      <c r="S67" s="24">
        <v>0</v>
      </c>
      <c r="T67" s="22">
        <v>0</v>
      </c>
      <c r="U67" s="23">
        <v>0</v>
      </c>
      <c r="V67" s="23">
        <v>0</v>
      </c>
      <c r="W67" s="24">
        <v>0</v>
      </c>
      <c r="X67" s="22">
        <v>0</v>
      </c>
      <c r="Y67" s="23">
        <v>0</v>
      </c>
      <c r="Z67" s="23">
        <v>0</v>
      </c>
      <c r="AA67" s="24">
        <v>0</v>
      </c>
      <c r="AB67" s="22">
        <v>0</v>
      </c>
      <c r="AC67" s="23">
        <v>0</v>
      </c>
      <c r="AD67" s="23">
        <v>0</v>
      </c>
      <c r="AE67" s="24">
        <v>0</v>
      </c>
      <c r="AF67" s="22">
        <v>0</v>
      </c>
      <c r="AG67" s="23">
        <v>0</v>
      </c>
      <c r="AH67" s="23">
        <v>0</v>
      </c>
      <c r="AI67" s="24">
        <v>0</v>
      </c>
      <c r="AJ67" s="22">
        <v>0</v>
      </c>
      <c r="AK67" s="23">
        <v>0</v>
      </c>
      <c r="AL67" s="23">
        <v>0</v>
      </c>
      <c r="AM67" s="24">
        <v>0</v>
      </c>
      <c r="AN67" s="22">
        <v>0</v>
      </c>
      <c r="AO67" s="23">
        <v>0</v>
      </c>
      <c r="AP67" s="23">
        <v>0</v>
      </c>
      <c r="AQ67" s="24">
        <v>0</v>
      </c>
      <c r="AR67" s="22">
        <v>0</v>
      </c>
      <c r="AS67" s="23">
        <v>0</v>
      </c>
      <c r="AT67" s="23">
        <v>0</v>
      </c>
      <c r="AU67" s="24"/>
      <c r="AV67" s="22">
        <v>0</v>
      </c>
      <c r="AW67" s="23">
        <v>0</v>
      </c>
      <c r="AX67" s="23"/>
      <c r="AY67" s="24"/>
      <c r="AZ67" s="22">
        <v>0</v>
      </c>
      <c r="BA67" s="23">
        <v>0</v>
      </c>
      <c r="BB67" s="23">
        <v>0</v>
      </c>
      <c r="BC67" s="24"/>
      <c r="BD67" s="22"/>
      <c r="BE67" s="23">
        <v>0</v>
      </c>
      <c r="BF67" s="23">
        <v>0</v>
      </c>
      <c r="BG67" s="24"/>
      <c r="BH67" s="637"/>
      <c r="BI67" s="325"/>
      <c r="BJ67" s="325"/>
      <c r="BK67" s="325"/>
      <c r="BL67" s="637"/>
      <c r="BM67" s="325"/>
      <c r="BN67" s="325"/>
      <c r="BO67" s="596"/>
      <c r="BP67" s="347"/>
      <c r="BQ67" s="25">
        <f>SUM(D67:G67)</f>
        <v>0</v>
      </c>
      <c r="BR67" s="26">
        <f>SUM(H67:K67)</f>
        <v>0</v>
      </c>
      <c r="BS67" s="26">
        <f>SUM(L67:O67)</f>
        <v>0</v>
      </c>
      <c r="BT67" s="26">
        <f>SUM(P67:S67)</f>
        <v>0</v>
      </c>
      <c r="BU67" s="26">
        <f>SUM(T67:W67)</f>
        <v>0</v>
      </c>
      <c r="BV67" s="26">
        <f>SUM(X67:AA67)</f>
        <v>0</v>
      </c>
      <c r="BW67" s="26">
        <f>SUM(AB67:AE67)</f>
        <v>0</v>
      </c>
      <c r="BX67" s="26">
        <f>SUM(AF67:AI67)</f>
        <v>0</v>
      </c>
      <c r="BY67" s="26">
        <f>SUM(AJ67:AM67)</f>
        <v>0</v>
      </c>
      <c r="BZ67" s="26">
        <f>SUM(AN67:AQ67)</f>
        <v>0</v>
      </c>
      <c r="CA67" s="26">
        <f>SUM(AR67:AU67)</f>
        <v>0</v>
      </c>
      <c r="CB67" s="26">
        <f>SUM(AV67:AY67)</f>
        <v>0</v>
      </c>
      <c r="CC67" s="26">
        <f>SUM(AZ67:BC67)</f>
        <v>0</v>
      </c>
      <c r="CD67" s="26">
        <f>SUM(BD67:BG67)</f>
        <v>0</v>
      </c>
      <c r="CE67" s="26">
        <f>SUM(BH67:BK67)</f>
        <v>0</v>
      </c>
      <c r="CF67" s="26">
        <f>SUM(BL67:BO67)</f>
        <v>0</v>
      </c>
      <c r="CG67" s="596"/>
      <c r="CH67" s="336"/>
    </row>
    <row r="68" spans="2:86" ht="14.25" hidden="1" outlineLevel="1">
      <c r="B68" s="16" t="s">
        <v>20</v>
      </c>
      <c r="C68" s="17"/>
      <c r="D68" s="25">
        <v>0</v>
      </c>
      <c r="E68" s="26">
        <v>0</v>
      </c>
      <c r="F68" s="26">
        <v>0</v>
      </c>
      <c r="G68" s="27">
        <v>0</v>
      </c>
      <c r="H68" s="25">
        <v>0</v>
      </c>
      <c r="I68" s="26">
        <v>0</v>
      </c>
      <c r="J68" s="26">
        <v>0</v>
      </c>
      <c r="K68" s="27">
        <v>0</v>
      </c>
      <c r="L68" s="25">
        <v>0</v>
      </c>
      <c r="M68" s="26">
        <v>0</v>
      </c>
      <c r="N68" s="26">
        <v>0</v>
      </c>
      <c r="O68" s="27">
        <v>0</v>
      </c>
      <c r="P68" s="25">
        <f>P63-P64-P65-P66-P67</f>
        <v>0</v>
      </c>
      <c r="Q68" s="26">
        <f t="shared" ref="Q68:CA68" si="312">Q63-Q64-Q65-Q66-Q67</f>
        <v>0</v>
      </c>
      <c r="R68" s="26">
        <f t="shared" si="312"/>
        <v>0</v>
      </c>
      <c r="S68" s="27">
        <f t="shared" si="312"/>
        <v>0</v>
      </c>
      <c r="T68" s="25">
        <f t="shared" si="312"/>
        <v>0</v>
      </c>
      <c r="U68" s="26">
        <f t="shared" si="312"/>
        <v>0</v>
      </c>
      <c r="V68" s="26">
        <f t="shared" si="312"/>
        <v>0</v>
      </c>
      <c r="W68" s="27">
        <f t="shared" si="312"/>
        <v>0</v>
      </c>
      <c r="X68" s="25">
        <f t="shared" si="312"/>
        <v>0</v>
      </c>
      <c r="Y68" s="26">
        <f t="shared" si="312"/>
        <v>0</v>
      </c>
      <c r="Z68" s="26">
        <f t="shared" si="312"/>
        <v>0</v>
      </c>
      <c r="AA68" s="27">
        <f t="shared" si="312"/>
        <v>0</v>
      </c>
      <c r="AB68" s="25">
        <f t="shared" si="312"/>
        <v>0</v>
      </c>
      <c r="AC68" s="26">
        <f t="shared" si="312"/>
        <v>0</v>
      </c>
      <c r="AD68" s="26">
        <f t="shared" si="312"/>
        <v>0</v>
      </c>
      <c r="AE68" s="27">
        <f t="shared" si="312"/>
        <v>0</v>
      </c>
      <c r="AF68" s="25">
        <f t="shared" si="312"/>
        <v>0</v>
      </c>
      <c r="AG68" s="26">
        <f t="shared" si="312"/>
        <v>0</v>
      </c>
      <c r="AH68" s="26">
        <f t="shared" si="312"/>
        <v>0</v>
      </c>
      <c r="AI68" s="27">
        <f t="shared" si="312"/>
        <v>0</v>
      </c>
      <c r="AJ68" s="25">
        <f t="shared" si="312"/>
        <v>0</v>
      </c>
      <c r="AK68" s="26">
        <f t="shared" si="312"/>
        <v>0</v>
      </c>
      <c r="AL68" s="26">
        <f t="shared" si="312"/>
        <v>0</v>
      </c>
      <c r="AM68" s="27">
        <f t="shared" si="312"/>
        <v>0</v>
      </c>
      <c r="AN68" s="25">
        <v>0</v>
      </c>
      <c r="AO68" s="26">
        <f t="shared" si="312"/>
        <v>0</v>
      </c>
      <c r="AP68" s="26">
        <f t="shared" si="312"/>
        <v>0</v>
      </c>
      <c r="AQ68" s="27">
        <f>AQ63-AQ64-AQ65-AQ66-AQ67</f>
        <v>0</v>
      </c>
      <c r="AR68" s="25">
        <f t="shared" ref="AR68" si="313">AR63-AR64-AR65-AR66-AR67</f>
        <v>0</v>
      </c>
      <c r="AS68" s="26">
        <f>AS63-AS64-AS65-AS66-AS67</f>
        <v>0</v>
      </c>
      <c r="AT68" s="26">
        <f>AT63-AT64-AT65-AT66-AT67</f>
        <v>0</v>
      </c>
      <c r="AU68" s="27">
        <f t="shared" si="312"/>
        <v>0</v>
      </c>
      <c r="AV68" s="25">
        <f t="shared" si="312"/>
        <v>0</v>
      </c>
      <c r="AW68" s="26">
        <f t="shared" ref="AW68:AZ68" si="314">AW63-AW64-AW65-AW66-AW67</f>
        <v>-1.6431300764452317E-14</v>
      </c>
      <c r="AX68" s="26">
        <f t="shared" si="314"/>
        <v>-1.3322676295501878E-15</v>
      </c>
      <c r="AY68" s="27">
        <f t="shared" si="314"/>
        <v>0</v>
      </c>
      <c r="AZ68" s="25">
        <f t="shared" si="314"/>
        <v>0</v>
      </c>
      <c r="BA68" s="26">
        <f t="shared" ref="BA68:BD68" si="315">BA63-BA64-BA65-BA66-BA67</f>
        <v>0</v>
      </c>
      <c r="BB68" s="26">
        <f t="shared" si="315"/>
        <v>0</v>
      </c>
      <c r="BC68" s="27">
        <f t="shared" si="315"/>
        <v>-98.86</v>
      </c>
      <c r="BD68" s="25">
        <f t="shared" si="315"/>
        <v>0</v>
      </c>
      <c r="BE68" s="26">
        <f t="shared" ref="BE68:BG68" si="316">BE63-BE64-BE65-BE66-BE67</f>
        <v>0</v>
      </c>
      <c r="BF68" s="26">
        <f t="shared" si="316"/>
        <v>0</v>
      </c>
      <c r="BG68" s="27">
        <f t="shared" si="316"/>
        <v>0</v>
      </c>
      <c r="BH68" s="25">
        <f t="shared" ref="BH68:BK68" si="317">BH63-BH64-BH65-BH66-BH67</f>
        <v>0</v>
      </c>
      <c r="BI68" s="26">
        <f t="shared" si="317"/>
        <v>0</v>
      </c>
      <c r="BJ68" s="26">
        <f t="shared" si="317"/>
        <v>0</v>
      </c>
      <c r="BK68" s="26">
        <f t="shared" si="317"/>
        <v>0</v>
      </c>
      <c r="BL68" s="25">
        <f t="shared" ref="BL68:BO68" si="318">BL63-BL64-BL65-BL66-BL67</f>
        <v>0</v>
      </c>
      <c r="BM68" s="26">
        <f t="shared" si="318"/>
        <v>0</v>
      </c>
      <c r="BN68" s="26">
        <f t="shared" si="318"/>
        <v>0</v>
      </c>
      <c r="BO68" s="597">
        <f t="shared" si="318"/>
        <v>0</v>
      </c>
      <c r="BP68" s="347"/>
      <c r="BQ68" s="25">
        <f t="shared" si="312"/>
        <v>0</v>
      </c>
      <c r="BR68" s="26">
        <f t="shared" si="312"/>
        <v>0</v>
      </c>
      <c r="BS68" s="26">
        <f t="shared" si="312"/>
        <v>0</v>
      </c>
      <c r="BT68" s="26">
        <f t="shared" si="312"/>
        <v>0</v>
      </c>
      <c r="BU68" s="26">
        <f t="shared" si="312"/>
        <v>0</v>
      </c>
      <c r="BV68" s="26">
        <f t="shared" si="312"/>
        <v>0</v>
      </c>
      <c r="BW68" s="26">
        <f t="shared" si="312"/>
        <v>0</v>
      </c>
      <c r="BX68" s="26">
        <f t="shared" si="312"/>
        <v>0</v>
      </c>
      <c r="BY68" s="26">
        <f t="shared" si="312"/>
        <v>0</v>
      </c>
      <c r="BZ68" s="26">
        <f t="shared" si="312"/>
        <v>0</v>
      </c>
      <c r="CA68" s="26">
        <f t="shared" si="312"/>
        <v>0</v>
      </c>
      <c r="CB68" s="26">
        <f>CB63-CB64-CB65-CB66-CB67</f>
        <v>4.7961634663806763E-14</v>
      </c>
      <c r="CC68" s="26">
        <f>CC63-CC64-CC65-CC66-CC67</f>
        <v>-98.86</v>
      </c>
      <c r="CD68" s="26">
        <f>CD63-CD64-CD65-CD66-CD67</f>
        <v>0</v>
      </c>
      <c r="CE68" s="26">
        <f>CE63-CE64-CE65-CE66-CE67</f>
        <v>0</v>
      </c>
      <c r="CF68" s="26">
        <f>CF63-CF64-CF65-CF66-CF67</f>
        <v>0</v>
      </c>
      <c r="CG68" s="597">
        <f t="shared" ref="CG68" si="319">CG63-CG64-CG65-CG66-CG67</f>
        <v>0</v>
      </c>
      <c r="CH68" s="336"/>
    </row>
    <row r="69" spans="2:86" ht="14.25" hidden="1" outlineLevel="1">
      <c r="B69" s="16" t="s">
        <v>21</v>
      </c>
      <c r="C69" s="17"/>
      <c r="D69" s="25">
        <f t="shared" ref="D69:O69" si="320">D68-D64</f>
        <v>0</v>
      </c>
      <c r="E69" s="26">
        <f t="shared" si="320"/>
        <v>0</v>
      </c>
      <c r="F69" s="26">
        <f t="shared" si="320"/>
        <v>0</v>
      </c>
      <c r="G69" s="27">
        <f t="shared" si="320"/>
        <v>0</v>
      </c>
      <c r="H69" s="25">
        <f t="shared" si="320"/>
        <v>0</v>
      </c>
      <c r="I69" s="26">
        <f t="shared" si="320"/>
        <v>0</v>
      </c>
      <c r="J69" s="26">
        <f t="shared" si="320"/>
        <v>0</v>
      </c>
      <c r="K69" s="27">
        <f t="shared" si="320"/>
        <v>0</v>
      </c>
      <c r="L69" s="25">
        <f t="shared" si="320"/>
        <v>0</v>
      </c>
      <c r="M69" s="26">
        <f t="shared" si="320"/>
        <v>0</v>
      </c>
      <c r="N69" s="26">
        <f t="shared" si="320"/>
        <v>0</v>
      </c>
      <c r="O69" s="27">
        <f t="shared" si="320"/>
        <v>0</v>
      </c>
      <c r="P69" s="25">
        <f>P63-P65-P66-P67</f>
        <v>0</v>
      </c>
      <c r="Q69" s="26">
        <f t="shared" ref="Q69:CA69" si="321">Q63-Q65-Q66-Q67</f>
        <v>0</v>
      </c>
      <c r="R69" s="26">
        <f t="shared" si="321"/>
        <v>0</v>
      </c>
      <c r="S69" s="27">
        <f t="shared" si="321"/>
        <v>0</v>
      </c>
      <c r="T69" s="25">
        <f t="shared" si="321"/>
        <v>0</v>
      </c>
      <c r="U69" s="26">
        <f t="shared" si="321"/>
        <v>0</v>
      </c>
      <c r="V69" s="26">
        <f t="shared" si="321"/>
        <v>0</v>
      </c>
      <c r="W69" s="27">
        <f t="shared" si="321"/>
        <v>0</v>
      </c>
      <c r="X69" s="25">
        <f t="shared" si="321"/>
        <v>0</v>
      </c>
      <c r="Y69" s="26">
        <f t="shared" si="321"/>
        <v>0</v>
      </c>
      <c r="Z69" s="26">
        <f t="shared" si="321"/>
        <v>0</v>
      </c>
      <c r="AA69" s="27">
        <f t="shared" si="321"/>
        <v>0</v>
      </c>
      <c r="AB69" s="25">
        <f t="shared" si="321"/>
        <v>0</v>
      </c>
      <c r="AC69" s="26">
        <f t="shared" si="321"/>
        <v>0</v>
      </c>
      <c r="AD69" s="26">
        <f t="shared" si="321"/>
        <v>0</v>
      </c>
      <c r="AE69" s="27">
        <f t="shared" ref="AE69:AJ69" si="322">AE63-AE65-AE66-AE67</f>
        <v>0</v>
      </c>
      <c r="AF69" s="25">
        <f t="shared" si="322"/>
        <v>0</v>
      </c>
      <c r="AG69" s="26">
        <f t="shared" si="322"/>
        <v>0</v>
      </c>
      <c r="AH69" s="26">
        <f t="shared" si="322"/>
        <v>0</v>
      </c>
      <c r="AI69" s="27">
        <f t="shared" si="322"/>
        <v>0</v>
      </c>
      <c r="AJ69" s="25">
        <f t="shared" si="322"/>
        <v>0</v>
      </c>
      <c r="AK69" s="26">
        <f>AK63-AK65-AK66-AK67</f>
        <v>0</v>
      </c>
      <c r="AL69" s="26">
        <f>AL63-AL65-AL66-AL67</f>
        <v>0</v>
      </c>
      <c r="AM69" s="27">
        <f>AM63-AM65-AM66-AM67</f>
        <v>0</v>
      </c>
      <c r="AN69" s="25">
        <v>0</v>
      </c>
      <c r="AO69" s="26">
        <f>AO63-AO65-AO66-AO67</f>
        <v>0</v>
      </c>
      <c r="AP69" s="26">
        <f t="shared" si="321"/>
        <v>0</v>
      </c>
      <c r="AQ69" s="27">
        <f>AQ63-AQ65-AQ66-AQ67</f>
        <v>0</v>
      </c>
      <c r="AR69" s="25">
        <f>AR63-AR65-AR66-AR67</f>
        <v>0</v>
      </c>
      <c r="AS69" s="26">
        <f>AS63-AS65-AS66-AS67</f>
        <v>0</v>
      </c>
      <c r="AT69" s="26">
        <f>AT63-AT65-AT66-AT67</f>
        <v>0</v>
      </c>
      <c r="AU69" s="27">
        <f t="shared" si="321"/>
        <v>0</v>
      </c>
      <c r="AV69" s="25">
        <f t="shared" si="321"/>
        <v>0</v>
      </c>
      <c r="AW69" s="26">
        <f>AW63-AW65-AW66-AW67</f>
        <v>654.66700000000003</v>
      </c>
      <c r="AX69" s="26">
        <f t="shared" ref="AX69:AZ69" si="323">AX63-AX65-AX66-AX67</f>
        <v>35.270000000000003</v>
      </c>
      <c r="AY69" s="27">
        <f t="shared" si="323"/>
        <v>0</v>
      </c>
      <c r="AZ69" s="25">
        <f t="shared" si="323"/>
        <v>0</v>
      </c>
      <c r="BA69" s="26">
        <f>BA63-BA65-BA66-BA67</f>
        <v>0</v>
      </c>
      <c r="BB69" s="26">
        <f t="shared" ref="BB69:BD69" si="324">BB63-BB65-BB66-BB67</f>
        <v>0</v>
      </c>
      <c r="BC69" s="27">
        <f t="shared" si="324"/>
        <v>-98.86</v>
      </c>
      <c r="BD69" s="25">
        <f t="shared" si="324"/>
        <v>1.5049999999999999</v>
      </c>
      <c r="BE69" s="26">
        <f>BE63-BE65-BE66-BE67</f>
        <v>4.2850000000000001</v>
      </c>
      <c r="BF69" s="26">
        <f t="shared" ref="BF69:BG69" si="325">BF63-BF65-BF66-BF67</f>
        <v>3.2839999999999998</v>
      </c>
      <c r="BG69" s="27">
        <f t="shared" si="325"/>
        <v>71.180000000000007</v>
      </c>
      <c r="BH69" s="25">
        <f t="shared" ref="BH69:BK69" si="326">BH63-BH65-BH66-BH67</f>
        <v>0</v>
      </c>
      <c r="BI69" s="26">
        <f t="shared" si="326"/>
        <v>0</v>
      </c>
      <c r="BJ69" s="26">
        <f t="shared" si="326"/>
        <v>0</v>
      </c>
      <c r="BK69" s="26">
        <f t="shared" si="326"/>
        <v>0</v>
      </c>
      <c r="BL69" s="25">
        <f t="shared" ref="BL69:BO69" si="327">BL63-BL65-BL66-BL67</f>
        <v>0</v>
      </c>
      <c r="BM69" s="26">
        <f t="shared" si="327"/>
        <v>0</v>
      </c>
      <c r="BN69" s="26">
        <f t="shared" si="327"/>
        <v>0</v>
      </c>
      <c r="BO69" s="597">
        <f t="shared" si="327"/>
        <v>0</v>
      </c>
      <c r="BP69" s="347"/>
      <c r="BQ69" s="25">
        <f t="shared" si="321"/>
        <v>0</v>
      </c>
      <c r="BR69" s="26">
        <f t="shared" si="321"/>
        <v>0</v>
      </c>
      <c r="BS69" s="26">
        <f t="shared" si="321"/>
        <v>0</v>
      </c>
      <c r="BT69" s="26">
        <f t="shared" si="321"/>
        <v>0</v>
      </c>
      <c r="BU69" s="26">
        <f t="shared" si="321"/>
        <v>0</v>
      </c>
      <c r="BV69" s="26">
        <f t="shared" si="321"/>
        <v>0</v>
      </c>
      <c r="BW69" s="26">
        <f t="shared" si="321"/>
        <v>0</v>
      </c>
      <c r="BX69" s="26">
        <f t="shared" si="321"/>
        <v>0</v>
      </c>
      <c r="BY69" s="26">
        <f t="shared" si="321"/>
        <v>0</v>
      </c>
      <c r="BZ69" s="26">
        <f t="shared" si="321"/>
        <v>0</v>
      </c>
      <c r="CA69" s="26">
        <f t="shared" si="321"/>
        <v>0</v>
      </c>
      <c r="CB69" s="26">
        <f>CB63-CB65-CB66-CB67</f>
        <v>689.93700000000001</v>
      </c>
      <c r="CC69" s="26">
        <f>CC63-CC65-CC66-CC67</f>
        <v>-98.86</v>
      </c>
      <c r="CD69" s="26">
        <f>CD63-CD65-CD66-CD67</f>
        <v>80.254000000000005</v>
      </c>
      <c r="CE69" s="26">
        <f>CE63-CE65-CE66-CE67</f>
        <v>0</v>
      </c>
      <c r="CF69" s="26">
        <f>CF63-CF65-CF66-CF67</f>
        <v>0</v>
      </c>
      <c r="CG69" s="597">
        <f t="shared" ref="CG69" si="328">CG63-CG65-CG66-CG67</f>
        <v>0</v>
      </c>
      <c r="CH69" s="336"/>
    </row>
    <row r="70" spans="2:86" ht="13.5" customHeight="1" collapsed="1">
      <c r="B70" s="46"/>
      <c r="C70" s="45"/>
      <c r="D70" s="47"/>
      <c r="E70" s="47"/>
      <c r="F70" s="47"/>
      <c r="G70" s="48"/>
      <c r="H70" s="47"/>
      <c r="I70" s="47"/>
      <c r="J70" s="47"/>
      <c r="K70" s="48"/>
      <c r="L70" s="47"/>
      <c r="M70" s="47"/>
      <c r="N70" s="47"/>
      <c r="O70" s="48"/>
      <c r="P70" s="47"/>
      <c r="Q70" s="47"/>
      <c r="R70" s="47"/>
      <c r="S70" s="48"/>
      <c r="T70" s="47"/>
      <c r="U70" s="47"/>
      <c r="V70" s="47"/>
      <c r="W70" s="48"/>
      <c r="X70" s="47"/>
      <c r="Y70" s="47"/>
      <c r="Z70" s="47"/>
      <c r="AA70" s="48"/>
      <c r="AB70" s="47"/>
      <c r="AC70" s="47"/>
      <c r="AD70" s="47"/>
      <c r="AE70" s="48"/>
      <c r="AF70" s="47"/>
      <c r="AG70" s="47"/>
      <c r="AH70" s="47"/>
      <c r="AI70" s="48"/>
      <c r="AJ70" s="47"/>
      <c r="AK70" s="47"/>
      <c r="AL70" s="47"/>
      <c r="AM70" s="48"/>
      <c r="AN70" s="258"/>
      <c r="AO70" s="47"/>
      <c r="AP70" s="47"/>
      <c r="AQ70" s="48"/>
      <c r="AR70" s="258"/>
      <c r="AS70" s="47"/>
      <c r="AT70" s="47"/>
      <c r="AU70" s="48"/>
      <c r="AV70" s="258"/>
      <c r="AW70" s="47"/>
      <c r="AX70" s="47"/>
      <c r="AY70" s="48"/>
      <c r="AZ70" s="258"/>
      <c r="BA70" s="47"/>
      <c r="BB70" s="47"/>
      <c r="BC70" s="48"/>
      <c r="BD70" s="258"/>
      <c r="BE70" s="47"/>
      <c r="BF70" s="47"/>
      <c r="BG70" s="48"/>
      <c r="BH70" s="258"/>
      <c r="BI70" s="47"/>
      <c r="BJ70" s="47"/>
      <c r="BK70" s="47"/>
      <c r="BL70" s="258"/>
      <c r="BM70" s="47"/>
      <c r="BN70" s="47"/>
      <c r="BO70" s="602"/>
      <c r="BP70" s="347"/>
      <c r="BQ70" s="683"/>
      <c r="BR70" s="338"/>
      <c r="BS70" s="338"/>
      <c r="BT70" s="338"/>
      <c r="BU70" s="338"/>
      <c r="BV70" s="338"/>
      <c r="BW70" s="338"/>
      <c r="BX70" s="338"/>
      <c r="BY70" s="338"/>
      <c r="BZ70" s="338"/>
      <c r="CA70" s="338"/>
      <c r="CB70" s="338"/>
      <c r="CC70" s="338"/>
      <c r="CD70" s="338"/>
      <c r="CE70" s="338"/>
      <c r="CF70" s="338"/>
      <c r="CG70" s="602"/>
      <c r="CH70" s="336"/>
    </row>
    <row r="71" spans="2:86" ht="14.25" hidden="1" outlineLevel="1">
      <c r="B71" s="16" t="s">
        <v>22</v>
      </c>
      <c r="C71" s="17"/>
      <c r="D71" s="26">
        <f t="shared" ref="D71:S71" si="329">D33+D43+D53+D63</f>
        <v>123.456</v>
      </c>
      <c r="E71" s="26">
        <f t="shared" si="329"/>
        <v>122.613</v>
      </c>
      <c r="F71" s="26">
        <f t="shared" si="329"/>
        <v>118.098</v>
      </c>
      <c r="G71" s="27">
        <f t="shared" si="329"/>
        <v>116.80900000000004</v>
      </c>
      <c r="H71" s="26">
        <f t="shared" si="329"/>
        <v>129.29900000000001</v>
      </c>
      <c r="I71" s="26">
        <f t="shared" si="329"/>
        <v>151.447</v>
      </c>
      <c r="J71" s="26">
        <f t="shared" si="329"/>
        <v>137.751</v>
      </c>
      <c r="K71" s="27">
        <f t="shared" si="329"/>
        <v>212.04299999999998</v>
      </c>
      <c r="L71" s="26">
        <f t="shared" si="329"/>
        <v>203.999</v>
      </c>
      <c r="M71" s="26">
        <f t="shared" si="329"/>
        <v>239.006</v>
      </c>
      <c r="N71" s="26">
        <f t="shared" si="329"/>
        <v>258.64599999999996</v>
      </c>
      <c r="O71" s="27">
        <f t="shared" si="329"/>
        <v>434.60400000000004</v>
      </c>
      <c r="P71" s="26">
        <f t="shared" si="329"/>
        <v>345.83300000000003</v>
      </c>
      <c r="Q71" s="26">
        <f t="shared" si="329"/>
        <v>361.20399999999995</v>
      </c>
      <c r="R71" s="26">
        <f t="shared" si="329"/>
        <v>368.476</v>
      </c>
      <c r="S71" s="27">
        <f t="shared" si="329"/>
        <v>426.97399999999999</v>
      </c>
      <c r="T71" s="26">
        <f t="shared" ref="T71:AC71" si="330">T33+T43+T53+T63</f>
        <v>332.76100000000002</v>
      </c>
      <c r="U71" s="26">
        <f t="shared" si="330"/>
        <v>357.52499999999998</v>
      </c>
      <c r="V71" s="26">
        <f t="shared" si="330"/>
        <v>339.06300000000005</v>
      </c>
      <c r="W71" s="27">
        <f t="shared" si="330"/>
        <v>329.41400000000004</v>
      </c>
      <c r="X71" s="26">
        <f t="shared" si="330"/>
        <v>373.08299999999997</v>
      </c>
      <c r="Y71" s="26">
        <f t="shared" si="330"/>
        <v>285.01200000000006</v>
      </c>
      <c r="Z71" s="26">
        <f t="shared" si="330"/>
        <v>291.42500000000001</v>
      </c>
      <c r="AA71" s="27">
        <f t="shared" si="330"/>
        <v>296.95600000000007</v>
      </c>
      <c r="AB71" s="26">
        <f t="shared" si="330"/>
        <v>303.19099999999997</v>
      </c>
      <c r="AC71" s="26">
        <f t="shared" si="330"/>
        <v>311.72800000000001</v>
      </c>
      <c r="AD71" s="26">
        <f t="shared" ref="AD71:AL71" si="331">AD33+AD43+AD53+AD63</f>
        <v>309.517</v>
      </c>
      <c r="AE71" s="27">
        <f t="shared" si="331"/>
        <v>312.99100000000004</v>
      </c>
      <c r="AF71" s="26">
        <f t="shared" si="331"/>
        <v>319.81400000000002</v>
      </c>
      <c r="AG71" s="26">
        <f t="shared" si="331"/>
        <v>324.76299999999998</v>
      </c>
      <c r="AH71" s="26">
        <f t="shared" si="331"/>
        <v>346.93099999999998</v>
      </c>
      <c r="AI71" s="27">
        <f t="shared" si="331"/>
        <v>331.58100000000007</v>
      </c>
      <c r="AJ71" s="26">
        <f t="shared" si="331"/>
        <v>336.096</v>
      </c>
      <c r="AK71" s="26">
        <f t="shared" si="331"/>
        <v>343.95000000000005</v>
      </c>
      <c r="AL71" s="26">
        <f t="shared" si="331"/>
        <v>339.58100000000002</v>
      </c>
      <c r="AM71" s="27">
        <f t="shared" ref="AM71:AU71" si="332">AM33+AM43+AM53+AM63</f>
        <v>360.84900000000005</v>
      </c>
      <c r="AN71" s="25">
        <f t="shared" si="332"/>
        <v>356.04999999999995</v>
      </c>
      <c r="AO71" s="26">
        <f t="shared" si="332"/>
        <v>369.02</v>
      </c>
      <c r="AP71" s="26">
        <f t="shared" si="332"/>
        <v>371.02099999999996</v>
      </c>
      <c r="AQ71" s="27">
        <f t="shared" si="332"/>
        <v>363.88800000000003</v>
      </c>
      <c r="AR71" s="25">
        <f t="shared" si="332"/>
        <v>370.983</v>
      </c>
      <c r="AS71" s="26">
        <f t="shared" si="332"/>
        <v>363.35</v>
      </c>
      <c r="AT71" s="26">
        <f t="shared" si="332"/>
        <v>359.62200000000001</v>
      </c>
      <c r="AU71" s="441">
        <f t="shared" si="332"/>
        <v>360.48300000000006</v>
      </c>
      <c r="AV71" s="25">
        <f>AV33+AV43+AV53+AV63</f>
        <v>359.88299999999992</v>
      </c>
      <c r="AW71" s="26">
        <f>AW33+AW43+AW53+AW63</f>
        <v>1021.96</v>
      </c>
      <c r="AX71" s="26">
        <f t="shared" ref="AX71:AY71" si="333">AX33+AX43+AX53+AX63</f>
        <v>354.71000000000004</v>
      </c>
      <c r="AY71" s="441">
        <f t="shared" si="333"/>
        <v>311.27800000000002</v>
      </c>
      <c r="AZ71" s="25">
        <f>AZ33+AZ43+AZ53+AZ63</f>
        <v>310.73399999999998</v>
      </c>
      <c r="BA71" s="26">
        <f>BA33+BA43+BA53+BA63</f>
        <v>299.29000000000002</v>
      </c>
      <c r="BB71" s="26">
        <f t="shared" ref="BB71:BC71" si="334">BB33+BB43+BB53+BB63</f>
        <v>285.40599999999995</v>
      </c>
      <c r="BC71" s="441">
        <f t="shared" si="334"/>
        <v>339.65000000000003</v>
      </c>
      <c r="BD71" s="25">
        <f>BD33+BD43+BD53+BD63</f>
        <v>249.74299999999999</v>
      </c>
      <c r="BE71" s="26">
        <f>BE33+BE43+BE53+BE63</f>
        <v>240.815</v>
      </c>
      <c r="BF71" s="26">
        <f t="shared" ref="BF71:BG71" si="335">BF33+BF43+BF53+BF63</f>
        <v>227.87299999999999</v>
      </c>
      <c r="BG71" s="441">
        <f t="shared" si="335"/>
        <v>319.471</v>
      </c>
      <c r="BH71" s="25">
        <f t="shared" ref="BH71:BK71" si="336">BH33+BH43+BH53+BH63</f>
        <v>234.26574209999998</v>
      </c>
      <c r="BI71" s="26">
        <f t="shared" si="336"/>
        <v>236.71243213139999</v>
      </c>
      <c r="BJ71" s="26">
        <f t="shared" si="336"/>
        <v>241.79336281114647</v>
      </c>
      <c r="BK71" s="26">
        <f t="shared" si="336"/>
        <v>239.53645801546645</v>
      </c>
      <c r="BL71" s="25">
        <f t="shared" ref="BL71:BO71" si="337">BL33+BL43+BL53+BL63</f>
        <v>228.53855438197229</v>
      </c>
      <c r="BM71" s="26">
        <f t="shared" si="337"/>
        <v>243.10674883668764</v>
      </c>
      <c r="BN71" s="26">
        <f t="shared" si="337"/>
        <v>251.29120567746256</v>
      </c>
      <c r="BO71" s="597">
        <f t="shared" si="337"/>
        <v>248.3715044312126</v>
      </c>
      <c r="BP71" s="347"/>
      <c r="BQ71" s="25">
        <f>BQ33+BQ43+BQ53+BQ63</f>
        <v>480.97600000000006</v>
      </c>
      <c r="BR71" s="26">
        <f t="shared" ref="BR71:BW71" si="338">BR33+BR43+BR53+BR63</f>
        <v>630.54000000000008</v>
      </c>
      <c r="BS71" s="26">
        <f t="shared" si="338"/>
        <v>1136.2550000000001</v>
      </c>
      <c r="BT71" s="26">
        <f t="shared" si="338"/>
        <v>1502.4869999999999</v>
      </c>
      <c r="BU71" s="26">
        <f t="shared" si="338"/>
        <v>1358.7629999999999</v>
      </c>
      <c r="BV71" s="26">
        <f t="shared" si="338"/>
        <v>1246.4760000000003</v>
      </c>
      <c r="BW71" s="26">
        <f t="shared" si="338"/>
        <v>1237.4269999999999</v>
      </c>
      <c r="BX71" s="26">
        <f t="shared" ref="BX71:CA71" si="339">BX33+BX43+BX53+BX63</f>
        <v>1323.0889999999999</v>
      </c>
      <c r="BY71" s="26">
        <f t="shared" si="339"/>
        <v>1380.4759999999999</v>
      </c>
      <c r="BZ71" s="26">
        <f t="shared" si="339"/>
        <v>1459.9789999999998</v>
      </c>
      <c r="CA71" s="26">
        <f t="shared" si="339"/>
        <v>1454.4379999999999</v>
      </c>
      <c r="CB71" s="26">
        <f>CB33+CB43+CB53+CB63</f>
        <v>2047.8309999999997</v>
      </c>
      <c r="CC71" s="26">
        <f>CC33+CC43+CC53+CC63</f>
        <v>1235.08</v>
      </c>
      <c r="CD71" s="26">
        <f>CD33+CD43+CD53+CD63</f>
        <v>1037.902</v>
      </c>
      <c r="CE71" s="26">
        <f>CE33+CE43+CE53+CE63</f>
        <v>952.30799505801292</v>
      </c>
      <c r="CF71" s="26">
        <f>CF33+CF43+CF53+CF63</f>
        <v>971.30801332733506</v>
      </c>
      <c r="CG71" s="597">
        <f t="shared" ref="CG71" si="340">CG33+CG43+CG53+CG63</f>
        <v>971.30801332733506</v>
      </c>
      <c r="CH71" s="721"/>
    </row>
    <row r="72" spans="2:86" ht="14.25" hidden="1" outlineLevel="1">
      <c r="B72" s="16" t="s">
        <v>23</v>
      </c>
      <c r="C72" s="17"/>
      <c r="D72" s="26">
        <f t="shared" ref="D72:AP72" si="341">D38+D48+D58+D68</f>
        <v>88.81</v>
      </c>
      <c r="E72" s="26">
        <f t="shared" si="341"/>
        <v>91.582000000000008</v>
      </c>
      <c r="F72" s="26">
        <f t="shared" si="341"/>
        <v>95.088999999999999</v>
      </c>
      <c r="G72" s="27">
        <f t="shared" si="341"/>
        <v>96.570000000000036</v>
      </c>
      <c r="H72" s="26">
        <f t="shared" si="341"/>
        <v>100.491</v>
      </c>
      <c r="I72" s="26">
        <f t="shared" si="341"/>
        <v>103.86199999999999</v>
      </c>
      <c r="J72" s="26">
        <f t="shared" si="341"/>
        <v>108.941</v>
      </c>
      <c r="K72" s="27">
        <f t="shared" si="341"/>
        <v>105.20799999999998</v>
      </c>
      <c r="L72" s="26">
        <f t="shared" si="341"/>
        <v>140.32000000000002</v>
      </c>
      <c r="M72" s="26">
        <f t="shared" si="341"/>
        <v>159.45800000000003</v>
      </c>
      <c r="N72" s="26">
        <f t="shared" si="341"/>
        <v>191.71499999999997</v>
      </c>
      <c r="O72" s="27">
        <f t="shared" si="341"/>
        <v>276.1930000000001</v>
      </c>
      <c r="P72" s="26">
        <f t="shared" si="341"/>
        <v>264.74299999999999</v>
      </c>
      <c r="Q72" s="26">
        <f t="shared" si="341"/>
        <v>268.31</v>
      </c>
      <c r="R72" s="26">
        <f t="shared" si="341"/>
        <v>280.13499999999999</v>
      </c>
      <c r="S72" s="27">
        <f t="shared" si="341"/>
        <v>310.25900000000001</v>
      </c>
      <c r="T72" s="26">
        <f t="shared" si="341"/>
        <v>255.36100000000002</v>
      </c>
      <c r="U72" s="26">
        <f t="shared" si="341"/>
        <v>278.66500000000002</v>
      </c>
      <c r="V72" s="26">
        <f t="shared" si="341"/>
        <v>266.46600000000001</v>
      </c>
      <c r="W72" s="27">
        <f t="shared" si="341"/>
        <v>235.06300000000005</v>
      </c>
      <c r="X72" s="26">
        <f t="shared" si="341"/>
        <v>234.85899999999998</v>
      </c>
      <c r="Y72" s="26">
        <f t="shared" si="341"/>
        <v>228.042</v>
      </c>
      <c r="Z72" s="26">
        <f t="shared" si="341"/>
        <v>231.06800000000001</v>
      </c>
      <c r="AA72" s="27">
        <f t="shared" si="341"/>
        <v>238.0380000000001</v>
      </c>
      <c r="AB72" s="26">
        <f t="shared" si="341"/>
        <v>255.39600000000002</v>
      </c>
      <c r="AC72" s="26">
        <f t="shared" si="341"/>
        <v>259.85700000000003</v>
      </c>
      <c r="AD72" s="26">
        <f t="shared" si="341"/>
        <v>259.76499999999999</v>
      </c>
      <c r="AE72" s="27">
        <f t="shared" ref="AE72:AJ72" si="342">AE38+AE48+AE58+AE68</f>
        <v>268.80399999999997</v>
      </c>
      <c r="AF72" s="26">
        <f t="shared" si="342"/>
        <v>279.06900000000002</v>
      </c>
      <c r="AG72" s="26">
        <f t="shared" si="342"/>
        <v>284.61899999999997</v>
      </c>
      <c r="AH72" s="26">
        <f t="shared" si="342"/>
        <v>299.541</v>
      </c>
      <c r="AI72" s="27">
        <f t="shared" si="342"/>
        <v>288.56599999999997</v>
      </c>
      <c r="AJ72" s="26">
        <f t="shared" si="342"/>
        <v>296.03000000000003</v>
      </c>
      <c r="AK72" s="26">
        <f>AK38+AK48+AK58+AK68</f>
        <v>297.84200000000004</v>
      </c>
      <c r="AL72" s="26">
        <f>AL38+AL48+AL58+AL68</f>
        <v>297.44500000000005</v>
      </c>
      <c r="AM72" s="27">
        <f>AM38+AM48+AM58+AM68</f>
        <v>314.63600000000002</v>
      </c>
      <c r="AN72" s="25">
        <f>AN38+AN48+AN58+AN68</f>
        <v>313.02500000000009</v>
      </c>
      <c r="AO72" s="26">
        <f>AO38+AO48+AO58+AO68</f>
        <v>319.56199999999995</v>
      </c>
      <c r="AP72" s="26">
        <f t="shared" si="341"/>
        <v>313.33800000000002</v>
      </c>
      <c r="AQ72" s="27">
        <f t="shared" ref="AQ72:AV72" si="343">AQ38+AQ48+AQ58+AQ68</f>
        <v>315.39299999999997</v>
      </c>
      <c r="AR72" s="25">
        <f t="shared" si="343"/>
        <v>329.536</v>
      </c>
      <c r="AS72" s="26">
        <f t="shared" si="343"/>
        <v>323.39400000000001</v>
      </c>
      <c r="AT72" s="26">
        <f t="shared" si="343"/>
        <v>318.83699999999999</v>
      </c>
      <c r="AU72" s="27">
        <f t="shared" si="343"/>
        <v>315.25</v>
      </c>
      <c r="AV72" s="25">
        <f t="shared" si="343"/>
        <v>306.74699999999996</v>
      </c>
      <c r="AW72" s="26">
        <f>AW38+AW48+AW58+AW68</f>
        <v>302.12099999999998</v>
      </c>
      <c r="AX72" s="26">
        <f t="shared" ref="AX72:AZ72" si="344">AX38+AX48+AX58+AX68</f>
        <v>248.21600000000001</v>
      </c>
      <c r="AY72" s="27">
        <f t="shared" si="344"/>
        <v>267.03500000000003</v>
      </c>
      <c r="AZ72" s="25">
        <f t="shared" si="344"/>
        <v>279.94</v>
      </c>
      <c r="BA72" s="26">
        <f>BA38+BA48+BA58+BA68</f>
        <v>261.75600000000003</v>
      </c>
      <c r="BB72" s="26">
        <f>BB38+BB48+BB58+BB68</f>
        <v>255.905</v>
      </c>
      <c r="BC72" s="27">
        <f t="shared" ref="BC72" si="345">BC38+BC48+BC58+BC68</f>
        <v>218.23099999999999</v>
      </c>
      <c r="BD72" s="25">
        <f>BD38+BD48+BD58+BD68</f>
        <v>223.922</v>
      </c>
      <c r="BE72" s="26">
        <f>BE38+BE48+BE58+BE68</f>
        <v>214.221</v>
      </c>
      <c r="BF72" s="26">
        <f>BF38+BF48+BF58+BF68</f>
        <v>204.501</v>
      </c>
      <c r="BG72" s="27">
        <f t="shared" ref="BG72" si="346">BG38+BG48+BG58+BG68</f>
        <v>217.63900000000001</v>
      </c>
      <c r="BH72" s="25">
        <f>BH38+BH48+BH68</f>
        <v>214.55074209999998</v>
      </c>
      <c r="BI72" s="26">
        <f>BI38+BI48+BI68</f>
        <v>216.99743213139999</v>
      </c>
      <c r="BJ72" s="26">
        <f t="shared" ref="BJ72:BK72" si="347">BJ38+BJ48+BJ68</f>
        <v>222.07836281114646</v>
      </c>
      <c r="BK72" s="26">
        <f t="shared" si="347"/>
        <v>219.82145801546648</v>
      </c>
      <c r="BL72" s="25">
        <f t="shared" ref="BL72:BO72" si="348">BL38+BL48+BL68</f>
        <v>208.82355438197231</v>
      </c>
      <c r="BM72" s="26">
        <f t="shared" si="348"/>
        <v>223.39174883668764</v>
      </c>
      <c r="BN72" s="26">
        <f t="shared" si="348"/>
        <v>231.57620567746255</v>
      </c>
      <c r="BO72" s="597">
        <f t="shared" si="348"/>
        <v>228.65650443121262</v>
      </c>
      <c r="BP72" s="347"/>
      <c r="BQ72" s="25">
        <f t="shared" ref="BQ72:CA72" si="349">BQ38+BQ48+BQ58+BQ68</f>
        <v>372.05100000000004</v>
      </c>
      <c r="BR72" s="26">
        <f t="shared" si="349"/>
        <v>418.50200000000001</v>
      </c>
      <c r="BS72" s="26">
        <f t="shared" si="349"/>
        <v>767.68600000000004</v>
      </c>
      <c r="BT72" s="26">
        <f t="shared" si="349"/>
        <v>1123.4469999999999</v>
      </c>
      <c r="BU72" s="26">
        <f t="shared" si="349"/>
        <v>1035.5550000000001</v>
      </c>
      <c r="BV72" s="26">
        <f t="shared" si="349"/>
        <v>932.00700000000018</v>
      </c>
      <c r="BW72" s="26">
        <f t="shared" si="349"/>
        <v>1043.8219999999999</v>
      </c>
      <c r="BX72" s="26">
        <f t="shared" si="349"/>
        <v>1151.7950000000001</v>
      </c>
      <c r="BY72" s="26">
        <f t="shared" si="349"/>
        <v>1205.9530000000002</v>
      </c>
      <c r="BZ72" s="26">
        <f t="shared" si="349"/>
        <v>1261.3179999999998</v>
      </c>
      <c r="CA72" s="26">
        <f t="shared" si="349"/>
        <v>1287.0170000000001</v>
      </c>
      <c r="CB72" s="26">
        <f t="shared" ref="CB72:CG72" si="350">CB38+CB48+CB58+CB68</f>
        <v>1124.1189999999997</v>
      </c>
      <c r="CC72" s="26">
        <f t="shared" si="350"/>
        <v>1015.8319999999998</v>
      </c>
      <c r="CD72" s="26">
        <f t="shared" si="350"/>
        <v>860.2829999999999</v>
      </c>
      <c r="CE72" s="26">
        <f t="shared" si="350"/>
        <v>873.44799505801302</v>
      </c>
      <c r="CF72" s="26">
        <f t="shared" si="350"/>
        <v>892.44801332733505</v>
      </c>
      <c r="CG72" s="597">
        <f t="shared" si="350"/>
        <v>892.44801332733505</v>
      </c>
      <c r="CH72" s="721"/>
    </row>
    <row r="73" spans="2:86" ht="14.25" hidden="1" outlineLevel="1">
      <c r="B73" s="16" t="s">
        <v>24</v>
      </c>
      <c r="C73" s="17"/>
      <c r="D73" s="26">
        <f t="shared" ref="D73:AU73" si="351">D40+D50+D60+D69</f>
        <v>88.81</v>
      </c>
      <c r="E73" s="26">
        <f t="shared" si="351"/>
        <v>91.582000000000008</v>
      </c>
      <c r="F73" s="26">
        <f t="shared" si="351"/>
        <v>95.088999999999999</v>
      </c>
      <c r="G73" s="27">
        <f t="shared" si="351"/>
        <v>96.570000000000036</v>
      </c>
      <c r="H73" s="26">
        <f t="shared" si="351"/>
        <v>109.54</v>
      </c>
      <c r="I73" s="26">
        <f t="shared" si="351"/>
        <v>131.69399999999999</v>
      </c>
      <c r="J73" s="26">
        <f t="shared" si="351"/>
        <v>118.00500000000001</v>
      </c>
      <c r="K73" s="27">
        <f t="shared" si="351"/>
        <v>175.26299999999998</v>
      </c>
      <c r="L73" s="26">
        <f t="shared" si="351"/>
        <v>186.648</v>
      </c>
      <c r="M73" s="26">
        <f t="shared" si="351"/>
        <v>211.601</v>
      </c>
      <c r="N73" s="26">
        <f t="shared" si="351"/>
        <v>231.24099999999999</v>
      </c>
      <c r="O73" s="27">
        <f t="shared" si="351"/>
        <v>318.97800000000007</v>
      </c>
      <c r="P73" s="26">
        <f t="shared" si="351"/>
        <v>308.51300000000003</v>
      </c>
      <c r="Q73" s="26">
        <f t="shared" si="351"/>
        <v>323.91099999999994</v>
      </c>
      <c r="R73" s="26">
        <f t="shared" si="351"/>
        <v>331.16500000000002</v>
      </c>
      <c r="S73" s="27">
        <f t="shared" si="351"/>
        <v>375.30799999999994</v>
      </c>
      <c r="T73" s="26">
        <f t="shared" si="351"/>
        <v>297.51400000000001</v>
      </c>
      <c r="U73" s="26">
        <f t="shared" si="351"/>
        <v>322.53699999999998</v>
      </c>
      <c r="V73" s="26">
        <f t="shared" si="351"/>
        <v>304.24900000000002</v>
      </c>
      <c r="W73" s="27">
        <f t="shared" si="351"/>
        <v>276.74300000000005</v>
      </c>
      <c r="X73" s="26">
        <f t="shared" si="351"/>
        <v>262.39099999999996</v>
      </c>
      <c r="Y73" s="26">
        <f t="shared" si="351"/>
        <v>256.24700000000001</v>
      </c>
      <c r="Z73" s="26">
        <f t="shared" si="351"/>
        <v>263.05599999999998</v>
      </c>
      <c r="AA73" s="27">
        <f t="shared" si="351"/>
        <v>266.22200000000009</v>
      </c>
      <c r="AB73" s="26">
        <f t="shared" si="351"/>
        <v>280.05599999999998</v>
      </c>
      <c r="AC73" s="26">
        <f t="shared" si="351"/>
        <v>288.85399999999998</v>
      </c>
      <c r="AD73" s="26">
        <f t="shared" si="351"/>
        <v>287.488</v>
      </c>
      <c r="AE73" s="27">
        <f t="shared" ref="AE73:AJ73" si="352">AE40+AE50+AE60+AE69</f>
        <v>298.30700000000002</v>
      </c>
      <c r="AF73" s="26">
        <f t="shared" si="352"/>
        <v>304.85400000000004</v>
      </c>
      <c r="AG73" s="26">
        <f t="shared" si="352"/>
        <v>313.05799999999999</v>
      </c>
      <c r="AH73" s="26">
        <f t="shared" si="352"/>
        <v>328.21199999999999</v>
      </c>
      <c r="AI73" s="27">
        <f t="shared" si="352"/>
        <v>318.53900000000004</v>
      </c>
      <c r="AJ73" s="26">
        <f t="shared" si="352"/>
        <v>321.09899999999999</v>
      </c>
      <c r="AK73" s="26">
        <f>AK40+AK50+AK60+AK69</f>
        <v>329.29500000000002</v>
      </c>
      <c r="AL73" s="26">
        <f>AL40+AL50+AL60+AL69</f>
        <v>325.875</v>
      </c>
      <c r="AM73" s="27">
        <f>AM40+AM50+AM60+AM69</f>
        <v>348.822</v>
      </c>
      <c r="AN73" s="25">
        <f>AN40+AN50+AN60+AN69</f>
        <v>344.67100000000005</v>
      </c>
      <c r="AO73" s="26">
        <f>AO40+AO50+AO60+AO69</f>
        <v>358.78499999999997</v>
      </c>
      <c r="AP73" s="26">
        <f t="shared" si="351"/>
        <v>354.00800000000004</v>
      </c>
      <c r="AQ73" s="27">
        <f>AQ40+AQ50+AQ60+AQ69</f>
        <v>350.86400000000003</v>
      </c>
      <c r="AR73" s="25">
        <f>AR40+AR50+AR60+AR69</f>
        <v>357.20599999999996</v>
      </c>
      <c r="AS73" s="26">
        <f>AS40+AS50+AS60+AS69</f>
        <v>356.68100000000004</v>
      </c>
      <c r="AT73" s="26">
        <f>AT40+AT50+AT60+AT69</f>
        <v>351.197</v>
      </c>
      <c r="AU73" s="27">
        <f t="shared" si="351"/>
        <v>351.20699999999999</v>
      </c>
      <c r="AV73" s="25">
        <f>AV40+AV50+AV60+AV69</f>
        <v>338.42099999999994</v>
      </c>
      <c r="AW73" s="26">
        <f t="shared" ref="AW73:AY73" si="353">AW40+AW50+AW60+AW69</f>
        <v>991.45</v>
      </c>
      <c r="AX73" s="26">
        <f t="shared" si="353"/>
        <v>312.45600000000002</v>
      </c>
      <c r="AY73" s="27">
        <f t="shared" si="353"/>
        <v>297.59300000000002</v>
      </c>
      <c r="AZ73" s="25">
        <f>AZ40+AZ50+AZ60+AZ69</f>
        <v>302.59099999999995</v>
      </c>
      <c r="BA73" s="26">
        <f t="shared" ref="BA73:BC73" si="354">BA40+BA50+BA60+BA69</f>
        <v>296.12</v>
      </c>
      <c r="BB73" s="26">
        <f t="shared" si="354"/>
        <v>281.94299999999998</v>
      </c>
      <c r="BC73" s="27">
        <f t="shared" si="354"/>
        <v>238.99499999999995</v>
      </c>
      <c r="BD73" s="25">
        <f>BD40+BD50+BD60+BD69</f>
        <v>246.36799999999999</v>
      </c>
      <c r="BE73" s="26">
        <f t="shared" ref="BE73:BG73" si="355">BE40+BE50+BE60+BE69</f>
        <v>238.06300000000002</v>
      </c>
      <c r="BF73" s="26">
        <f t="shared" si="355"/>
        <v>226.67699999999999</v>
      </c>
      <c r="BG73" s="27">
        <f t="shared" si="355"/>
        <v>308.53399999999999</v>
      </c>
      <c r="BH73" s="25">
        <f t="shared" ref="BH73:BK73" si="356">BH40+BH50+BH60+BH69</f>
        <v>234.26574209999998</v>
      </c>
      <c r="BI73" s="26">
        <f t="shared" si="356"/>
        <v>236.71243213139999</v>
      </c>
      <c r="BJ73" s="26">
        <f t="shared" si="356"/>
        <v>241.79336281114647</v>
      </c>
      <c r="BK73" s="26">
        <f t="shared" si="356"/>
        <v>239.53645801546645</v>
      </c>
      <c r="BL73" s="25">
        <f t="shared" ref="BL73:BO73" si="357">BL40+BL50+BL60+BL69</f>
        <v>228.53855438197229</v>
      </c>
      <c r="BM73" s="26">
        <f t="shared" si="357"/>
        <v>243.10674883668764</v>
      </c>
      <c r="BN73" s="26">
        <f t="shared" si="357"/>
        <v>251.29120567746256</v>
      </c>
      <c r="BO73" s="597">
        <f t="shared" si="357"/>
        <v>248.3715044312126</v>
      </c>
      <c r="BP73" s="347"/>
      <c r="BQ73" s="25">
        <f t="shared" ref="BQ73:CA73" si="358">BQ40+BQ50+BQ60+BQ69</f>
        <v>372.05100000000004</v>
      </c>
      <c r="BR73" s="26">
        <f t="shared" si="358"/>
        <v>534.50200000000007</v>
      </c>
      <c r="BS73" s="26">
        <f t="shared" si="358"/>
        <v>948.46800000000007</v>
      </c>
      <c r="BT73" s="26">
        <f t="shared" si="358"/>
        <v>1338.8969999999999</v>
      </c>
      <c r="BU73" s="26">
        <f t="shared" si="358"/>
        <v>1201.0430000000001</v>
      </c>
      <c r="BV73" s="26">
        <f t="shared" si="358"/>
        <v>1047.9160000000002</v>
      </c>
      <c r="BW73" s="26">
        <f t="shared" si="358"/>
        <v>1154.7049999999999</v>
      </c>
      <c r="BX73" s="26">
        <f t="shared" si="358"/>
        <v>1264.663</v>
      </c>
      <c r="BY73" s="26">
        <f t="shared" si="358"/>
        <v>1325.0910000000001</v>
      </c>
      <c r="BZ73" s="26">
        <f t="shared" si="358"/>
        <v>1408.3279999999997</v>
      </c>
      <c r="CA73" s="26">
        <f t="shared" si="358"/>
        <v>1416.2909999999999</v>
      </c>
      <c r="CB73" s="26">
        <f>CB40+CB50+CB60+CB69</f>
        <v>1939.92</v>
      </c>
      <c r="CC73" s="26">
        <f>CC40+CC50+CC60+CC69</f>
        <v>1119.6489999999999</v>
      </c>
      <c r="CD73" s="26">
        <f>CD40+CD50+CD60+CD69</f>
        <v>1019.6419999999999</v>
      </c>
      <c r="CE73" s="26">
        <f>CE40+CE50+CE60+CE69</f>
        <v>952.30799505801292</v>
      </c>
      <c r="CF73" s="26">
        <f>CF40+CF50+CF60+CF69</f>
        <v>971.30801332733506</v>
      </c>
      <c r="CG73" s="597">
        <f t="shared" ref="CG73" si="359">CG40+CG50+CG60+CG69</f>
        <v>971.30801332733506</v>
      </c>
      <c r="CH73" s="336"/>
    </row>
    <row r="74" spans="2:86" ht="14.25" hidden="1" outlineLevel="1">
      <c r="B74" s="16"/>
      <c r="C74" s="17"/>
      <c r="D74" s="35"/>
      <c r="E74" s="36"/>
      <c r="F74" s="36"/>
      <c r="G74" s="37"/>
      <c r="H74" s="35"/>
      <c r="I74" s="36"/>
      <c r="J74" s="36"/>
      <c r="K74" s="37"/>
      <c r="L74" s="35"/>
      <c r="M74" s="36"/>
      <c r="N74" s="36"/>
      <c r="O74" s="37"/>
      <c r="P74" s="35"/>
      <c r="Q74" s="36"/>
      <c r="R74" s="36"/>
      <c r="S74" s="37"/>
      <c r="T74" s="35"/>
      <c r="U74" s="36"/>
      <c r="V74" s="36"/>
      <c r="W74" s="37"/>
      <c r="X74" s="35"/>
      <c r="Y74" s="36"/>
      <c r="Z74" s="36"/>
      <c r="AA74" s="37"/>
      <c r="AB74" s="35"/>
      <c r="AC74" s="36"/>
      <c r="AD74" s="36"/>
      <c r="AE74" s="37"/>
      <c r="AF74" s="35"/>
      <c r="AG74" s="36"/>
      <c r="AH74" s="36"/>
      <c r="AI74" s="37"/>
      <c r="AJ74" s="35"/>
      <c r="AK74" s="36"/>
      <c r="AL74" s="36"/>
      <c r="AM74" s="37"/>
      <c r="AN74" s="35"/>
      <c r="AO74" s="36"/>
      <c r="AP74" s="36"/>
      <c r="AQ74" s="37"/>
      <c r="AR74" s="35"/>
      <c r="AS74" s="36"/>
      <c r="AT74" s="36"/>
      <c r="AU74" s="37"/>
      <c r="AV74" s="35"/>
      <c r="AW74" s="36"/>
      <c r="AX74" s="36"/>
      <c r="AY74" s="37"/>
      <c r="AZ74" s="35"/>
      <c r="BA74" s="36"/>
      <c r="BB74" s="36"/>
      <c r="BC74" s="37"/>
      <c r="BD74" s="35"/>
      <c r="BE74" s="36"/>
      <c r="BF74" s="36"/>
      <c r="BG74" s="37"/>
      <c r="BH74" s="35"/>
      <c r="BI74" s="36"/>
      <c r="BJ74" s="36"/>
      <c r="BK74" s="36"/>
      <c r="BL74" s="35"/>
      <c r="BM74" s="36"/>
      <c r="BN74" s="36"/>
      <c r="BO74" s="599"/>
      <c r="BP74" s="347"/>
      <c r="BQ74" s="35"/>
      <c r="BR74" s="338"/>
      <c r="BS74" s="338"/>
      <c r="BT74" s="338"/>
      <c r="BU74" s="338"/>
      <c r="BV74" s="338"/>
      <c r="BW74" s="338"/>
      <c r="BX74" s="338"/>
      <c r="BY74" s="338"/>
      <c r="BZ74" s="338"/>
      <c r="CA74" s="338"/>
      <c r="CB74" s="338"/>
      <c r="CC74" s="338"/>
      <c r="CD74" s="338"/>
      <c r="CE74" s="338"/>
      <c r="CF74" s="338"/>
      <c r="CG74" s="599"/>
      <c r="CH74" s="336"/>
    </row>
    <row r="75" spans="2:86" ht="15" collapsed="1">
      <c r="B75" s="39" t="s">
        <v>25</v>
      </c>
      <c r="C75" s="40"/>
      <c r="D75" s="41">
        <f t="shared" ref="D75:AU75" si="360">D26-D71</f>
        <v>18.284999999999982</v>
      </c>
      <c r="E75" s="42">
        <f t="shared" si="360"/>
        <v>33.635999999999996</v>
      </c>
      <c r="F75" s="42">
        <f t="shared" si="360"/>
        <v>49.225000000000037</v>
      </c>
      <c r="G75" s="43">
        <f t="shared" si="360"/>
        <v>60.700999999999837</v>
      </c>
      <c r="H75" s="41">
        <f t="shared" si="360"/>
        <v>59.685999999999979</v>
      </c>
      <c r="I75" s="42">
        <f t="shared" si="360"/>
        <v>53.556000000000012</v>
      </c>
      <c r="J75" s="42">
        <f t="shared" si="360"/>
        <v>90.694999999999993</v>
      </c>
      <c r="K75" s="43">
        <f t="shared" si="360"/>
        <v>52.545000000000101</v>
      </c>
      <c r="L75" s="41">
        <f t="shared" si="360"/>
        <v>76.964000000000027</v>
      </c>
      <c r="M75" s="42">
        <f t="shared" si="360"/>
        <v>55.904000000000025</v>
      </c>
      <c r="N75" s="42">
        <f t="shared" si="360"/>
        <v>5.6620000000000914</v>
      </c>
      <c r="O75" s="43">
        <f t="shared" si="360"/>
        <v>-137.47300000000047</v>
      </c>
      <c r="P75" s="41">
        <f t="shared" si="360"/>
        <v>-38.200000000000045</v>
      </c>
      <c r="Q75" s="42">
        <f t="shared" si="360"/>
        <v>-40.022999999999911</v>
      </c>
      <c r="R75" s="42">
        <f t="shared" si="360"/>
        <v>-6.4390000000000214</v>
      </c>
      <c r="S75" s="43">
        <f t="shared" si="360"/>
        <v>-20.927999999999827</v>
      </c>
      <c r="T75" s="41">
        <f t="shared" si="360"/>
        <v>82.472000000000037</v>
      </c>
      <c r="U75" s="42">
        <f t="shared" si="360"/>
        <v>79.137000000000057</v>
      </c>
      <c r="V75" s="42">
        <f t="shared" si="360"/>
        <v>72.846000000000004</v>
      </c>
      <c r="W75" s="43">
        <f t="shared" si="360"/>
        <v>-69.279000000000394</v>
      </c>
      <c r="X75" s="41">
        <f t="shared" si="360"/>
        <v>-109.279</v>
      </c>
      <c r="Y75" s="42">
        <f t="shared" si="360"/>
        <v>67.548999999999921</v>
      </c>
      <c r="Z75" s="42">
        <f t="shared" si="360"/>
        <v>170.05599999999993</v>
      </c>
      <c r="AA75" s="43">
        <f t="shared" si="360"/>
        <v>205.78899999999987</v>
      </c>
      <c r="AB75" s="41">
        <f t="shared" si="360"/>
        <v>208.40299999999996</v>
      </c>
      <c r="AC75" s="42">
        <f t="shared" si="360"/>
        <v>218.06400000000002</v>
      </c>
      <c r="AD75" s="42">
        <f t="shared" si="360"/>
        <v>259.00200000000001</v>
      </c>
      <c r="AE75" s="43">
        <f t="shared" ref="AE75:AJ75" si="361">AE26-AE71</f>
        <v>215.72300000000001</v>
      </c>
      <c r="AF75" s="41">
        <f t="shared" si="361"/>
        <v>148.113</v>
      </c>
      <c r="AG75" s="42">
        <f t="shared" si="361"/>
        <v>194.64000000000004</v>
      </c>
      <c r="AH75" s="42">
        <f t="shared" si="361"/>
        <v>191.38600000000002</v>
      </c>
      <c r="AI75" s="43">
        <f t="shared" si="361"/>
        <v>70.006999999999948</v>
      </c>
      <c r="AJ75" s="41">
        <f t="shared" si="361"/>
        <v>93.932999999999993</v>
      </c>
      <c r="AK75" s="42">
        <f>AK26-AK71</f>
        <v>90.314999999999998</v>
      </c>
      <c r="AL75" s="42">
        <f>AL26-AL71</f>
        <v>66.796999999999969</v>
      </c>
      <c r="AM75" s="43">
        <f>AM26-AM71</f>
        <v>43.61199999999991</v>
      </c>
      <c r="AN75" s="41">
        <f>AN26-AN71</f>
        <v>42.881000000000085</v>
      </c>
      <c r="AO75" s="42">
        <f>AO26-AO71</f>
        <v>51.977000000000032</v>
      </c>
      <c r="AP75" s="42">
        <f t="shared" si="360"/>
        <v>95.224000000000046</v>
      </c>
      <c r="AQ75" s="43">
        <f>AQ26-AQ71</f>
        <v>90.609000000000037</v>
      </c>
      <c r="AR75" s="41">
        <f>AR26-AR71</f>
        <v>92.987000000000023</v>
      </c>
      <c r="AS75" s="42">
        <f>AS26-AS71</f>
        <v>120.45399999999995</v>
      </c>
      <c r="AT75" s="42">
        <f>AT26-AT71</f>
        <v>115.53999999999996</v>
      </c>
      <c r="AU75" s="43">
        <f t="shared" si="360"/>
        <v>79.837999999999965</v>
      </c>
      <c r="AV75" s="41">
        <f>AV26-AV71</f>
        <v>13.252000000000066</v>
      </c>
      <c r="AW75" s="42">
        <f t="shared" ref="AW75:AY75" si="362">AW26-AW71</f>
        <v>-773.18700000000013</v>
      </c>
      <c r="AX75" s="42">
        <f t="shared" si="362"/>
        <v>-59.074000000000069</v>
      </c>
      <c r="AY75" s="43">
        <f t="shared" si="362"/>
        <v>2.2699999999999818</v>
      </c>
      <c r="AZ75" s="41">
        <f>AZ26-AZ71</f>
        <v>-29.121999999999957</v>
      </c>
      <c r="BA75" s="42">
        <f t="shared" ref="BA75:BC75" si="363">BA26-BA71</f>
        <v>39.505999999999972</v>
      </c>
      <c r="BB75" s="42">
        <f t="shared" si="363"/>
        <v>82.953000000000088</v>
      </c>
      <c r="BC75" s="43">
        <f t="shared" si="363"/>
        <v>-12.133000000000095</v>
      </c>
      <c r="BD75" s="41">
        <f>BD26-BD71</f>
        <v>98.887999999999977</v>
      </c>
      <c r="BE75" s="42">
        <f t="shared" ref="BE75:BG75" si="364">BE26-BE71</f>
        <v>124.363</v>
      </c>
      <c r="BF75" s="42">
        <f t="shared" si="364"/>
        <v>149.89600000000002</v>
      </c>
      <c r="BG75" s="43">
        <f t="shared" si="364"/>
        <v>54.010999999999967</v>
      </c>
      <c r="BH75" s="41">
        <f t="shared" ref="BH75:BK75" si="365">BH26-BH71</f>
        <v>139.95876387000001</v>
      </c>
      <c r="BI75" s="42">
        <f t="shared" si="365"/>
        <v>150.88868383244997</v>
      </c>
      <c r="BJ75" s="42">
        <f t="shared" si="365"/>
        <v>158.85632543529144</v>
      </c>
      <c r="BK75" s="42">
        <f t="shared" si="365"/>
        <v>158.95361264087018</v>
      </c>
      <c r="BL75" s="41">
        <f t="shared" ref="BL75:BO75" si="366">BL26-BL71</f>
        <v>149.67034737956607</v>
      </c>
      <c r="BM75" s="42">
        <f t="shared" si="366"/>
        <v>160.16444629240578</v>
      </c>
      <c r="BN75" s="42">
        <f t="shared" si="366"/>
        <v>166.54201474310244</v>
      </c>
      <c r="BO75" s="601">
        <f t="shared" si="366"/>
        <v>165.58100295414152</v>
      </c>
      <c r="BP75" s="347"/>
      <c r="BQ75" s="41">
        <f t="shared" ref="BQ75:CA75" si="367">BQ26-BQ71</f>
        <v>161.84699999999992</v>
      </c>
      <c r="BR75" s="42">
        <f t="shared" si="367"/>
        <v>256.48199999999997</v>
      </c>
      <c r="BS75" s="42">
        <f t="shared" si="367"/>
        <v>1.056999999999789</v>
      </c>
      <c r="BT75" s="42">
        <f t="shared" si="367"/>
        <v>-105.58999999999946</v>
      </c>
      <c r="BU75" s="42">
        <f t="shared" si="367"/>
        <v>165.17599999999948</v>
      </c>
      <c r="BV75" s="42">
        <f t="shared" si="367"/>
        <v>334.11499999999955</v>
      </c>
      <c r="BW75" s="42">
        <f t="shared" si="367"/>
        <v>901.19200000000023</v>
      </c>
      <c r="BX75" s="42">
        <f t="shared" si="367"/>
        <v>604.14599999999996</v>
      </c>
      <c r="BY75" s="42">
        <f t="shared" si="367"/>
        <v>294.6569999999997</v>
      </c>
      <c r="BZ75" s="42">
        <f t="shared" si="367"/>
        <v>280.69100000000071</v>
      </c>
      <c r="CA75" s="42">
        <f t="shared" si="367"/>
        <v>408.81899999999973</v>
      </c>
      <c r="CB75" s="42">
        <f>CB26-CB71</f>
        <v>-816.73900000000003</v>
      </c>
      <c r="CC75" s="42">
        <f>CC26-CC71</f>
        <v>81.204000000000406</v>
      </c>
      <c r="CD75" s="42">
        <f>CD26-CD71</f>
        <v>427.1579999999999</v>
      </c>
      <c r="CE75" s="42">
        <f>CE26-CE71</f>
        <v>608.6573857786118</v>
      </c>
      <c r="CF75" s="42">
        <f>CF26-CF71</f>
        <v>641.95781136921607</v>
      </c>
      <c r="CG75" s="601">
        <f t="shared" ref="CG75" si="368">CG26-CG71</f>
        <v>649.57591343452862</v>
      </c>
      <c r="CH75" s="336"/>
    </row>
    <row r="76" spans="2:86" ht="14.25">
      <c r="B76" s="28" t="s">
        <v>90</v>
      </c>
      <c r="C76" s="29"/>
      <c r="D76" s="38">
        <f t="shared" ref="D76:AU76" si="369">D75/D10</f>
        <v>6.7828486851623029E-2</v>
      </c>
      <c r="E76" s="31">
        <f t="shared" si="369"/>
        <v>0.11319383215437112</v>
      </c>
      <c r="F76" s="31">
        <f t="shared" si="369"/>
        <v>0.15499885069414934</v>
      </c>
      <c r="G76" s="32">
        <f t="shared" si="369"/>
        <v>0.17839278681972298</v>
      </c>
      <c r="H76" s="38">
        <f t="shared" si="369"/>
        <v>0.16362639471447757</v>
      </c>
      <c r="I76" s="31">
        <f t="shared" si="369"/>
        <v>0.13716340465202048</v>
      </c>
      <c r="J76" s="31">
        <f t="shared" si="369"/>
        <v>0.2128860679864609</v>
      </c>
      <c r="K76" s="32">
        <f t="shared" si="369"/>
        <v>0.10745047196819756</v>
      </c>
      <c r="L76" s="38">
        <f t="shared" si="369"/>
        <v>0.14766805577939973</v>
      </c>
      <c r="M76" s="31">
        <f t="shared" si="369"/>
        <v>9.7396273421779353E-2</v>
      </c>
      <c r="N76" s="31">
        <f t="shared" si="369"/>
        <v>1.0880134051245568E-2</v>
      </c>
      <c r="O76" s="32">
        <f t="shared" si="369"/>
        <v>-0.22102692395502152</v>
      </c>
      <c r="P76" s="38">
        <f t="shared" si="369"/>
        <v>-6.0152743878434847E-2</v>
      </c>
      <c r="Q76" s="31">
        <f t="shared" si="369"/>
        <v>-6.0944616429449046E-2</v>
      </c>
      <c r="R76" s="31">
        <f t="shared" si="369"/>
        <v>-8.4919669869673187E-3</v>
      </c>
      <c r="S76" s="32">
        <f t="shared" si="369"/>
        <v>-2.4776070634531439E-2</v>
      </c>
      <c r="T76" s="38">
        <f t="shared" si="369"/>
        <v>0.10256754655971151</v>
      </c>
      <c r="U76" s="31">
        <f t="shared" si="369"/>
        <v>9.3922796190250193E-2</v>
      </c>
      <c r="V76" s="31">
        <f t="shared" si="369"/>
        <v>9.2088197146562897E-2</v>
      </c>
      <c r="W76" s="32">
        <f t="shared" si="369"/>
        <v>-0.13508180483439261</v>
      </c>
      <c r="X76" s="38">
        <f t="shared" si="369"/>
        <v>-0.2095739825174423</v>
      </c>
      <c r="Y76" s="31">
        <f t="shared" si="369"/>
        <v>0.10544316443445399</v>
      </c>
      <c r="Z76" s="31">
        <f t="shared" si="369"/>
        <v>0.21174999813223286</v>
      </c>
      <c r="AA76" s="32">
        <f t="shared" si="369"/>
        <v>0.24424979377711298</v>
      </c>
      <c r="AB76" s="38">
        <f t="shared" si="369"/>
        <v>0.24358124731906694</v>
      </c>
      <c r="AC76" s="31">
        <f t="shared" si="369"/>
        <v>0.24324631835390653</v>
      </c>
      <c r="AD76" s="31">
        <f t="shared" si="369"/>
        <v>0.26998301934585395</v>
      </c>
      <c r="AE76" s="32">
        <f t="shared" si="369"/>
        <v>0.23955567548719453</v>
      </c>
      <c r="AF76" s="38">
        <f t="shared" si="369"/>
        <v>0.18458702745008113</v>
      </c>
      <c r="AG76" s="31">
        <f t="shared" si="369"/>
        <v>0.2168642481504591</v>
      </c>
      <c r="AH76" s="31">
        <f t="shared" si="369"/>
        <v>0.20137055629265893</v>
      </c>
      <c r="AI76" s="32">
        <f t="shared" si="369"/>
        <v>9.4260005035673777E-2</v>
      </c>
      <c r="AJ76" s="38">
        <f t="shared" si="369"/>
        <v>0.11795426890906145</v>
      </c>
      <c r="AK76" s="31">
        <f t="shared" si="369"/>
        <v>0.11066604256320273</v>
      </c>
      <c r="AL76" s="31">
        <f t="shared" si="369"/>
        <v>8.5540562518488697E-2</v>
      </c>
      <c r="AM76" s="32">
        <f t="shared" si="369"/>
        <v>5.6252208839485292E-2</v>
      </c>
      <c r="AN76" s="38">
        <f t="shared" si="369"/>
        <v>5.8391626008178564E-2</v>
      </c>
      <c r="AO76" s="31">
        <f t="shared" si="369"/>
        <v>6.4403213655558011E-2</v>
      </c>
      <c r="AP76" s="31">
        <f t="shared" si="369"/>
        <v>0.1022565950692958</v>
      </c>
      <c r="AQ76" s="32">
        <f>AQ75/AQ10</f>
        <v>9.7246146762701158E-2</v>
      </c>
      <c r="AR76" s="38">
        <f t="shared" si="369"/>
        <v>9.7080901621373339E-2</v>
      </c>
      <c r="AS76" s="31">
        <f>AS75/AS10</f>
        <v>0.12527130815510451</v>
      </c>
      <c r="AT76" s="31">
        <f>AT75/AT10</f>
        <v>0.1242183938692836</v>
      </c>
      <c r="AU76" s="32">
        <f t="shared" si="369"/>
        <v>9.3110751388998991E-2</v>
      </c>
      <c r="AV76" s="38">
        <f>AV75/AV10</f>
        <v>1.8296589202085451E-2</v>
      </c>
      <c r="AW76" s="31">
        <f t="shared" ref="AW76:AY76" si="370">AW75/AW10</f>
        <v>-1.0882416691532066</v>
      </c>
      <c r="AX76" s="31">
        <f t="shared" si="370"/>
        <v>-8.7531301397264838E-2</v>
      </c>
      <c r="AY76" s="32">
        <f t="shared" si="370"/>
        <v>3.684119982212325E-3</v>
      </c>
      <c r="AZ76" s="38">
        <f>AZ75/AZ10</f>
        <v>-5.3847661522645078E-2</v>
      </c>
      <c r="BA76" s="31">
        <f t="shared" ref="BA76:BC76" si="371">BA75/BA10</f>
        <v>6.3067924215043286E-2</v>
      </c>
      <c r="BB76" s="492">
        <f t="shared" si="371"/>
        <v>0.12675765790269899</v>
      </c>
      <c r="BC76" s="32">
        <f t="shared" si="371"/>
        <v>-2.1233811690584695E-2</v>
      </c>
      <c r="BD76" s="38">
        <f>BD75/BD10</f>
        <v>0.17073793984598915</v>
      </c>
      <c r="BE76" s="492">
        <f t="shared" ref="BE76:BG76" si="372">BE75/BE10</f>
        <v>0.20564365440264573</v>
      </c>
      <c r="BF76" s="562">
        <f t="shared" si="372"/>
        <v>0.24321842213719899</v>
      </c>
      <c r="BG76" s="563">
        <f t="shared" si="372"/>
        <v>8.7764397335755515E-2</v>
      </c>
      <c r="BH76" s="566">
        <f t="shared" ref="BH76:BK76" si="373">BH75/BH10</f>
        <v>0.23300000000000004</v>
      </c>
      <c r="BI76" s="562">
        <f t="shared" si="373"/>
        <v>0.24349999999999994</v>
      </c>
      <c r="BJ76" s="562">
        <f t="shared" si="373"/>
        <v>0.24899999999999992</v>
      </c>
      <c r="BK76" s="562">
        <f t="shared" si="373"/>
        <v>0.25149999999999989</v>
      </c>
      <c r="BL76" s="566">
        <f t="shared" ref="BL76:BO76" si="374">BL75/BL10</f>
        <v>0.25049999999999978</v>
      </c>
      <c r="BM76" s="562">
        <f t="shared" si="374"/>
        <v>0.25199999999999972</v>
      </c>
      <c r="BN76" s="562">
        <f t="shared" si="374"/>
        <v>0.25349999999999967</v>
      </c>
      <c r="BO76" s="598">
        <f t="shared" si="374"/>
        <v>0.25499999999999967</v>
      </c>
      <c r="BP76" s="347"/>
      <c r="BQ76" s="566">
        <f t="shared" ref="BQ76:CA76" si="375">BQ75/BQ10</f>
        <v>0.13216531382188174</v>
      </c>
      <c r="BR76" s="562">
        <f t="shared" si="375"/>
        <v>0.15355757705658857</v>
      </c>
      <c r="BS76" s="562">
        <f t="shared" si="375"/>
        <v>4.7239104503883888E-4</v>
      </c>
      <c r="BT76" s="562">
        <f t="shared" si="375"/>
        <v>-3.6477097916773712E-2</v>
      </c>
      <c r="BU76" s="562">
        <f t="shared" si="375"/>
        <v>5.5981180540798314E-2</v>
      </c>
      <c r="BV76" s="562">
        <f t="shared" si="375"/>
        <v>0.11900008797276888</v>
      </c>
      <c r="BW76" s="562">
        <f t="shared" si="375"/>
        <v>0.24950683755028186</v>
      </c>
      <c r="BX76" s="562">
        <f t="shared" si="375"/>
        <v>0.17805448801075141</v>
      </c>
      <c r="BY76" s="562">
        <f t="shared" si="375"/>
        <v>9.2991923954516539E-2</v>
      </c>
      <c r="BZ76" s="562">
        <f t="shared" si="375"/>
        <v>8.2449477147221437E-2</v>
      </c>
      <c r="CA76" s="562">
        <f t="shared" si="375"/>
        <v>0.11028407890772035</v>
      </c>
      <c r="CB76" s="562">
        <f>CB75/CB10</f>
        <v>-0.29962969050138161</v>
      </c>
      <c r="CC76" s="562">
        <f>CC75/CC10</f>
        <v>3.3933293439998027E-2</v>
      </c>
      <c r="CD76" s="562">
        <f>CD75/CD10</f>
        <v>0.17683008360927799</v>
      </c>
      <c r="CE76" s="562">
        <f>CE75/CE10</f>
        <v>0.2444066602460481</v>
      </c>
      <c r="CF76" s="562">
        <f>CF75/CF10</f>
        <v>0.25280226198028294</v>
      </c>
      <c r="CG76" s="598">
        <f t="shared" ref="CG76" si="376">CG75/CG10</f>
        <v>0.255802261980283</v>
      </c>
      <c r="CH76" s="336"/>
    </row>
    <row r="77" spans="2:86" ht="15">
      <c r="B77" s="39" t="s">
        <v>26</v>
      </c>
      <c r="C77" s="40"/>
      <c r="D77" s="41">
        <f t="shared" ref="D77:AU77" si="377">D28-D72</f>
        <v>52.930999999999983</v>
      </c>
      <c r="E77" s="42">
        <f t="shared" si="377"/>
        <v>64.666999999999987</v>
      </c>
      <c r="F77" s="42">
        <f t="shared" si="377"/>
        <v>72.234000000000037</v>
      </c>
      <c r="G77" s="43">
        <f t="shared" si="377"/>
        <v>80.939999999999841</v>
      </c>
      <c r="H77" s="41">
        <f t="shared" si="377"/>
        <v>89.034999999999982</v>
      </c>
      <c r="I77" s="42">
        <f t="shared" si="377"/>
        <v>102.94600000000003</v>
      </c>
      <c r="J77" s="42">
        <f t="shared" si="377"/>
        <v>120.00799999999998</v>
      </c>
      <c r="K77" s="43">
        <f t="shared" si="377"/>
        <v>163.14300000000014</v>
      </c>
      <c r="L77" s="41">
        <f t="shared" si="377"/>
        <v>143.07700000000003</v>
      </c>
      <c r="M77" s="42">
        <f t="shared" si="377"/>
        <v>138.91300000000001</v>
      </c>
      <c r="N77" s="42">
        <f t="shared" si="377"/>
        <v>75.195000000000107</v>
      </c>
      <c r="O77" s="43">
        <f t="shared" si="377"/>
        <v>23.779999999999461</v>
      </c>
      <c r="P77" s="41">
        <f t="shared" si="377"/>
        <v>45.907999999999959</v>
      </c>
      <c r="Q77" s="42">
        <f t="shared" si="377"/>
        <v>56.146000000000015</v>
      </c>
      <c r="R77" s="42">
        <f t="shared" si="377"/>
        <v>86.228000000000009</v>
      </c>
      <c r="S77" s="43">
        <f t="shared" si="377"/>
        <v>100.69800000000015</v>
      </c>
      <c r="T77" s="41">
        <f t="shared" si="377"/>
        <v>162.94500000000002</v>
      </c>
      <c r="U77" s="42">
        <f t="shared" si="377"/>
        <v>161.75200000000001</v>
      </c>
      <c r="V77" s="42">
        <f t="shared" si="377"/>
        <v>147.23800000000006</v>
      </c>
      <c r="W77" s="43">
        <f t="shared" si="377"/>
        <v>28.092999999999563</v>
      </c>
      <c r="X77" s="41">
        <f t="shared" si="377"/>
        <v>34.050999999999988</v>
      </c>
      <c r="Y77" s="42">
        <f t="shared" si="377"/>
        <v>126.32899999999998</v>
      </c>
      <c r="Z77" s="42">
        <f t="shared" si="377"/>
        <v>232.80199999999994</v>
      </c>
      <c r="AA77" s="43">
        <f t="shared" si="377"/>
        <v>267.08199999999988</v>
      </c>
      <c r="AB77" s="41">
        <f t="shared" si="377"/>
        <v>262.80699999999996</v>
      </c>
      <c r="AC77" s="42">
        <f t="shared" si="377"/>
        <v>271.62700000000001</v>
      </c>
      <c r="AD77" s="42">
        <f t="shared" si="377"/>
        <v>310.572</v>
      </c>
      <c r="AE77" s="43">
        <f t="shared" ref="AE77:AJ77" si="378">AE28-AE72</f>
        <v>265.74800000000016</v>
      </c>
      <c r="AF77" s="41">
        <f t="shared" si="378"/>
        <v>190.553</v>
      </c>
      <c r="AG77" s="42">
        <f t="shared" si="378"/>
        <v>236.7</v>
      </c>
      <c r="AH77" s="42">
        <f t="shared" si="378"/>
        <v>240.71600000000007</v>
      </c>
      <c r="AI77" s="43">
        <f t="shared" si="378"/>
        <v>115.92300000000006</v>
      </c>
      <c r="AJ77" s="41">
        <f t="shared" si="378"/>
        <v>138.05099999999993</v>
      </c>
      <c r="AK77" s="42">
        <f>AK28-AK72</f>
        <v>139.25199999999995</v>
      </c>
      <c r="AL77" s="42">
        <f>AL28-AL72</f>
        <v>110.87699999999995</v>
      </c>
      <c r="AM77" s="43">
        <f>AM28-AM72</f>
        <v>97.822999999999922</v>
      </c>
      <c r="AN77" s="41">
        <f>AN28-AN72</f>
        <v>87.772999999999968</v>
      </c>
      <c r="AO77" s="42">
        <f>AO28-AO72</f>
        <v>108.03100000000006</v>
      </c>
      <c r="AP77" s="42">
        <f t="shared" si="377"/>
        <v>155.43799999999999</v>
      </c>
      <c r="AQ77" s="43">
        <f>AQ28-AQ72</f>
        <v>141.92900000000009</v>
      </c>
      <c r="AR77" s="41">
        <f>AR28-AR72</f>
        <v>137.65800000000002</v>
      </c>
      <c r="AS77" s="42">
        <f>AS28-AS72</f>
        <v>163.06799999999998</v>
      </c>
      <c r="AT77" s="42">
        <f>AT28-AT72</f>
        <v>155.18600000000004</v>
      </c>
      <c r="AU77" s="43">
        <f t="shared" si="377"/>
        <v>129.00200000000001</v>
      </c>
      <c r="AV77" s="41">
        <f>AV28-AV72</f>
        <v>67.160000000000082</v>
      </c>
      <c r="AW77" s="42">
        <f>AW28-AW72</f>
        <v>30.831999999999994</v>
      </c>
      <c r="AX77" s="42">
        <f t="shared" ref="AX77:AY77" si="379">AX28-AX72</f>
        <v>61.842999999999961</v>
      </c>
      <c r="AY77" s="43">
        <f t="shared" si="379"/>
        <v>52.576999999999941</v>
      </c>
      <c r="AZ77" s="41">
        <f>AZ28-AZ72</f>
        <v>3.95900000000006</v>
      </c>
      <c r="BA77" s="42">
        <f>BA28-BA72</f>
        <v>80.356999999999971</v>
      </c>
      <c r="BB77" s="42">
        <f t="shared" ref="BB77:BC77" si="380">BB28-BB72</f>
        <v>115.16400000000007</v>
      </c>
      <c r="BC77" s="43">
        <f t="shared" si="380"/>
        <v>110.92699999999996</v>
      </c>
      <c r="BD77" s="41">
        <f>BD28-BD72</f>
        <v>126.13499999999991</v>
      </c>
      <c r="BE77" s="42">
        <f>BE28-BE72</f>
        <v>155.767</v>
      </c>
      <c r="BF77" s="42">
        <f t="shared" ref="BF77:BG77" si="381">BF28-BF72</f>
        <v>175.01500000000007</v>
      </c>
      <c r="BG77" s="43">
        <f t="shared" si="381"/>
        <v>165.505</v>
      </c>
      <c r="BH77" s="41">
        <f t="shared" ref="BH77:BK77" si="382">BH28-BH72</f>
        <v>161.35238386999998</v>
      </c>
      <c r="BI77" s="42">
        <f t="shared" si="382"/>
        <v>172.29909003245001</v>
      </c>
      <c r="BJ77" s="42">
        <f t="shared" si="382"/>
        <v>180.2836856972915</v>
      </c>
      <c r="BK77" s="42">
        <f t="shared" si="382"/>
        <v>180.39809650549017</v>
      </c>
      <c r="BL77" s="41">
        <f t="shared" ref="BL77:BO77" si="383">BL28-BL72</f>
        <v>171.13212608283226</v>
      </c>
      <c r="BM77" s="42">
        <f t="shared" si="383"/>
        <v>181.64369278270462</v>
      </c>
      <c r="BN77" s="42">
        <f t="shared" si="383"/>
        <v>188.03890369830435</v>
      </c>
      <c r="BO77" s="601">
        <f t="shared" si="383"/>
        <v>187.09571079889531</v>
      </c>
      <c r="BP77" s="347"/>
      <c r="BQ77" s="41">
        <f t="shared" ref="BQ77:CA77" si="384">BQ28-BQ72</f>
        <v>270.77199999999993</v>
      </c>
      <c r="BR77" s="42">
        <f t="shared" si="384"/>
        <v>475.13200000000001</v>
      </c>
      <c r="BS77" s="42">
        <f t="shared" si="384"/>
        <v>380.9649999999998</v>
      </c>
      <c r="BT77" s="42">
        <f t="shared" si="384"/>
        <v>288.98000000000047</v>
      </c>
      <c r="BU77" s="42">
        <f t="shared" si="384"/>
        <v>500.02799999999934</v>
      </c>
      <c r="BV77" s="42">
        <f t="shared" si="384"/>
        <v>660.26399999999978</v>
      </c>
      <c r="BW77" s="42">
        <f t="shared" si="384"/>
        <v>1110.7540000000001</v>
      </c>
      <c r="BX77" s="42">
        <f t="shared" si="384"/>
        <v>783.89199999999983</v>
      </c>
      <c r="BY77" s="42">
        <f t="shared" si="384"/>
        <v>486.00299999999947</v>
      </c>
      <c r="BZ77" s="42">
        <f t="shared" si="384"/>
        <v>493.17100000000073</v>
      </c>
      <c r="CA77" s="42">
        <f t="shared" si="384"/>
        <v>584.91399999999953</v>
      </c>
      <c r="CB77" s="42">
        <f>CB28-CB72</f>
        <v>212.41199999999981</v>
      </c>
      <c r="CC77" s="42">
        <f>CC28-CC72</f>
        <v>310.40700000000049</v>
      </c>
      <c r="CD77" s="42">
        <f>CD28-CD72</f>
        <v>622.42200000000003</v>
      </c>
      <c r="CE77" s="42">
        <f>CE28-CE72</f>
        <v>694.33325610523161</v>
      </c>
      <c r="CF77" s="42">
        <f>CF28-CF72</f>
        <v>727.91043336273674</v>
      </c>
      <c r="CG77" s="601">
        <f t="shared" ref="CG77" si="385">CG28-CG72</f>
        <v>735.31994246441491</v>
      </c>
      <c r="CH77" s="336"/>
    </row>
    <row r="78" spans="2:86" ht="14.25">
      <c r="B78" s="28" t="s">
        <v>91</v>
      </c>
      <c r="C78" s="29"/>
      <c r="D78" s="38">
        <f t="shared" ref="D78:AU78" si="386">D77/D12</f>
        <v>0.19634835316069243</v>
      </c>
      <c r="E78" s="31">
        <f t="shared" si="386"/>
        <v>0.21762116612934704</v>
      </c>
      <c r="F78" s="31">
        <f t="shared" si="386"/>
        <v>0.22744920225578835</v>
      </c>
      <c r="G78" s="32">
        <f t="shared" si="386"/>
        <v>0.23787272310486465</v>
      </c>
      <c r="H78" s="38">
        <f t="shared" si="386"/>
        <v>0.24408531403350053</v>
      </c>
      <c r="I78" s="31">
        <f t="shared" si="386"/>
        <v>0.26365717856648935</v>
      </c>
      <c r="J78" s="31">
        <f t="shared" si="386"/>
        <v>0.2816917277349269</v>
      </c>
      <c r="K78" s="32">
        <f t="shared" si="386"/>
        <v>0.33361485104781874</v>
      </c>
      <c r="L78" s="38">
        <f t="shared" si="386"/>
        <v>0.27451668853943628</v>
      </c>
      <c r="M78" s="31">
        <f t="shared" si="386"/>
        <v>0.24201503523611245</v>
      </c>
      <c r="N78" s="31">
        <f t="shared" si="386"/>
        <v>0.14449517484694427</v>
      </c>
      <c r="O78" s="32">
        <f t="shared" si="386"/>
        <v>3.8233109422579521E-2</v>
      </c>
      <c r="P78" s="38">
        <f t="shared" si="386"/>
        <v>7.2290370836941911E-2</v>
      </c>
      <c r="Q78" s="31">
        <f t="shared" si="386"/>
        <v>8.5495750794489525E-2</v>
      </c>
      <c r="R78" s="31">
        <f t="shared" si="386"/>
        <v>0.11372034933253854</v>
      </c>
      <c r="S78" s="32">
        <f t="shared" si="386"/>
        <v>0.11921353023490401</v>
      </c>
      <c r="T78" s="38">
        <f t="shared" si="386"/>
        <v>0.20264900662251656</v>
      </c>
      <c r="U78" s="31">
        <f t="shared" si="386"/>
        <v>0.19197341482954039</v>
      </c>
      <c r="V78" s="31">
        <f t="shared" si="386"/>
        <v>0.18613076862786745</v>
      </c>
      <c r="W78" s="32">
        <f t="shared" si="386"/>
        <v>5.477638452074237E-2</v>
      </c>
      <c r="X78" s="38">
        <f t="shared" si="386"/>
        <v>6.5302607808466626E-2</v>
      </c>
      <c r="Y78" s="31">
        <f t="shared" si="386"/>
        <v>0.19719802691142951</v>
      </c>
      <c r="Z78" s="31">
        <f t="shared" si="386"/>
        <v>0.28987993993261091</v>
      </c>
      <c r="AA78" s="32">
        <f t="shared" si="386"/>
        <v>0.31699810690357066</v>
      </c>
      <c r="AB78" s="38">
        <f t="shared" si="386"/>
        <v>0.30716859576964833</v>
      </c>
      <c r="AC78" s="31">
        <f t="shared" si="386"/>
        <v>0.3029948442453434</v>
      </c>
      <c r="AD78" s="31">
        <f t="shared" si="386"/>
        <v>0.32373945484699168</v>
      </c>
      <c r="AE78" s="32">
        <f t="shared" si="386"/>
        <v>0.29510734436926522</v>
      </c>
      <c r="AF78" s="38">
        <f t="shared" si="386"/>
        <v>0.23747822163952731</v>
      </c>
      <c r="AG78" s="31">
        <f t="shared" si="386"/>
        <v>0.26372671361083877</v>
      </c>
      <c r="AH78" s="31">
        <f t="shared" si="386"/>
        <v>0.25327408916296745</v>
      </c>
      <c r="AI78" s="32">
        <f t="shared" si="386"/>
        <v>0.15608299975360213</v>
      </c>
      <c r="AJ78" s="38">
        <f t="shared" si="386"/>
        <v>0.17335446304456192</v>
      </c>
      <c r="AK78" s="31">
        <f t="shared" si="386"/>
        <v>0.17063021379628079</v>
      </c>
      <c r="AL78" s="31">
        <f t="shared" si="386"/>
        <v>0.14198962453946243</v>
      </c>
      <c r="AM78" s="32">
        <f t="shared" si="386"/>
        <v>0.12617536057289225</v>
      </c>
      <c r="AN78" s="38">
        <f t="shared" si="386"/>
        <v>0.11952165736843462</v>
      </c>
      <c r="AO78" s="31">
        <f t="shared" si="386"/>
        <v>0.13385812136952091</v>
      </c>
      <c r="AP78" s="31">
        <f t="shared" si="386"/>
        <v>0.1669175903593757</v>
      </c>
      <c r="AQ78" s="32">
        <f>AQ77/AQ12</f>
        <v>0.15232535800950694</v>
      </c>
      <c r="AR78" s="38">
        <f t="shared" si="386"/>
        <v>0.14371861395028346</v>
      </c>
      <c r="AS78" s="31">
        <f>AS77/AS12</f>
        <v>0.16958956679094581</v>
      </c>
      <c r="AT78" s="31">
        <f>AT77/AT12</f>
        <v>0.16684226822744205</v>
      </c>
      <c r="AU78" s="32">
        <f t="shared" si="386"/>
        <v>0.15044807172879648</v>
      </c>
      <c r="AV78" s="38">
        <f>AV77/AV12</f>
        <v>9.2725545639303811E-2</v>
      </c>
      <c r="AW78" s="31">
        <f>AW77/AW12</f>
        <v>4.3395281016535017E-2</v>
      </c>
      <c r="AX78" s="31">
        <f t="shared" ref="AX78:AY78" si="387">AX77/AX12</f>
        <v>9.1634192238735146E-2</v>
      </c>
      <c r="AY78" s="32">
        <f t="shared" si="387"/>
        <v>8.5330386037347467E-2</v>
      </c>
      <c r="AZ78" s="38">
        <f>AZ77/AZ12</f>
        <v>7.3203382998473805E-3</v>
      </c>
      <c r="BA78" s="31">
        <f>BA77/BA12</f>
        <v>0.12828302501261163</v>
      </c>
      <c r="BB78" s="492">
        <f t="shared" ref="BB78:BC78" si="388">BB77/BB12</f>
        <v>0.17597819144221935</v>
      </c>
      <c r="BC78" s="32">
        <f t="shared" si="388"/>
        <v>0.19413195659782984</v>
      </c>
      <c r="BD78" s="38">
        <f>BD77/BD12</f>
        <v>0.2177820366725369</v>
      </c>
      <c r="BE78" s="492">
        <f>BE77/BE12</f>
        <v>0.25757255064076062</v>
      </c>
      <c r="BF78" s="562">
        <f t="shared" ref="BF78:BG78" si="389">BF77/BF12</f>
        <v>0.28397603772176638</v>
      </c>
      <c r="BG78" s="563">
        <f t="shared" si="389"/>
        <v>0.26893496845187509</v>
      </c>
      <c r="BH78" s="566">
        <f t="shared" ref="BH78:BK78" si="390">BH77/BH12</f>
        <v>0.26861558649253309</v>
      </c>
      <c r="BI78" s="562">
        <f t="shared" si="390"/>
        <v>0.27805152352902163</v>
      </c>
      <c r="BJ78" s="562">
        <f t="shared" si="390"/>
        <v>0.28258640388173478</v>
      </c>
      <c r="BK78" s="562">
        <f t="shared" si="390"/>
        <v>0.2854299472490579</v>
      </c>
      <c r="BL78" s="566">
        <f t="shared" ref="BL78:BO78" si="391">BL77/BL12</f>
        <v>0.28642011149365537</v>
      </c>
      <c r="BM78" s="562">
        <f t="shared" si="391"/>
        <v>0.28579507900070017</v>
      </c>
      <c r="BN78" s="562">
        <f t="shared" si="391"/>
        <v>0.28622124069442556</v>
      </c>
      <c r="BO78" s="598">
        <f t="shared" si="391"/>
        <v>0.28813333294599985</v>
      </c>
      <c r="BP78" s="347"/>
      <c r="BQ78" s="566">
        <f t="shared" ref="BQ78:CA78" si="392">BQ77/BQ12</f>
        <v>0.22111417792222635</v>
      </c>
      <c r="BR78" s="562">
        <f t="shared" si="392"/>
        <v>0.28446486966746615</v>
      </c>
      <c r="BS78" s="562">
        <f t="shared" si="392"/>
        <v>0.1702596541847276</v>
      </c>
      <c r="BT78" s="562">
        <f t="shared" si="392"/>
        <v>9.983096653082052E-2</v>
      </c>
      <c r="BU78" s="562">
        <f t="shared" si="392"/>
        <v>0.16946867428351789</v>
      </c>
      <c r="BV78" s="562">
        <f t="shared" si="392"/>
        <v>0.23516296510259149</v>
      </c>
      <c r="BW78" s="562">
        <f t="shared" si="392"/>
        <v>0.30752682872942255</v>
      </c>
      <c r="BX78" s="562">
        <f t="shared" si="392"/>
        <v>0.23102940136278965</v>
      </c>
      <c r="BY78" s="562">
        <f t="shared" si="392"/>
        <v>0.153379536266462</v>
      </c>
      <c r="BZ78" s="562">
        <f t="shared" si="392"/>
        <v>0.14486282457995556</v>
      </c>
      <c r="CA78" s="562">
        <f t="shared" si="392"/>
        <v>0.15778792504807831</v>
      </c>
      <c r="CB78" s="562">
        <f>CB77/CB12</f>
        <v>7.7925679830128616E-2</v>
      </c>
      <c r="CC78" s="562">
        <f>CC77/CC12</f>
        <v>0.1297119823756149</v>
      </c>
      <c r="CD78" s="562">
        <f>CD77/CD12</f>
        <v>0.25766328688741413</v>
      </c>
      <c r="CE78" s="562">
        <f>CE77/CE12</f>
        <v>0.2788098463725352</v>
      </c>
      <c r="CF78" s="562">
        <f>CF77/CF12</f>
        <v>0.28665030756563525</v>
      </c>
      <c r="CG78" s="598">
        <f t="shared" ref="CG78" si="393">CG77/CG12</f>
        <v>0.28956816389185175</v>
      </c>
      <c r="CH78" s="336"/>
    </row>
    <row r="79" spans="2:86" ht="15">
      <c r="B79" s="39" t="s">
        <v>27</v>
      </c>
      <c r="C79" s="40"/>
      <c r="D79" s="41">
        <f t="shared" ref="D79:AU79" si="394">D30-D73</f>
        <v>52.930999999999983</v>
      </c>
      <c r="E79" s="42">
        <f t="shared" si="394"/>
        <v>64.666999999999987</v>
      </c>
      <c r="F79" s="42">
        <f t="shared" si="394"/>
        <v>72.234000000000037</v>
      </c>
      <c r="G79" s="43">
        <f t="shared" si="394"/>
        <v>80.939999999999841</v>
      </c>
      <c r="H79" s="41">
        <f t="shared" si="394"/>
        <v>79.444999999999979</v>
      </c>
      <c r="I79" s="42">
        <f t="shared" si="394"/>
        <v>73.309000000000026</v>
      </c>
      <c r="J79" s="42">
        <f t="shared" si="394"/>
        <v>110.44099999999999</v>
      </c>
      <c r="K79" s="43">
        <f t="shared" si="394"/>
        <v>89.325000000000102</v>
      </c>
      <c r="L79" s="41">
        <f t="shared" si="394"/>
        <v>94.315000000000026</v>
      </c>
      <c r="M79" s="42">
        <f t="shared" si="394"/>
        <v>83.309000000000026</v>
      </c>
      <c r="N79" s="42">
        <f t="shared" si="394"/>
        <v>33.067000000000064</v>
      </c>
      <c r="O79" s="43">
        <f t="shared" si="394"/>
        <v>-21.847000000000492</v>
      </c>
      <c r="P79" s="41">
        <f t="shared" si="394"/>
        <v>-0.8800000000000523</v>
      </c>
      <c r="Q79" s="42">
        <f t="shared" si="394"/>
        <v>-2.7299999999999045</v>
      </c>
      <c r="R79" s="42">
        <f t="shared" si="394"/>
        <v>30.871999999999957</v>
      </c>
      <c r="S79" s="43">
        <f t="shared" si="394"/>
        <v>30.738000000000227</v>
      </c>
      <c r="T79" s="41">
        <f t="shared" si="394"/>
        <v>117.71900000000005</v>
      </c>
      <c r="U79" s="42">
        <f t="shared" si="394"/>
        <v>114.12500000000006</v>
      </c>
      <c r="V79" s="42">
        <f t="shared" si="394"/>
        <v>107.66000000000003</v>
      </c>
      <c r="W79" s="43">
        <f t="shared" si="394"/>
        <v>-16.608000000000402</v>
      </c>
      <c r="X79" s="41">
        <f t="shared" si="394"/>
        <v>2.40300000000002</v>
      </c>
      <c r="Y79" s="42">
        <f t="shared" si="394"/>
        <v>96.313999999999965</v>
      </c>
      <c r="Z79" s="42">
        <f t="shared" si="394"/>
        <v>198.42499999999995</v>
      </c>
      <c r="AA79" s="43">
        <f t="shared" si="394"/>
        <v>236.52299999999985</v>
      </c>
      <c r="AB79" s="41">
        <f t="shared" si="394"/>
        <v>235.91099999999989</v>
      </c>
      <c r="AC79" s="42">
        <f t="shared" si="394"/>
        <v>240.93800000000005</v>
      </c>
      <c r="AD79" s="42">
        <f t="shared" si="394"/>
        <v>281.03100000000001</v>
      </c>
      <c r="AE79" s="43">
        <f t="shared" ref="AE79:AJ79" si="395">AE30-AE73</f>
        <v>234.46900000000005</v>
      </c>
      <c r="AF79" s="41">
        <f t="shared" si="395"/>
        <v>163.07299999999998</v>
      </c>
      <c r="AG79" s="42">
        <f t="shared" si="395"/>
        <v>206.34500000000003</v>
      </c>
      <c r="AH79" s="42">
        <f t="shared" si="395"/>
        <v>210.10500000000002</v>
      </c>
      <c r="AI79" s="43">
        <f t="shared" si="395"/>
        <v>84.505999999999972</v>
      </c>
      <c r="AJ79" s="41">
        <f t="shared" si="395"/>
        <v>110.85899999999998</v>
      </c>
      <c r="AK79" s="42">
        <f>AK30-AK73</f>
        <v>106.024</v>
      </c>
      <c r="AL79" s="42">
        <f>AL30-AL73</f>
        <v>80.502999999999986</v>
      </c>
      <c r="AM79" s="43">
        <f>AM30-AM73</f>
        <v>61.336999999999932</v>
      </c>
      <c r="AN79" s="41">
        <f>AN30-AN73</f>
        <v>54.259999999999991</v>
      </c>
      <c r="AO79" s="42">
        <f>AO30-AO73</f>
        <v>66.940000000000055</v>
      </c>
      <c r="AP79" s="42">
        <f t="shared" si="394"/>
        <v>112.23699999999997</v>
      </c>
      <c r="AQ79" s="43">
        <f>AQ30-AQ73</f>
        <v>103.86100000000005</v>
      </c>
      <c r="AR79" s="41">
        <f>AR30-AR73</f>
        <v>107.68900000000008</v>
      </c>
      <c r="AS79" s="42">
        <f>AS30-AS73</f>
        <v>128.04799999999994</v>
      </c>
      <c r="AT79" s="42">
        <f>AT30-AT73</f>
        <v>120.892</v>
      </c>
      <c r="AU79" s="43">
        <f t="shared" si="394"/>
        <v>91.039000000000044</v>
      </c>
      <c r="AV79" s="41">
        <f>AV30-AV73</f>
        <v>33.939000000000078</v>
      </c>
      <c r="AW79" s="42">
        <f t="shared" ref="AW79:AY79" si="396">AW30-AW73</f>
        <v>-660.50900000000001</v>
      </c>
      <c r="AX79" s="42">
        <f t="shared" si="396"/>
        <v>-4.8920000000000528</v>
      </c>
      <c r="AY79" s="43">
        <f t="shared" si="396"/>
        <v>20.157999999999959</v>
      </c>
      <c r="AZ79" s="41">
        <f>AZ30-AZ73</f>
        <v>-20.493999999999915</v>
      </c>
      <c r="BA79" s="42">
        <f t="shared" ref="BA79:BC79" si="397">BA30-BA73</f>
        <v>43.161000000000001</v>
      </c>
      <c r="BB79" s="42">
        <f t="shared" si="397"/>
        <v>86.901000000000067</v>
      </c>
      <c r="BC79" s="43">
        <f t="shared" si="397"/>
        <v>88.521999999999991</v>
      </c>
      <c r="BD79" s="41">
        <f>BD30-BD73</f>
        <v>102.26299999999998</v>
      </c>
      <c r="BE79" s="42">
        <f t="shared" ref="BE79:BG79" si="398">BE30-BE73</f>
        <v>130.11499999999998</v>
      </c>
      <c r="BF79" s="42">
        <f t="shared" si="398"/>
        <v>151.09200000000001</v>
      </c>
      <c r="BG79" s="43">
        <f t="shared" si="398"/>
        <v>72.947999999999979</v>
      </c>
      <c r="BH79" s="41">
        <f t="shared" ref="BH79:BK79" si="399">BH30-BH73</f>
        <v>139.95876387000001</v>
      </c>
      <c r="BI79" s="42">
        <f t="shared" si="399"/>
        <v>150.88868383245003</v>
      </c>
      <c r="BJ79" s="42">
        <f t="shared" si="399"/>
        <v>158.85632543529144</v>
      </c>
      <c r="BK79" s="42">
        <f t="shared" si="399"/>
        <v>158.95361264087018</v>
      </c>
      <c r="BL79" s="41">
        <f t="shared" ref="BL79:BO79" si="400">BL30-BL73</f>
        <v>149.67034737956612</v>
      </c>
      <c r="BM79" s="42">
        <f t="shared" si="400"/>
        <v>160.16444629240578</v>
      </c>
      <c r="BN79" s="42">
        <f t="shared" si="400"/>
        <v>166.54201474310244</v>
      </c>
      <c r="BO79" s="601">
        <f t="shared" si="400"/>
        <v>165.58100295414152</v>
      </c>
      <c r="BP79" s="347"/>
      <c r="BQ79" s="41">
        <f t="shared" ref="BQ79:CA79" si="401">BQ30-BQ73</f>
        <v>270.77199999999993</v>
      </c>
      <c r="BR79" s="42">
        <f t="shared" si="401"/>
        <v>352.52</v>
      </c>
      <c r="BS79" s="42">
        <f t="shared" si="401"/>
        <v>188.84399999999982</v>
      </c>
      <c r="BT79" s="42">
        <f t="shared" si="401"/>
        <v>58.000000000000455</v>
      </c>
      <c r="BU79" s="42">
        <f t="shared" si="401"/>
        <v>322.89599999999928</v>
      </c>
      <c r="BV79" s="42">
        <f t="shared" si="401"/>
        <v>533.66499999999974</v>
      </c>
      <c r="BW79" s="42">
        <f t="shared" si="401"/>
        <v>992.34900000000016</v>
      </c>
      <c r="BX79" s="42">
        <f t="shared" si="401"/>
        <v>664.029</v>
      </c>
      <c r="BY79" s="42">
        <f t="shared" si="401"/>
        <v>358.7229999999995</v>
      </c>
      <c r="BZ79" s="42">
        <f t="shared" si="401"/>
        <v>337.29800000000068</v>
      </c>
      <c r="CA79" s="42">
        <f t="shared" si="401"/>
        <v>447.66799999999967</v>
      </c>
      <c r="CB79" s="42">
        <f>CB30-CB73</f>
        <v>-611.30400000000054</v>
      </c>
      <c r="CC79" s="42">
        <f>CC30-CC73</f>
        <v>198.09000000000037</v>
      </c>
      <c r="CD79" s="42">
        <f>CD30-CD73</f>
        <v>456.41800000000001</v>
      </c>
      <c r="CE79" s="42">
        <f>CE30-CE73</f>
        <v>608.6573857786118</v>
      </c>
      <c r="CF79" s="42">
        <f>CF30-CF73</f>
        <v>641.95781136921607</v>
      </c>
      <c r="CG79" s="601">
        <f t="shared" ref="CG79" si="402">CG30-CG73</f>
        <v>649.57591343452862</v>
      </c>
      <c r="CH79" s="336"/>
    </row>
    <row r="80" spans="2:86" ht="14.25">
      <c r="B80" s="28" t="s">
        <v>92</v>
      </c>
      <c r="C80" s="29"/>
      <c r="D80" s="38">
        <f t="shared" ref="D80:AU80" si="403">D79/D12</f>
        <v>0.19634835316069243</v>
      </c>
      <c r="E80" s="31">
        <f t="shared" si="403"/>
        <v>0.21762116612934704</v>
      </c>
      <c r="F80" s="31">
        <f t="shared" si="403"/>
        <v>0.22744920225578835</v>
      </c>
      <c r="G80" s="32">
        <f t="shared" si="403"/>
        <v>0.23787272310486465</v>
      </c>
      <c r="H80" s="38">
        <f t="shared" si="403"/>
        <v>0.21779477478959339</v>
      </c>
      <c r="I80" s="31">
        <f t="shared" si="403"/>
        <v>0.18775323085433887</v>
      </c>
      <c r="J80" s="31">
        <f t="shared" si="403"/>
        <v>0.25923535183298668</v>
      </c>
      <c r="K80" s="32">
        <f t="shared" si="403"/>
        <v>0.18266273496163743</v>
      </c>
      <c r="L80" s="38">
        <f t="shared" si="403"/>
        <v>0.1809587947720244</v>
      </c>
      <c r="M80" s="31">
        <f t="shared" si="403"/>
        <v>0.14514142355636475</v>
      </c>
      <c r="N80" s="31">
        <f t="shared" si="403"/>
        <v>6.3541750736936076E-2</v>
      </c>
      <c r="O80" s="32">
        <f t="shared" si="403"/>
        <v>-3.5125262470779336E-2</v>
      </c>
      <c r="P80" s="38">
        <f t="shared" si="403"/>
        <v>-1.385717660026852E-3</v>
      </c>
      <c r="Q80" s="31">
        <f t="shared" si="403"/>
        <v>-4.15707975045325E-3</v>
      </c>
      <c r="R80" s="31">
        <f t="shared" si="403"/>
        <v>4.0715018608736421E-2</v>
      </c>
      <c r="S80" s="32">
        <f t="shared" si="403"/>
        <v>3.6389853744468618E-2</v>
      </c>
      <c r="T80" s="38">
        <f t="shared" si="403"/>
        <v>0.14640300966949607</v>
      </c>
      <c r="U80" s="31">
        <f t="shared" si="403"/>
        <v>0.13544788297777652</v>
      </c>
      <c r="V80" s="31">
        <f t="shared" si="403"/>
        <v>0.13609827999888757</v>
      </c>
      <c r="W80" s="32">
        <f t="shared" si="403"/>
        <v>-3.2382664511462836E-2</v>
      </c>
      <c r="X80" s="38">
        <f t="shared" si="403"/>
        <v>4.6084451723516686E-3</v>
      </c>
      <c r="Y80" s="31">
        <f t="shared" si="403"/>
        <v>0.15034497830226962</v>
      </c>
      <c r="Z80" s="31">
        <f t="shared" si="403"/>
        <v>0.24707445417620261</v>
      </c>
      <c r="AA80" s="32">
        <f t="shared" si="403"/>
        <v>0.28072780359272892</v>
      </c>
      <c r="AB80" s="38">
        <f t="shared" si="403"/>
        <v>0.27573257408141144</v>
      </c>
      <c r="AC80" s="31">
        <f t="shared" si="403"/>
        <v>0.2687618380454983</v>
      </c>
      <c r="AD80" s="31">
        <f t="shared" si="403"/>
        <v>0.29294599234671809</v>
      </c>
      <c r="AE80" s="32">
        <f t="shared" si="403"/>
        <v>0.26037269867286761</v>
      </c>
      <c r="AF80" s="38">
        <f t="shared" si="403"/>
        <v>0.20323104877604986</v>
      </c>
      <c r="AG80" s="31">
        <f t="shared" si="403"/>
        <v>0.22990574026205549</v>
      </c>
      <c r="AH80" s="31">
        <f t="shared" si="403"/>
        <v>0.2210661215024563</v>
      </c>
      <c r="AI80" s="32">
        <f t="shared" si="403"/>
        <v>0.11378199302276416</v>
      </c>
      <c r="AJ80" s="38">
        <f t="shared" si="403"/>
        <v>0.13920871575473626</v>
      </c>
      <c r="AK80" s="31">
        <f t="shared" si="403"/>
        <v>0.12991481477850861</v>
      </c>
      <c r="AL80" s="31">
        <f t="shared" si="403"/>
        <v>0.10309253266502834</v>
      </c>
      <c r="AM80" s="32">
        <f t="shared" si="403"/>
        <v>7.9114503659256916E-2</v>
      </c>
      <c r="AN80" s="38">
        <f t="shared" si="403"/>
        <v>7.3886561115733357E-2</v>
      </c>
      <c r="AO80" s="31">
        <f t="shared" si="403"/>
        <v>8.2943438869173949E-2</v>
      </c>
      <c r="AP80" s="31">
        <f t="shared" si="403"/>
        <v>0.12052605919508258</v>
      </c>
      <c r="AQ80" s="32">
        <f>AQ79/AQ12</f>
        <v>0.11146886124911327</v>
      </c>
      <c r="AR80" s="38">
        <f t="shared" si="403"/>
        <v>0.11243018072100484</v>
      </c>
      <c r="AS80" s="31">
        <f>AS79/AS12</f>
        <v>0.13316901445070167</v>
      </c>
      <c r="AT80" s="31">
        <f>AT79/AT12</f>
        <v>0.12997239113419973</v>
      </c>
      <c r="AU80" s="32">
        <f t="shared" si="403"/>
        <v>0.10617387328970024</v>
      </c>
      <c r="AV80" s="38">
        <f>AV79/AV12</f>
        <v>4.6858432004948415E-2</v>
      </c>
      <c r="AW80" s="31">
        <f t="shared" ref="AW80:AY80" si="404">AW79/AW12</f>
        <v>-0.92965015791873806</v>
      </c>
      <c r="AX80" s="31">
        <f t="shared" si="404"/>
        <v>-7.2485886588926386E-3</v>
      </c>
      <c r="AY80" s="32">
        <f t="shared" si="404"/>
        <v>3.2715634626183474E-2</v>
      </c>
      <c r="AZ80" s="38">
        <f>AZ79/AZ12</f>
        <v>-3.7894168506458527E-2</v>
      </c>
      <c r="BA80" s="31">
        <f t="shared" ref="BA80:BC80" si="405">BA79/BA12</f>
        <v>6.8902816712536966E-2</v>
      </c>
      <c r="BB80" s="492">
        <f t="shared" si="405"/>
        <v>0.1327904624233294</v>
      </c>
      <c r="BC80" s="32">
        <f t="shared" si="405"/>
        <v>0.15492124606230312</v>
      </c>
      <c r="BD80" s="38">
        <f>BD79/BD12</f>
        <v>0.17656514382402705</v>
      </c>
      <c r="BE80" s="492">
        <f t="shared" ref="BE80:BG80" si="406">BE79/BE12</f>
        <v>0.21515502273666801</v>
      </c>
      <c r="BF80" s="562">
        <f t="shared" si="406"/>
        <v>0.24515902917725402</v>
      </c>
      <c r="BG80" s="563">
        <f t="shared" si="406"/>
        <v>0.11853580301880534</v>
      </c>
      <c r="BH80" s="566">
        <f t="shared" ref="BH80:BK80" si="407">BH79/BH12</f>
        <v>0.23300000000000004</v>
      </c>
      <c r="BI80" s="562">
        <f t="shared" si="407"/>
        <v>0.24350000000000002</v>
      </c>
      <c r="BJ80" s="562">
        <f t="shared" si="407"/>
        <v>0.24899999999999992</v>
      </c>
      <c r="BK80" s="562">
        <f t="shared" si="407"/>
        <v>0.25149999999999989</v>
      </c>
      <c r="BL80" s="566">
        <f t="shared" ref="BL80:BO80" si="408">BL79/BL12</f>
        <v>0.25049999999999989</v>
      </c>
      <c r="BM80" s="562">
        <f t="shared" si="408"/>
        <v>0.25199999999999972</v>
      </c>
      <c r="BN80" s="562">
        <f t="shared" si="408"/>
        <v>0.25349999999999967</v>
      </c>
      <c r="BO80" s="598">
        <f t="shared" si="408"/>
        <v>0.25499999999999967</v>
      </c>
      <c r="BP80" s="347"/>
      <c r="BQ80" s="566">
        <f t="shared" ref="BQ80:CA80" si="409">BQ79/BQ12</f>
        <v>0.22111417792222635</v>
      </c>
      <c r="BR80" s="562">
        <f t="shared" si="409"/>
        <v>0.21105620302394945</v>
      </c>
      <c r="BS80" s="562">
        <f t="shared" si="409"/>
        <v>8.4397553935035202E-2</v>
      </c>
      <c r="BT80" s="562">
        <f t="shared" si="409"/>
        <v>2.003666710079461E-2</v>
      </c>
      <c r="BU80" s="562">
        <f t="shared" si="409"/>
        <v>0.1094353857213011</v>
      </c>
      <c r="BV80" s="562">
        <f t="shared" si="409"/>
        <v>0.19007282506917608</v>
      </c>
      <c r="BW80" s="562">
        <f t="shared" si="409"/>
        <v>0.27474484986127778</v>
      </c>
      <c r="BX80" s="562">
        <f t="shared" si="409"/>
        <v>0.19570326315044917</v>
      </c>
      <c r="BY80" s="562">
        <f t="shared" si="409"/>
        <v>0.11321075669926736</v>
      </c>
      <c r="BZ80" s="562">
        <f t="shared" si="409"/>
        <v>9.9077076724239405E-2</v>
      </c>
      <c r="CA80" s="562">
        <f t="shared" si="409"/>
        <v>0.12076408639633028</v>
      </c>
      <c r="CB80" s="562">
        <f>CB79/CB12</f>
        <v>-0.22426359990432285</v>
      </c>
      <c r="CC80" s="562">
        <f>CC79/CC12</f>
        <v>8.2777278182468703E-2</v>
      </c>
      <c r="CD80" s="562">
        <f>CD79/CD12</f>
        <v>0.18894281062459198</v>
      </c>
      <c r="CE80" s="562">
        <f>CE79/CE12</f>
        <v>0.2444066602460481</v>
      </c>
      <c r="CF80" s="562">
        <f>CF79/CF12</f>
        <v>0.25280226198028294</v>
      </c>
      <c r="CG80" s="598">
        <f t="shared" ref="CG80" si="410">CG79/CG12</f>
        <v>0.255802261980283</v>
      </c>
      <c r="CH80" s="336"/>
    </row>
    <row r="81" spans="2:86" ht="9" customHeight="1">
      <c r="B81" s="16"/>
      <c r="C81" s="17"/>
      <c r="D81" s="35"/>
      <c r="E81" s="36"/>
      <c r="F81" s="36"/>
      <c r="G81" s="37"/>
      <c r="H81" s="35"/>
      <c r="I81" s="36"/>
      <c r="J81" s="36"/>
      <c r="K81" s="37"/>
      <c r="L81" s="35"/>
      <c r="M81" s="36"/>
      <c r="N81" s="36"/>
      <c r="O81" s="37"/>
      <c r="P81" s="35"/>
      <c r="Q81" s="36"/>
      <c r="R81" s="36"/>
      <c r="S81" s="37"/>
      <c r="T81" s="35"/>
      <c r="U81" s="36"/>
      <c r="V81" s="36"/>
      <c r="W81" s="37"/>
      <c r="X81" s="35"/>
      <c r="Y81" s="36"/>
      <c r="Z81" s="36"/>
      <c r="AA81" s="37"/>
      <c r="AB81" s="35"/>
      <c r="AC81" s="36"/>
      <c r="AD81" s="36"/>
      <c r="AE81" s="37"/>
      <c r="AF81" s="35"/>
      <c r="AG81" s="36"/>
      <c r="AH81" s="36"/>
      <c r="AI81" s="37"/>
      <c r="AJ81" s="35"/>
      <c r="AK81" s="36"/>
      <c r="AL81" s="36"/>
      <c r="AM81" s="37"/>
      <c r="AN81" s="35"/>
      <c r="AO81" s="36"/>
      <c r="AP81" s="36"/>
      <c r="AQ81" s="37"/>
      <c r="AR81" s="35"/>
      <c r="AS81" s="36"/>
      <c r="AT81" s="36"/>
      <c r="AU81" s="37"/>
      <c r="AV81" s="35"/>
      <c r="AW81" s="36"/>
      <c r="AX81" s="36"/>
      <c r="AY81" s="37"/>
      <c r="AZ81" s="35"/>
      <c r="BA81" s="36"/>
      <c r="BB81" s="36"/>
      <c r="BC81" s="37"/>
      <c r="BD81" s="35"/>
      <c r="BE81" s="36"/>
      <c r="BF81" s="36"/>
      <c r="BG81" s="37"/>
      <c r="BH81" s="35"/>
      <c r="BI81" s="36"/>
      <c r="BJ81" s="36"/>
      <c r="BK81" s="36"/>
      <c r="BL81" s="35"/>
      <c r="BM81" s="36"/>
      <c r="BN81" s="36"/>
      <c r="BO81" s="599"/>
      <c r="BP81" s="347"/>
      <c r="BQ81" s="683"/>
      <c r="BR81" s="338"/>
      <c r="BS81" s="338"/>
      <c r="BT81" s="338"/>
      <c r="BU81" s="338"/>
      <c r="BV81" s="338"/>
      <c r="BW81" s="338"/>
      <c r="BX81" s="338"/>
      <c r="BY81" s="338"/>
      <c r="BZ81" s="338"/>
      <c r="CA81" s="338"/>
      <c r="CB81" s="338"/>
      <c r="CC81" s="338"/>
      <c r="CD81" s="338"/>
      <c r="CE81" s="338"/>
      <c r="CF81" s="338"/>
      <c r="CG81" s="599"/>
      <c r="CH81" s="336"/>
    </row>
    <row r="82" spans="2:86" ht="14.25" hidden="1" outlineLevel="1">
      <c r="B82" s="16" t="s">
        <v>28</v>
      </c>
      <c r="C82" s="17"/>
      <c r="D82" s="25">
        <f t="shared" ref="D82:AU82" si="411">D84+D83</f>
        <v>1.6719999999999999</v>
      </c>
      <c r="E82" s="26">
        <f t="shared" si="411"/>
        <v>1.6160000000000001</v>
      </c>
      <c r="F82" s="26">
        <f t="shared" si="411"/>
        <v>1.77</v>
      </c>
      <c r="G82" s="27">
        <f t="shared" si="411"/>
        <v>2.5990000000000011</v>
      </c>
      <c r="H82" s="25">
        <f t="shared" si="411"/>
        <v>3.6120000000000001</v>
      </c>
      <c r="I82" s="26">
        <f t="shared" si="411"/>
        <v>4.3840000000000003</v>
      </c>
      <c r="J82" s="26">
        <f t="shared" si="411"/>
        <v>5.2439999999999998</v>
      </c>
      <c r="K82" s="27">
        <f t="shared" si="411"/>
        <v>6.1289999999999987</v>
      </c>
      <c r="L82" s="25">
        <f t="shared" si="411"/>
        <v>16.462</v>
      </c>
      <c r="M82" s="26">
        <f t="shared" si="411"/>
        <v>1.091</v>
      </c>
      <c r="N82" s="26">
        <f t="shared" si="411"/>
        <v>6.8449999999999998</v>
      </c>
      <c r="O82" s="27">
        <f t="shared" si="411"/>
        <v>-2.0030000000000019</v>
      </c>
      <c r="P82" s="25">
        <f t="shared" si="411"/>
        <v>-8.6559999999999988</v>
      </c>
      <c r="Q82" s="26">
        <f t="shared" si="411"/>
        <v>-6.8140000000000001</v>
      </c>
      <c r="R82" s="26">
        <f t="shared" si="411"/>
        <v>-9.4090000000000007</v>
      </c>
      <c r="S82" s="27">
        <f t="shared" si="411"/>
        <v>12.481000000000003</v>
      </c>
      <c r="T82" s="25">
        <f t="shared" si="411"/>
        <v>-4.6920000000000002</v>
      </c>
      <c r="U82" s="26">
        <f t="shared" si="411"/>
        <v>-0.75399999999999956</v>
      </c>
      <c r="V82" s="26">
        <f t="shared" si="411"/>
        <v>11.542999999999999</v>
      </c>
      <c r="W82" s="27">
        <f t="shared" si="411"/>
        <v>-0.44000000000000261</v>
      </c>
      <c r="X82" s="25">
        <f t="shared" si="411"/>
        <v>-0.15999999999999998</v>
      </c>
      <c r="Y82" s="26">
        <f t="shared" si="411"/>
        <v>0.27899999999999991</v>
      </c>
      <c r="Z82" s="26">
        <f t="shared" si="411"/>
        <v>-1.373</v>
      </c>
      <c r="AA82" s="27">
        <f t="shared" si="411"/>
        <v>10.249000000000001</v>
      </c>
      <c r="AB82" s="25">
        <f t="shared" si="411"/>
        <v>-3.7520000000000002</v>
      </c>
      <c r="AC82" s="26">
        <f t="shared" si="411"/>
        <v>4.2119999999999997</v>
      </c>
      <c r="AD82" s="26">
        <f t="shared" si="411"/>
        <v>-1.6649999999999998</v>
      </c>
      <c r="AE82" s="27">
        <f t="shared" ref="AE82:AJ82" si="412">AE84+AE83</f>
        <v>10.475</v>
      </c>
      <c r="AF82" s="25">
        <f t="shared" si="412"/>
        <v>-0.218</v>
      </c>
      <c r="AG82" s="26">
        <f t="shared" si="412"/>
        <v>2.0640000000000001</v>
      </c>
      <c r="AH82" s="26">
        <f t="shared" si="412"/>
        <v>7.7290000000000001</v>
      </c>
      <c r="AI82" s="27">
        <f t="shared" si="412"/>
        <v>5.3380000000000001</v>
      </c>
      <c r="AJ82" s="25">
        <f t="shared" si="412"/>
        <v>1.0569999999999999</v>
      </c>
      <c r="AK82" s="26">
        <f>AK84+AK83</f>
        <v>5.8639999999999999</v>
      </c>
      <c r="AL82" s="26">
        <f>AL84+AL83</f>
        <v>2.387</v>
      </c>
      <c r="AM82" s="27">
        <f>AM84+AM83</f>
        <v>6.2249999999999996</v>
      </c>
      <c r="AN82" s="25">
        <f>AN84+AN83</f>
        <v>3.16</v>
      </c>
      <c r="AO82" s="26">
        <f>AO84+AO83</f>
        <v>8.2530000000000001</v>
      </c>
      <c r="AP82" s="26">
        <f t="shared" si="411"/>
        <v>1.536</v>
      </c>
      <c r="AQ82" s="27">
        <f>AQ84+AQ83</f>
        <v>12.617000000000001</v>
      </c>
      <c r="AR82" s="25">
        <f>AR84+AR83</f>
        <v>1.925</v>
      </c>
      <c r="AS82" s="26">
        <f>AS84+AS83</f>
        <v>12.263</v>
      </c>
      <c r="AT82" s="26">
        <f>AT84+AT83</f>
        <v>4.7640000000000002</v>
      </c>
      <c r="AU82" s="27">
        <f t="shared" si="411"/>
        <v>4.3819999999999997</v>
      </c>
      <c r="AV82" s="25">
        <f>AV84+AV83</f>
        <v>5.1669999999999998</v>
      </c>
      <c r="AW82" s="26">
        <f t="shared" ref="AW82:AY82" si="413">AW84+AW83</f>
        <v>6.79</v>
      </c>
      <c r="AX82" s="26">
        <f t="shared" si="413"/>
        <v>4.6440000000000001</v>
      </c>
      <c r="AY82" s="27">
        <f t="shared" si="413"/>
        <v>1.0840000000000001</v>
      </c>
      <c r="AZ82" s="25">
        <f>AZ84+AZ83</f>
        <v>1.488</v>
      </c>
      <c r="BA82" s="26">
        <f t="shared" ref="BA82:BC82" si="414">BA84+BA83</f>
        <v>6.2839999999999998</v>
      </c>
      <c r="BB82" s="26">
        <f t="shared" si="414"/>
        <v>5.47</v>
      </c>
      <c r="BC82" s="27">
        <f t="shared" si="414"/>
        <v>3.78</v>
      </c>
      <c r="BD82" s="25">
        <f>BD84+BD83</f>
        <v>3.3330000000000002</v>
      </c>
      <c r="BE82" s="26">
        <f t="shared" ref="BE82:BG82" si="415">BE84+BE83</f>
        <v>7.1879999999999997</v>
      </c>
      <c r="BF82" s="26">
        <f t="shared" si="415"/>
        <v>6.2</v>
      </c>
      <c r="BG82" s="27">
        <f t="shared" si="415"/>
        <v>4.7880000000000003</v>
      </c>
      <c r="BH82" s="25">
        <f t="shared" ref="BH82:BK82" si="416">BH84+BH83</f>
        <v>3.5</v>
      </c>
      <c r="BI82" s="26">
        <f t="shared" si="416"/>
        <v>3.5</v>
      </c>
      <c r="BJ82" s="26">
        <f t="shared" si="416"/>
        <v>3.5</v>
      </c>
      <c r="BK82" s="26">
        <f t="shared" si="416"/>
        <v>3.5</v>
      </c>
      <c r="BL82" s="25">
        <f t="shared" ref="BL82:BO82" si="417">BL84+BL83</f>
        <v>3.5</v>
      </c>
      <c r="BM82" s="26">
        <f t="shared" si="417"/>
        <v>3.5</v>
      </c>
      <c r="BN82" s="26">
        <f t="shared" si="417"/>
        <v>3.5</v>
      </c>
      <c r="BO82" s="597">
        <f t="shared" si="417"/>
        <v>3.5</v>
      </c>
      <c r="BP82" s="347"/>
      <c r="BQ82" s="25">
        <f t="shared" ref="BQ82:CA82" si="418">BQ84+BQ83</f>
        <v>7.6570000000000018</v>
      </c>
      <c r="BR82" s="26">
        <f t="shared" si="418"/>
        <v>19.369</v>
      </c>
      <c r="BS82" s="26">
        <f t="shared" si="418"/>
        <v>22.394999999999996</v>
      </c>
      <c r="BT82" s="26">
        <f t="shared" si="418"/>
        <v>-12.397999999999996</v>
      </c>
      <c r="BU82" s="26">
        <f t="shared" si="418"/>
        <v>5.657</v>
      </c>
      <c r="BV82" s="26">
        <f t="shared" si="418"/>
        <v>8.995000000000001</v>
      </c>
      <c r="BW82" s="26">
        <f t="shared" si="418"/>
        <v>9.2700000000000014</v>
      </c>
      <c r="BX82" s="26">
        <f t="shared" si="418"/>
        <v>14.913</v>
      </c>
      <c r="BY82" s="26">
        <f t="shared" si="418"/>
        <v>15.532999999999999</v>
      </c>
      <c r="BZ82" s="26">
        <f t="shared" si="418"/>
        <v>25.566000000000003</v>
      </c>
      <c r="CA82" s="26">
        <f t="shared" si="418"/>
        <v>23.334000000000003</v>
      </c>
      <c r="CB82" s="26">
        <f>CB84+CB83</f>
        <v>17.684999999999999</v>
      </c>
      <c r="CC82" s="26">
        <f>CC84+CC83</f>
        <v>17.022000000000002</v>
      </c>
      <c r="CD82" s="26">
        <f>CD84+CD83</f>
        <v>21.509</v>
      </c>
      <c r="CE82" s="26">
        <f>CE84+CE83</f>
        <v>14</v>
      </c>
      <c r="CF82" s="26">
        <f>CF84+CF83</f>
        <v>14</v>
      </c>
      <c r="CG82" s="597">
        <f t="shared" ref="CG82" si="419">CG84+CG83</f>
        <v>14</v>
      </c>
      <c r="CH82" s="336"/>
    </row>
    <row r="83" spans="2:86" ht="14.25" hidden="1" outlineLevel="1">
      <c r="B83" s="20" t="s">
        <v>30</v>
      </c>
      <c r="C83" s="17"/>
      <c r="D83" s="22">
        <v>1.6719999999999999</v>
      </c>
      <c r="E83" s="23">
        <v>1.6160000000000001</v>
      </c>
      <c r="F83" s="23">
        <v>1.77</v>
      </c>
      <c r="G83" s="24">
        <f>8.853-F83-E83-D83</f>
        <v>3.7950000000000008</v>
      </c>
      <c r="H83" s="22">
        <v>3.6120000000000001</v>
      </c>
      <c r="I83" s="23">
        <v>4.3840000000000003</v>
      </c>
      <c r="J83" s="23">
        <v>5.2439999999999998</v>
      </c>
      <c r="K83" s="24">
        <v>7.8869999999999987</v>
      </c>
      <c r="L83" s="22">
        <f>8.215+8.846</f>
        <v>17.061</v>
      </c>
      <c r="M83" s="23">
        <v>1.714</v>
      </c>
      <c r="N83" s="23">
        <v>7.577</v>
      </c>
      <c r="O83" s="24">
        <v>6.25</v>
      </c>
      <c r="P83" s="22">
        <v>1.319</v>
      </c>
      <c r="Q83" s="23">
        <v>3.1280000000000001</v>
      </c>
      <c r="R83" s="23">
        <v>1.109</v>
      </c>
      <c r="S83" s="24">
        <v>22.544</v>
      </c>
      <c r="T83" s="22">
        <v>2.4590000000000001</v>
      </c>
      <c r="U83" s="23">
        <v>4.4050000000000002</v>
      </c>
      <c r="V83" s="23">
        <v>15.109</v>
      </c>
      <c r="W83" s="24">
        <v>1.6779999999999995</v>
      </c>
      <c r="X83" s="22">
        <v>-7.1999999999999995E-2</v>
      </c>
      <c r="Y83" s="23">
        <v>1.7929999999999999</v>
      </c>
      <c r="Z83" s="23">
        <v>-1.3029999999999999</v>
      </c>
      <c r="AA83" s="24">
        <v>10.309000000000001</v>
      </c>
      <c r="AB83" s="22">
        <v>-3.7010000000000001</v>
      </c>
      <c r="AC83" s="23">
        <v>4.2530000000000001</v>
      </c>
      <c r="AD83" s="23">
        <v>-1.6339999999999999</v>
      </c>
      <c r="AE83" s="24">
        <v>10.475</v>
      </c>
      <c r="AF83" s="22">
        <v>-0.218</v>
      </c>
      <c r="AG83" s="23">
        <v>2.0640000000000001</v>
      </c>
      <c r="AH83" s="23">
        <v>7.7290000000000001</v>
      </c>
      <c r="AI83" s="24">
        <v>5.3380000000000001</v>
      </c>
      <c r="AJ83" s="22">
        <v>1.0569999999999999</v>
      </c>
      <c r="AK83" s="23">
        <v>5.8639999999999999</v>
      </c>
      <c r="AL83" s="23">
        <v>2.387</v>
      </c>
      <c r="AM83" s="24">
        <v>6.2249999999999996</v>
      </c>
      <c r="AN83" s="22">
        <v>3.16</v>
      </c>
      <c r="AO83" s="23">
        <v>8.2530000000000001</v>
      </c>
      <c r="AP83" s="23">
        <v>1.536</v>
      </c>
      <c r="AQ83" s="24">
        <v>12.617000000000001</v>
      </c>
      <c r="AR83" s="22">
        <v>1.925</v>
      </c>
      <c r="AS83" s="23">
        <v>12.263</v>
      </c>
      <c r="AT83" s="23">
        <v>4.7640000000000002</v>
      </c>
      <c r="AU83" s="24">
        <v>4.3819999999999997</v>
      </c>
      <c r="AV83" s="22">
        <v>5.1669999999999998</v>
      </c>
      <c r="AW83" s="23">
        <v>6.79</v>
      </c>
      <c r="AX83" s="23">
        <v>4.6440000000000001</v>
      </c>
      <c r="AY83" s="24">
        <v>1.0840000000000001</v>
      </c>
      <c r="AZ83" s="22">
        <v>1.488</v>
      </c>
      <c r="BA83" s="23">
        <v>6.2839999999999998</v>
      </c>
      <c r="BB83" s="23">
        <v>5.47</v>
      </c>
      <c r="BC83" s="24">
        <v>3.78</v>
      </c>
      <c r="BD83" s="22">
        <v>3.3330000000000002</v>
      </c>
      <c r="BE83" s="23">
        <v>7.1879999999999997</v>
      </c>
      <c r="BF83" s="23">
        <v>6.2</v>
      </c>
      <c r="BG83" s="24">
        <v>4.7880000000000003</v>
      </c>
      <c r="BH83" s="637">
        <v>3.5</v>
      </c>
      <c r="BI83" s="325">
        <v>3.5</v>
      </c>
      <c r="BJ83" s="325">
        <f>BI83</f>
        <v>3.5</v>
      </c>
      <c r="BK83" s="325">
        <f>BJ83</f>
        <v>3.5</v>
      </c>
      <c r="BL83" s="637">
        <f>BK83</f>
        <v>3.5</v>
      </c>
      <c r="BM83" s="325">
        <f t="shared" ref="BM83" si="420">BL83</f>
        <v>3.5</v>
      </c>
      <c r="BN83" s="325">
        <f t="shared" ref="BN83" si="421">BM83</f>
        <v>3.5</v>
      </c>
      <c r="BO83" s="596">
        <f t="shared" ref="BO83" si="422">BN83</f>
        <v>3.5</v>
      </c>
      <c r="BP83" s="347"/>
      <c r="BQ83" s="25">
        <f>SUM(D83:G83)</f>
        <v>8.8530000000000015</v>
      </c>
      <c r="BR83" s="26">
        <f>SUM(H83:K83)</f>
        <v>21.126999999999999</v>
      </c>
      <c r="BS83" s="26">
        <f>SUM(L83:O83)</f>
        <v>32.601999999999997</v>
      </c>
      <c r="BT83" s="26">
        <f>SUM(P83:S83)</f>
        <v>28.1</v>
      </c>
      <c r="BU83" s="26">
        <f>SUM(T83:W83)</f>
        <v>23.651</v>
      </c>
      <c r="BV83" s="26">
        <f>SUM(X83:AA83)</f>
        <v>10.727</v>
      </c>
      <c r="BW83" s="26">
        <f>SUM(AB83:AE83)</f>
        <v>9.3930000000000007</v>
      </c>
      <c r="BX83" s="26">
        <f>SUM(AF83:AI83)</f>
        <v>14.913</v>
      </c>
      <c r="BY83" s="26">
        <f>SUM(AJ83:AM83)</f>
        <v>15.532999999999999</v>
      </c>
      <c r="BZ83" s="26">
        <f>SUM(AN83:AQ83)</f>
        <v>25.566000000000003</v>
      </c>
      <c r="CA83" s="26">
        <f>SUM(AR83:AU83)</f>
        <v>23.334000000000003</v>
      </c>
      <c r="CB83" s="26">
        <f>SUM(AV83:AY83)</f>
        <v>17.684999999999999</v>
      </c>
      <c r="CC83" s="26">
        <f>SUM(AZ83:BC83)</f>
        <v>17.022000000000002</v>
      </c>
      <c r="CD83" s="26">
        <f>SUM(BD83:BG83)</f>
        <v>21.509</v>
      </c>
      <c r="CE83" s="26">
        <f>SUM(BH83:BK83)</f>
        <v>14</v>
      </c>
      <c r="CF83" s="26">
        <f>SUM(BL83:BO83)</f>
        <v>14</v>
      </c>
      <c r="CG83" s="596">
        <f>CF83</f>
        <v>14</v>
      </c>
      <c r="CH83" s="336"/>
    </row>
    <row r="84" spans="2:86" ht="14.25" hidden="1" outlineLevel="1">
      <c r="B84" s="20" t="s">
        <v>29</v>
      </c>
      <c r="C84" s="17"/>
      <c r="D84" s="22"/>
      <c r="E84" s="23">
        <v>0</v>
      </c>
      <c r="F84" s="23">
        <v>0</v>
      </c>
      <c r="G84" s="24">
        <f>-1.196-F84-E84-D84</f>
        <v>-1.196</v>
      </c>
      <c r="H84" s="22">
        <v>0</v>
      </c>
      <c r="I84" s="23">
        <v>0</v>
      </c>
      <c r="J84" s="23">
        <v>0</v>
      </c>
      <c r="K84" s="24">
        <v>-1.758</v>
      </c>
      <c r="L84" s="22">
        <v>-0.59899999999999998</v>
      </c>
      <c r="M84" s="23">
        <v>-0.623</v>
      </c>
      <c r="N84" s="23">
        <v>-0.73199999999999998</v>
      </c>
      <c r="O84" s="24">
        <v>-8.2530000000000019</v>
      </c>
      <c r="P84" s="22">
        <v>-9.9749999999999996</v>
      </c>
      <c r="Q84" s="23">
        <v>-9.9420000000000002</v>
      </c>
      <c r="R84" s="23">
        <v>-10.518000000000001</v>
      </c>
      <c r="S84" s="24">
        <v>-10.062999999999997</v>
      </c>
      <c r="T84" s="22">
        <v>-7.1509999999999998</v>
      </c>
      <c r="U84" s="23">
        <v>-5.1589999999999998</v>
      </c>
      <c r="V84" s="23">
        <v>-3.5659999999999998</v>
      </c>
      <c r="W84" s="24">
        <v>-2.1180000000000021</v>
      </c>
      <c r="X84" s="22">
        <v>-8.7999999999999995E-2</v>
      </c>
      <c r="Y84" s="23">
        <v>-1.514</v>
      </c>
      <c r="Z84" s="23">
        <v>-7.0000000000000007E-2</v>
      </c>
      <c r="AA84" s="24">
        <v>-0.06</v>
      </c>
      <c r="AB84" s="22">
        <v>-5.0999999999999997E-2</v>
      </c>
      <c r="AC84" s="23">
        <v>-4.1000000000000002E-2</v>
      </c>
      <c r="AD84" s="23">
        <v>-3.1E-2</v>
      </c>
      <c r="AE84" s="24"/>
      <c r="AF84" s="22"/>
      <c r="AG84" s="23"/>
      <c r="AH84" s="23"/>
      <c r="AI84" s="24"/>
      <c r="AJ84" s="22"/>
      <c r="AK84" s="23"/>
      <c r="AL84" s="23"/>
      <c r="AM84" s="24"/>
      <c r="AN84" s="22"/>
      <c r="AO84" s="23"/>
      <c r="AP84" s="23">
        <v>0</v>
      </c>
      <c r="AQ84" s="24"/>
      <c r="AR84" s="22"/>
      <c r="AS84" s="23"/>
      <c r="AT84" s="23">
        <v>0</v>
      </c>
      <c r="AU84" s="24">
        <v>0</v>
      </c>
      <c r="AV84" s="22"/>
      <c r="AW84" s="23">
        <v>0</v>
      </c>
      <c r="AX84" s="23">
        <v>0</v>
      </c>
      <c r="AY84" s="24">
        <v>0</v>
      </c>
      <c r="AZ84" s="22"/>
      <c r="BA84" s="23">
        <v>0</v>
      </c>
      <c r="BB84" s="23">
        <v>0</v>
      </c>
      <c r="BC84" s="24">
        <v>0</v>
      </c>
      <c r="BD84" s="22"/>
      <c r="BE84" s="23">
        <v>0</v>
      </c>
      <c r="BF84" s="23">
        <v>0</v>
      </c>
      <c r="BG84" s="24">
        <v>0</v>
      </c>
      <c r="BH84" s="637">
        <v>0</v>
      </c>
      <c r="BI84" s="325">
        <v>0</v>
      </c>
      <c r="BJ84" s="325">
        <v>0</v>
      </c>
      <c r="BK84" s="325">
        <v>0</v>
      </c>
      <c r="BL84" s="637">
        <v>0</v>
      </c>
      <c r="BM84" s="325">
        <v>0</v>
      </c>
      <c r="BN84" s="325">
        <v>0</v>
      </c>
      <c r="BO84" s="596">
        <v>0</v>
      </c>
      <c r="BP84" s="347"/>
      <c r="BQ84" s="25">
        <f>SUM(D84:G84)</f>
        <v>-1.196</v>
      </c>
      <c r="BR84" s="26">
        <f>SUM(H84:K84)</f>
        <v>-1.758</v>
      </c>
      <c r="BS84" s="26">
        <f>SUM(L84:O84)</f>
        <v>-10.207000000000003</v>
      </c>
      <c r="BT84" s="26">
        <f>SUM(P84:S84)</f>
        <v>-40.497999999999998</v>
      </c>
      <c r="BU84" s="26">
        <f>SUM(T84:W84)</f>
        <v>-17.994</v>
      </c>
      <c r="BV84" s="26">
        <f>SUM(X84:AA84)</f>
        <v>-1.7320000000000002</v>
      </c>
      <c r="BW84" s="26">
        <f>SUM(AB84:AE84)</f>
        <v>-0.123</v>
      </c>
      <c r="BX84" s="26">
        <f>SUM(AF84:AI84)</f>
        <v>0</v>
      </c>
      <c r="BY84" s="26">
        <f>SUM(AJ84:AM84)</f>
        <v>0</v>
      </c>
      <c r="BZ84" s="26">
        <f>SUM(AN84:AQ84)</f>
        <v>0</v>
      </c>
      <c r="CA84" s="26">
        <f>SUM(AR84:AU84)</f>
        <v>0</v>
      </c>
      <c r="CB84" s="26">
        <f>SUM(AV84:AY84)</f>
        <v>0</v>
      </c>
      <c r="CC84" s="26">
        <f>SUM(AZ84:BC84)</f>
        <v>0</v>
      </c>
      <c r="CD84" s="26">
        <f>SUM(BD84:BG84)</f>
        <v>0</v>
      </c>
      <c r="CE84" s="26">
        <f>SUM(BH84:BK84)</f>
        <v>0</v>
      </c>
      <c r="CF84" s="26">
        <f>SUM(BL84:BO84)</f>
        <v>0</v>
      </c>
      <c r="CG84" s="596">
        <v>0</v>
      </c>
      <c r="CH84" s="336"/>
    </row>
    <row r="85" spans="2:86" ht="14.25" hidden="1" outlineLevel="1">
      <c r="B85" s="20" t="s">
        <v>272</v>
      </c>
      <c r="C85" s="21"/>
      <c r="D85" s="22">
        <v>0</v>
      </c>
      <c r="E85" s="23">
        <v>0</v>
      </c>
      <c r="F85" s="23">
        <v>0</v>
      </c>
      <c r="G85" s="24">
        <v>0</v>
      </c>
      <c r="H85" s="22">
        <v>0</v>
      </c>
      <c r="I85" s="23">
        <v>0</v>
      </c>
      <c r="J85" s="23">
        <v>0</v>
      </c>
      <c r="K85" s="24">
        <v>0</v>
      </c>
      <c r="L85" s="22">
        <v>-8.8460000000000001</v>
      </c>
      <c r="M85" s="23">
        <v>0</v>
      </c>
      <c r="N85" s="23">
        <v>0</v>
      </c>
      <c r="O85" s="24">
        <v>0</v>
      </c>
      <c r="P85" s="22">
        <v>0</v>
      </c>
      <c r="Q85" s="23">
        <v>0</v>
      </c>
      <c r="R85" s="23">
        <v>0</v>
      </c>
      <c r="S85" s="24">
        <v>0</v>
      </c>
      <c r="T85" s="22">
        <v>0</v>
      </c>
      <c r="U85" s="23">
        <v>0</v>
      </c>
      <c r="V85" s="23">
        <v>0</v>
      </c>
      <c r="W85" s="24">
        <v>0</v>
      </c>
      <c r="X85" s="22">
        <v>0</v>
      </c>
      <c r="Y85" s="23">
        <v>0</v>
      </c>
      <c r="Z85" s="23">
        <v>0</v>
      </c>
      <c r="AA85" s="24">
        <v>0</v>
      </c>
      <c r="AB85" s="22">
        <v>0</v>
      </c>
      <c r="AC85" s="23">
        <v>0</v>
      </c>
      <c r="AD85" s="23">
        <v>0</v>
      </c>
      <c r="AE85" s="24">
        <v>0</v>
      </c>
      <c r="AF85" s="22">
        <v>0</v>
      </c>
      <c r="AG85" s="23">
        <v>0</v>
      </c>
      <c r="AH85" s="23">
        <v>0</v>
      </c>
      <c r="AI85" s="24">
        <v>0</v>
      </c>
      <c r="AJ85" s="22">
        <v>0</v>
      </c>
      <c r="AK85" s="23">
        <v>0</v>
      </c>
      <c r="AL85" s="23">
        <v>0</v>
      </c>
      <c r="AM85" s="24">
        <v>0</v>
      </c>
      <c r="AN85" s="22">
        <v>0</v>
      </c>
      <c r="AO85" s="23">
        <v>0</v>
      </c>
      <c r="AP85" s="23">
        <v>0</v>
      </c>
      <c r="AQ85" s="24">
        <v>-6.9749999999999996</v>
      </c>
      <c r="AR85" s="22">
        <v>0</v>
      </c>
      <c r="AS85" s="23">
        <v>0</v>
      </c>
      <c r="AT85" s="23">
        <v>0</v>
      </c>
      <c r="AU85" s="24">
        <v>0</v>
      </c>
      <c r="AV85" s="22">
        <v>0</v>
      </c>
      <c r="AW85" s="23">
        <v>0</v>
      </c>
      <c r="AX85" s="23">
        <v>0</v>
      </c>
      <c r="AY85" s="24">
        <v>0</v>
      </c>
      <c r="AZ85" s="22">
        <v>0</v>
      </c>
      <c r="BA85" s="23">
        <v>0</v>
      </c>
      <c r="BB85" s="23">
        <v>0</v>
      </c>
      <c r="BC85" s="24">
        <v>0</v>
      </c>
      <c r="BD85" s="22">
        <v>0</v>
      </c>
      <c r="BE85" s="23">
        <v>-3.085</v>
      </c>
      <c r="BF85" s="23">
        <v>-2.286</v>
      </c>
      <c r="BG85" s="24">
        <v>1.355</v>
      </c>
      <c r="BH85" s="637">
        <v>0</v>
      </c>
      <c r="BI85" s="325">
        <v>0</v>
      </c>
      <c r="BJ85" s="325">
        <v>0</v>
      </c>
      <c r="BK85" s="325">
        <v>0</v>
      </c>
      <c r="BL85" s="637">
        <v>0</v>
      </c>
      <c r="BM85" s="325">
        <v>0</v>
      </c>
      <c r="BN85" s="325">
        <v>0</v>
      </c>
      <c r="BO85" s="596">
        <v>0</v>
      </c>
      <c r="BP85" s="347"/>
      <c r="BQ85" s="25">
        <f>SUM(D85:G85)</f>
        <v>0</v>
      </c>
      <c r="BR85" s="26">
        <f>SUM(H85:K85)</f>
        <v>0</v>
      </c>
      <c r="BS85" s="26">
        <f>SUM(L85:O85)</f>
        <v>-8.8460000000000001</v>
      </c>
      <c r="BT85" s="26">
        <f>SUM(P85:S85)</f>
        <v>0</v>
      </c>
      <c r="BU85" s="26">
        <f>SUM(T85:W85)</f>
        <v>0</v>
      </c>
      <c r="BV85" s="26">
        <f>SUM(X85:AA85)</f>
        <v>0</v>
      </c>
      <c r="BW85" s="26">
        <f>SUM(AB85:AE85)</f>
        <v>0</v>
      </c>
      <c r="BX85" s="26">
        <f>SUM(AF85:AI85)</f>
        <v>0</v>
      </c>
      <c r="BY85" s="26">
        <f>SUM(AJ85:AM85)</f>
        <v>0</v>
      </c>
      <c r="BZ85" s="26">
        <f>SUM(AN85:AQ85)</f>
        <v>-6.9749999999999996</v>
      </c>
      <c r="CA85" s="26">
        <f>SUM(AR85:AU85)</f>
        <v>0</v>
      </c>
      <c r="CB85" s="26">
        <f>SUM(AV85:AY85)</f>
        <v>0</v>
      </c>
      <c r="CC85" s="26">
        <f>SUM(AZ85:BC85)</f>
        <v>0</v>
      </c>
      <c r="CD85" s="26">
        <f>SUM(BD85:BG85)</f>
        <v>-4.016</v>
      </c>
      <c r="CE85" s="26">
        <f>SUM(BH85:BK85)</f>
        <v>0</v>
      </c>
      <c r="CF85" s="26">
        <f>SUM(BL85:BO85)</f>
        <v>0</v>
      </c>
      <c r="CG85" s="596">
        <v>0</v>
      </c>
      <c r="CH85" s="336"/>
    </row>
    <row r="86" spans="2:86" ht="14.25" collapsed="1">
      <c r="B86" s="16" t="s">
        <v>31</v>
      </c>
      <c r="C86" s="17"/>
      <c r="D86" s="25">
        <f t="shared" ref="D86:AU86" si="423">D82+D85</f>
        <v>1.6719999999999999</v>
      </c>
      <c r="E86" s="26">
        <f t="shared" si="423"/>
        <v>1.6160000000000001</v>
      </c>
      <c r="F86" s="26">
        <f t="shared" si="423"/>
        <v>1.77</v>
      </c>
      <c r="G86" s="27">
        <f t="shared" si="423"/>
        <v>2.5990000000000011</v>
      </c>
      <c r="H86" s="25">
        <f t="shared" si="423"/>
        <v>3.6120000000000001</v>
      </c>
      <c r="I86" s="26">
        <f t="shared" si="423"/>
        <v>4.3840000000000003</v>
      </c>
      <c r="J86" s="26">
        <f t="shared" si="423"/>
        <v>5.2439999999999998</v>
      </c>
      <c r="K86" s="27">
        <f t="shared" si="423"/>
        <v>6.1289999999999987</v>
      </c>
      <c r="L86" s="25">
        <f t="shared" si="423"/>
        <v>7.6159999999999997</v>
      </c>
      <c r="M86" s="26">
        <f t="shared" si="423"/>
        <v>1.091</v>
      </c>
      <c r="N86" s="26">
        <f t="shared" si="423"/>
        <v>6.8449999999999998</v>
      </c>
      <c r="O86" s="27">
        <f t="shared" si="423"/>
        <v>-2.0030000000000019</v>
      </c>
      <c r="P86" s="25">
        <f t="shared" si="423"/>
        <v>-8.6559999999999988</v>
      </c>
      <c r="Q86" s="26">
        <f t="shared" si="423"/>
        <v>-6.8140000000000001</v>
      </c>
      <c r="R86" s="26">
        <f t="shared" si="423"/>
        <v>-9.4090000000000007</v>
      </c>
      <c r="S86" s="27">
        <f t="shared" si="423"/>
        <v>12.481000000000003</v>
      </c>
      <c r="T86" s="25">
        <f t="shared" si="423"/>
        <v>-4.6920000000000002</v>
      </c>
      <c r="U86" s="26">
        <f t="shared" si="423"/>
        <v>-0.75399999999999956</v>
      </c>
      <c r="V86" s="26">
        <f t="shared" si="423"/>
        <v>11.542999999999999</v>
      </c>
      <c r="W86" s="27">
        <f t="shared" si="423"/>
        <v>-0.44000000000000261</v>
      </c>
      <c r="X86" s="25">
        <f t="shared" si="423"/>
        <v>-0.15999999999999998</v>
      </c>
      <c r="Y86" s="26">
        <f t="shared" si="423"/>
        <v>0.27899999999999991</v>
      </c>
      <c r="Z86" s="26">
        <f t="shared" si="423"/>
        <v>-1.373</v>
      </c>
      <c r="AA86" s="27">
        <f t="shared" si="423"/>
        <v>10.249000000000001</v>
      </c>
      <c r="AB86" s="25">
        <f t="shared" si="423"/>
        <v>-3.7520000000000002</v>
      </c>
      <c r="AC86" s="26">
        <f t="shared" si="423"/>
        <v>4.2119999999999997</v>
      </c>
      <c r="AD86" s="26">
        <f t="shared" si="423"/>
        <v>-1.6649999999999998</v>
      </c>
      <c r="AE86" s="27">
        <f t="shared" si="423"/>
        <v>10.475</v>
      </c>
      <c r="AF86" s="25">
        <f t="shared" si="423"/>
        <v>-0.218</v>
      </c>
      <c r="AG86" s="26">
        <f t="shared" si="423"/>
        <v>2.0640000000000001</v>
      </c>
      <c r="AH86" s="26">
        <f t="shared" si="423"/>
        <v>7.7290000000000001</v>
      </c>
      <c r="AI86" s="27">
        <f t="shared" si="423"/>
        <v>5.3380000000000001</v>
      </c>
      <c r="AJ86" s="25">
        <f t="shared" si="423"/>
        <v>1.0569999999999999</v>
      </c>
      <c r="AK86" s="26">
        <f t="shared" si="423"/>
        <v>5.8639999999999999</v>
      </c>
      <c r="AL86" s="26">
        <f t="shared" si="423"/>
        <v>2.387</v>
      </c>
      <c r="AM86" s="27">
        <f t="shared" si="423"/>
        <v>6.2249999999999996</v>
      </c>
      <c r="AN86" s="25">
        <f t="shared" si="423"/>
        <v>3.16</v>
      </c>
      <c r="AO86" s="26">
        <f t="shared" si="423"/>
        <v>8.2530000000000001</v>
      </c>
      <c r="AP86" s="26">
        <f t="shared" si="423"/>
        <v>1.536</v>
      </c>
      <c r="AQ86" s="27">
        <f>AQ82+AQ85</f>
        <v>5.6420000000000012</v>
      </c>
      <c r="AR86" s="25">
        <f t="shared" si="423"/>
        <v>1.925</v>
      </c>
      <c r="AS86" s="26">
        <f>AS82+AS85</f>
        <v>12.263</v>
      </c>
      <c r="AT86" s="26">
        <f>AT82+AT85</f>
        <v>4.7640000000000002</v>
      </c>
      <c r="AU86" s="27">
        <f t="shared" si="423"/>
        <v>4.3819999999999997</v>
      </c>
      <c r="AV86" s="25">
        <f>AV82+AV85</f>
        <v>5.1669999999999998</v>
      </c>
      <c r="AW86" s="26">
        <f t="shared" ref="AW86:AY86" si="424">AW82+AW85</f>
        <v>6.79</v>
      </c>
      <c r="AX86" s="26">
        <f t="shared" si="424"/>
        <v>4.6440000000000001</v>
      </c>
      <c r="AY86" s="27">
        <f t="shared" si="424"/>
        <v>1.0840000000000001</v>
      </c>
      <c r="AZ86" s="25">
        <f>AZ82+AZ85</f>
        <v>1.488</v>
      </c>
      <c r="BA86" s="26">
        <f t="shared" ref="BA86:BC86" si="425">BA82+BA85</f>
        <v>6.2839999999999998</v>
      </c>
      <c r="BB86" s="26">
        <f t="shared" si="425"/>
        <v>5.47</v>
      </c>
      <c r="BC86" s="27">
        <f t="shared" si="425"/>
        <v>3.78</v>
      </c>
      <c r="BD86" s="25">
        <f>BD82+BD85</f>
        <v>3.3330000000000002</v>
      </c>
      <c r="BE86" s="26">
        <f t="shared" ref="BE86:BG86" si="426">BE82+BE85</f>
        <v>4.1029999999999998</v>
      </c>
      <c r="BF86" s="26">
        <f t="shared" si="426"/>
        <v>3.9140000000000001</v>
      </c>
      <c r="BG86" s="27">
        <f t="shared" si="426"/>
        <v>6.1430000000000007</v>
      </c>
      <c r="BH86" s="25">
        <f t="shared" ref="BH86:BK86" si="427">BH82+BH85</f>
        <v>3.5</v>
      </c>
      <c r="BI86" s="26">
        <f t="shared" si="427"/>
        <v>3.5</v>
      </c>
      <c r="BJ86" s="26">
        <f t="shared" si="427"/>
        <v>3.5</v>
      </c>
      <c r="BK86" s="26">
        <f t="shared" si="427"/>
        <v>3.5</v>
      </c>
      <c r="BL86" s="25">
        <f t="shared" ref="BL86:BO86" si="428">BL82+BL85</f>
        <v>3.5</v>
      </c>
      <c r="BM86" s="26">
        <f t="shared" si="428"/>
        <v>3.5</v>
      </c>
      <c r="BN86" s="26">
        <f t="shared" si="428"/>
        <v>3.5</v>
      </c>
      <c r="BO86" s="597">
        <f t="shared" si="428"/>
        <v>3.5</v>
      </c>
      <c r="BP86" s="347"/>
      <c r="BQ86" s="25">
        <f t="shared" ref="BQ86:CA86" si="429">BQ82+BQ85</f>
        <v>7.6570000000000018</v>
      </c>
      <c r="BR86" s="26">
        <f t="shared" si="429"/>
        <v>19.369</v>
      </c>
      <c r="BS86" s="26">
        <f t="shared" si="429"/>
        <v>13.548999999999996</v>
      </c>
      <c r="BT86" s="26">
        <f t="shared" si="429"/>
        <v>-12.397999999999996</v>
      </c>
      <c r="BU86" s="26">
        <f t="shared" si="429"/>
        <v>5.657</v>
      </c>
      <c r="BV86" s="26">
        <f t="shared" si="429"/>
        <v>8.995000000000001</v>
      </c>
      <c r="BW86" s="26">
        <f t="shared" si="429"/>
        <v>9.2700000000000014</v>
      </c>
      <c r="BX86" s="26">
        <f t="shared" si="429"/>
        <v>14.913</v>
      </c>
      <c r="BY86" s="26">
        <f t="shared" si="429"/>
        <v>15.532999999999999</v>
      </c>
      <c r="BZ86" s="26">
        <f t="shared" si="429"/>
        <v>18.591000000000001</v>
      </c>
      <c r="CA86" s="26">
        <f t="shared" si="429"/>
        <v>23.334000000000003</v>
      </c>
      <c r="CB86" s="26">
        <f>CB82+CB85</f>
        <v>17.684999999999999</v>
      </c>
      <c r="CC86" s="26">
        <f>CC82+CC85</f>
        <v>17.022000000000002</v>
      </c>
      <c r="CD86" s="26">
        <f>CD82+CD85</f>
        <v>17.493000000000002</v>
      </c>
      <c r="CE86" s="26">
        <f>CE82+CE85</f>
        <v>14</v>
      </c>
      <c r="CF86" s="26">
        <f>CF82+CF85</f>
        <v>14</v>
      </c>
      <c r="CG86" s="597">
        <f t="shared" ref="CG86" si="430">CG82+CG85</f>
        <v>14</v>
      </c>
      <c r="CH86" s="336"/>
    </row>
    <row r="87" spans="2:86" ht="14.25" hidden="1" outlineLevel="1">
      <c r="B87" s="16" t="s">
        <v>32</v>
      </c>
      <c r="C87" s="21"/>
      <c r="D87" s="25">
        <f t="shared" ref="D87:AU87" si="431">D82+D85</f>
        <v>1.6719999999999999</v>
      </c>
      <c r="E87" s="26">
        <f t="shared" si="431"/>
        <v>1.6160000000000001</v>
      </c>
      <c r="F87" s="26">
        <f t="shared" si="431"/>
        <v>1.77</v>
      </c>
      <c r="G87" s="27">
        <f t="shared" si="431"/>
        <v>2.5990000000000011</v>
      </c>
      <c r="H87" s="25">
        <f t="shared" si="431"/>
        <v>3.6120000000000001</v>
      </c>
      <c r="I87" s="26">
        <f t="shared" si="431"/>
        <v>4.3840000000000003</v>
      </c>
      <c r="J87" s="26">
        <f t="shared" si="431"/>
        <v>5.2439999999999998</v>
      </c>
      <c r="K87" s="27">
        <f t="shared" si="431"/>
        <v>6.1289999999999987</v>
      </c>
      <c r="L87" s="25">
        <f t="shared" si="431"/>
        <v>7.6159999999999997</v>
      </c>
      <c r="M87" s="26">
        <f t="shared" si="431"/>
        <v>1.091</v>
      </c>
      <c r="N87" s="26">
        <f t="shared" si="431"/>
        <v>6.8449999999999998</v>
      </c>
      <c r="O87" s="27">
        <f t="shared" si="431"/>
        <v>-2.0030000000000019</v>
      </c>
      <c r="P87" s="25">
        <f t="shared" si="431"/>
        <v>-8.6559999999999988</v>
      </c>
      <c r="Q87" s="26">
        <f t="shared" si="431"/>
        <v>-6.8140000000000001</v>
      </c>
      <c r="R87" s="26">
        <f t="shared" si="431"/>
        <v>-9.4090000000000007</v>
      </c>
      <c r="S87" s="27">
        <f t="shared" si="431"/>
        <v>12.481000000000003</v>
      </c>
      <c r="T87" s="25">
        <f t="shared" si="431"/>
        <v>-4.6920000000000002</v>
      </c>
      <c r="U87" s="26">
        <f t="shared" si="431"/>
        <v>-0.75399999999999956</v>
      </c>
      <c r="V87" s="26">
        <f t="shared" si="431"/>
        <v>11.542999999999999</v>
      </c>
      <c r="W87" s="27">
        <f t="shared" si="431"/>
        <v>-0.44000000000000261</v>
      </c>
      <c r="X87" s="25">
        <f t="shared" si="431"/>
        <v>-0.15999999999999998</v>
      </c>
      <c r="Y87" s="26">
        <f t="shared" si="431"/>
        <v>0.27899999999999991</v>
      </c>
      <c r="Z87" s="26">
        <f t="shared" si="431"/>
        <v>-1.373</v>
      </c>
      <c r="AA87" s="27">
        <f t="shared" si="431"/>
        <v>10.249000000000001</v>
      </c>
      <c r="AB87" s="25">
        <f t="shared" si="431"/>
        <v>-3.7520000000000002</v>
      </c>
      <c r="AC87" s="26">
        <f t="shared" si="431"/>
        <v>4.2119999999999997</v>
      </c>
      <c r="AD87" s="26">
        <f t="shared" si="431"/>
        <v>-1.6649999999999998</v>
      </c>
      <c r="AE87" s="27">
        <f t="shared" ref="AE87:AJ87" si="432">AE82+AE85</f>
        <v>10.475</v>
      </c>
      <c r="AF87" s="25">
        <f t="shared" si="432"/>
        <v>-0.218</v>
      </c>
      <c r="AG87" s="26">
        <f t="shared" si="432"/>
        <v>2.0640000000000001</v>
      </c>
      <c r="AH87" s="26">
        <f t="shared" si="432"/>
        <v>7.7290000000000001</v>
      </c>
      <c r="AI87" s="27">
        <f t="shared" si="432"/>
        <v>5.3380000000000001</v>
      </c>
      <c r="AJ87" s="25">
        <f t="shared" si="432"/>
        <v>1.0569999999999999</v>
      </c>
      <c r="AK87" s="26">
        <f>AK82+AK85</f>
        <v>5.8639999999999999</v>
      </c>
      <c r="AL87" s="26">
        <f>AL82+AL85</f>
        <v>2.387</v>
      </c>
      <c r="AM87" s="27">
        <f>AM82+AM85</f>
        <v>6.2249999999999996</v>
      </c>
      <c r="AN87" s="25">
        <f>AN82+AN85</f>
        <v>3.16</v>
      </c>
      <c r="AO87" s="26">
        <f>AO82+AO85</f>
        <v>8.2530000000000001</v>
      </c>
      <c r="AP87" s="26">
        <f t="shared" si="431"/>
        <v>1.536</v>
      </c>
      <c r="AQ87" s="27">
        <f>AQ82+AQ85</f>
        <v>5.6420000000000012</v>
      </c>
      <c r="AR87" s="25">
        <f>AR82+AR85</f>
        <v>1.925</v>
      </c>
      <c r="AS87" s="26">
        <f>AS82+AS85</f>
        <v>12.263</v>
      </c>
      <c r="AT87" s="26">
        <f>AT82+AT85</f>
        <v>4.7640000000000002</v>
      </c>
      <c r="AU87" s="27">
        <f t="shared" si="431"/>
        <v>4.3819999999999997</v>
      </c>
      <c r="AV87" s="25">
        <f>AV82+AV85</f>
        <v>5.1669999999999998</v>
      </c>
      <c r="AW87" s="26">
        <f t="shared" ref="AW87:AY87" si="433">AW82+AW85</f>
        <v>6.79</v>
      </c>
      <c r="AX87" s="26">
        <f t="shared" si="433"/>
        <v>4.6440000000000001</v>
      </c>
      <c r="AY87" s="27">
        <f t="shared" si="433"/>
        <v>1.0840000000000001</v>
      </c>
      <c r="AZ87" s="25">
        <f>AZ82+AZ85</f>
        <v>1.488</v>
      </c>
      <c r="BA87" s="26">
        <f t="shared" ref="BA87:BC87" si="434">BA82+BA85</f>
        <v>6.2839999999999998</v>
      </c>
      <c r="BB87" s="26">
        <f t="shared" si="434"/>
        <v>5.47</v>
      </c>
      <c r="BC87" s="27">
        <f t="shared" si="434"/>
        <v>3.78</v>
      </c>
      <c r="BD87" s="25">
        <f>BD82+BD85</f>
        <v>3.3330000000000002</v>
      </c>
      <c r="BE87" s="26">
        <f t="shared" ref="BE87:BG87" si="435">BE82+BE85</f>
        <v>4.1029999999999998</v>
      </c>
      <c r="BF87" s="26">
        <f t="shared" si="435"/>
        <v>3.9140000000000001</v>
      </c>
      <c r="BG87" s="27">
        <f t="shared" si="435"/>
        <v>6.1430000000000007</v>
      </c>
      <c r="BH87" s="25">
        <f t="shared" ref="BH87:BK87" si="436">BH82+BH85</f>
        <v>3.5</v>
      </c>
      <c r="BI87" s="26">
        <f t="shared" si="436"/>
        <v>3.5</v>
      </c>
      <c r="BJ87" s="26">
        <f t="shared" si="436"/>
        <v>3.5</v>
      </c>
      <c r="BK87" s="26">
        <f t="shared" si="436"/>
        <v>3.5</v>
      </c>
      <c r="BL87" s="25">
        <f t="shared" ref="BL87:BO87" si="437">BL82+BL85</f>
        <v>3.5</v>
      </c>
      <c r="BM87" s="26">
        <f t="shared" si="437"/>
        <v>3.5</v>
      </c>
      <c r="BN87" s="26">
        <f t="shared" si="437"/>
        <v>3.5</v>
      </c>
      <c r="BO87" s="597">
        <f t="shared" si="437"/>
        <v>3.5</v>
      </c>
      <c r="BP87" s="347"/>
      <c r="BQ87" s="25">
        <f t="shared" ref="BQ87:CA87" si="438">BQ82+BQ85</f>
        <v>7.6570000000000018</v>
      </c>
      <c r="BR87" s="26">
        <f t="shared" si="438"/>
        <v>19.369</v>
      </c>
      <c r="BS87" s="26">
        <f t="shared" si="438"/>
        <v>13.548999999999996</v>
      </c>
      <c r="BT87" s="26">
        <f t="shared" si="438"/>
        <v>-12.397999999999996</v>
      </c>
      <c r="BU87" s="26">
        <f t="shared" si="438"/>
        <v>5.657</v>
      </c>
      <c r="BV87" s="26">
        <f t="shared" si="438"/>
        <v>8.995000000000001</v>
      </c>
      <c r="BW87" s="26">
        <f t="shared" si="438"/>
        <v>9.2700000000000014</v>
      </c>
      <c r="BX87" s="26">
        <f t="shared" si="438"/>
        <v>14.913</v>
      </c>
      <c r="BY87" s="26">
        <f t="shared" si="438"/>
        <v>15.532999999999999</v>
      </c>
      <c r="BZ87" s="26">
        <f t="shared" si="438"/>
        <v>18.591000000000001</v>
      </c>
      <c r="CA87" s="26">
        <f t="shared" si="438"/>
        <v>23.334000000000003</v>
      </c>
      <c r="CB87" s="26">
        <f>CB82+CB85</f>
        <v>17.684999999999999</v>
      </c>
      <c r="CC87" s="26">
        <f>CC82+CC85</f>
        <v>17.022000000000002</v>
      </c>
      <c r="CD87" s="26">
        <f>CD82+CD85</f>
        <v>17.493000000000002</v>
      </c>
      <c r="CE87" s="26">
        <f>CE82+CE85</f>
        <v>14</v>
      </c>
      <c r="CF87" s="26">
        <f>CF82+CF85</f>
        <v>14</v>
      </c>
      <c r="CG87" s="597">
        <f t="shared" ref="CG87" si="439">CG82+CG85</f>
        <v>14</v>
      </c>
      <c r="CH87" s="336"/>
    </row>
    <row r="88" spans="2:86" ht="9" customHeight="1" collapsed="1">
      <c r="B88" s="20"/>
      <c r="C88" s="21"/>
      <c r="D88" s="35"/>
      <c r="E88" s="36"/>
      <c r="F88" s="36"/>
      <c r="G88" s="37"/>
      <c r="H88" s="35"/>
      <c r="I88" s="36"/>
      <c r="J88" s="36"/>
      <c r="K88" s="37"/>
      <c r="L88" s="35"/>
      <c r="M88" s="36"/>
      <c r="N88" s="36"/>
      <c r="O88" s="37"/>
      <c r="P88" s="35"/>
      <c r="Q88" s="36"/>
      <c r="R88" s="36"/>
      <c r="S88" s="37"/>
      <c r="T88" s="35"/>
      <c r="U88" s="36"/>
      <c r="V88" s="36"/>
      <c r="W88" s="37"/>
      <c r="X88" s="35"/>
      <c r="Y88" s="36"/>
      <c r="Z88" s="36"/>
      <c r="AA88" s="37"/>
      <c r="AB88" s="35"/>
      <c r="AC88" s="36"/>
      <c r="AD88" s="36"/>
      <c r="AE88" s="37"/>
      <c r="AF88" s="35"/>
      <c r="AG88" s="36"/>
      <c r="AH88" s="36"/>
      <c r="AI88" s="37"/>
      <c r="AJ88" s="35"/>
      <c r="AK88" s="36"/>
      <c r="AL88" s="36"/>
      <c r="AM88" s="37"/>
      <c r="AN88" s="35"/>
      <c r="AO88" s="36"/>
      <c r="AP88" s="36"/>
      <c r="AQ88" s="37"/>
      <c r="AR88" s="35"/>
      <c r="AS88" s="36"/>
      <c r="AT88" s="36"/>
      <c r="AU88" s="37"/>
      <c r="AV88" s="35"/>
      <c r="AW88" s="36"/>
      <c r="AX88" s="36"/>
      <c r="AY88" s="37"/>
      <c r="AZ88" s="35"/>
      <c r="BA88" s="36"/>
      <c r="BB88" s="36"/>
      <c r="BC88" s="37"/>
      <c r="BD88" s="35"/>
      <c r="BE88" s="36"/>
      <c r="BF88" s="36"/>
      <c r="BG88" s="37"/>
      <c r="BH88" s="35"/>
      <c r="BI88" s="36"/>
      <c r="BJ88" s="36"/>
      <c r="BK88" s="36"/>
      <c r="BL88" s="35"/>
      <c r="BM88" s="36"/>
      <c r="BN88" s="36"/>
      <c r="BO88" s="599"/>
      <c r="BP88" s="347"/>
      <c r="BQ88" s="683"/>
      <c r="BR88" s="338"/>
      <c r="BS88" s="338"/>
      <c r="BT88" s="338"/>
      <c r="BU88" s="338"/>
      <c r="BV88" s="338"/>
      <c r="BW88" s="338"/>
      <c r="BX88" s="338"/>
      <c r="BY88" s="338"/>
      <c r="BZ88" s="338"/>
      <c r="CA88" s="338"/>
      <c r="CB88" s="338"/>
      <c r="CC88" s="338"/>
      <c r="CD88" s="338"/>
      <c r="CE88" s="338"/>
      <c r="CF88" s="338"/>
      <c r="CG88" s="599"/>
      <c r="CH88" s="336"/>
    </row>
    <row r="89" spans="2:86" ht="15" hidden="1" outlineLevel="1">
      <c r="B89" s="39" t="s">
        <v>33</v>
      </c>
      <c r="C89" s="40"/>
      <c r="D89" s="41">
        <f t="shared" ref="D89:O89" si="440">D75+D82</f>
        <v>19.956999999999983</v>
      </c>
      <c r="E89" s="42">
        <f t="shared" si="440"/>
        <v>35.251999999999995</v>
      </c>
      <c r="F89" s="42">
        <f t="shared" si="440"/>
        <v>50.99500000000004</v>
      </c>
      <c r="G89" s="43">
        <f t="shared" si="440"/>
        <v>63.299999999999841</v>
      </c>
      <c r="H89" s="41">
        <f t="shared" si="440"/>
        <v>63.297999999999981</v>
      </c>
      <c r="I89" s="42">
        <f t="shared" si="440"/>
        <v>57.940000000000012</v>
      </c>
      <c r="J89" s="42">
        <f t="shared" si="440"/>
        <v>95.938999999999993</v>
      </c>
      <c r="K89" s="43">
        <f t="shared" si="440"/>
        <v>58.674000000000099</v>
      </c>
      <c r="L89" s="41">
        <f t="shared" si="440"/>
        <v>93.42600000000003</v>
      </c>
      <c r="M89" s="42">
        <f t="shared" si="440"/>
        <v>56.995000000000026</v>
      </c>
      <c r="N89" s="42">
        <f t="shared" si="440"/>
        <v>12.50700000000009</v>
      </c>
      <c r="O89" s="43">
        <f t="shared" si="440"/>
        <v>-139.47600000000048</v>
      </c>
      <c r="P89" s="41">
        <f t="shared" ref="P89:W89" si="441">P75+P82</f>
        <v>-46.856000000000044</v>
      </c>
      <c r="Q89" s="42">
        <f t="shared" si="441"/>
        <v>-46.836999999999911</v>
      </c>
      <c r="R89" s="42">
        <f t="shared" si="441"/>
        <v>-15.848000000000022</v>
      </c>
      <c r="S89" s="43">
        <f t="shared" si="441"/>
        <v>-8.4469999999998233</v>
      </c>
      <c r="T89" s="41">
        <f t="shared" si="441"/>
        <v>77.78000000000003</v>
      </c>
      <c r="U89" s="42">
        <f t="shared" si="441"/>
        <v>78.383000000000052</v>
      </c>
      <c r="V89" s="42">
        <f t="shared" si="441"/>
        <v>84.38900000000001</v>
      </c>
      <c r="W89" s="43">
        <f t="shared" si="441"/>
        <v>-69.719000000000392</v>
      </c>
      <c r="X89" s="41">
        <f t="shared" ref="X89:AD89" si="442">X75+X82</f>
        <v>-109.43899999999999</v>
      </c>
      <c r="Y89" s="42">
        <f t="shared" si="442"/>
        <v>67.827999999999918</v>
      </c>
      <c r="Z89" s="42">
        <f t="shared" si="442"/>
        <v>168.68299999999994</v>
      </c>
      <c r="AA89" s="43">
        <f t="shared" si="442"/>
        <v>216.03799999999987</v>
      </c>
      <c r="AB89" s="41">
        <f t="shared" si="442"/>
        <v>204.65099999999995</v>
      </c>
      <c r="AC89" s="42">
        <f t="shared" si="442"/>
        <v>222.27600000000001</v>
      </c>
      <c r="AD89" s="42">
        <f t="shared" si="442"/>
        <v>257.33699999999999</v>
      </c>
      <c r="AE89" s="43">
        <f t="shared" ref="AE89:AJ89" si="443">AE75+AE82</f>
        <v>226.19800000000001</v>
      </c>
      <c r="AF89" s="41">
        <f t="shared" si="443"/>
        <v>147.89500000000001</v>
      </c>
      <c r="AG89" s="42">
        <f t="shared" si="443"/>
        <v>196.70400000000004</v>
      </c>
      <c r="AH89" s="42">
        <f t="shared" si="443"/>
        <v>199.11500000000004</v>
      </c>
      <c r="AI89" s="43">
        <f t="shared" si="443"/>
        <v>75.344999999999942</v>
      </c>
      <c r="AJ89" s="41">
        <f t="shared" si="443"/>
        <v>94.99</v>
      </c>
      <c r="AK89" s="42">
        <f t="shared" ref="AK89:AU89" si="444">AK75+AK82</f>
        <v>96.179000000000002</v>
      </c>
      <c r="AL89" s="42">
        <f t="shared" si="444"/>
        <v>69.183999999999969</v>
      </c>
      <c r="AM89" s="43">
        <f t="shared" si="444"/>
        <v>49.836999999999911</v>
      </c>
      <c r="AN89" s="41">
        <f t="shared" si="444"/>
        <v>46.041000000000082</v>
      </c>
      <c r="AO89" s="42">
        <f t="shared" si="444"/>
        <v>60.230000000000032</v>
      </c>
      <c r="AP89" s="42">
        <f t="shared" si="444"/>
        <v>96.760000000000048</v>
      </c>
      <c r="AQ89" s="43">
        <f t="shared" si="444"/>
        <v>103.22600000000004</v>
      </c>
      <c r="AR89" s="41">
        <f t="shared" si="444"/>
        <v>94.91200000000002</v>
      </c>
      <c r="AS89" s="42">
        <f t="shared" si="444"/>
        <v>132.71699999999996</v>
      </c>
      <c r="AT89" s="42">
        <f t="shared" si="444"/>
        <v>120.30399999999996</v>
      </c>
      <c r="AU89" s="43">
        <f t="shared" si="444"/>
        <v>84.21999999999997</v>
      </c>
      <c r="AV89" s="41">
        <f>AV75+AV82</f>
        <v>18.419000000000068</v>
      </c>
      <c r="AW89" s="42">
        <f t="shared" ref="AW89:AY89" si="445">AW75+AW82</f>
        <v>-766.39700000000016</v>
      </c>
      <c r="AX89" s="42">
        <f t="shared" si="445"/>
        <v>-54.430000000000071</v>
      </c>
      <c r="AY89" s="43">
        <f t="shared" si="445"/>
        <v>3.3539999999999819</v>
      </c>
      <c r="AZ89" s="41">
        <f>AZ75+AZ82</f>
        <v>-27.633999999999958</v>
      </c>
      <c r="BA89" s="42">
        <f t="shared" ref="BA89:BC89" si="446">BA75+BA82</f>
        <v>45.789999999999971</v>
      </c>
      <c r="BB89" s="42">
        <f t="shared" si="446"/>
        <v>88.423000000000087</v>
      </c>
      <c r="BC89" s="43">
        <f t="shared" si="446"/>
        <v>-8.3530000000000957</v>
      </c>
      <c r="BD89" s="41">
        <f>BD75+BD82</f>
        <v>102.22099999999998</v>
      </c>
      <c r="BE89" s="42">
        <f t="shared" ref="BE89:BG89" si="447">BE75+BE82</f>
        <v>131.55099999999999</v>
      </c>
      <c r="BF89" s="42">
        <f t="shared" si="447"/>
        <v>156.096</v>
      </c>
      <c r="BG89" s="43">
        <f t="shared" si="447"/>
        <v>58.798999999999964</v>
      </c>
      <c r="BH89" s="41">
        <f t="shared" ref="BH89:BK89" si="448">BH75+BH82</f>
        <v>143.45876387000001</v>
      </c>
      <c r="BI89" s="42">
        <f t="shared" si="448"/>
        <v>154.38868383244997</v>
      </c>
      <c r="BJ89" s="42">
        <f t="shared" si="448"/>
        <v>162.35632543529144</v>
      </c>
      <c r="BK89" s="42">
        <f t="shared" si="448"/>
        <v>162.45361264087018</v>
      </c>
      <c r="BL89" s="41">
        <f t="shared" ref="BL89:BO89" si="449">BL75+BL82</f>
        <v>153.17034737956607</v>
      </c>
      <c r="BM89" s="42">
        <f t="shared" si="449"/>
        <v>163.66444629240578</v>
      </c>
      <c r="BN89" s="42">
        <f t="shared" si="449"/>
        <v>170.04201474310244</v>
      </c>
      <c r="BO89" s="601">
        <f t="shared" si="449"/>
        <v>169.08100295414152</v>
      </c>
      <c r="BP89" s="347"/>
      <c r="BQ89" s="41">
        <f t="shared" ref="BQ89:BW89" si="450">BQ75+BQ82</f>
        <v>169.50399999999993</v>
      </c>
      <c r="BR89" s="42">
        <f t="shared" si="450"/>
        <v>275.851</v>
      </c>
      <c r="BS89" s="42">
        <f t="shared" si="450"/>
        <v>23.451999999999785</v>
      </c>
      <c r="BT89" s="42">
        <f t="shared" si="450"/>
        <v>-117.98799999999946</v>
      </c>
      <c r="BU89" s="42">
        <f t="shared" si="450"/>
        <v>170.83299999999949</v>
      </c>
      <c r="BV89" s="42">
        <f t="shared" si="450"/>
        <v>343.10999999999956</v>
      </c>
      <c r="BW89" s="42">
        <f t="shared" si="450"/>
        <v>910.46200000000022</v>
      </c>
      <c r="BX89" s="42">
        <f t="shared" ref="BX89:CA89" si="451">BX75+BX82</f>
        <v>619.05899999999997</v>
      </c>
      <c r="BY89" s="42">
        <f t="shared" si="451"/>
        <v>310.18999999999971</v>
      </c>
      <c r="BZ89" s="42">
        <f t="shared" si="451"/>
        <v>306.25700000000074</v>
      </c>
      <c r="CA89" s="42">
        <f t="shared" si="451"/>
        <v>432.15299999999974</v>
      </c>
      <c r="CB89" s="42">
        <f>CB75+CB82</f>
        <v>-799.05400000000009</v>
      </c>
      <c r="CC89" s="42">
        <f>CC75+CC82</f>
        <v>98.226000000000411</v>
      </c>
      <c r="CD89" s="42">
        <f>CD75+CD82</f>
        <v>448.66699999999992</v>
      </c>
      <c r="CE89" s="42">
        <f>CE75+CE82</f>
        <v>622.6573857786118</v>
      </c>
      <c r="CF89" s="42">
        <f>CF75+CF82</f>
        <v>655.95781136921607</v>
      </c>
      <c r="CG89" s="601">
        <f t="shared" ref="CG89" si="452">CG75+CG82</f>
        <v>663.57591343452862</v>
      </c>
      <c r="CH89" s="336"/>
    </row>
    <row r="90" spans="2:86" ht="14.25" hidden="1" outlineLevel="1">
      <c r="B90" s="28" t="s">
        <v>34</v>
      </c>
      <c r="C90" s="29"/>
      <c r="D90" s="38">
        <f t="shared" ref="D90:AU90" si="453">D89/D10</f>
        <v>7.4030796395834889E-2</v>
      </c>
      <c r="E90" s="31">
        <f t="shared" si="453"/>
        <v>0.11863208975817252</v>
      </c>
      <c r="F90" s="31">
        <f t="shared" si="453"/>
        <v>0.16057219687451796</v>
      </c>
      <c r="G90" s="32">
        <f t="shared" si="453"/>
        <v>0.18603092874398228</v>
      </c>
      <c r="H90" s="38">
        <f t="shared" si="453"/>
        <v>0.17352852482386158</v>
      </c>
      <c r="I90" s="31">
        <f t="shared" si="453"/>
        <v>0.14839135980166682</v>
      </c>
      <c r="J90" s="31">
        <f t="shared" si="453"/>
        <v>0.22519517588128421</v>
      </c>
      <c r="K90" s="32">
        <f t="shared" si="453"/>
        <v>0.11998380421090535</v>
      </c>
      <c r="L90" s="38">
        <f t="shared" si="453"/>
        <v>0.1792531024796814</v>
      </c>
      <c r="M90" s="31">
        <f t="shared" si="453"/>
        <v>9.9297019956967561E-2</v>
      </c>
      <c r="N90" s="31">
        <f t="shared" si="453"/>
        <v>2.4033528184197652E-2</v>
      </c>
      <c r="O90" s="32">
        <f t="shared" si="453"/>
        <v>-0.22424731580419852</v>
      </c>
      <c r="P90" s="38">
        <f t="shared" si="453"/>
        <v>-7.378316667978907E-2</v>
      </c>
      <c r="Q90" s="31">
        <f t="shared" si="453"/>
        <v>-7.1320565667393893E-2</v>
      </c>
      <c r="R90" s="31">
        <f t="shared" si="453"/>
        <v>-2.0900868583546794E-2</v>
      </c>
      <c r="S90" s="32">
        <f t="shared" si="453"/>
        <v>-1.0000165742062521E-2</v>
      </c>
      <c r="T90" s="38">
        <f t="shared" si="453"/>
        <v>9.6732269999689119E-2</v>
      </c>
      <c r="U90" s="31">
        <f t="shared" si="453"/>
        <v>9.3027920363172478E-2</v>
      </c>
      <c r="V90" s="31">
        <f t="shared" si="453"/>
        <v>0.10668026890977264</v>
      </c>
      <c r="W90" s="32">
        <f t="shared" si="453"/>
        <v>-0.13593972706374249</v>
      </c>
      <c r="X90" s="38">
        <f t="shared" si="453"/>
        <v>-0.20988082863794844</v>
      </c>
      <c r="Y90" s="31">
        <f t="shared" si="453"/>
        <v>0.10587868002872204</v>
      </c>
      <c r="Z90" s="31">
        <f t="shared" si="453"/>
        <v>0.21004036867231637</v>
      </c>
      <c r="AA90" s="32">
        <f t="shared" si="453"/>
        <v>0.25641427359100794</v>
      </c>
      <c r="AB90" s="38">
        <f t="shared" si="453"/>
        <v>0.23919591294316475</v>
      </c>
      <c r="AC90" s="31">
        <f t="shared" si="453"/>
        <v>0.24794472566967921</v>
      </c>
      <c r="AD90" s="31">
        <f t="shared" si="453"/>
        <v>0.26824742762374038</v>
      </c>
      <c r="AE90" s="32">
        <f t="shared" si="453"/>
        <v>0.25118793398873751</v>
      </c>
      <c r="AF90" s="38">
        <f t="shared" si="453"/>
        <v>0.18431534318209575</v>
      </c>
      <c r="AG90" s="31">
        <f t="shared" si="453"/>
        <v>0.21916391835279442</v>
      </c>
      <c r="AH90" s="31">
        <f t="shared" si="453"/>
        <v>0.20950277614983742</v>
      </c>
      <c r="AI90" s="32">
        <f t="shared" si="453"/>
        <v>0.10144728497739998</v>
      </c>
      <c r="AJ90" s="38">
        <f t="shared" si="453"/>
        <v>0.1192815730751892</v>
      </c>
      <c r="AK90" s="31">
        <f t="shared" si="453"/>
        <v>0.11785140129199219</v>
      </c>
      <c r="AL90" s="31">
        <f t="shared" si="453"/>
        <v>8.8597366308054579E-2</v>
      </c>
      <c r="AM90" s="32">
        <f t="shared" si="453"/>
        <v>6.428142098352356E-2</v>
      </c>
      <c r="AN90" s="38">
        <f t="shared" si="453"/>
        <v>6.2694639888121753E-2</v>
      </c>
      <c r="AO90" s="31">
        <f t="shared" si="453"/>
        <v>7.4629269840011142E-2</v>
      </c>
      <c r="AP90" s="31">
        <f t="shared" si="453"/>
        <v>0.10390603355146875</v>
      </c>
      <c r="AQ90" s="32">
        <f>AQ89/AQ10</f>
        <v>0.11078734723621923</v>
      </c>
      <c r="AR90" s="38">
        <f t="shared" si="453"/>
        <v>9.9090652829834119E-2</v>
      </c>
      <c r="AS90" s="31">
        <f>AS89/AS10</f>
        <v>0.13802474143175822</v>
      </c>
      <c r="AT90" s="31">
        <f>AT89/AT10</f>
        <v>0.12934022551540847</v>
      </c>
      <c r="AU90" s="32">
        <f t="shared" si="453"/>
        <v>9.8221241538884937E-2</v>
      </c>
      <c r="AV90" s="38">
        <f>AV89/AV10</f>
        <v>2.5430491738093228E-2</v>
      </c>
      <c r="AW90" s="31">
        <f t="shared" ref="AW90:AY90" si="454">AW89/AW10</f>
        <v>-1.0786849113009016</v>
      </c>
      <c r="AX90" s="31">
        <f t="shared" si="454"/>
        <v>-8.0650180029338214E-2</v>
      </c>
      <c r="AY90" s="32">
        <f t="shared" si="454"/>
        <v>5.4434089957445687E-3</v>
      </c>
      <c r="AZ90" s="38">
        <f>AZ89/AZ10</f>
        <v>-5.1096294159631003E-2</v>
      </c>
      <c r="BA90" s="31">
        <f t="shared" ref="BA90:BC90" si="455">BA89/BA10</f>
        <v>7.3099788634810717E-2</v>
      </c>
      <c r="BB90" s="492">
        <f t="shared" si="455"/>
        <v>0.13511617885706789</v>
      </c>
      <c r="BC90" s="32">
        <f t="shared" si="455"/>
        <v>-1.461848092404637E-2</v>
      </c>
      <c r="BD90" s="38">
        <f>BD89/BD10</f>
        <v>0.17649262750785591</v>
      </c>
      <c r="BE90" s="492">
        <f t="shared" ref="BE90:BG90" si="456">BE89/BE10</f>
        <v>0.21752955766845802</v>
      </c>
      <c r="BF90" s="562">
        <f t="shared" si="456"/>
        <v>0.25327842518765148</v>
      </c>
      <c r="BG90" s="563">
        <f t="shared" si="456"/>
        <v>9.5544589045659004E-2</v>
      </c>
      <c r="BH90" s="566">
        <f t="shared" ref="BH90:BK90" si="457">BH89/BH10</f>
        <v>0.23882671622305465</v>
      </c>
      <c r="BI90" s="562">
        <f t="shared" si="457"/>
        <v>0.24914820355213879</v>
      </c>
      <c r="BJ90" s="562">
        <f t="shared" si="457"/>
        <v>0.2544860893805263</v>
      </c>
      <c r="BK90" s="562">
        <f t="shared" si="457"/>
        <v>0.25703777913804804</v>
      </c>
      <c r="BL90" s="566">
        <f t="shared" ref="BL90:BO90" si="458">BL89/BL10</f>
        <v>0.25635787375622587</v>
      </c>
      <c r="BM90" s="562">
        <f t="shared" si="458"/>
        <v>0.25750684012848718</v>
      </c>
      <c r="BN90" s="562">
        <f t="shared" si="458"/>
        <v>0.25882748448713416</v>
      </c>
      <c r="BO90" s="598">
        <f t="shared" si="458"/>
        <v>0.26039011108808857</v>
      </c>
      <c r="BP90" s="347"/>
      <c r="BQ90" s="566">
        <f t="shared" ref="BQ90:CA90" si="459">BQ89/BQ10</f>
        <v>0.13841806986885294</v>
      </c>
      <c r="BR90" s="562">
        <f t="shared" si="459"/>
        <v>0.16515393356507285</v>
      </c>
      <c r="BS90" s="562">
        <f t="shared" si="459"/>
        <v>1.0481092514903463E-2</v>
      </c>
      <c r="BT90" s="562">
        <f t="shared" si="459"/>
        <v>-4.0760108239457325E-2</v>
      </c>
      <c r="BU90" s="562">
        <f t="shared" si="459"/>
        <v>5.7898441755014046E-2</v>
      </c>
      <c r="BV90" s="562">
        <f t="shared" si="459"/>
        <v>0.12220379265922432</v>
      </c>
      <c r="BW90" s="562">
        <f t="shared" si="459"/>
        <v>0.25207335876228898</v>
      </c>
      <c r="BX90" s="562">
        <f t="shared" si="459"/>
        <v>0.18244966166033999</v>
      </c>
      <c r="BY90" s="562">
        <f t="shared" si="459"/>
        <v>9.7894042535733028E-2</v>
      </c>
      <c r="BZ90" s="562">
        <f t="shared" si="459"/>
        <v>8.9959170485254578E-2</v>
      </c>
      <c r="CA90" s="562">
        <f t="shared" si="459"/>
        <v>0.11657871956099906</v>
      </c>
      <c r="CB90" s="562">
        <f>CB89/CB10</f>
        <v>-0.29314175362495365</v>
      </c>
      <c r="CC90" s="562">
        <f>CC89/CC10</f>
        <v>4.1046397732097478E-2</v>
      </c>
      <c r="CD90" s="562">
        <f>CD89/CD10</f>
        <v>0.18573413847504655</v>
      </c>
      <c r="CE90" s="562">
        <f>CE89/CE10</f>
        <v>0.25002836684715596</v>
      </c>
      <c r="CF90" s="562">
        <f>CF89/CF10</f>
        <v>0.25831544618809749</v>
      </c>
      <c r="CG90" s="598">
        <f t="shared" ref="CG90" si="460">CG89/CG10</f>
        <v>0.26131544618809754</v>
      </c>
      <c r="CH90" s="336"/>
    </row>
    <row r="91" spans="2:86" ht="15" collapsed="1">
      <c r="B91" s="39" t="s">
        <v>35</v>
      </c>
      <c r="C91" s="40"/>
      <c r="D91" s="41">
        <f t="shared" ref="D91:AU91" si="461">D77+D86</f>
        <v>54.60299999999998</v>
      </c>
      <c r="E91" s="42">
        <f t="shared" si="461"/>
        <v>66.282999999999987</v>
      </c>
      <c r="F91" s="42">
        <f t="shared" si="461"/>
        <v>74.004000000000033</v>
      </c>
      <c r="G91" s="43">
        <f t="shared" si="461"/>
        <v>83.538999999999845</v>
      </c>
      <c r="H91" s="41">
        <f t="shared" si="461"/>
        <v>92.646999999999977</v>
      </c>
      <c r="I91" s="42">
        <f t="shared" si="461"/>
        <v>107.33000000000003</v>
      </c>
      <c r="J91" s="42">
        <f t="shared" si="461"/>
        <v>125.25199999999998</v>
      </c>
      <c r="K91" s="43">
        <f t="shared" si="461"/>
        <v>169.27200000000013</v>
      </c>
      <c r="L91" s="41">
        <f t="shared" si="461"/>
        <v>150.69300000000004</v>
      </c>
      <c r="M91" s="42">
        <f t="shared" si="461"/>
        <v>140.00400000000002</v>
      </c>
      <c r="N91" s="42">
        <f t="shared" si="461"/>
        <v>82.040000000000106</v>
      </c>
      <c r="O91" s="43">
        <f t="shared" si="461"/>
        <v>21.776999999999461</v>
      </c>
      <c r="P91" s="41">
        <f t="shared" si="461"/>
        <v>37.25199999999996</v>
      </c>
      <c r="Q91" s="42">
        <f t="shared" si="461"/>
        <v>49.332000000000015</v>
      </c>
      <c r="R91" s="42">
        <f t="shared" si="461"/>
        <v>76.819000000000003</v>
      </c>
      <c r="S91" s="43">
        <f t="shared" si="461"/>
        <v>113.17900000000016</v>
      </c>
      <c r="T91" s="41">
        <f t="shared" si="461"/>
        <v>158.25300000000001</v>
      </c>
      <c r="U91" s="42">
        <f t="shared" si="461"/>
        <v>160.99800000000002</v>
      </c>
      <c r="V91" s="42">
        <f t="shared" si="461"/>
        <v>158.78100000000006</v>
      </c>
      <c r="W91" s="43">
        <f t="shared" si="461"/>
        <v>27.652999999999562</v>
      </c>
      <c r="X91" s="41">
        <f t="shared" si="461"/>
        <v>33.890999999999991</v>
      </c>
      <c r="Y91" s="42">
        <f t="shared" si="461"/>
        <v>126.60799999999998</v>
      </c>
      <c r="Z91" s="42">
        <f t="shared" si="461"/>
        <v>231.42899999999995</v>
      </c>
      <c r="AA91" s="43">
        <f t="shared" si="461"/>
        <v>277.3309999999999</v>
      </c>
      <c r="AB91" s="41">
        <f t="shared" si="461"/>
        <v>259.05499999999995</v>
      </c>
      <c r="AC91" s="42">
        <f t="shared" si="461"/>
        <v>275.839</v>
      </c>
      <c r="AD91" s="42">
        <f t="shared" si="461"/>
        <v>308.90699999999998</v>
      </c>
      <c r="AE91" s="43">
        <f t="shared" ref="AE91:AJ91" si="462">AE77+AE86</f>
        <v>276.22300000000018</v>
      </c>
      <c r="AF91" s="41">
        <f t="shared" si="462"/>
        <v>190.33500000000001</v>
      </c>
      <c r="AG91" s="42">
        <f t="shared" si="462"/>
        <v>238.76399999999998</v>
      </c>
      <c r="AH91" s="42">
        <f t="shared" si="462"/>
        <v>248.44500000000008</v>
      </c>
      <c r="AI91" s="43">
        <f t="shared" si="462"/>
        <v>121.26100000000005</v>
      </c>
      <c r="AJ91" s="41">
        <f t="shared" si="462"/>
        <v>139.10799999999992</v>
      </c>
      <c r="AK91" s="42">
        <f>AK77+AK86</f>
        <v>145.11599999999996</v>
      </c>
      <c r="AL91" s="42">
        <f>AL77+AL86</f>
        <v>113.26399999999995</v>
      </c>
      <c r="AM91" s="43">
        <f>AM77+AM86</f>
        <v>104.04799999999992</v>
      </c>
      <c r="AN91" s="41">
        <f>AN77+AN86</f>
        <v>90.932999999999964</v>
      </c>
      <c r="AO91" s="42">
        <f>AO77+AO86</f>
        <v>116.28400000000006</v>
      </c>
      <c r="AP91" s="42">
        <f t="shared" si="461"/>
        <v>156.97399999999999</v>
      </c>
      <c r="AQ91" s="43">
        <f>AQ77+AQ86</f>
        <v>147.57100000000008</v>
      </c>
      <c r="AR91" s="41">
        <f>AR77+AR86</f>
        <v>139.58300000000003</v>
      </c>
      <c r="AS91" s="42">
        <f>AS77+AS86</f>
        <v>175.33099999999999</v>
      </c>
      <c r="AT91" s="42">
        <f>AT77+AT86</f>
        <v>159.95000000000005</v>
      </c>
      <c r="AU91" s="43">
        <f t="shared" si="461"/>
        <v>133.38400000000001</v>
      </c>
      <c r="AV91" s="41">
        <f>AV77+AV86</f>
        <v>72.327000000000083</v>
      </c>
      <c r="AW91" s="42">
        <f t="shared" ref="AW91:AY91" si="463">AW77+AW86</f>
        <v>37.621999999999993</v>
      </c>
      <c r="AX91" s="42">
        <f t="shared" si="463"/>
        <v>66.486999999999966</v>
      </c>
      <c r="AY91" s="43">
        <f t="shared" si="463"/>
        <v>53.660999999999945</v>
      </c>
      <c r="AZ91" s="41">
        <f>AZ77+AZ86</f>
        <v>5.4470000000000596</v>
      </c>
      <c r="BA91" s="42">
        <f t="shared" ref="BA91" si="464">BA77+BA86</f>
        <v>86.640999999999977</v>
      </c>
      <c r="BB91" s="42">
        <f>BB77+BB86</f>
        <v>120.63400000000007</v>
      </c>
      <c r="BC91" s="43">
        <f t="shared" ref="BC91" si="465">BC77+BC86</f>
        <v>114.70699999999997</v>
      </c>
      <c r="BD91" s="41">
        <f>BD77+BD86</f>
        <v>129.4679999999999</v>
      </c>
      <c r="BE91" s="42">
        <f t="shared" ref="BE91" si="466">BE77+BE86</f>
        <v>159.87</v>
      </c>
      <c r="BF91" s="42">
        <f>BF77+BF86</f>
        <v>178.92900000000006</v>
      </c>
      <c r="BG91" s="43">
        <f t="shared" ref="BG91" si="467">BG77+BG86</f>
        <v>171.648</v>
      </c>
      <c r="BH91" s="41">
        <f t="shared" ref="BH91:BK91" si="468">BH77+BH86</f>
        <v>164.85238386999998</v>
      </c>
      <c r="BI91" s="42">
        <f t="shared" si="468"/>
        <v>175.79909003245001</v>
      </c>
      <c r="BJ91" s="42">
        <f t="shared" si="468"/>
        <v>183.7836856972915</v>
      </c>
      <c r="BK91" s="42">
        <f t="shared" si="468"/>
        <v>183.89809650549017</v>
      </c>
      <c r="BL91" s="41">
        <f t="shared" ref="BL91:BO91" si="469">BL77+BL86</f>
        <v>174.63212608283226</v>
      </c>
      <c r="BM91" s="42">
        <f t="shared" si="469"/>
        <v>185.14369278270462</v>
      </c>
      <c r="BN91" s="42">
        <f t="shared" si="469"/>
        <v>191.53890369830435</v>
      </c>
      <c r="BO91" s="601">
        <f t="shared" si="469"/>
        <v>190.59571079889531</v>
      </c>
      <c r="BP91" s="347"/>
      <c r="BQ91" s="41">
        <f t="shared" ref="BQ91:CA91" si="470">BQ77+BQ86</f>
        <v>278.42899999999992</v>
      </c>
      <c r="BR91" s="42">
        <f t="shared" si="470"/>
        <v>494.50099999999998</v>
      </c>
      <c r="BS91" s="42">
        <f t="shared" si="470"/>
        <v>394.51399999999978</v>
      </c>
      <c r="BT91" s="42">
        <f t="shared" si="470"/>
        <v>276.58200000000045</v>
      </c>
      <c r="BU91" s="42">
        <f t="shared" si="470"/>
        <v>505.68499999999932</v>
      </c>
      <c r="BV91" s="42">
        <f t="shared" si="470"/>
        <v>669.25899999999979</v>
      </c>
      <c r="BW91" s="42">
        <f t="shared" si="470"/>
        <v>1120.0240000000001</v>
      </c>
      <c r="BX91" s="42">
        <f t="shared" si="470"/>
        <v>798.80499999999984</v>
      </c>
      <c r="BY91" s="42">
        <f t="shared" si="470"/>
        <v>501.53599999999949</v>
      </c>
      <c r="BZ91" s="42">
        <f t="shared" si="470"/>
        <v>511.76200000000074</v>
      </c>
      <c r="CA91" s="42">
        <f t="shared" si="470"/>
        <v>608.24799999999959</v>
      </c>
      <c r="CB91" s="42">
        <f>CB77+CB86</f>
        <v>230.09699999999981</v>
      </c>
      <c r="CC91" s="42">
        <f>CC77+CC86</f>
        <v>327.42900000000049</v>
      </c>
      <c r="CD91" s="42">
        <f>CD77+CD86</f>
        <v>639.91500000000008</v>
      </c>
      <c r="CE91" s="42">
        <f>CE77+CE86</f>
        <v>708.33325610523161</v>
      </c>
      <c r="CF91" s="42">
        <f>CF77+CF86</f>
        <v>741.91043336273674</v>
      </c>
      <c r="CG91" s="601">
        <f t="shared" ref="CG91" si="471">CG77+CG86</f>
        <v>749.31994246441491</v>
      </c>
      <c r="CH91" s="336"/>
    </row>
    <row r="92" spans="2:86" ht="14.25">
      <c r="B92" s="28" t="s">
        <v>94</v>
      </c>
      <c r="C92" s="29"/>
      <c r="D92" s="38">
        <f t="shared" ref="D92:AU92" si="472">D91/D12</f>
        <v>0.20255066270490427</v>
      </c>
      <c r="E92" s="31">
        <f t="shared" si="472"/>
        <v>0.22305942373314844</v>
      </c>
      <c r="F92" s="31">
        <f t="shared" si="472"/>
        <v>0.23302254843615694</v>
      </c>
      <c r="G92" s="32">
        <f t="shared" si="472"/>
        <v>0.24551086502912392</v>
      </c>
      <c r="H92" s="38">
        <f t="shared" si="472"/>
        <v>0.25398744414288449</v>
      </c>
      <c r="I92" s="31">
        <f t="shared" si="472"/>
        <v>0.27488513371613565</v>
      </c>
      <c r="J92" s="31">
        <f t="shared" si="472"/>
        <v>0.29400083562975027</v>
      </c>
      <c r="K92" s="32">
        <f t="shared" si="472"/>
        <v>0.34614818329052649</v>
      </c>
      <c r="L92" s="38">
        <f t="shared" si="472"/>
        <v>0.28912923353210701</v>
      </c>
      <c r="M92" s="31">
        <f t="shared" si="472"/>
        <v>0.24391578177130066</v>
      </c>
      <c r="N92" s="31">
        <f t="shared" si="472"/>
        <v>0.15764856897989635</v>
      </c>
      <c r="O92" s="32">
        <f t="shared" si="472"/>
        <v>3.5012717573402546E-2</v>
      </c>
      <c r="P92" s="38">
        <f t="shared" si="472"/>
        <v>5.8659948035587689E-2</v>
      </c>
      <c r="Q92" s="31">
        <f t="shared" si="472"/>
        <v>7.5119801556544685E-2</v>
      </c>
      <c r="R92" s="31">
        <f t="shared" si="472"/>
        <v>0.10131144773595904</v>
      </c>
      <c r="S92" s="32">
        <f t="shared" si="472"/>
        <v>0.13398943512737294</v>
      </c>
      <c r="T92" s="38">
        <f t="shared" si="472"/>
        <v>0.19681373006249417</v>
      </c>
      <c r="U92" s="31">
        <f t="shared" si="472"/>
        <v>0.19107853900246269</v>
      </c>
      <c r="V92" s="31">
        <f t="shared" si="472"/>
        <v>0.20072284039107718</v>
      </c>
      <c r="W92" s="32">
        <f t="shared" si="472"/>
        <v>5.3918462291392459E-2</v>
      </c>
      <c r="X92" s="38">
        <f t="shared" si="472"/>
        <v>6.4995761687960493E-2</v>
      </c>
      <c r="Y92" s="31">
        <f t="shared" si="472"/>
        <v>0.19763354250569756</v>
      </c>
      <c r="Z92" s="31">
        <f t="shared" si="472"/>
        <v>0.28817031047269442</v>
      </c>
      <c r="AA92" s="32">
        <f t="shared" si="472"/>
        <v>0.32916258671746562</v>
      </c>
      <c r="AB92" s="38">
        <f t="shared" si="472"/>
        <v>0.30278326139374617</v>
      </c>
      <c r="AC92" s="31">
        <f t="shared" si="472"/>
        <v>0.3076932515611161</v>
      </c>
      <c r="AD92" s="31">
        <f t="shared" si="472"/>
        <v>0.32200386312487816</v>
      </c>
      <c r="AE92" s="32">
        <f t="shared" si="472"/>
        <v>0.30673960287080826</v>
      </c>
      <c r="AF92" s="38">
        <f t="shared" si="472"/>
        <v>0.23720653737154193</v>
      </c>
      <c r="AG92" s="31">
        <f t="shared" si="472"/>
        <v>0.26602638381317406</v>
      </c>
      <c r="AH92" s="31">
        <f t="shared" si="472"/>
        <v>0.26140630902014594</v>
      </c>
      <c r="AI92" s="32">
        <f t="shared" si="472"/>
        <v>0.16327027969532834</v>
      </c>
      <c r="AJ92" s="38">
        <f t="shared" si="472"/>
        <v>0.17468176721068965</v>
      </c>
      <c r="AK92" s="31">
        <f t="shared" si="472"/>
        <v>0.17781557252507027</v>
      </c>
      <c r="AL92" s="31">
        <f t="shared" si="472"/>
        <v>0.14504642832902831</v>
      </c>
      <c r="AM92" s="32">
        <f t="shared" si="472"/>
        <v>0.13420457271693051</v>
      </c>
      <c r="AN92" s="38">
        <f t="shared" si="472"/>
        <v>0.1238246712483778</v>
      </c>
      <c r="AO92" s="31">
        <f t="shared" si="472"/>
        <v>0.14408417755397401</v>
      </c>
      <c r="AP92" s="31">
        <f t="shared" si="472"/>
        <v>0.16856702884154864</v>
      </c>
      <c r="AQ92" s="32">
        <f>AQ91/AQ12</f>
        <v>0.15838063684533074</v>
      </c>
      <c r="AR92" s="38">
        <f t="shared" si="472"/>
        <v>0.14572836515874427</v>
      </c>
      <c r="AS92" s="31">
        <f>AS91/AS12</f>
        <v>0.18234300006759954</v>
      </c>
      <c r="AT92" s="31">
        <f>AT91/AT12</f>
        <v>0.17196409987356692</v>
      </c>
      <c r="AU92" s="32">
        <f t="shared" si="472"/>
        <v>0.15555856187868244</v>
      </c>
      <c r="AV92" s="38">
        <f>AV91/AV12</f>
        <v>9.9859448175311588E-2</v>
      </c>
      <c r="AW92" s="31">
        <f t="shared" ref="AW92:AY92" si="473">AW91/AW12</f>
        <v>5.2952038868840173E-2</v>
      </c>
      <c r="AX92" s="31">
        <f t="shared" si="473"/>
        <v>9.8515313606661783E-2</v>
      </c>
      <c r="AY92" s="32">
        <f t="shared" si="473"/>
        <v>8.7089675050879709E-2</v>
      </c>
      <c r="AZ92" s="38">
        <f>AZ91/AZ12</f>
        <v>1.0071705662861459E-2</v>
      </c>
      <c r="BA92" s="31">
        <f t="shared" ref="BA92:BC92" si="474">BA91/BA12</f>
        <v>0.13831488943237907</v>
      </c>
      <c r="BB92" s="492">
        <f t="shared" si="474"/>
        <v>0.18433671239658825</v>
      </c>
      <c r="BC92" s="32">
        <f t="shared" si="474"/>
        <v>0.20074728736436817</v>
      </c>
      <c r="BD92" s="38">
        <f>BD91/BD12</f>
        <v>0.22353672433440366</v>
      </c>
      <c r="BE92" s="492">
        <f t="shared" ref="BE92:BG92" si="475">BE91/BE12</f>
        <v>0.26435717238528317</v>
      </c>
      <c r="BF92" s="562">
        <f t="shared" si="475"/>
        <v>0.29032682029264884</v>
      </c>
      <c r="BG92" s="563">
        <f t="shared" si="475"/>
        <v>0.27891694791593885</v>
      </c>
      <c r="BH92" s="566">
        <f t="shared" ref="BH92:BK92" si="476">BH91/BH12</f>
        <v>0.27444230271558767</v>
      </c>
      <c r="BI92" s="562">
        <f t="shared" si="476"/>
        <v>0.28369972708116048</v>
      </c>
      <c r="BJ92" s="562">
        <f t="shared" si="476"/>
        <v>0.2880724932622612</v>
      </c>
      <c r="BK92" s="562">
        <f t="shared" si="476"/>
        <v>0.29096772638710611</v>
      </c>
      <c r="BL92" s="566">
        <f t="shared" ref="BL92:BO92" si="477">BL91/BL12</f>
        <v>0.29227798524988147</v>
      </c>
      <c r="BM92" s="562">
        <f t="shared" si="477"/>
        <v>0.29130191912918768</v>
      </c>
      <c r="BN92" s="562">
        <f t="shared" si="477"/>
        <v>0.29154872518156</v>
      </c>
      <c r="BO92" s="598">
        <f t="shared" si="477"/>
        <v>0.29352344403408875</v>
      </c>
      <c r="BP92" s="347"/>
      <c r="BQ92" s="566">
        <f t="shared" ref="BQ92:CA92" si="478">BQ91/BQ12</f>
        <v>0.22736693396919755</v>
      </c>
      <c r="BR92" s="562">
        <f t="shared" si="478"/>
        <v>0.29606122617595038</v>
      </c>
      <c r="BS92" s="562">
        <f t="shared" si="478"/>
        <v>0.1763149297469154</v>
      </c>
      <c r="BT92" s="562">
        <f t="shared" si="478"/>
        <v>9.55479562081369E-2</v>
      </c>
      <c r="BU92" s="562">
        <f t="shared" si="478"/>
        <v>0.17138593549773362</v>
      </c>
      <c r="BV92" s="562">
        <f t="shared" si="478"/>
        <v>0.23836666978904694</v>
      </c>
      <c r="BW92" s="562">
        <f t="shared" si="478"/>
        <v>0.31009334994142962</v>
      </c>
      <c r="BX92" s="562">
        <f t="shared" si="478"/>
        <v>0.23542457501237823</v>
      </c>
      <c r="BY92" s="562">
        <f t="shared" si="478"/>
        <v>0.1582816548476785</v>
      </c>
      <c r="BZ92" s="562">
        <f t="shared" si="478"/>
        <v>0.15032369874280363</v>
      </c>
      <c r="CA92" s="562">
        <f t="shared" si="478"/>
        <v>0.16408256570135704</v>
      </c>
      <c r="CB92" s="562">
        <f>CB91/CB12</f>
        <v>8.4413616706556616E-2</v>
      </c>
      <c r="CC92" s="562">
        <f>CC91/CC12</f>
        <v>0.13682508666771434</v>
      </c>
      <c r="CD92" s="562">
        <f>CD91/CD12</f>
        <v>0.26490484306235906</v>
      </c>
      <c r="CE92" s="562">
        <f>CE91/CE12</f>
        <v>0.28443155297364303</v>
      </c>
      <c r="CF92" s="562">
        <f>CF91/CF12</f>
        <v>0.29216349177344986</v>
      </c>
      <c r="CG92" s="598">
        <f t="shared" ref="CG92" si="479">CG91/CG12</f>
        <v>0.2950813480996663</v>
      </c>
      <c r="CH92" s="336"/>
    </row>
    <row r="93" spans="2:86" ht="15" hidden="1" outlineLevel="1">
      <c r="B93" s="39" t="s">
        <v>36</v>
      </c>
      <c r="C93" s="40"/>
      <c r="D93" s="41">
        <f t="shared" ref="D93:AU93" si="480">D79+D87</f>
        <v>54.60299999999998</v>
      </c>
      <c r="E93" s="42">
        <f t="shared" si="480"/>
        <v>66.282999999999987</v>
      </c>
      <c r="F93" s="42">
        <f t="shared" si="480"/>
        <v>74.004000000000033</v>
      </c>
      <c r="G93" s="43">
        <f t="shared" si="480"/>
        <v>83.538999999999845</v>
      </c>
      <c r="H93" s="41">
        <f t="shared" si="480"/>
        <v>83.056999999999974</v>
      </c>
      <c r="I93" s="42">
        <f t="shared" si="480"/>
        <v>77.693000000000026</v>
      </c>
      <c r="J93" s="42">
        <f t="shared" si="480"/>
        <v>115.68499999999999</v>
      </c>
      <c r="K93" s="43">
        <f t="shared" si="480"/>
        <v>95.454000000000107</v>
      </c>
      <c r="L93" s="41">
        <f t="shared" si="480"/>
        <v>101.93100000000003</v>
      </c>
      <c r="M93" s="42">
        <f t="shared" si="480"/>
        <v>84.40000000000002</v>
      </c>
      <c r="N93" s="42">
        <f t="shared" si="480"/>
        <v>39.912000000000063</v>
      </c>
      <c r="O93" s="43">
        <f t="shared" si="480"/>
        <v>-23.850000000000492</v>
      </c>
      <c r="P93" s="41">
        <f t="shared" si="480"/>
        <v>-9.5360000000000511</v>
      </c>
      <c r="Q93" s="42">
        <f t="shared" si="480"/>
        <v>-9.5439999999999046</v>
      </c>
      <c r="R93" s="42">
        <f t="shared" si="480"/>
        <v>21.462999999999958</v>
      </c>
      <c r="S93" s="43">
        <f t="shared" si="480"/>
        <v>43.219000000000229</v>
      </c>
      <c r="T93" s="41">
        <f t="shared" si="480"/>
        <v>113.02700000000004</v>
      </c>
      <c r="U93" s="42">
        <f t="shared" si="480"/>
        <v>113.37100000000005</v>
      </c>
      <c r="V93" s="42">
        <f t="shared" si="480"/>
        <v>119.20300000000003</v>
      </c>
      <c r="W93" s="43">
        <f t="shared" si="480"/>
        <v>-17.048000000000403</v>
      </c>
      <c r="X93" s="41">
        <f t="shared" si="480"/>
        <v>2.2430000000000199</v>
      </c>
      <c r="Y93" s="42">
        <f t="shared" si="480"/>
        <v>96.592999999999961</v>
      </c>
      <c r="Z93" s="42">
        <f t="shared" si="480"/>
        <v>197.05199999999996</v>
      </c>
      <c r="AA93" s="43">
        <f t="shared" si="480"/>
        <v>246.77199999999985</v>
      </c>
      <c r="AB93" s="41">
        <f t="shared" si="480"/>
        <v>232.15899999999988</v>
      </c>
      <c r="AC93" s="42">
        <f t="shared" si="480"/>
        <v>245.15000000000003</v>
      </c>
      <c r="AD93" s="42">
        <f t="shared" si="480"/>
        <v>279.36599999999999</v>
      </c>
      <c r="AE93" s="43">
        <f t="shared" ref="AE93:AJ93" si="481">AE79+AE87</f>
        <v>244.94400000000005</v>
      </c>
      <c r="AF93" s="41">
        <f t="shared" si="481"/>
        <v>162.85499999999999</v>
      </c>
      <c r="AG93" s="42">
        <f t="shared" si="481"/>
        <v>208.40900000000002</v>
      </c>
      <c r="AH93" s="42">
        <f t="shared" si="481"/>
        <v>217.83400000000003</v>
      </c>
      <c r="AI93" s="43">
        <f t="shared" si="481"/>
        <v>89.843999999999966</v>
      </c>
      <c r="AJ93" s="41">
        <f t="shared" si="481"/>
        <v>111.91599999999998</v>
      </c>
      <c r="AK93" s="42">
        <f>AK79+AK87</f>
        <v>111.88800000000001</v>
      </c>
      <c r="AL93" s="42">
        <f>AL79+AL87</f>
        <v>82.889999999999986</v>
      </c>
      <c r="AM93" s="43">
        <f>AM79+AM87</f>
        <v>67.561999999999927</v>
      </c>
      <c r="AN93" s="41">
        <f>AN79+AN87</f>
        <v>57.419999999999987</v>
      </c>
      <c r="AO93" s="42">
        <f>AO79+AO87</f>
        <v>75.193000000000055</v>
      </c>
      <c r="AP93" s="42">
        <f t="shared" si="480"/>
        <v>113.77299999999997</v>
      </c>
      <c r="AQ93" s="43">
        <f>AQ79+AQ87</f>
        <v>109.50300000000004</v>
      </c>
      <c r="AR93" s="41">
        <f>AR79+AR87</f>
        <v>109.61400000000008</v>
      </c>
      <c r="AS93" s="42">
        <f>AS79+AS87</f>
        <v>140.31099999999995</v>
      </c>
      <c r="AT93" s="42">
        <f>AT79+AT87</f>
        <v>125.65599999999999</v>
      </c>
      <c r="AU93" s="43">
        <f t="shared" si="480"/>
        <v>95.421000000000049</v>
      </c>
      <c r="AV93" s="41">
        <f>AV79+AV87</f>
        <v>39.10600000000008</v>
      </c>
      <c r="AW93" s="42">
        <f t="shared" ref="AW93:AY93" si="482">AW79+AW87</f>
        <v>-653.71900000000005</v>
      </c>
      <c r="AX93" s="42">
        <f t="shared" si="482"/>
        <v>-0.24800000000005262</v>
      </c>
      <c r="AY93" s="43">
        <f t="shared" si="482"/>
        <v>21.241999999999958</v>
      </c>
      <c r="AZ93" s="41">
        <f>AZ79+AZ87</f>
        <v>-19.005999999999915</v>
      </c>
      <c r="BA93" s="42">
        <f t="shared" ref="BA93:BC93" si="483">BA79+BA87</f>
        <v>49.445</v>
      </c>
      <c r="BB93" s="42">
        <f t="shared" si="483"/>
        <v>92.371000000000066</v>
      </c>
      <c r="BC93" s="43">
        <f t="shared" si="483"/>
        <v>92.301999999999992</v>
      </c>
      <c r="BD93" s="41">
        <f>BD79+BD87</f>
        <v>105.59599999999998</v>
      </c>
      <c r="BE93" s="42">
        <f t="shared" ref="BE93:BG93" si="484">BE79+BE87</f>
        <v>134.21799999999999</v>
      </c>
      <c r="BF93" s="42">
        <f t="shared" si="484"/>
        <v>155.006</v>
      </c>
      <c r="BG93" s="43">
        <f t="shared" si="484"/>
        <v>79.09099999999998</v>
      </c>
      <c r="BH93" s="41">
        <f t="shared" ref="BH93:BK93" si="485">BH79+BH87</f>
        <v>143.45876387000001</v>
      </c>
      <c r="BI93" s="42">
        <f t="shared" si="485"/>
        <v>154.38868383245003</v>
      </c>
      <c r="BJ93" s="42">
        <f t="shared" si="485"/>
        <v>162.35632543529144</v>
      </c>
      <c r="BK93" s="42">
        <f t="shared" si="485"/>
        <v>162.45361264087018</v>
      </c>
      <c r="BL93" s="41">
        <f t="shared" ref="BL93:BO93" si="486">BL79+BL87</f>
        <v>153.17034737956612</v>
      </c>
      <c r="BM93" s="42">
        <f t="shared" si="486"/>
        <v>163.66444629240578</v>
      </c>
      <c r="BN93" s="42">
        <f t="shared" si="486"/>
        <v>170.04201474310244</v>
      </c>
      <c r="BO93" s="601">
        <f t="shared" si="486"/>
        <v>169.08100295414152</v>
      </c>
      <c r="BP93" s="347"/>
      <c r="BQ93" s="41">
        <f t="shared" ref="BQ93:CA93" si="487">BQ79+BQ87</f>
        <v>278.42899999999992</v>
      </c>
      <c r="BR93" s="42">
        <f t="shared" si="487"/>
        <v>371.88900000000001</v>
      </c>
      <c r="BS93" s="42">
        <f t="shared" si="487"/>
        <v>202.39299999999983</v>
      </c>
      <c r="BT93" s="42">
        <f t="shared" si="487"/>
        <v>45.602000000000459</v>
      </c>
      <c r="BU93" s="42">
        <f t="shared" si="487"/>
        <v>328.55299999999926</v>
      </c>
      <c r="BV93" s="42">
        <f t="shared" si="487"/>
        <v>542.65999999999974</v>
      </c>
      <c r="BW93" s="42">
        <f t="shared" si="487"/>
        <v>1001.6190000000001</v>
      </c>
      <c r="BX93" s="42">
        <f t="shared" si="487"/>
        <v>678.94200000000001</v>
      </c>
      <c r="BY93" s="42">
        <f t="shared" si="487"/>
        <v>374.25599999999952</v>
      </c>
      <c r="BZ93" s="42">
        <f t="shared" si="487"/>
        <v>355.88900000000069</v>
      </c>
      <c r="CA93" s="42">
        <f t="shared" si="487"/>
        <v>471.00199999999967</v>
      </c>
      <c r="CB93" s="42">
        <f>CB79+CB87</f>
        <v>-593.6190000000006</v>
      </c>
      <c r="CC93" s="42">
        <f>CC79+CC87</f>
        <v>215.11200000000036</v>
      </c>
      <c r="CD93" s="42">
        <f>CD79+CD87</f>
        <v>473.911</v>
      </c>
      <c r="CE93" s="42">
        <f>CE79+CE87</f>
        <v>622.6573857786118</v>
      </c>
      <c r="CF93" s="42">
        <f>CF79+CF87</f>
        <v>655.95781136921607</v>
      </c>
      <c r="CG93" s="601">
        <f t="shared" ref="CG93" si="488">CG79+CG87</f>
        <v>663.57591343452862</v>
      </c>
      <c r="CH93" s="336"/>
    </row>
    <row r="94" spans="2:86" ht="14.25" hidden="1" outlineLevel="1">
      <c r="B94" s="28" t="s">
        <v>93</v>
      </c>
      <c r="C94" s="29"/>
      <c r="D94" s="38">
        <f t="shared" ref="D94:AU94" si="489">D93/D12</f>
        <v>0.20255066270490427</v>
      </c>
      <c r="E94" s="31">
        <f t="shared" si="489"/>
        <v>0.22305942373314844</v>
      </c>
      <c r="F94" s="31">
        <f t="shared" si="489"/>
        <v>0.23302254843615694</v>
      </c>
      <c r="G94" s="32">
        <f t="shared" si="489"/>
        <v>0.24551086502912392</v>
      </c>
      <c r="H94" s="38">
        <f t="shared" si="489"/>
        <v>0.22769690489897737</v>
      </c>
      <c r="I94" s="31">
        <f t="shared" si="489"/>
        <v>0.19898118600398518</v>
      </c>
      <c r="J94" s="31">
        <f t="shared" si="489"/>
        <v>0.27154445972780999</v>
      </c>
      <c r="K94" s="32">
        <f t="shared" si="489"/>
        <v>0.19519606720434524</v>
      </c>
      <c r="L94" s="38">
        <f t="shared" si="489"/>
        <v>0.1955713397646951</v>
      </c>
      <c r="M94" s="31">
        <f t="shared" si="489"/>
        <v>0.14704217009155296</v>
      </c>
      <c r="N94" s="31">
        <f t="shared" si="489"/>
        <v>7.6695144869888168E-2</v>
      </c>
      <c r="O94" s="32">
        <f t="shared" si="489"/>
        <v>-3.8345654319956311E-2</v>
      </c>
      <c r="P94" s="38">
        <f t="shared" si="489"/>
        <v>-1.5016140461381075E-2</v>
      </c>
      <c r="Q94" s="31">
        <f t="shared" si="489"/>
        <v>-1.4533028988398099E-2</v>
      </c>
      <c r="R94" s="31">
        <f t="shared" si="489"/>
        <v>2.8306117012156951E-2</v>
      </c>
      <c r="S94" s="32">
        <f t="shared" si="489"/>
        <v>5.1165758636937536E-2</v>
      </c>
      <c r="T94" s="38">
        <f t="shared" si="489"/>
        <v>0.14056773310947365</v>
      </c>
      <c r="U94" s="31">
        <f t="shared" si="489"/>
        <v>0.13455300715069882</v>
      </c>
      <c r="V94" s="31">
        <f t="shared" si="489"/>
        <v>0.1506903517620973</v>
      </c>
      <c r="W94" s="32">
        <f t="shared" si="489"/>
        <v>-3.3240586740812747E-2</v>
      </c>
      <c r="X94" s="38">
        <f t="shared" si="489"/>
        <v>4.3015990518455258E-3</v>
      </c>
      <c r="Y94" s="31">
        <f t="shared" si="489"/>
        <v>0.15078049389653767</v>
      </c>
      <c r="Z94" s="31">
        <f t="shared" si="489"/>
        <v>0.24536482471628615</v>
      </c>
      <c r="AA94" s="32">
        <f t="shared" si="489"/>
        <v>0.29289228340662388</v>
      </c>
      <c r="AB94" s="38">
        <f t="shared" si="489"/>
        <v>0.27134723970550922</v>
      </c>
      <c r="AC94" s="31">
        <f t="shared" si="489"/>
        <v>0.27346024536127095</v>
      </c>
      <c r="AD94" s="31">
        <f t="shared" si="489"/>
        <v>0.29121040062460452</v>
      </c>
      <c r="AE94" s="32">
        <f t="shared" si="489"/>
        <v>0.27200495717441064</v>
      </c>
      <c r="AF94" s="38">
        <f t="shared" si="489"/>
        <v>0.20295936450806451</v>
      </c>
      <c r="AG94" s="31">
        <f t="shared" si="489"/>
        <v>0.2322054104643908</v>
      </c>
      <c r="AH94" s="31">
        <f t="shared" si="489"/>
        <v>0.22919834135963479</v>
      </c>
      <c r="AI94" s="32">
        <f t="shared" si="489"/>
        <v>0.12096927296449037</v>
      </c>
      <c r="AJ94" s="38">
        <f t="shared" si="489"/>
        <v>0.14053601992086401</v>
      </c>
      <c r="AK94" s="31">
        <f t="shared" si="489"/>
        <v>0.13710017350729808</v>
      </c>
      <c r="AL94" s="31">
        <f t="shared" si="489"/>
        <v>0.10614933645459422</v>
      </c>
      <c r="AM94" s="32">
        <f t="shared" si="489"/>
        <v>8.7143715803295177E-2</v>
      </c>
      <c r="AN94" s="38">
        <f t="shared" si="489"/>
        <v>7.8189574995676539E-2</v>
      </c>
      <c r="AO94" s="31">
        <f t="shared" si="489"/>
        <v>9.3169495053627066E-2</v>
      </c>
      <c r="AP94" s="31">
        <f t="shared" si="489"/>
        <v>0.12217549767725554</v>
      </c>
      <c r="AQ94" s="32">
        <f>AQ93/AQ12</f>
        <v>0.11752414008493708</v>
      </c>
      <c r="AR94" s="38">
        <f t="shared" si="489"/>
        <v>0.11443993192946564</v>
      </c>
      <c r="AS94" s="31">
        <f>AS93/AS12</f>
        <v>0.14592244772735541</v>
      </c>
      <c r="AT94" s="31">
        <f>AT93/AT12</f>
        <v>0.1350942227803246</v>
      </c>
      <c r="AU94" s="32">
        <f t="shared" si="489"/>
        <v>0.11128436343958618</v>
      </c>
      <c r="AV94" s="38">
        <f>AV93/AV12</f>
        <v>5.3992334540956193E-2</v>
      </c>
      <c r="AW94" s="31">
        <f t="shared" ref="AW94:AY94" si="490">AW93/AW12</f>
        <v>-0.92009340006643292</v>
      </c>
      <c r="AX94" s="31">
        <f t="shared" si="490"/>
        <v>-3.6746729096601318E-4</v>
      </c>
      <c r="AY94" s="32">
        <f t="shared" si="490"/>
        <v>3.4474923639715715E-2</v>
      </c>
      <c r="AZ94" s="38">
        <f>AZ93/AZ12</f>
        <v>-3.5142801143444452E-2</v>
      </c>
      <c r="BA94" s="31">
        <f t="shared" ref="BA94:BC94" si="491">BA93/BA12</f>
        <v>7.8934681132304396E-2</v>
      </c>
      <c r="BB94" s="492">
        <f t="shared" si="491"/>
        <v>0.14114898337769827</v>
      </c>
      <c r="BC94" s="32">
        <f t="shared" si="491"/>
        <v>0.16153657682884143</v>
      </c>
      <c r="BD94" s="38">
        <f>BD93/BD12</f>
        <v>0.18231983148589381</v>
      </c>
      <c r="BE94" s="492">
        <f t="shared" ref="BE94:BG94" si="492">BE93/BE12</f>
        <v>0.22193964448119055</v>
      </c>
      <c r="BF94" s="562">
        <f t="shared" si="492"/>
        <v>0.25150981174813647</v>
      </c>
      <c r="BG94" s="563">
        <f t="shared" si="492"/>
        <v>0.12851778248286908</v>
      </c>
      <c r="BH94" s="566">
        <f t="shared" ref="BH94:BK94" si="493">BH93/BH12</f>
        <v>0.23882671622305465</v>
      </c>
      <c r="BI94" s="562">
        <f t="shared" si="493"/>
        <v>0.24914820355213887</v>
      </c>
      <c r="BJ94" s="562">
        <f t="shared" si="493"/>
        <v>0.2544860893805263</v>
      </c>
      <c r="BK94" s="562">
        <f t="shared" si="493"/>
        <v>0.25703777913804804</v>
      </c>
      <c r="BL94" s="566">
        <f t="shared" ref="BL94:BO94" si="494">BL93/BL12</f>
        <v>0.25635787375622598</v>
      </c>
      <c r="BM94" s="562">
        <f t="shared" si="494"/>
        <v>0.25750684012848718</v>
      </c>
      <c r="BN94" s="562">
        <f t="shared" si="494"/>
        <v>0.25882748448713416</v>
      </c>
      <c r="BO94" s="598">
        <f t="shared" si="494"/>
        <v>0.26039011108808857</v>
      </c>
      <c r="BP94" s="347"/>
      <c r="BQ94" s="566">
        <f t="shared" ref="BQ94:CA94" si="495">BQ93/BQ12</f>
        <v>0.22736693396919755</v>
      </c>
      <c r="BR94" s="562">
        <f t="shared" si="495"/>
        <v>0.22265255953243376</v>
      </c>
      <c r="BS94" s="562">
        <f t="shared" si="495"/>
        <v>9.0452829497223011E-2</v>
      </c>
      <c r="BT94" s="562">
        <f t="shared" si="495"/>
        <v>1.5753656778110997E-2</v>
      </c>
      <c r="BU94" s="562">
        <f t="shared" si="495"/>
        <v>0.11135264693551682</v>
      </c>
      <c r="BV94" s="562">
        <f t="shared" si="495"/>
        <v>0.1932765297556315</v>
      </c>
      <c r="BW94" s="562">
        <f t="shared" si="495"/>
        <v>0.27731137107328485</v>
      </c>
      <c r="BX94" s="562">
        <f t="shared" si="495"/>
        <v>0.20009843680003772</v>
      </c>
      <c r="BY94" s="562">
        <f t="shared" si="495"/>
        <v>0.11811287528048385</v>
      </c>
      <c r="BZ94" s="562">
        <f t="shared" si="495"/>
        <v>0.10453795088708749</v>
      </c>
      <c r="CA94" s="562">
        <f t="shared" si="495"/>
        <v>0.12705872704960899</v>
      </c>
      <c r="CB94" s="562">
        <f>CB93/CB12</f>
        <v>-0.21777566302789486</v>
      </c>
      <c r="CC94" s="562">
        <f>CC93/CC12</f>
        <v>8.989038247456814E-2</v>
      </c>
      <c r="CD94" s="562">
        <f>CD93/CD12</f>
        <v>0.19618436679953685</v>
      </c>
      <c r="CE94" s="562">
        <f>CE93/CE12</f>
        <v>0.25002836684715596</v>
      </c>
      <c r="CF94" s="562">
        <f>CF93/CF12</f>
        <v>0.25831544618809749</v>
      </c>
      <c r="CG94" s="598">
        <f t="shared" ref="CG94" si="496">CG93/CG12</f>
        <v>0.26131544618809754</v>
      </c>
      <c r="CH94" s="336"/>
    </row>
    <row r="95" spans="2:86" ht="9" customHeight="1" collapsed="1">
      <c r="B95" s="16"/>
      <c r="C95" s="17"/>
      <c r="D95" s="35"/>
      <c r="E95" s="36"/>
      <c r="F95" s="36"/>
      <c r="G95" s="37"/>
      <c r="H95" s="35"/>
      <c r="I95" s="36"/>
      <c r="J95" s="36"/>
      <c r="K95" s="37"/>
      <c r="L95" s="35"/>
      <c r="M95" s="36"/>
      <c r="N95" s="36"/>
      <c r="O95" s="37"/>
      <c r="P95" s="35"/>
      <c r="Q95" s="36"/>
      <c r="R95" s="36"/>
      <c r="S95" s="37"/>
      <c r="T95" s="35"/>
      <c r="U95" s="36"/>
      <c r="V95" s="36"/>
      <c r="W95" s="37"/>
      <c r="X95" s="35"/>
      <c r="Y95" s="36"/>
      <c r="Z95" s="36"/>
      <c r="AA95" s="37"/>
      <c r="AB95" s="35"/>
      <c r="AC95" s="36"/>
      <c r="AD95" s="36"/>
      <c r="AE95" s="37"/>
      <c r="AF95" s="35"/>
      <c r="AG95" s="36"/>
      <c r="AH95" s="36"/>
      <c r="AI95" s="37"/>
      <c r="AJ95" s="35"/>
      <c r="AK95" s="36"/>
      <c r="AL95" s="36"/>
      <c r="AM95" s="37"/>
      <c r="AN95" s="35"/>
      <c r="AO95" s="36"/>
      <c r="AP95" s="36"/>
      <c r="AQ95" s="37"/>
      <c r="AR95" s="35"/>
      <c r="AS95" s="36"/>
      <c r="AT95" s="36"/>
      <c r="AU95" s="37"/>
      <c r="AV95" s="35"/>
      <c r="AW95" s="36"/>
      <c r="AX95" s="36"/>
      <c r="AY95" s="37"/>
      <c r="AZ95" s="35"/>
      <c r="BA95" s="36"/>
      <c r="BB95" s="36"/>
      <c r="BC95" s="37"/>
      <c r="BD95" s="35"/>
      <c r="BE95" s="36"/>
      <c r="BF95" s="36"/>
      <c r="BG95" s="37"/>
      <c r="BH95" s="35"/>
      <c r="BI95" s="36"/>
      <c r="BJ95" s="36"/>
      <c r="BK95" s="36"/>
      <c r="BL95" s="35"/>
      <c r="BM95" s="36"/>
      <c r="BN95" s="36"/>
      <c r="BO95" s="599"/>
      <c r="BP95" s="347"/>
      <c r="BQ95" s="683"/>
      <c r="BR95" s="338"/>
      <c r="BS95" s="338"/>
      <c r="BT95" s="338"/>
      <c r="BU95" s="338"/>
      <c r="BV95" s="338"/>
      <c r="BW95" s="338"/>
      <c r="BX95" s="338"/>
      <c r="BY95" s="338"/>
      <c r="BZ95" s="338"/>
      <c r="CA95" s="338"/>
      <c r="CB95" s="338"/>
      <c r="CC95" s="338"/>
      <c r="CD95" s="338"/>
      <c r="CE95" s="338"/>
      <c r="CF95" s="338"/>
      <c r="CG95" s="599"/>
      <c r="CH95" s="336"/>
    </row>
    <row r="96" spans="2:86" ht="14.25">
      <c r="B96" s="50" t="s">
        <v>37</v>
      </c>
      <c r="C96" s="17"/>
      <c r="D96" s="22">
        <v>5.46</v>
      </c>
      <c r="E96" s="23">
        <v>6.6280000000000001</v>
      </c>
      <c r="F96" s="23">
        <v>7.4</v>
      </c>
      <c r="G96" s="24">
        <f>27.843-F96-E96-D96</f>
        <v>8.3549999999999969</v>
      </c>
      <c r="H96" s="22">
        <v>9.3510000000000009</v>
      </c>
      <c r="I96" s="23">
        <v>10.840999999999999</v>
      </c>
      <c r="J96" s="23">
        <v>12.584</v>
      </c>
      <c r="K96" s="24">
        <v>43.585000000000001</v>
      </c>
      <c r="L96" s="22">
        <v>15.863</v>
      </c>
      <c r="M96" s="23">
        <v>12.114000000000001</v>
      </c>
      <c r="N96" s="23">
        <v>6.4610000000000003</v>
      </c>
      <c r="O96" s="24">
        <v>1.1089999999999982</v>
      </c>
      <c r="P96" s="22">
        <v>5.9720000000000004</v>
      </c>
      <c r="Q96" s="23">
        <v>9.6189999999999998</v>
      </c>
      <c r="R96" s="23">
        <v>-9.4120000000000008</v>
      </c>
      <c r="S96" s="24">
        <v>-9.74</v>
      </c>
      <c r="T96" s="22">
        <v>7.8410000000000002</v>
      </c>
      <c r="U96" s="23">
        <v>7.016</v>
      </c>
      <c r="V96" s="23">
        <v>13.443</v>
      </c>
      <c r="W96" s="24">
        <v>-4.7089999999999987</v>
      </c>
      <c r="X96" s="22">
        <v>2.0179999999999998</v>
      </c>
      <c r="Y96" s="23">
        <v>9.3350000000000009</v>
      </c>
      <c r="Z96" s="23">
        <v>-32.915999999999997</v>
      </c>
      <c r="AA96" s="24">
        <v>11.216999999999995</v>
      </c>
      <c r="AB96" s="22">
        <v>-1.1160000000000001</v>
      </c>
      <c r="AC96" s="23">
        <v>2.4990000000000001</v>
      </c>
      <c r="AD96" s="23">
        <v>1.605</v>
      </c>
      <c r="AE96" s="24">
        <v>3.3450000000000002</v>
      </c>
      <c r="AF96" s="22">
        <v>1.034</v>
      </c>
      <c r="AG96" s="23">
        <v>4.3120000000000003</v>
      </c>
      <c r="AH96" s="23">
        <v>3.9940000000000002</v>
      </c>
      <c r="AI96" s="24">
        <v>-5.3719999999999999</v>
      </c>
      <c r="AJ96" s="22">
        <v>0.44700000000000001</v>
      </c>
      <c r="AK96" s="23">
        <v>3.105</v>
      </c>
      <c r="AL96" s="23">
        <v>0.36799999999999999</v>
      </c>
      <c r="AM96" s="24">
        <v>-0.315</v>
      </c>
      <c r="AN96" s="22">
        <v>-7.1680000000000001</v>
      </c>
      <c r="AO96" s="23">
        <v>-1.5960000000000001</v>
      </c>
      <c r="AP96" s="23">
        <v>-6.3959999999999999</v>
      </c>
      <c r="AQ96" s="24">
        <v>6.0970000000000004</v>
      </c>
      <c r="AR96" s="22">
        <v>-4.5670000000000002</v>
      </c>
      <c r="AS96" s="23">
        <v>-6.1529999999999996</v>
      </c>
      <c r="AT96" s="23">
        <v>5</v>
      </c>
      <c r="AU96" s="24">
        <v>2.5270000000000001</v>
      </c>
      <c r="AV96" s="22">
        <v>4.3289999999999997</v>
      </c>
      <c r="AW96" s="23">
        <v>5.5430000000000001</v>
      </c>
      <c r="AX96" s="23">
        <v>3.32</v>
      </c>
      <c r="AY96" s="24">
        <v>-0.84599999999999997</v>
      </c>
      <c r="AZ96" s="22">
        <v>-4.9550000000000001</v>
      </c>
      <c r="BA96" s="23">
        <v>-5.5149999999999997</v>
      </c>
      <c r="BB96" s="23">
        <v>15.807</v>
      </c>
      <c r="BC96" s="24">
        <v>68.524000000000001</v>
      </c>
      <c r="BD96" s="22">
        <v>5.2510000000000003</v>
      </c>
      <c r="BE96" s="23">
        <v>-3.899</v>
      </c>
      <c r="BF96" s="23">
        <v>6.7590000000000003</v>
      </c>
      <c r="BG96" s="24">
        <v>10.036</v>
      </c>
      <c r="BH96" s="25">
        <f t="shared" ref="BH96:BK96" si="497">BH97*(BH89+BH65)</f>
        <v>7.8902320128500003</v>
      </c>
      <c r="BI96" s="26">
        <f t="shared" si="497"/>
        <v>8.491377610784749</v>
      </c>
      <c r="BJ96" s="26">
        <f t="shared" si="497"/>
        <v>8.9295978989410294</v>
      </c>
      <c r="BK96" s="26">
        <f t="shared" si="497"/>
        <v>8.9349486952478596</v>
      </c>
      <c r="BL96" s="25">
        <f t="shared" ref="BL96:BO96" si="498">BL97*(BL89+BL65)</f>
        <v>8.4243691058761332</v>
      </c>
      <c r="BM96" s="26">
        <f t="shared" si="498"/>
        <v>9.001544546082318</v>
      </c>
      <c r="BN96" s="26">
        <f t="shared" si="498"/>
        <v>9.3523108108706339</v>
      </c>
      <c r="BO96" s="597">
        <f t="shared" si="498"/>
        <v>9.2994551624777841</v>
      </c>
      <c r="BP96" s="347"/>
      <c r="BQ96" s="25">
        <f>SUM(D96:G96)</f>
        <v>27.842999999999996</v>
      </c>
      <c r="BR96" s="26">
        <f>SUM(H96:K96)</f>
        <v>76.36099999999999</v>
      </c>
      <c r="BS96" s="26">
        <f>SUM(L96:O96)</f>
        <v>35.546999999999997</v>
      </c>
      <c r="BT96" s="26">
        <f>SUM(P96:S96)</f>
        <v>-3.5609999999999999</v>
      </c>
      <c r="BU96" s="26">
        <f>SUM(T96:W96)</f>
        <v>23.590999999999998</v>
      </c>
      <c r="BV96" s="26">
        <f>SUM(X96:AA96)</f>
        <v>-10.346</v>
      </c>
      <c r="BW96" s="26">
        <f>SUM(AB96:AE96)</f>
        <v>6.3330000000000002</v>
      </c>
      <c r="BX96" s="26">
        <f>SUM(AF96:AI96)</f>
        <v>3.968</v>
      </c>
      <c r="BY96" s="26">
        <f>SUM(AJ96:AM96)</f>
        <v>3.605</v>
      </c>
      <c r="BZ96" s="26">
        <f>SUM(AN96:AQ96)</f>
        <v>-9.0629999999999988</v>
      </c>
      <c r="CA96" s="26">
        <f>SUM(AR96:AU96)</f>
        <v>-3.1929999999999987</v>
      </c>
      <c r="CB96" s="26">
        <f>SUM(AV96:AY96)</f>
        <v>12.346</v>
      </c>
      <c r="CC96" s="26">
        <f>SUM(AZ96:BC96)</f>
        <v>73.861000000000004</v>
      </c>
      <c r="CD96" s="26">
        <f>SUM(BD96:BG96)</f>
        <v>18.146999999999998</v>
      </c>
      <c r="CE96" s="26">
        <f>SUM(BH96:BK96)</f>
        <v>34.246156217823639</v>
      </c>
      <c r="CF96" s="26">
        <f>SUM(BL96:BO96)</f>
        <v>36.077679625306871</v>
      </c>
      <c r="CG96" s="597">
        <f>CG97*(CG89+CG65)</f>
        <v>36.496675238899059</v>
      </c>
      <c r="CH96" s="336"/>
    </row>
    <row r="97" spans="2:86" ht="14.25">
      <c r="B97" s="28" t="s">
        <v>95</v>
      </c>
      <c r="C97" s="29"/>
      <c r="D97" s="38">
        <f t="shared" ref="D97:AR97" si="499">D96/D89</f>
        <v>0.2735882146615225</v>
      </c>
      <c r="E97" s="31">
        <f t="shared" si="499"/>
        <v>0.18801770112334054</v>
      </c>
      <c r="F97" s="31">
        <f t="shared" si="499"/>
        <v>0.1451122659084223</v>
      </c>
      <c r="G97" s="32">
        <f t="shared" si="499"/>
        <v>0.1319905213270145</v>
      </c>
      <c r="H97" s="38">
        <f t="shared" si="499"/>
        <v>0.14772978609118778</v>
      </c>
      <c r="I97" s="31">
        <f t="shared" si="499"/>
        <v>0.18710735243355189</v>
      </c>
      <c r="J97" s="31">
        <f t="shared" si="499"/>
        <v>0.13116667882717145</v>
      </c>
      <c r="K97" s="32">
        <f t="shared" si="499"/>
        <v>0.74283328220335976</v>
      </c>
      <c r="L97" s="38">
        <f t="shared" si="499"/>
        <v>0.16979213495172643</v>
      </c>
      <c r="M97" s="31">
        <f t="shared" si="499"/>
        <v>0.21254496008421783</v>
      </c>
      <c r="N97" s="31">
        <f t="shared" si="499"/>
        <v>0.51659070920284267</v>
      </c>
      <c r="O97" s="32">
        <f t="shared" si="499"/>
        <v>-7.9511887349794537E-3</v>
      </c>
      <c r="P97" s="38">
        <f t="shared" si="499"/>
        <v>-0.12745432815434513</v>
      </c>
      <c r="Q97" s="31">
        <f t="shared" si="499"/>
        <v>-0.20537182142323415</v>
      </c>
      <c r="R97" s="31">
        <f t="shared" si="499"/>
        <v>0.59389197375063019</v>
      </c>
      <c r="S97" s="32">
        <f t="shared" si="499"/>
        <v>1.1530720966023682</v>
      </c>
      <c r="T97" s="38">
        <f t="shared" si="499"/>
        <v>0.10080997685780403</v>
      </c>
      <c r="U97" s="31">
        <f t="shared" si="499"/>
        <v>8.9509204802061607E-2</v>
      </c>
      <c r="V97" s="31">
        <f t="shared" si="499"/>
        <v>0.15929801277417671</v>
      </c>
      <c r="W97" s="32">
        <f t="shared" si="499"/>
        <v>6.7542563720075902E-2</v>
      </c>
      <c r="X97" s="38">
        <f t="shared" si="499"/>
        <v>-1.8439495974926671E-2</v>
      </c>
      <c r="Y97" s="31">
        <f t="shared" si="499"/>
        <v>0.13762752845432583</v>
      </c>
      <c r="Z97" s="31">
        <f t="shared" si="499"/>
        <v>-0.19513525370072865</v>
      </c>
      <c r="AA97" s="32">
        <f t="shared" si="499"/>
        <v>5.1921421231450035E-2</v>
      </c>
      <c r="AB97" s="38">
        <f t="shared" si="499"/>
        <v>-5.4531861559435346E-3</v>
      </c>
      <c r="AC97" s="31">
        <f t="shared" si="499"/>
        <v>1.1242779247422124E-2</v>
      </c>
      <c r="AD97" s="31">
        <f t="shared" si="499"/>
        <v>6.2369577635551831E-3</v>
      </c>
      <c r="AE97" s="32">
        <f t="shared" si="499"/>
        <v>1.4787929159409014E-2</v>
      </c>
      <c r="AF97" s="38">
        <f t="shared" si="499"/>
        <v>6.9914466344365937E-3</v>
      </c>
      <c r="AG97" s="31">
        <f t="shared" si="499"/>
        <v>2.1921262404424921E-2</v>
      </c>
      <c r="AH97" s="31">
        <f t="shared" si="499"/>
        <v>2.0058760013057779E-2</v>
      </c>
      <c r="AI97" s="32">
        <f t="shared" si="499"/>
        <v>-7.1298692680337172E-2</v>
      </c>
      <c r="AJ97" s="38">
        <f t="shared" si="499"/>
        <v>4.7057585008948317E-3</v>
      </c>
      <c r="AK97" s="31">
        <f t="shared" si="499"/>
        <v>3.2283554622110855E-2</v>
      </c>
      <c r="AL97" s="31">
        <f t="shared" si="499"/>
        <v>5.3191489361702152E-3</v>
      </c>
      <c r="AM97" s="32">
        <f t="shared" si="499"/>
        <v>-6.3206051728635464E-3</v>
      </c>
      <c r="AN97" s="38">
        <f t="shared" si="499"/>
        <v>-0.15568732216937051</v>
      </c>
      <c r="AO97" s="31">
        <f t="shared" si="499"/>
        <v>-2.649842271293374E-2</v>
      </c>
      <c r="AP97" s="31">
        <f t="shared" si="499"/>
        <v>-6.6101694915254208E-2</v>
      </c>
      <c r="AQ97" s="32">
        <f>AQ96/AQ89</f>
        <v>5.9064576753918567E-2</v>
      </c>
      <c r="AR97" s="38">
        <f t="shared" si="499"/>
        <v>-4.8118256911665533E-2</v>
      </c>
      <c r="AS97" s="31">
        <f t="shared" ref="AS97:AX97" si="500">AS96/AS89</f>
        <v>-4.6361807454960567E-2</v>
      </c>
      <c r="AT97" s="31">
        <f t="shared" si="500"/>
        <v>4.1561377842798258E-2</v>
      </c>
      <c r="AU97" s="32">
        <f t="shared" si="500"/>
        <v>3.0004749465685123E-2</v>
      </c>
      <c r="AV97" s="38">
        <f t="shared" si="500"/>
        <v>0.2350290460937067</v>
      </c>
      <c r="AW97" s="31">
        <f t="shared" si="500"/>
        <v>-7.23254396872639E-3</v>
      </c>
      <c r="AX97" s="31">
        <f t="shared" si="500"/>
        <v>-6.0995774389123562E-2</v>
      </c>
      <c r="AY97" s="32">
        <f t="shared" ref="AY97:BB97" si="501">AY96/AY89</f>
        <v>-0.25223613595706756</v>
      </c>
      <c r="AZ97" s="38">
        <f t="shared" si="501"/>
        <v>0.17930809871896966</v>
      </c>
      <c r="BA97" s="31">
        <f t="shared" si="501"/>
        <v>-0.12044114435466266</v>
      </c>
      <c r="BB97" s="492">
        <f t="shared" si="501"/>
        <v>0.17876570575528974</v>
      </c>
      <c r="BC97" s="32">
        <f t="shared" ref="BC97:BF97" si="502">BC96/BC89</f>
        <v>-8.2035196935231909</v>
      </c>
      <c r="BD97" s="38">
        <f t="shared" si="502"/>
        <v>5.1369092456540255E-2</v>
      </c>
      <c r="BE97" s="492">
        <f t="shared" si="502"/>
        <v>-2.9638695258872989E-2</v>
      </c>
      <c r="BF97" s="562">
        <f t="shared" si="502"/>
        <v>4.3300276752767528E-2</v>
      </c>
      <c r="BG97" s="563">
        <f t="shared" ref="BG97" si="503">BG96/BG89</f>
        <v>0.1706831748839267</v>
      </c>
      <c r="BH97" s="561">
        <v>5.5E-2</v>
      </c>
      <c r="BI97" s="564">
        <v>5.5E-2</v>
      </c>
      <c r="BJ97" s="564">
        <v>5.5E-2</v>
      </c>
      <c r="BK97" s="564">
        <v>5.5E-2</v>
      </c>
      <c r="BL97" s="561">
        <v>5.5E-2</v>
      </c>
      <c r="BM97" s="564">
        <v>5.5E-2</v>
      </c>
      <c r="BN97" s="564">
        <v>5.5E-2</v>
      </c>
      <c r="BO97" s="604">
        <v>5.5E-2</v>
      </c>
      <c r="BP97" s="347"/>
      <c r="BQ97" s="566">
        <f t="shared" ref="BQ97:CB97" si="504">BQ96/BQ89</f>
        <v>0.16426161034547862</v>
      </c>
      <c r="BR97" s="562">
        <f t="shared" si="504"/>
        <v>0.27681973239176216</v>
      </c>
      <c r="BS97" s="562">
        <f t="shared" si="504"/>
        <v>1.5157342657342796</v>
      </c>
      <c r="BT97" s="562">
        <f t="shared" si="504"/>
        <v>3.0181035359528225E-2</v>
      </c>
      <c r="BU97" s="562">
        <f t="shared" si="504"/>
        <v>0.13809392798815256</v>
      </c>
      <c r="BV97" s="562">
        <f t="shared" si="504"/>
        <v>-3.0153595056978851E-2</v>
      </c>
      <c r="BW97" s="562">
        <f t="shared" si="504"/>
        <v>6.9558092484914239E-3</v>
      </c>
      <c r="BX97" s="562">
        <f t="shared" si="504"/>
        <v>6.409728313456391E-3</v>
      </c>
      <c r="BY97" s="562">
        <f t="shared" si="504"/>
        <v>1.1621909152454958E-2</v>
      </c>
      <c r="BZ97" s="562">
        <f t="shared" si="504"/>
        <v>-2.9592792981058318E-2</v>
      </c>
      <c r="CA97" s="562">
        <f t="shared" si="504"/>
        <v>-7.3885869125055259E-3</v>
      </c>
      <c r="CB97" s="562">
        <f t="shared" si="504"/>
        <v>-1.5450770536159007E-2</v>
      </c>
      <c r="CC97" s="562">
        <f t="shared" ref="CC97:CD97" si="505">CC96/CC89</f>
        <v>0.75194958564941761</v>
      </c>
      <c r="CD97" s="562">
        <f t="shared" si="505"/>
        <v>4.0446478122973167E-2</v>
      </c>
      <c r="CE97" s="562">
        <f t="shared" ref="CE97:CF97" si="506">CE96/CE89</f>
        <v>5.4999999999999986E-2</v>
      </c>
      <c r="CF97" s="562">
        <f t="shared" si="506"/>
        <v>5.4999999999999979E-2</v>
      </c>
      <c r="CG97" s="697">
        <f>CF97</f>
        <v>5.4999999999999979E-2</v>
      </c>
      <c r="CH97" s="336"/>
    </row>
    <row r="98" spans="2:86" ht="14.25" hidden="1" outlineLevel="1">
      <c r="B98" s="20" t="s">
        <v>38</v>
      </c>
      <c r="C98" s="21"/>
      <c r="D98" s="22">
        <v>0</v>
      </c>
      <c r="E98" s="23">
        <v>0</v>
      </c>
      <c r="F98" s="23">
        <v>0</v>
      </c>
      <c r="G98" s="24">
        <v>0</v>
      </c>
      <c r="H98" s="22">
        <v>0</v>
      </c>
      <c r="I98" s="23">
        <v>0</v>
      </c>
      <c r="J98" s="23">
        <v>0</v>
      </c>
      <c r="K98" s="24">
        <v>0</v>
      </c>
      <c r="L98" s="22">
        <v>0</v>
      </c>
      <c r="M98" s="23">
        <v>0</v>
      </c>
      <c r="N98" s="23">
        <v>0</v>
      </c>
      <c r="O98" s="24">
        <v>0</v>
      </c>
      <c r="P98" s="22">
        <v>0</v>
      </c>
      <c r="Q98" s="23">
        <v>0</v>
      </c>
      <c r="R98" s="23">
        <v>0</v>
      </c>
      <c r="S98" s="24">
        <v>0</v>
      </c>
      <c r="T98" s="22">
        <v>0</v>
      </c>
      <c r="U98" s="23">
        <v>0</v>
      </c>
      <c r="V98" s="23">
        <v>0</v>
      </c>
      <c r="W98" s="24">
        <v>0</v>
      </c>
      <c r="X98" s="22">
        <v>0</v>
      </c>
      <c r="Y98" s="23">
        <v>0</v>
      </c>
      <c r="Z98" s="23">
        <v>0</v>
      </c>
      <c r="AA98" s="24">
        <v>0</v>
      </c>
      <c r="AB98" s="22">
        <v>0</v>
      </c>
      <c r="AC98" s="23">
        <v>0</v>
      </c>
      <c r="AD98" s="23">
        <v>0</v>
      </c>
      <c r="AE98" s="24">
        <v>0</v>
      </c>
      <c r="AF98" s="22">
        <v>0</v>
      </c>
      <c r="AG98" s="23">
        <v>0</v>
      </c>
      <c r="AH98" s="23">
        <v>0</v>
      </c>
      <c r="AI98" s="24">
        <v>0</v>
      </c>
      <c r="AJ98" s="22">
        <v>0</v>
      </c>
      <c r="AK98" s="23">
        <v>0</v>
      </c>
      <c r="AL98" s="23">
        <v>0</v>
      </c>
      <c r="AM98" s="24">
        <v>0</v>
      </c>
      <c r="AN98" s="22">
        <v>0</v>
      </c>
      <c r="AO98" s="23">
        <v>0</v>
      </c>
      <c r="AP98" s="23">
        <v>0</v>
      </c>
      <c r="AQ98" s="24">
        <v>0</v>
      </c>
      <c r="AR98" s="22">
        <v>0</v>
      </c>
      <c r="AS98" s="23">
        <v>0</v>
      </c>
      <c r="AT98" s="23">
        <v>0</v>
      </c>
      <c r="AU98" s="24">
        <v>0</v>
      </c>
      <c r="AV98" s="22">
        <v>0</v>
      </c>
      <c r="AW98" s="23"/>
      <c r="AX98" s="23"/>
      <c r="AY98" s="24">
        <v>0</v>
      </c>
      <c r="AZ98" s="22">
        <v>0</v>
      </c>
      <c r="BA98" s="23"/>
      <c r="BB98" s="23"/>
      <c r="BC98" s="24">
        <v>0</v>
      </c>
      <c r="BD98" s="22">
        <v>0</v>
      </c>
      <c r="BE98" s="23"/>
      <c r="BF98" s="23"/>
      <c r="BG98" s="24">
        <v>0</v>
      </c>
      <c r="BH98" s="22"/>
      <c r="BI98" s="23"/>
      <c r="BJ98" s="23"/>
      <c r="BK98" s="23"/>
      <c r="BL98" s="22"/>
      <c r="BM98" s="23"/>
      <c r="BN98" s="23"/>
      <c r="BO98" s="605"/>
      <c r="BP98" s="347"/>
      <c r="BQ98" s="25">
        <f>SUM(D98:G98)</f>
        <v>0</v>
      </c>
      <c r="BR98" s="26">
        <f>SUM(H98:K98)</f>
        <v>0</v>
      </c>
      <c r="BS98" s="26">
        <f>SUM(L98:O98)</f>
        <v>0</v>
      </c>
      <c r="BT98" s="26">
        <f>SUM(P98:S98)</f>
        <v>0</v>
      </c>
      <c r="BU98" s="26">
        <f>SUM(T98:W98)</f>
        <v>0</v>
      </c>
      <c r="BV98" s="26">
        <f>SUM(X98:AA98)</f>
        <v>0</v>
      </c>
      <c r="BW98" s="26">
        <f>SUM(AB98:AE98)</f>
        <v>0</v>
      </c>
      <c r="BX98" s="26">
        <f>SUM(AF98:AI98)</f>
        <v>0</v>
      </c>
      <c r="BY98" s="26">
        <f>SUM(AJ98:AM98)</f>
        <v>0</v>
      </c>
      <c r="BZ98" s="26">
        <f>SUM(AN98:AQ98)</f>
        <v>0</v>
      </c>
      <c r="CA98" s="26">
        <f>SUM(AR98:AU98)</f>
        <v>0</v>
      </c>
      <c r="CB98" s="26">
        <f>SUM(AV98:AY98)</f>
        <v>0</v>
      </c>
      <c r="CC98" s="26">
        <f>SUM(AZ98:BC98)</f>
        <v>0</v>
      </c>
      <c r="CD98" s="26">
        <f>SUM(BD98:BG98)</f>
        <v>0</v>
      </c>
      <c r="CE98" s="26">
        <f>SUM(BH98:BK98)</f>
        <v>0</v>
      </c>
      <c r="CF98" s="26">
        <f>SUM(BL98:BO98)</f>
        <v>0</v>
      </c>
      <c r="CG98" s="596"/>
      <c r="CH98" s="336"/>
    </row>
    <row r="99" spans="2:86" ht="14.25" hidden="1" outlineLevel="1">
      <c r="B99" s="20" t="s">
        <v>39</v>
      </c>
      <c r="C99" s="21"/>
      <c r="D99" s="22">
        <v>0</v>
      </c>
      <c r="E99" s="23">
        <v>0</v>
      </c>
      <c r="F99" s="23">
        <v>0</v>
      </c>
      <c r="G99" s="24">
        <v>0</v>
      </c>
      <c r="H99" s="22">
        <v>0</v>
      </c>
      <c r="I99" s="23">
        <v>0</v>
      </c>
      <c r="J99" s="23">
        <v>0</v>
      </c>
      <c r="K99" s="24">
        <v>0</v>
      </c>
      <c r="L99" s="22">
        <v>0</v>
      </c>
      <c r="M99" s="23">
        <v>0</v>
      </c>
      <c r="N99" s="23">
        <v>0</v>
      </c>
      <c r="O99" s="24">
        <v>0</v>
      </c>
      <c r="P99" s="22">
        <v>0</v>
      </c>
      <c r="Q99" s="23">
        <v>0</v>
      </c>
      <c r="R99" s="23">
        <v>0</v>
      </c>
      <c r="S99" s="24">
        <v>0</v>
      </c>
      <c r="T99" s="22">
        <v>0</v>
      </c>
      <c r="U99" s="23">
        <v>0</v>
      </c>
      <c r="V99" s="23">
        <v>0</v>
      </c>
      <c r="W99" s="24">
        <v>0</v>
      </c>
      <c r="X99" s="22">
        <v>0</v>
      </c>
      <c r="Y99" s="23">
        <v>-1.4350000000000001</v>
      </c>
      <c r="Z99" s="23">
        <v>32.569000000000003</v>
      </c>
      <c r="AA99" s="24">
        <v>0</v>
      </c>
      <c r="AB99" s="22">
        <v>0</v>
      </c>
      <c r="AC99" s="23">
        <v>0</v>
      </c>
      <c r="AD99" s="23">
        <v>0</v>
      </c>
      <c r="AE99" s="24">
        <v>0</v>
      </c>
      <c r="AF99" s="22">
        <v>0</v>
      </c>
      <c r="AG99" s="23">
        <v>0</v>
      </c>
      <c r="AH99" s="23">
        <v>0</v>
      </c>
      <c r="AI99" s="24">
        <v>0</v>
      </c>
      <c r="AJ99" s="22">
        <v>0</v>
      </c>
      <c r="AK99" s="23">
        <v>0</v>
      </c>
      <c r="AL99" s="23">
        <v>0</v>
      </c>
      <c r="AM99" s="24">
        <v>0</v>
      </c>
      <c r="AN99" s="22">
        <v>0</v>
      </c>
      <c r="AO99" s="23">
        <v>0</v>
      </c>
      <c r="AP99" s="23">
        <v>0</v>
      </c>
      <c r="AQ99" s="24">
        <v>0</v>
      </c>
      <c r="AR99" s="22">
        <v>0</v>
      </c>
      <c r="AS99" s="23">
        <v>0</v>
      </c>
      <c r="AT99" s="23">
        <v>0</v>
      </c>
      <c r="AU99" s="24">
        <v>0</v>
      </c>
      <c r="AV99" s="22">
        <v>-3.08</v>
      </c>
      <c r="AW99" s="23">
        <v>-7.3230000000000004</v>
      </c>
      <c r="AX99" s="23">
        <v>-1.1080000000000001</v>
      </c>
      <c r="AY99" s="24">
        <v>0</v>
      </c>
      <c r="AZ99" s="22">
        <v>1.071</v>
      </c>
      <c r="BA99" s="23">
        <v>0</v>
      </c>
      <c r="BB99" s="23">
        <v>0</v>
      </c>
      <c r="BC99" s="24">
        <v>-67.989000000000004</v>
      </c>
      <c r="BD99" s="22">
        <f>-0.072</f>
        <v>-7.1999999999999995E-2</v>
      </c>
      <c r="BE99" s="23">
        <v>10.298</v>
      </c>
      <c r="BF99" s="23">
        <v>0.39800000000000002</v>
      </c>
      <c r="BG99" s="24">
        <v>-3.17</v>
      </c>
      <c r="BH99" s="22"/>
      <c r="BI99" s="23"/>
      <c r="BJ99" s="23"/>
      <c r="BK99" s="23"/>
      <c r="BL99" s="22"/>
      <c r="BM99" s="23"/>
      <c r="BN99" s="23"/>
      <c r="BO99" s="605"/>
      <c r="BP99" s="347"/>
      <c r="BQ99" s="25">
        <f>SUM(D99:G99)</f>
        <v>0</v>
      </c>
      <c r="BR99" s="26">
        <f>SUM(H99:K99)</f>
        <v>0</v>
      </c>
      <c r="BS99" s="26">
        <f>SUM(L99:O99)</f>
        <v>0</v>
      </c>
      <c r="BT99" s="26">
        <f>SUM(P99:S99)</f>
        <v>0</v>
      </c>
      <c r="BU99" s="26">
        <f>SUM(T99:W99)</f>
        <v>0</v>
      </c>
      <c r="BV99" s="26">
        <f>SUM(X99:AA99)</f>
        <v>31.134000000000004</v>
      </c>
      <c r="BW99" s="26">
        <f>SUM(AB99:AE99)</f>
        <v>0</v>
      </c>
      <c r="BX99" s="26">
        <f>SUM(AF99:AI99)</f>
        <v>0</v>
      </c>
      <c r="BY99" s="26">
        <f>SUM(AJ99:AM99)</f>
        <v>0</v>
      </c>
      <c r="BZ99" s="26">
        <f>SUM(AN99:AQ99)</f>
        <v>0</v>
      </c>
      <c r="CA99" s="26">
        <f>SUM(AR99:AU99)</f>
        <v>0</v>
      </c>
      <c r="CB99" s="26">
        <f>SUM(AV99:AY99)</f>
        <v>-11.511000000000001</v>
      </c>
      <c r="CC99" s="26">
        <f>SUM(AZ99:BC99)</f>
        <v>-66.918000000000006</v>
      </c>
      <c r="CD99" s="26">
        <f>SUM(BD99:BG99)</f>
        <v>7.4540000000000006</v>
      </c>
      <c r="CE99" s="26">
        <f>SUM(BH99:BK99)</f>
        <v>0</v>
      </c>
      <c r="CF99" s="26">
        <f>SUM(BL99:BO99)</f>
        <v>0</v>
      </c>
      <c r="CG99" s="596"/>
      <c r="CH99" s="336"/>
    </row>
    <row r="100" spans="2:86" ht="14.25" hidden="1" outlineLevel="1">
      <c r="B100" s="20" t="s">
        <v>40</v>
      </c>
      <c r="C100" s="21"/>
      <c r="D100" s="22">
        <v>0</v>
      </c>
      <c r="E100" s="23">
        <v>0</v>
      </c>
      <c r="F100" s="23">
        <v>0</v>
      </c>
      <c r="G100" s="24">
        <v>0</v>
      </c>
      <c r="H100" s="22">
        <v>0</v>
      </c>
      <c r="I100" s="23">
        <v>0</v>
      </c>
      <c r="J100" s="23">
        <v>0</v>
      </c>
      <c r="K100" s="24">
        <v>0</v>
      </c>
      <c r="L100" s="22">
        <v>0</v>
      </c>
      <c r="M100" s="23">
        <v>0</v>
      </c>
      <c r="N100" s="23">
        <v>0</v>
      </c>
      <c r="O100" s="24">
        <v>0</v>
      </c>
      <c r="P100" s="22">
        <v>0</v>
      </c>
      <c r="Q100" s="23">
        <v>0</v>
      </c>
      <c r="R100" s="23">
        <v>0</v>
      </c>
      <c r="S100" s="24">
        <v>0</v>
      </c>
      <c r="T100" s="22">
        <v>0</v>
      </c>
      <c r="U100" s="23">
        <v>0</v>
      </c>
      <c r="V100" s="23">
        <v>0</v>
      </c>
      <c r="W100" s="24">
        <v>0</v>
      </c>
      <c r="X100" s="22">
        <v>0</v>
      </c>
      <c r="Y100" s="23">
        <v>0</v>
      </c>
      <c r="Z100" s="23">
        <v>0</v>
      </c>
      <c r="AA100" s="24">
        <v>0</v>
      </c>
      <c r="AB100" s="22">
        <v>0</v>
      </c>
      <c r="AC100" s="23">
        <v>0</v>
      </c>
      <c r="AD100" s="23">
        <v>0</v>
      </c>
      <c r="AE100" s="24">
        <v>0</v>
      </c>
      <c r="AF100" s="22">
        <v>0</v>
      </c>
      <c r="AG100" s="23">
        <v>0</v>
      </c>
      <c r="AH100" s="23">
        <v>0</v>
      </c>
      <c r="AI100" s="24">
        <v>0</v>
      </c>
      <c r="AJ100" s="22">
        <v>0</v>
      </c>
      <c r="AK100" s="23">
        <v>0</v>
      </c>
      <c r="AL100" s="23">
        <v>0</v>
      </c>
      <c r="AM100" s="24">
        <v>0</v>
      </c>
      <c r="AN100" s="22">
        <v>0</v>
      </c>
      <c r="AO100" s="23">
        <v>0</v>
      </c>
      <c r="AP100" s="23">
        <v>0</v>
      </c>
      <c r="AQ100" s="24">
        <v>0</v>
      </c>
      <c r="AR100" s="22">
        <v>0</v>
      </c>
      <c r="AS100" s="23">
        <v>0</v>
      </c>
      <c r="AT100" s="23">
        <v>0</v>
      </c>
      <c r="AU100" s="24">
        <v>0</v>
      </c>
      <c r="AV100" s="22">
        <v>0</v>
      </c>
      <c r="AW100" s="23"/>
      <c r="AX100" s="23"/>
      <c r="AY100" s="24">
        <v>0</v>
      </c>
      <c r="AZ100" s="22">
        <v>0</v>
      </c>
      <c r="BA100" s="23"/>
      <c r="BB100" s="23"/>
      <c r="BC100" s="24">
        <v>0</v>
      </c>
      <c r="BD100" s="22">
        <v>0</v>
      </c>
      <c r="BE100" s="23"/>
      <c r="BF100" s="23"/>
      <c r="BG100" s="24">
        <v>0</v>
      </c>
      <c r="BH100" s="22"/>
      <c r="BI100" s="23"/>
      <c r="BJ100" s="23"/>
      <c r="BK100" s="23"/>
      <c r="BL100" s="22"/>
      <c r="BM100" s="23"/>
      <c r="BN100" s="23"/>
      <c r="BO100" s="605"/>
      <c r="BP100" s="347"/>
      <c r="BQ100" s="25">
        <f>SUM(D100:G100)</f>
        <v>0</v>
      </c>
      <c r="BR100" s="26">
        <f>SUM(H100:K100)</f>
        <v>0</v>
      </c>
      <c r="BS100" s="26">
        <f>SUM(L100:O100)</f>
        <v>0</v>
      </c>
      <c r="BT100" s="26">
        <f>SUM(P100:S100)</f>
        <v>0</v>
      </c>
      <c r="BU100" s="26">
        <f>SUM(T100:W100)</f>
        <v>0</v>
      </c>
      <c r="BV100" s="26">
        <f>SUM(X100:AA100)</f>
        <v>0</v>
      </c>
      <c r="BW100" s="26">
        <f>SUM(AB100:AE100)</f>
        <v>0</v>
      </c>
      <c r="BX100" s="26">
        <f>SUM(AF100:AI100)</f>
        <v>0</v>
      </c>
      <c r="BY100" s="26">
        <f>SUM(AJ100:AM100)</f>
        <v>0</v>
      </c>
      <c r="BZ100" s="26">
        <f>SUM(AN100:AQ100)</f>
        <v>0</v>
      </c>
      <c r="CA100" s="26">
        <f>SUM(AR100:AU100)</f>
        <v>0</v>
      </c>
      <c r="CB100" s="26">
        <f>SUM(AV100:AY100)</f>
        <v>0</v>
      </c>
      <c r="CC100" s="26">
        <f>SUM(AZ100:BC100)</f>
        <v>0</v>
      </c>
      <c r="CD100" s="26">
        <f>SUM(BD100:BG100)</f>
        <v>0</v>
      </c>
      <c r="CE100" s="26">
        <f>SUM(BH100:BK100)</f>
        <v>0</v>
      </c>
      <c r="CF100" s="26">
        <f>SUM(BL100:BO100)</f>
        <v>0</v>
      </c>
      <c r="CG100" s="596"/>
      <c r="CH100" s="336"/>
    </row>
    <row r="101" spans="2:86" ht="14.25" collapsed="1">
      <c r="B101" s="16" t="s">
        <v>41</v>
      </c>
      <c r="C101" s="17"/>
      <c r="D101" s="25">
        <f t="shared" ref="D101:AU101" si="507">D96+D99+D98+D100</f>
        <v>5.46</v>
      </c>
      <c r="E101" s="26">
        <f t="shared" si="507"/>
        <v>6.6280000000000001</v>
      </c>
      <c r="F101" s="26">
        <f t="shared" si="507"/>
        <v>7.4</v>
      </c>
      <c r="G101" s="27">
        <f t="shared" si="507"/>
        <v>8.3549999999999969</v>
      </c>
      <c r="H101" s="25">
        <f t="shared" si="507"/>
        <v>9.3510000000000009</v>
      </c>
      <c r="I101" s="26">
        <f t="shared" si="507"/>
        <v>10.840999999999999</v>
      </c>
      <c r="J101" s="26">
        <f t="shared" si="507"/>
        <v>12.584</v>
      </c>
      <c r="K101" s="27">
        <f t="shared" si="507"/>
        <v>43.585000000000001</v>
      </c>
      <c r="L101" s="25">
        <f t="shared" si="507"/>
        <v>15.863</v>
      </c>
      <c r="M101" s="26">
        <f t="shared" si="507"/>
        <v>12.114000000000001</v>
      </c>
      <c r="N101" s="26">
        <f t="shared" si="507"/>
        <v>6.4610000000000003</v>
      </c>
      <c r="O101" s="27">
        <f t="shared" si="507"/>
        <v>1.1089999999999982</v>
      </c>
      <c r="P101" s="25">
        <f t="shared" si="507"/>
        <v>5.9720000000000004</v>
      </c>
      <c r="Q101" s="26">
        <f t="shared" si="507"/>
        <v>9.6189999999999998</v>
      </c>
      <c r="R101" s="26">
        <f t="shared" si="507"/>
        <v>-9.4120000000000008</v>
      </c>
      <c r="S101" s="27">
        <f t="shared" si="507"/>
        <v>-9.74</v>
      </c>
      <c r="T101" s="25">
        <f t="shared" si="507"/>
        <v>7.8410000000000002</v>
      </c>
      <c r="U101" s="26">
        <f t="shared" si="507"/>
        <v>7.016</v>
      </c>
      <c r="V101" s="26">
        <f t="shared" si="507"/>
        <v>13.443</v>
      </c>
      <c r="W101" s="27">
        <f t="shared" si="507"/>
        <v>-4.7089999999999987</v>
      </c>
      <c r="X101" s="25">
        <f t="shared" si="507"/>
        <v>2.0179999999999998</v>
      </c>
      <c r="Y101" s="26">
        <f t="shared" si="507"/>
        <v>7.9</v>
      </c>
      <c r="Z101" s="26">
        <f t="shared" si="507"/>
        <v>-0.3469999999999942</v>
      </c>
      <c r="AA101" s="27">
        <f t="shared" si="507"/>
        <v>11.216999999999995</v>
      </c>
      <c r="AB101" s="25">
        <f t="shared" si="507"/>
        <v>-1.1160000000000001</v>
      </c>
      <c r="AC101" s="26">
        <f t="shared" si="507"/>
        <v>2.4990000000000001</v>
      </c>
      <c r="AD101" s="26">
        <f t="shared" si="507"/>
        <v>1.605</v>
      </c>
      <c r="AE101" s="27">
        <f t="shared" si="507"/>
        <v>3.3450000000000002</v>
      </c>
      <c r="AF101" s="25">
        <f t="shared" si="507"/>
        <v>1.034</v>
      </c>
      <c r="AG101" s="26">
        <f t="shared" si="507"/>
        <v>4.3120000000000003</v>
      </c>
      <c r="AH101" s="26">
        <f t="shared" si="507"/>
        <v>3.9940000000000002</v>
      </c>
      <c r="AI101" s="27">
        <f t="shared" si="507"/>
        <v>-5.3719999999999999</v>
      </c>
      <c r="AJ101" s="25">
        <f t="shared" si="507"/>
        <v>0.44700000000000001</v>
      </c>
      <c r="AK101" s="26">
        <f t="shared" si="507"/>
        <v>3.105</v>
      </c>
      <c r="AL101" s="26">
        <f t="shared" si="507"/>
        <v>0.36799999999999999</v>
      </c>
      <c r="AM101" s="27">
        <f t="shared" si="507"/>
        <v>-0.315</v>
      </c>
      <c r="AN101" s="25">
        <f t="shared" si="507"/>
        <v>-7.1680000000000001</v>
      </c>
      <c r="AO101" s="26">
        <f t="shared" si="507"/>
        <v>-1.5960000000000001</v>
      </c>
      <c r="AP101" s="26">
        <f t="shared" si="507"/>
        <v>-6.3959999999999999</v>
      </c>
      <c r="AQ101" s="27">
        <f>AQ96+AQ99+AQ98+AQ100</f>
        <v>6.0970000000000004</v>
      </c>
      <c r="AR101" s="25">
        <f t="shared" si="507"/>
        <v>-4.5670000000000002</v>
      </c>
      <c r="AS101" s="26">
        <f>AS96+AS99+AS98+AS100</f>
        <v>-6.1529999999999996</v>
      </c>
      <c r="AT101" s="26">
        <f>AT96+AT99+AT98+AT100</f>
        <v>5</v>
      </c>
      <c r="AU101" s="27">
        <f t="shared" si="507"/>
        <v>2.5270000000000001</v>
      </c>
      <c r="AV101" s="25">
        <f>AV96+AV99+AV98+AV100</f>
        <v>1.2489999999999997</v>
      </c>
      <c r="AW101" s="26">
        <f t="shared" ref="AW101" si="508">AW96+AW99+AW98+AW100</f>
        <v>-1.7800000000000002</v>
      </c>
      <c r="AX101" s="26">
        <f>AX96+AX99+AX98+AX100</f>
        <v>2.2119999999999997</v>
      </c>
      <c r="AY101" s="27">
        <f t="shared" ref="AY101" si="509">AY96+AY99+AY98+AY100</f>
        <v>-0.84599999999999997</v>
      </c>
      <c r="AZ101" s="25">
        <f>AZ96+AZ99+AZ98+AZ100</f>
        <v>-3.8840000000000003</v>
      </c>
      <c r="BA101" s="26">
        <f t="shared" ref="BA101" si="510">BA96+BA99+BA98+BA100</f>
        <v>-5.5149999999999997</v>
      </c>
      <c r="BB101" s="26">
        <f>BB96+BB99+BB98+BB100</f>
        <v>15.807</v>
      </c>
      <c r="BC101" s="27">
        <f t="shared" ref="BC101" si="511">BC96+BC99+BC98+BC100</f>
        <v>0.53499999999999659</v>
      </c>
      <c r="BD101" s="25">
        <f>BD96+BD99+BD98</f>
        <v>5.1790000000000003</v>
      </c>
      <c r="BE101" s="26">
        <f t="shared" ref="BE101" si="512">BE96+BE99+BE98+BE100</f>
        <v>6.399</v>
      </c>
      <c r="BF101" s="26">
        <f>BF96+BF99+BF98+BF100</f>
        <v>7.157</v>
      </c>
      <c r="BG101" s="27">
        <f t="shared" ref="BG101" si="513">BG96+BG99+BG98+BG100</f>
        <v>6.8659999999999997</v>
      </c>
      <c r="BH101" s="25">
        <f t="shared" ref="BH101:BK101" si="514">BH96+BH99+BH98+BH100</f>
        <v>7.8902320128500003</v>
      </c>
      <c r="BI101" s="26">
        <f t="shared" si="514"/>
        <v>8.491377610784749</v>
      </c>
      <c r="BJ101" s="26">
        <f t="shared" si="514"/>
        <v>8.9295978989410294</v>
      </c>
      <c r="BK101" s="26">
        <f t="shared" si="514"/>
        <v>8.9349486952478596</v>
      </c>
      <c r="BL101" s="25">
        <f t="shared" ref="BL101:BO101" si="515">BL96+BL99+BL98+BL100</f>
        <v>8.4243691058761332</v>
      </c>
      <c r="BM101" s="26">
        <f t="shared" si="515"/>
        <v>9.001544546082318</v>
      </c>
      <c r="BN101" s="26">
        <f t="shared" si="515"/>
        <v>9.3523108108706339</v>
      </c>
      <c r="BO101" s="597">
        <f t="shared" si="515"/>
        <v>9.2994551624777841</v>
      </c>
      <c r="BP101" s="347"/>
      <c r="BQ101" s="25">
        <f t="shared" ref="BQ101:CA101" si="516">BQ96+BQ99+BQ98+BQ100</f>
        <v>27.842999999999996</v>
      </c>
      <c r="BR101" s="26">
        <f t="shared" si="516"/>
        <v>76.36099999999999</v>
      </c>
      <c r="BS101" s="26">
        <f t="shared" si="516"/>
        <v>35.546999999999997</v>
      </c>
      <c r="BT101" s="26">
        <f t="shared" si="516"/>
        <v>-3.5609999999999999</v>
      </c>
      <c r="BU101" s="26">
        <f t="shared" si="516"/>
        <v>23.590999999999998</v>
      </c>
      <c r="BV101" s="26">
        <f t="shared" si="516"/>
        <v>20.788000000000004</v>
      </c>
      <c r="BW101" s="26">
        <f t="shared" si="516"/>
        <v>6.3330000000000002</v>
      </c>
      <c r="BX101" s="26">
        <f t="shared" si="516"/>
        <v>3.968</v>
      </c>
      <c r="BY101" s="26">
        <f t="shared" si="516"/>
        <v>3.605</v>
      </c>
      <c r="BZ101" s="26">
        <f t="shared" si="516"/>
        <v>-9.0629999999999988</v>
      </c>
      <c r="CA101" s="26">
        <f t="shared" si="516"/>
        <v>-3.1929999999999987</v>
      </c>
      <c r="CB101" s="26">
        <f t="shared" ref="CB101:CG101" si="517">CB96+CB99+CB98+CB100</f>
        <v>0.83499999999999908</v>
      </c>
      <c r="CC101" s="26">
        <f t="shared" si="517"/>
        <v>6.9429999999999978</v>
      </c>
      <c r="CD101" s="26">
        <f t="shared" si="517"/>
        <v>25.600999999999999</v>
      </c>
      <c r="CE101" s="26">
        <f t="shared" si="517"/>
        <v>34.246156217823639</v>
      </c>
      <c r="CF101" s="26">
        <f t="shared" si="517"/>
        <v>36.077679625306871</v>
      </c>
      <c r="CG101" s="597">
        <f t="shared" si="517"/>
        <v>36.496675238899059</v>
      </c>
      <c r="CH101" s="336"/>
    </row>
    <row r="102" spans="2:86" ht="14.25">
      <c r="B102" s="28" t="s">
        <v>96</v>
      </c>
      <c r="C102" s="29"/>
      <c r="D102" s="38">
        <f t="shared" ref="D102:AU102" si="518">D101/D91</f>
        <v>9.9994505796384844E-2</v>
      </c>
      <c r="E102" s="31">
        <f t="shared" si="518"/>
        <v>9.9995473952597225E-2</v>
      </c>
      <c r="F102" s="31">
        <f t="shared" si="518"/>
        <v>9.9994594886762836E-2</v>
      </c>
      <c r="G102" s="32">
        <f t="shared" si="518"/>
        <v>0.10001316750260372</v>
      </c>
      <c r="H102" s="38">
        <f t="shared" si="518"/>
        <v>0.10093149265491601</v>
      </c>
      <c r="I102" s="31">
        <f t="shared" si="518"/>
        <v>0.10100624242988909</v>
      </c>
      <c r="J102" s="31">
        <f t="shared" si="518"/>
        <v>0.10046945358157955</v>
      </c>
      <c r="K102" s="32">
        <f t="shared" si="518"/>
        <v>0.25748499456496032</v>
      </c>
      <c r="L102" s="38">
        <f t="shared" si="518"/>
        <v>0.10526699979428371</v>
      </c>
      <c r="M102" s="31">
        <f t="shared" si="518"/>
        <v>8.6526099254307015E-2</v>
      </c>
      <c r="N102" s="31">
        <f t="shared" si="518"/>
        <v>7.8754266211604002E-2</v>
      </c>
      <c r="O102" s="32">
        <f t="shared" si="518"/>
        <v>5.0925288148047282E-2</v>
      </c>
      <c r="P102" s="38">
        <f t="shared" si="518"/>
        <v>0.16031354021260621</v>
      </c>
      <c r="Q102" s="31">
        <f t="shared" si="518"/>
        <v>0.19498499959458357</v>
      </c>
      <c r="R102" s="31">
        <f t="shared" si="518"/>
        <v>-0.12252177195745845</v>
      </c>
      <c r="S102" s="32">
        <f t="shared" si="518"/>
        <v>-8.605836771839287E-2</v>
      </c>
      <c r="T102" s="38">
        <f t="shared" si="518"/>
        <v>4.9547243970098513E-2</v>
      </c>
      <c r="U102" s="31">
        <f t="shared" si="518"/>
        <v>4.3578181095417327E-2</v>
      </c>
      <c r="V102" s="31">
        <f t="shared" si="518"/>
        <v>8.4663782190564321E-2</v>
      </c>
      <c r="W102" s="32">
        <f t="shared" si="518"/>
        <v>-0.17028893790909028</v>
      </c>
      <c r="X102" s="38">
        <f t="shared" si="518"/>
        <v>5.9543831695730437E-2</v>
      </c>
      <c r="Y102" s="31">
        <f t="shared" si="518"/>
        <v>6.239732086440037E-2</v>
      </c>
      <c r="Z102" s="31">
        <f t="shared" si="518"/>
        <v>-1.4993799394198406E-3</v>
      </c>
      <c r="AA102" s="32">
        <f t="shared" si="518"/>
        <v>4.0446253754538794E-2</v>
      </c>
      <c r="AB102" s="38">
        <f t="shared" si="518"/>
        <v>-4.3079654899538721E-3</v>
      </c>
      <c r="AC102" s="31">
        <f t="shared" si="518"/>
        <v>9.0596326117771599E-3</v>
      </c>
      <c r="AD102" s="31">
        <f t="shared" si="518"/>
        <v>5.1957385232448607E-3</v>
      </c>
      <c r="AE102" s="32">
        <f t="shared" si="518"/>
        <v>1.2109780865460147E-2</v>
      </c>
      <c r="AF102" s="38">
        <f t="shared" si="518"/>
        <v>5.4325268605353721E-3</v>
      </c>
      <c r="AG102" s="31">
        <f t="shared" si="518"/>
        <v>1.8059673987703341E-2</v>
      </c>
      <c r="AH102" s="31">
        <f t="shared" si="518"/>
        <v>1.6075992674434981E-2</v>
      </c>
      <c r="AI102" s="32">
        <f t="shared" si="518"/>
        <v>-4.4301135567082553E-2</v>
      </c>
      <c r="AJ102" s="38">
        <f t="shared" si="518"/>
        <v>3.2133306495672445E-3</v>
      </c>
      <c r="AK102" s="31">
        <f t="shared" si="518"/>
        <v>2.1396675762838012E-2</v>
      </c>
      <c r="AL102" s="31">
        <f t="shared" si="518"/>
        <v>3.2490464754908899E-3</v>
      </c>
      <c r="AM102" s="32">
        <f t="shared" si="518"/>
        <v>-3.0274488697524245E-3</v>
      </c>
      <c r="AN102" s="38">
        <f t="shared" si="518"/>
        <v>-7.882726842840336E-2</v>
      </c>
      <c r="AO102" s="31">
        <f t="shared" si="518"/>
        <v>-1.3725018059234281E-2</v>
      </c>
      <c r="AP102" s="31">
        <f t="shared" si="518"/>
        <v>-4.074560118236141E-2</v>
      </c>
      <c r="AQ102" s="32">
        <f>AQ101/AQ91</f>
        <v>4.1315705660326198E-2</v>
      </c>
      <c r="AR102" s="38">
        <f t="shared" si="518"/>
        <v>-3.2718884104797855E-2</v>
      </c>
      <c r="AS102" s="31">
        <f>AS101/AS91</f>
        <v>-3.5093622918936182E-2</v>
      </c>
      <c r="AT102" s="31">
        <f>AT101/AT91</f>
        <v>3.1259768677711776E-2</v>
      </c>
      <c r="AU102" s="32">
        <f t="shared" si="518"/>
        <v>1.8945300785701433E-2</v>
      </c>
      <c r="AV102" s="38">
        <f>AV101/AV91</f>
        <v>1.7268793120134917E-2</v>
      </c>
      <c r="AW102" s="31">
        <f t="shared" ref="AW102:AY102" si="519">AW101/AW91</f>
        <v>-4.7312742544256034E-2</v>
      </c>
      <c r="AX102" s="31">
        <f t="shared" si="519"/>
        <v>3.3269661738384963E-2</v>
      </c>
      <c r="AY102" s="32">
        <f t="shared" si="519"/>
        <v>-1.5765639850170529E-2</v>
      </c>
      <c r="AZ102" s="38">
        <f>AZ101/AZ91</f>
        <v>-0.71305305672846664</v>
      </c>
      <c r="BA102" s="31">
        <f t="shared" ref="BA102:BC102" si="520">BA101/BA91</f>
        <v>-6.3653466603571074E-2</v>
      </c>
      <c r="BB102" s="492">
        <f t="shared" si="520"/>
        <v>0.13103271051279067</v>
      </c>
      <c r="BC102" s="32">
        <f t="shared" si="520"/>
        <v>4.6640571194434231E-3</v>
      </c>
      <c r="BD102" s="38">
        <f>BD101/BD91</f>
        <v>4.0002162696573702E-2</v>
      </c>
      <c r="BE102" s="492">
        <f t="shared" ref="BE102:BG102" si="521">BE101/BE91</f>
        <v>4.0026271345468191E-2</v>
      </c>
      <c r="BF102" s="562">
        <f t="shared" si="521"/>
        <v>3.9999105790564961E-2</v>
      </c>
      <c r="BG102" s="563">
        <f t="shared" si="521"/>
        <v>4.0000466070096941E-2</v>
      </c>
      <c r="BH102" s="566">
        <f t="shared" ref="BH102:BK102" si="522">BH101/BH91</f>
        <v>4.7862407734862444E-2</v>
      </c>
      <c r="BI102" s="562">
        <f t="shared" si="522"/>
        <v>4.8301601613622465E-2</v>
      </c>
      <c r="BJ102" s="562">
        <f t="shared" si="522"/>
        <v>4.8587543910991599E-2</v>
      </c>
      <c r="BK102" s="562">
        <f t="shared" si="522"/>
        <v>4.8586412067517577E-2</v>
      </c>
      <c r="BL102" s="566">
        <f t="shared" ref="BL102:BO102" si="523">BL101/BL91</f>
        <v>4.8240660494966718E-2</v>
      </c>
      <c r="BM102" s="562">
        <f t="shared" si="523"/>
        <v>4.861923412452971E-2</v>
      </c>
      <c r="BN102" s="562">
        <f t="shared" si="523"/>
        <v>4.8827212802687814E-2</v>
      </c>
      <c r="BO102" s="598">
        <f t="shared" si="523"/>
        <v>4.8791523814982321E-2</v>
      </c>
      <c r="BP102" s="347"/>
      <c r="BQ102" s="566">
        <f t="shared" ref="BQ102:CA102" si="524">BQ101/BQ91</f>
        <v>0.10000035915799002</v>
      </c>
      <c r="BR102" s="562">
        <f t="shared" si="524"/>
        <v>0.15442031462019287</v>
      </c>
      <c r="BS102" s="562">
        <f t="shared" si="524"/>
        <v>9.0103266297267059E-2</v>
      </c>
      <c r="BT102" s="562">
        <f t="shared" si="524"/>
        <v>-1.2875024405058876E-2</v>
      </c>
      <c r="BU102" s="562">
        <f t="shared" si="524"/>
        <v>4.6651571630560586E-2</v>
      </c>
      <c r="BV102" s="562">
        <f t="shared" si="524"/>
        <v>3.1061218452049223E-2</v>
      </c>
      <c r="BW102" s="562">
        <f t="shared" si="524"/>
        <v>5.654343121218831E-3</v>
      </c>
      <c r="BX102" s="562">
        <f t="shared" si="524"/>
        <v>4.9674200837501025E-3</v>
      </c>
      <c r="BY102" s="562">
        <f t="shared" si="524"/>
        <v>7.1879187137114855E-3</v>
      </c>
      <c r="BZ102" s="562">
        <f t="shared" si="524"/>
        <v>-1.7709403980756652E-2</v>
      </c>
      <c r="CA102" s="562">
        <f t="shared" si="524"/>
        <v>-5.2495034919966873E-3</v>
      </c>
      <c r="CB102" s="562">
        <f t="shared" ref="CB102:CG102" si="525">CB101/CB91</f>
        <v>3.6289043316514329E-3</v>
      </c>
      <c r="CC102" s="562">
        <f t="shared" si="525"/>
        <v>2.1204597027141725E-2</v>
      </c>
      <c r="CD102" s="562">
        <f t="shared" si="525"/>
        <v>4.0006875913207215E-2</v>
      </c>
      <c r="CE102" s="562">
        <f t="shared" si="525"/>
        <v>4.8347519931685873E-2</v>
      </c>
      <c r="CF102" s="562">
        <f t="shared" si="525"/>
        <v>4.8628079621125482E-2</v>
      </c>
      <c r="CG102" s="598">
        <f t="shared" si="525"/>
        <v>4.8706397855722734E-2</v>
      </c>
      <c r="CH102" s="336"/>
    </row>
    <row r="103" spans="2:86" ht="17.25" hidden="1" customHeight="1" outlineLevel="1">
      <c r="B103" s="16" t="s">
        <v>42</v>
      </c>
      <c r="C103" s="17"/>
      <c r="D103" s="25">
        <f t="shared" ref="D103:O103" si="526">D96+D99+D100</f>
        <v>5.46</v>
      </c>
      <c r="E103" s="26">
        <f t="shared" si="526"/>
        <v>6.6280000000000001</v>
      </c>
      <c r="F103" s="26">
        <f t="shared" si="526"/>
        <v>7.4</v>
      </c>
      <c r="G103" s="27">
        <f t="shared" si="526"/>
        <v>8.3549999999999969</v>
      </c>
      <c r="H103" s="25">
        <f t="shared" si="526"/>
        <v>9.3510000000000009</v>
      </c>
      <c r="I103" s="26">
        <f t="shared" si="526"/>
        <v>10.840999999999999</v>
      </c>
      <c r="J103" s="26">
        <f t="shared" si="526"/>
        <v>12.584</v>
      </c>
      <c r="K103" s="27">
        <f t="shared" si="526"/>
        <v>43.585000000000001</v>
      </c>
      <c r="L103" s="25">
        <f t="shared" si="526"/>
        <v>15.863</v>
      </c>
      <c r="M103" s="26">
        <f t="shared" si="526"/>
        <v>12.114000000000001</v>
      </c>
      <c r="N103" s="26">
        <f t="shared" si="526"/>
        <v>6.4610000000000003</v>
      </c>
      <c r="O103" s="27">
        <f t="shared" si="526"/>
        <v>1.1089999999999982</v>
      </c>
      <c r="P103" s="25">
        <f t="shared" ref="P103:W103" si="527">P96+P99+P100</f>
        <v>5.9720000000000004</v>
      </c>
      <c r="Q103" s="26">
        <f t="shared" si="527"/>
        <v>9.6189999999999998</v>
      </c>
      <c r="R103" s="26">
        <f t="shared" si="527"/>
        <v>-9.4120000000000008</v>
      </c>
      <c r="S103" s="27">
        <f t="shared" si="527"/>
        <v>-9.74</v>
      </c>
      <c r="T103" s="25">
        <f t="shared" si="527"/>
        <v>7.8410000000000002</v>
      </c>
      <c r="U103" s="26">
        <f t="shared" si="527"/>
        <v>7.016</v>
      </c>
      <c r="V103" s="26">
        <f t="shared" si="527"/>
        <v>13.443</v>
      </c>
      <c r="W103" s="27">
        <f t="shared" si="527"/>
        <v>-4.7089999999999987</v>
      </c>
      <c r="X103" s="25">
        <f t="shared" ref="X103:AD103" si="528">X96+X99+X100</f>
        <v>2.0179999999999998</v>
      </c>
      <c r="Y103" s="26">
        <f t="shared" si="528"/>
        <v>7.9</v>
      </c>
      <c r="Z103" s="26">
        <f t="shared" si="528"/>
        <v>-0.3469999999999942</v>
      </c>
      <c r="AA103" s="27">
        <f t="shared" si="528"/>
        <v>11.216999999999995</v>
      </c>
      <c r="AB103" s="25">
        <f t="shared" si="528"/>
        <v>-1.1160000000000001</v>
      </c>
      <c r="AC103" s="26">
        <f t="shared" si="528"/>
        <v>2.4990000000000001</v>
      </c>
      <c r="AD103" s="26">
        <f t="shared" si="528"/>
        <v>1.605</v>
      </c>
      <c r="AE103" s="27">
        <f t="shared" ref="AE103:AJ103" si="529">AE96+AE99+AE100</f>
        <v>3.3450000000000002</v>
      </c>
      <c r="AF103" s="25">
        <f t="shared" si="529"/>
        <v>1.034</v>
      </c>
      <c r="AG103" s="26">
        <f t="shared" si="529"/>
        <v>4.3120000000000003</v>
      </c>
      <c r="AH103" s="26">
        <f t="shared" si="529"/>
        <v>3.9940000000000002</v>
      </c>
      <c r="AI103" s="27">
        <f t="shared" si="529"/>
        <v>-5.3719999999999999</v>
      </c>
      <c r="AJ103" s="25">
        <f t="shared" si="529"/>
        <v>0.44700000000000001</v>
      </c>
      <c r="AK103" s="26">
        <f t="shared" ref="AK103:AU103" si="530">AK96+AK99+AK100</f>
        <v>3.105</v>
      </c>
      <c r="AL103" s="26">
        <f t="shared" si="530"/>
        <v>0.36799999999999999</v>
      </c>
      <c r="AM103" s="27">
        <f t="shared" si="530"/>
        <v>-0.315</v>
      </c>
      <c r="AN103" s="25">
        <f t="shared" si="530"/>
        <v>-7.1680000000000001</v>
      </c>
      <c r="AO103" s="26">
        <f t="shared" si="530"/>
        <v>-1.5960000000000001</v>
      </c>
      <c r="AP103" s="26">
        <f t="shared" si="530"/>
        <v>-6.3959999999999999</v>
      </c>
      <c r="AQ103" s="27">
        <f t="shared" si="530"/>
        <v>6.0970000000000004</v>
      </c>
      <c r="AR103" s="25">
        <f t="shared" si="530"/>
        <v>-4.5670000000000002</v>
      </c>
      <c r="AS103" s="26">
        <f t="shared" si="530"/>
        <v>-6.1529999999999996</v>
      </c>
      <c r="AT103" s="26">
        <f t="shared" si="530"/>
        <v>5</v>
      </c>
      <c r="AU103" s="27">
        <f t="shared" si="530"/>
        <v>2.5270000000000001</v>
      </c>
      <c r="AV103" s="25">
        <f>AV96+AV99+AV100</f>
        <v>1.2489999999999997</v>
      </c>
      <c r="AW103" s="26">
        <f t="shared" ref="AW103:AY103" si="531">AW96+AW99+AW100</f>
        <v>-1.7800000000000002</v>
      </c>
      <c r="AX103" s="26">
        <f t="shared" si="531"/>
        <v>2.2119999999999997</v>
      </c>
      <c r="AY103" s="27">
        <f t="shared" si="531"/>
        <v>-0.84599999999999997</v>
      </c>
      <c r="AZ103" s="25">
        <f>AZ96+AZ99+AZ100</f>
        <v>-3.8840000000000003</v>
      </c>
      <c r="BA103" s="26">
        <f t="shared" ref="BA103:BC103" si="532">BA96+BA99+BA100</f>
        <v>-5.5149999999999997</v>
      </c>
      <c r="BB103" s="26">
        <f t="shared" si="532"/>
        <v>15.807</v>
      </c>
      <c r="BC103" s="27">
        <f t="shared" si="532"/>
        <v>0.53499999999999659</v>
      </c>
      <c r="BD103" s="25">
        <f>BD96+BD99+BD100</f>
        <v>5.1790000000000003</v>
      </c>
      <c r="BE103" s="26">
        <f t="shared" ref="BE103:BG103" si="533">BE96+BE99+BE100</f>
        <v>6.399</v>
      </c>
      <c r="BF103" s="26">
        <f t="shared" si="533"/>
        <v>7.157</v>
      </c>
      <c r="BG103" s="27">
        <f t="shared" si="533"/>
        <v>6.8659999999999997</v>
      </c>
      <c r="BH103" s="25">
        <f t="shared" ref="BH103:BK103" si="534">BH96+BH99+BH100</f>
        <v>7.8902320128500003</v>
      </c>
      <c r="BI103" s="26">
        <f t="shared" si="534"/>
        <v>8.491377610784749</v>
      </c>
      <c r="BJ103" s="26">
        <f t="shared" si="534"/>
        <v>8.9295978989410294</v>
      </c>
      <c r="BK103" s="26">
        <f t="shared" si="534"/>
        <v>8.9349486952478596</v>
      </c>
      <c r="BL103" s="25">
        <f t="shared" ref="BL103:BO103" si="535">BL96+BL99+BL100</f>
        <v>8.4243691058761332</v>
      </c>
      <c r="BM103" s="26">
        <f t="shared" si="535"/>
        <v>9.001544546082318</v>
      </c>
      <c r="BN103" s="26">
        <f t="shared" si="535"/>
        <v>9.3523108108706339</v>
      </c>
      <c r="BO103" s="597">
        <f t="shared" si="535"/>
        <v>9.2994551624777841</v>
      </c>
      <c r="BP103" s="347"/>
      <c r="BQ103" s="25">
        <f t="shared" ref="BQ103:BW103" si="536">BQ96+BQ99+BQ100</f>
        <v>27.842999999999996</v>
      </c>
      <c r="BR103" s="26">
        <f t="shared" si="536"/>
        <v>76.36099999999999</v>
      </c>
      <c r="BS103" s="26">
        <f t="shared" si="536"/>
        <v>35.546999999999997</v>
      </c>
      <c r="BT103" s="26">
        <f t="shared" si="536"/>
        <v>-3.5609999999999999</v>
      </c>
      <c r="BU103" s="26">
        <f t="shared" si="536"/>
        <v>23.590999999999998</v>
      </c>
      <c r="BV103" s="26">
        <f t="shared" si="536"/>
        <v>20.788000000000004</v>
      </c>
      <c r="BW103" s="26">
        <f t="shared" si="536"/>
        <v>6.3330000000000002</v>
      </c>
      <c r="BX103" s="26">
        <f t="shared" ref="BX103:CA103" si="537">BX96+BX99+BX100</f>
        <v>3.968</v>
      </c>
      <c r="BY103" s="26">
        <f t="shared" si="537"/>
        <v>3.605</v>
      </c>
      <c r="BZ103" s="26">
        <f t="shared" si="537"/>
        <v>-9.0629999999999988</v>
      </c>
      <c r="CA103" s="26">
        <f t="shared" si="537"/>
        <v>-3.1929999999999987</v>
      </c>
      <c r="CB103" s="26">
        <f>CB96+CB99+CB100</f>
        <v>0.83499999999999908</v>
      </c>
      <c r="CC103" s="26">
        <f>CC96+CC99+CC100</f>
        <v>6.9429999999999978</v>
      </c>
      <c r="CD103" s="26">
        <f>CD96+CD99+CD100</f>
        <v>25.600999999999999</v>
      </c>
      <c r="CE103" s="26">
        <f>CE96+CE99+CE100</f>
        <v>34.246156217823639</v>
      </c>
      <c r="CF103" s="26">
        <f>CF96+CF99+CF100</f>
        <v>36.077679625306871</v>
      </c>
      <c r="CG103" s="597">
        <f t="shared" ref="CG103" si="538">CG96+CG99+CG100</f>
        <v>36.496675238899059</v>
      </c>
      <c r="CH103" s="336"/>
    </row>
    <row r="104" spans="2:86" ht="14.25" hidden="1" outlineLevel="1">
      <c r="B104" s="28" t="s">
        <v>97</v>
      </c>
      <c r="C104" s="29"/>
      <c r="D104" s="38">
        <f t="shared" ref="D104:AU104" si="539">D103/D93</f>
        <v>9.9994505796384844E-2</v>
      </c>
      <c r="E104" s="31">
        <f t="shared" si="539"/>
        <v>9.9995473952597225E-2</v>
      </c>
      <c r="F104" s="31">
        <f t="shared" si="539"/>
        <v>9.9994594886762836E-2</v>
      </c>
      <c r="G104" s="32">
        <f t="shared" si="539"/>
        <v>0.10001316750260372</v>
      </c>
      <c r="H104" s="38">
        <f t="shared" si="539"/>
        <v>0.11258533296410903</v>
      </c>
      <c r="I104" s="31">
        <f t="shared" si="539"/>
        <v>0.13953638036888774</v>
      </c>
      <c r="J104" s="31">
        <f t="shared" si="539"/>
        <v>0.10877814755586292</v>
      </c>
      <c r="K104" s="32">
        <f t="shared" si="539"/>
        <v>0.45660737108973903</v>
      </c>
      <c r="L104" s="38">
        <f t="shared" si="539"/>
        <v>0.15562488349962225</v>
      </c>
      <c r="M104" s="31">
        <f t="shared" si="539"/>
        <v>0.14353080568720378</v>
      </c>
      <c r="N104" s="31">
        <f t="shared" si="539"/>
        <v>0.16188113850471011</v>
      </c>
      <c r="O104" s="32">
        <f t="shared" si="539"/>
        <v>-4.6498951781969618E-2</v>
      </c>
      <c r="P104" s="38">
        <f t="shared" si="539"/>
        <v>-0.6262583892617416</v>
      </c>
      <c r="Q104" s="31">
        <f t="shared" si="539"/>
        <v>-1.0078583403185348</v>
      </c>
      <c r="R104" s="31">
        <f t="shared" si="539"/>
        <v>-0.4385221078134473</v>
      </c>
      <c r="S104" s="32">
        <f t="shared" si="539"/>
        <v>-0.2253638446053807</v>
      </c>
      <c r="T104" s="38">
        <f t="shared" si="539"/>
        <v>6.9372804728073792E-2</v>
      </c>
      <c r="U104" s="31">
        <f t="shared" si="539"/>
        <v>6.188531458662265E-2</v>
      </c>
      <c r="V104" s="31">
        <f t="shared" si="539"/>
        <v>0.1127740073655864</v>
      </c>
      <c r="W104" s="32">
        <f t="shared" si="539"/>
        <v>0.27622008446737961</v>
      </c>
      <c r="X104" s="38">
        <f t="shared" si="539"/>
        <v>0.89968791796700043</v>
      </c>
      <c r="Y104" s="31">
        <f t="shared" si="539"/>
        <v>8.178646485770194E-2</v>
      </c>
      <c r="Z104" s="31">
        <f t="shared" si="539"/>
        <v>-1.7609564987921679E-3</v>
      </c>
      <c r="AA104" s="32">
        <f t="shared" si="539"/>
        <v>4.5454913847600226E-2</v>
      </c>
      <c r="AB104" s="38">
        <f t="shared" si="539"/>
        <v>-4.8070503404994023E-3</v>
      </c>
      <c r="AC104" s="31">
        <f t="shared" si="539"/>
        <v>1.0193758923108301E-2</v>
      </c>
      <c r="AD104" s="31">
        <f t="shared" si="539"/>
        <v>5.7451515216597583E-3</v>
      </c>
      <c r="AE104" s="32">
        <f t="shared" si="539"/>
        <v>1.3656182637664117E-2</v>
      </c>
      <c r="AF104" s="38">
        <f t="shared" si="539"/>
        <v>6.3492063492063501E-3</v>
      </c>
      <c r="AG104" s="31">
        <f t="shared" si="539"/>
        <v>2.0690085360996886E-2</v>
      </c>
      <c r="AH104" s="31">
        <f t="shared" si="539"/>
        <v>1.8335062478768236E-2</v>
      </c>
      <c r="AI104" s="32">
        <f t="shared" si="539"/>
        <v>-5.9792529272962046E-2</v>
      </c>
      <c r="AJ104" s="38">
        <f t="shared" si="539"/>
        <v>3.9940669788055333E-3</v>
      </c>
      <c r="AK104" s="31">
        <f t="shared" si="539"/>
        <v>2.7750965250965251E-2</v>
      </c>
      <c r="AL104" s="31">
        <f t="shared" si="539"/>
        <v>4.4396187718663297E-3</v>
      </c>
      <c r="AM104" s="32">
        <f t="shared" si="539"/>
        <v>-4.6623841804564747E-3</v>
      </c>
      <c r="AN104" s="38">
        <f t="shared" si="539"/>
        <v>-0.12483455242075935</v>
      </c>
      <c r="AO104" s="31">
        <f t="shared" si="539"/>
        <v>-2.1225380022076509E-2</v>
      </c>
      <c r="AP104" s="31">
        <f t="shared" si="539"/>
        <v>-5.621720443338931E-2</v>
      </c>
      <c r="AQ104" s="32">
        <f>AQ103/AQ93</f>
        <v>5.5678839849136533E-2</v>
      </c>
      <c r="AR104" s="38">
        <f t="shared" si="539"/>
        <v>-4.1664385936103027E-2</v>
      </c>
      <c r="AS104" s="31">
        <f>AS103/AS93</f>
        <v>-4.3852584615603922E-2</v>
      </c>
      <c r="AT104" s="31">
        <f>AT103/AT93</f>
        <v>3.979117590883046E-2</v>
      </c>
      <c r="AU104" s="32">
        <f t="shared" si="539"/>
        <v>2.6482640089707705E-2</v>
      </c>
      <c r="AV104" s="38">
        <f>AV103/AV93</f>
        <v>3.1938832915665044E-2</v>
      </c>
      <c r="AW104" s="31">
        <f t="shared" ref="AW104:AY104" si="540">AW103/AW93</f>
        <v>2.7228824617304991E-3</v>
      </c>
      <c r="AX104" s="31">
        <f t="shared" si="540"/>
        <v>-8.9193548387077843</v>
      </c>
      <c r="AY104" s="32">
        <f t="shared" si="540"/>
        <v>-3.9826758309010529E-2</v>
      </c>
      <c r="AZ104" s="38">
        <f>AZ103/AZ93</f>
        <v>0.20435651899400284</v>
      </c>
      <c r="BA104" s="31">
        <f t="shared" ref="BA104:BC104" si="541">BA103/BA93</f>
        <v>-0.11153807260592577</v>
      </c>
      <c r="BB104" s="492">
        <f t="shared" si="541"/>
        <v>0.1711251366770955</v>
      </c>
      <c r="BC104" s="32">
        <f t="shared" si="541"/>
        <v>5.7961907650971442E-3</v>
      </c>
      <c r="BD104" s="38">
        <f>BD103/BD93</f>
        <v>4.9045418387060127E-2</v>
      </c>
      <c r="BE104" s="492">
        <f t="shared" ref="BE104:BG104" si="542">BE103/BE93</f>
        <v>4.7676168621198355E-2</v>
      </c>
      <c r="BF104" s="562">
        <f t="shared" si="542"/>
        <v>4.6172406229436282E-2</v>
      </c>
      <c r="BG104" s="563">
        <f t="shared" si="542"/>
        <v>8.6811394469661546E-2</v>
      </c>
      <c r="BH104" s="566">
        <f t="shared" ref="BH104:BK104" si="543">BH103/BH93</f>
        <v>5.5E-2</v>
      </c>
      <c r="BI104" s="562">
        <f t="shared" si="543"/>
        <v>5.4999999999999986E-2</v>
      </c>
      <c r="BJ104" s="562">
        <f t="shared" si="543"/>
        <v>5.5E-2</v>
      </c>
      <c r="BK104" s="562">
        <f t="shared" si="543"/>
        <v>5.5E-2</v>
      </c>
      <c r="BL104" s="566">
        <f t="shared" ref="BL104:BO104" si="544">BL103/BL93</f>
        <v>5.4999999999999979E-2</v>
      </c>
      <c r="BM104" s="562">
        <f t="shared" si="544"/>
        <v>5.5E-2</v>
      </c>
      <c r="BN104" s="562">
        <f t="shared" si="544"/>
        <v>5.5E-2</v>
      </c>
      <c r="BO104" s="598">
        <f t="shared" si="544"/>
        <v>5.5E-2</v>
      </c>
      <c r="BP104" s="347"/>
      <c r="BQ104" s="566">
        <f t="shared" ref="BQ104:CA104" si="545">BQ103/BQ93</f>
        <v>0.10000035915799002</v>
      </c>
      <c r="BR104" s="562">
        <f t="shared" si="545"/>
        <v>0.20533277402665845</v>
      </c>
      <c r="BS104" s="562">
        <f t="shared" si="545"/>
        <v>0.17563354463840167</v>
      </c>
      <c r="BT104" s="562">
        <f t="shared" si="545"/>
        <v>-7.8088680321037759E-2</v>
      </c>
      <c r="BU104" s="562">
        <f t="shared" si="545"/>
        <v>7.1802722848368611E-2</v>
      </c>
      <c r="BV104" s="562">
        <f t="shared" si="545"/>
        <v>3.8307595916411773E-2</v>
      </c>
      <c r="BW104" s="562">
        <f t="shared" si="545"/>
        <v>6.3227634459809565E-3</v>
      </c>
      <c r="BX104" s="562">
        <f t="shared" si="545"/>
        <v>5.8443872967057567E-3</v>
      </c>
      <c r="BY104" s="562">
        <f t="shared" si="545"/>
        <v>9.6324441024325715E-3</v>
      </c>
      <c r="BZ104" s="562">
        <f t="shared" si="545"/>
        <v>-2.5465805349420695E-2</v>
      </c>
      <c r="CA104" s="562">
        <f t="shared" si="545"/>
        <v>-6.7791644196839949E-3</v>
      </c>
      <c r="CB104" s="562">
        <f t="shared" ref="CB104:CG104" si="546">CB103/CB93</f>
        <v>-1.4066261356189716E-3</v>
      </c>
      <c r="CC104" s="562">
        <f t="shared" si="546"/>
        <v>3.2276209602439591E-2</v>
      </c>
      <c r="CD104" s="562">
        <f t="shared" si="546"/>
        <v>5.4020691648853897E-2</v>
      </c>
      <c r="CE104" s="562">
        <f t="shared" si="546"/>
        <v>5.4999999999999986E-2</v>
      </c>
      <c r="CF104" s="562">
        <f t="shared" si="546"/>
        <v>5.4999999999999979E-2</v>
      </c>
      <c r="CG104" s="598">
        <f t="shared" si="546"/>
        <v>5.4999999999999979E-2</v>
      </c>
      <c r="CH104" s="336"/>
    </row>
    <row r="105" spans="2:86" ht="9" customHeight="1" collapsed="1">
      <c r="B105" s="16"/>
      <c r="C105" s="17"/>
      <c r="D105" s="35"/>
      <c r="E105" s="36"/>
      <c r="F105" s="36"/>
      <c r="G105" s="37"/>
      <c r="H105" s="35"/>
      <c r="I105" s="36"/>
      <c r="J105" s="36"/>
      <c r="K105" s="37"/>
      <c r="L105" s="35"/>
      <c r="M105" s="36"/>
      <c r="N105" s="36"/>
      <c r="O105" s="37"/>
      <c r="P105" s="35"/>
      <c r="Q105" s="36"/>
      <c r="R105" s="36"/>
      <c r="S105" s="37"/>
      <c r="T105" s="35"/>
      <c r="U105" s="36"/>
      <c r="V105" s="36"/>
      <c r="W105" s="37"/>
      <c r="X105" s="35"/>
      <c r="Y105" s="36"/>
      <c r="Z105" s="36"/>
      <c r="AA105" s="37"/>
      <c r="AB105" s="35"/>
      <c r="AC105" s="36"/>
      <c r="AD105" s="36"/>
      <c r="AE105" s="37"/>
      <c r="AF105" s="35"/>
      <c r="AG105" s="36"/>
      <c r="AH105" s="36"/>
      <c r="AI105" s="37"/>
      <c r="AJ105" s="35"/>
      <c r="AK105" s="36"/>
      <c r="AL105" s="36"/>
      <c r="AM105" s="37"/>
      <c r="AN105" s="35"/>
      <c r="AO105" s="36"/>
      <c r="AP105" s="36"/>
      <c r="AQ105" s="37"/>
      <c r="AR105" s="35"/>
      <c r="AS105" s="36"/>
      <c r="AT105" s="36"/>
      <c r="AU105" s="37"/>
      <c r="AV105" s="35"/>
      <c r="AW105" s="36"/>
      <c r="AX105" s="36"/>
      <c r="AY105" s="37"/>
      <c r="AZ105" s="35"/>
      <c r="BA105" s="36"/>
      <c r="BB105" s="36"/>
      <c r="BC105" s="37"/>
      <c r="BD105" s="35"/>
      <c r="BE105" s="36"/>
      <c r="BF105" s="36"/>
      <c r="BG105" s="37"/>
      <c r="BH105" s="35"/>
      <c r="BI105" s="36"/>
      <c r="BJ105" s="36"/>
      <c r="BK105" s="36"/>
      <c r="BL105" s="35"/>
      <c r="BM105" s="36"/>
      <c r="BN105" s="36"/>
      <c r="BO105" s="599"/>
      <c r="BP105" s="347"/>
      <c r="BQ105" s="683"/>
      <c r="BR105" s="338"/>
      <c r="BS105" s="338"/>
      <c r="BT105" s="338"/>
      <c r="BU105" s="338"/>
      <c r="BV105" s="338"/>
      <c r="BW105" s="338"/>
      <c r="BX105" s="338"/>
      <c r="BY105" s="338"/>
      <c r="BZ105" s="338"/>
      <c r="CA105" s="338"/>
      <c r="CB105" s="338"/>
      <c r="CC105" s="338"/>
      <c r="CD105" s="338"/>
      <c r="CE105" s="338"/>
      <c r="CF105" s="338"/>
      <c r="CG105" s="599"/>
      <c r="CH105" s="336"/>
    </row>
    <row r="106" spans="2:86" ht="15">
      <c r="B106" s="39" t="s">
        <v>43</v>
      </c>
      <c r="C106" s="40"/>
      <c r="D106" s="41">
        <f>D89-D96</f>
        <v>14.496999999999982</v>
      </c>
      <c r="E106" s="42">
        <f t="shared" ref="E106:CA106" si="547">E89-E96</f>
        <v>28.623999999999995</v>
      </c>
      <c r="F106" s="42">
        <f t="shared" si="547"/>
        <v>43.595000000000041</v>
      </c>
      <c r="G106" s="43">
        <f t="shared" si="547"/>
        <v>54.944999999999844</v>
      </c>
      <c r="H106" s="41">
        <f t="shared" si="547"/>
        <v>53.946999999999981</v>
      </c>
      <c r="I106" s="42">
        <f t="shared" si="547"/>
        <v>47.099000000000011</v>
      </c>
      <c r="J106" s="42">
        <f t="shared" si="547"/>
        <v>83.35499999999999</v>
      </c>
      <c r="K106" s="43">
        <f t="shared" si="547"/>
        <v>15.089000000000098</v>
      </c>
      <c r="L106" s="41">
        <f t="shared" si="547"/>
        <v>77.563000000000031</v>
      </c>
      <c r="M106" s="42">
        <f t="shared" si="547"/>
        <v>44.881000000000029</v>
      </c>
      <c r="N106" s="42">
        <f t="shared" si="547"/>
        <v>6.04600000000009</v>
      </c>
      <c r="O106" s="43">
        <f t="shared" si="547"/>
        <v>-140.58500000000049</v>
      </c>
      <c r="P106" s="41">
        <f t="shared" si="547"/>
        <v>-52.828000000000046</v>
      </c>
      <c r="Q106" s="42">
        <f t="shared" si="547"/>
        <v>-56.455999999999911</v>
      </c>
      <c r="R106" s="42">
        <f t="shared" si="547"/>
        <v>-6.4360000000000213</v>
      </c>
      <c r="S106" s="43">
        <f t="shared" si="547"/>
        <v>1.2930000000001769</v>
      </c>
      <c r="T106" s="41">
        <f t="shared" si="547"/>
        <v>69.939000000000036</v>
      </c>
      <c r="U106" s="42">
        <f t="shared" si="547"/>
        <v>71.367000000000047</v>
      </c>
      <c r="V106" s="42">
        <f t="shared" si="547"/>
        <v>70.946000000000012</v>
      </c>
      <c r="W106" s="43">
        <f t="shared" si="547"/>
        <v>-65.010000000000389</v>
      </c>
      <c r="X106" s="41">
        <f t="shared" si="547"/>
        <v>-111.45699999999999</v>
      </c>
      <c r="Y106" s="42">
        <f t="shared" si="547"/>
        <v>58.492999999999917</v>
      </c>
      <c r="Z106" s="42">
        <f t="shared" si="547"/>
        <v>201.59899999999993</v>
      </c>
      <c r="AA106" s="43">
        <f t="shared" si="547"/>
        <v>204.82099999999988</v>
      </c>
      <c r="AB106" s="41">
        <f t="shared" si="547"/>
        <v>205.76699999999997</v>
      </c>
      <c r="AC106" s="42">
        <f t="shared" si="547"/>
        <v>219.77700000000002</v>
      </c>
      <c r="AD106" s="42">
        <f t="shared" si="547"/>
        <v>255.732</v>
      </c>
      <c r="AE106" s="43">
        <f t="shared" ref="AE106:AJ106" si="548">AE89-AE96</f>
        <v>222.85300000000001</v>
      </c>
      <c r="AF106" s="41">
        <f t="shared" si="548"/>
        <v>146.86100000000002</v>
      </c>
      <c r="AG106" s="42">
        <f t="shared" si="548"/>
        <v>192.39200000000002</v>
      </c>
      <c r="AH106" s="42">
        <f t="shared" si="548"/>
        <v>195.12100000000004</v>
      </c>
      <c r="AI106" s="43">
        <f t="shared" si="548"/>
        <v>80.716999999999942</v>
      </c>
      <c r="AJ106" s="41">
        <f t="shared" si="548"/>
        <v>94.542999999999992</v>
      </c>
      <c r="AK106" s="42">
        <f>AK89-AK96</f>
        <v>93.073999999999998</v>
      </c>
      <c r="AL106" s="42">
        <f>AL89-AL96</f>
        <v>68.815999999999974</v>
      </c>
      <c r="AM106" s="43">
        <f>AM89-AM96</f>
        <v>50.151999999999909</v>
      </c>
      <c r="AN106" s="41">
        <f>AN89-AN96</f>
        <v>53.209000000000081</v>
      </c>
      <c r="AO106" s="42">
        <f>AO89-AO96</f>
        <v>61.826000000000036</v>
      </c>
      <c r="AP106" s="42">
        <f t="shared" si="547"/>
        <v>103.15600000000005</v>
      </c>
      <c r="AQ106" s="43">
        <f>AQ89-AQ96</f>
        <v>97.129000000000048</v>
      </c>
      <c r="AR106" s="41">
        <f>AR89-AR96</f>
        <v>99.479000000000013</v>
      </c>
      <c r="AS106" s="42">
        <f>AS89-AS96</f>
        <v>138.86999999999995</v>
      </c>
      <c r="AT106" s="42">
        <f>AT89-AT96</f>
        <v>115.30399999999996</v>
      </c>
      <c r="AU106" s="43">
        <f t="shared" si="547"/>
        <v>81.692999999999969</v>
      </c>
      <c r="AV106" s="41">
        <f>AV89-AV96</f>
        <v>14.090000000000067</v>
      </c>
      <c r="AW106" s="42">
        <f t="shared" ref="AW106:AY106" si="549">AW89-AW96</f>
        <v>-771.94000000000017</v>
      </c>
      <c r="AX106" s="42">
        <f t="shared" si="549"/>
        <v>-57.750000000000071</v>
      </c>
      <c r="AY106" s="456">
        <f t="shared" si="549"/>
        <v>4.1999999999999815</v>
      </c>
      <c r="AZ106" s="41">
        <f>AZ89-AZ96</f>
        <v>-22.678999999999959</v>
      </c>
      <c r="BA106" s="42">
        <f t="shared" ref="BA106:BC106" si="550">BA89-BA96</f>
        <v>51.304999999999971</v>
      </c>
      <c r="BB106" s="42">
        <f t="shared" si="550"/>
        <v>72.616000000000085</v>
      </c>
      <c r="BC106" s="43">
        <f t="shared" si="550"/>
        <v>-76.877000000000095</v>
      </c>
      <c r="BD106" s="41">
        <f>BD89-BD96</f>
        <v>96.96999999999997</v>
      </c>
      <c r="BE106" s="42">
        <f t="shared" ref="BE106:BG106" si="551">BE89-BE96</f>
        <v>135.44999999999999</v>
      </c>
      <c r="BF106" s="42">
        <f t="shared" si="551"/>
        <v>149.33699999999999</v>
      </c>
      <c r="BG106" s="43">
        <f t="shared" si="551"/>
        <v>48.762999999999963</v>
      </c>
      <c r="BH106" s="41">
        <f t="shared" ref="BH106:BK106" si="552">BH89-BH96</f>
        <v>135.56853185715002</v>
      </c>
      <c r="BI106" s="42">
        <f t="shared" si="552"/>
        <v>145.89730622166522</v>
      </c>
      <c r="BJ106" s="42">
        <f t="shared" si="552"/>
        <v>153.4267275363504</v>
      </c>
      <c r="BK106" s="42">
        <f t="shared" si="552"/>
        <v>153.51866394562231</v>
      </c>
      <c r="BL106" s="41">
        <f t="shared" ref="BL106:BO106" si="553">BL89-BL96</f>
        <v>144.74597827368993</v>
      </c>
      <c r="BM106" s="42">
        <f t="shared" si="553"/>
        <v>154.66290174632346</v>
      </c>
      <c r="BN106" s="42">
        <f t="shared" si="553"/>
        <v>160.68970393223179</v>
      </c>
      <c r="BO106" s="601">
        <f t="shared" si="553"/>
        <v>159.78154779166374</v>
      </c>
      <c r="BP106" s="347"/>
      <c r="BQ106" s="41">
        <f t="shared" si="547"/>
        <v>141.66099999999994</v>
      </c>
      <c r="BR106" s="42">
        <f t="shared" si="547"/>
        <v>199.49</v>
      </c>
      <c r="BS106" s="42">
        <f t="shared" si="547"/>
        <v>-12.095000000000212</v>
      </c>
      <c r="BT106" s="42">
        <f t="shared" si="547"/>
        <v>-114.42699999999945</v>
      </c>
      <c r="BU106" s="42">
        <f t="shared" si="547"/>
        <v>147.24199999999948</v>
      </c>
      <c r="BV106" s="42">
        <f t="shared" si="547"/>
        <v>353.45599999999956</v>
      </c>
      <c r="BW106" s="42">
        <f t="shared" si="547"/>
        <v>904.12900000000025</v>
      </c>
      <c r="BX106" s="42">
        <f t="shared" si="547"/>
        <v>615.09100000000001</v>
      </c>
      <c r="BY106" s="42">
        <f t="shared" si="547"/>
        <v>306.5849999999997</v>
      </c>
      <c r="BZ106" s="42">
        <f t="shared" si="547"/>
        <v>315.32000000000073</v>
      </c>
      <c r="CA106" s="42">
        <f t="shared" si="547"/>
        <v>435.34599999999972</v>
      </c>
      <c r="CB106" s="42">
        <f>CB89-CB96</f>
        <v>-811.40000000000009</v>
      </c>
      <c r="CC106" s="42">
        <f>CC89-CC96</f>
        <v>24.365000000000407</v>
      </c>
      <c r="CD106" s="42">
        <f>CD89-CD96</f>
        <v>430.51999999999992</v>
      </c>
      <c r="CE106" s="42">
        <f>CE89-CE96</f>
        <v>588.41122956078812</v>
      </c>
      <c r="CF106" s="42">
        <f>CF89-CF96</f>
        <v>619.88013174390926</v>
      </c>
      <c r="CG106" s="601">
        <f t="shared" ref="CG106" si="554">CG89-CG96</f>
        <v>627.07923819562961</v>
      </c>
      <c r="CH106" s="336"/>
    </row>
    <row r="107" spans="2:86" ht="14.25">
      <c r="B107" s="28" t="s">
        <v>98</v>
      </c>
      <c r="C107" s="29"/>
      <c r="D107" s="38">
        <f t="shared" ref="D107:AU107" si="555">D106/D$10</f>
        <v>5.3776842979927748E-2</v>
      </c>
      <c r="E107" s="31">
        <f t="shared" si="555"/>
        <v>9.6327156962383129E-2</v>
      </c>
      <c r="F107" s="31">
        <f t="shared" si="555"/>
        <v>0.13727120154416339</v>
      </c>
      <c r="G107" s="32">
        <f t="shared" si="555"/>
        <v>0.16147660947611536</v>
      </c>
      <c r="H107" s="38">
        <f t="shared" si="555"/>
        <v>0.14789319297091313</v>
      </c>
      <c r="I107" s="31">
        <f t="shared" si="555"/>
        <v>0.12062624534516232</v>
      </c>
      <c r="J107" s="31">
        <f t="shared" si="555"/>
        <v>0.19565707257303541</v>
      </c>
      <c r="K107" s="32">
        <f t="shared" si="555"/>
        <v>3.0855841117673238E-2</v>
      </c>
      <c r="L107" s="38">
        <f t="shared" si="555"/>
        <v>0.14881733551293569</v>
      </c>
      <c r="M107" s="31">
        <f t="shared" si="555"/>
        <v>7.8191938813732112E-2</v>
      </c>
      <c r="N107" s="31">
        <f t="shared" si="555"/>
        <v>1.1618030814876478E-2</v>
      </c>
      <c r="O107" s="32">
        <f t="shared" si="555"/>
        <v>-0.22603034853547027</v>
      </c>
      <c r="P107" s="38">
        <f t="shared" si="555"/>
        <v>-8.3187150618061645E-2</v>
      </c>
      <c r="Q107" s="31">
        <f t="shared" si="555"/>
        <v>-8.596780014344195E-2</v>
      </c>
      <c r="R107" s="31">
        <f t="shared" si="555"/>
        <v>-8.48801048736165E-3</v>
      </c>
      <c r="S107" s="32">
        <f t="shared" si="555"/>
        <v>1.5307463365086869E-3</v>
      </c>
      <c r="T107" s="38">
        <f t="shared" si="555"/>
        <v>8.6980692099617618E-2</v>
      </c>
      <c r="U107" s="31">
        <f t="shared" si="555"/>
        <v>8.4701065187075389E-2</v>
      </c>
      <c r="V107" s="31">
        <f t="shared" si="555"/>
        <v>8.9686314070231074E-2</v>
      </c>
      <c r="W107" s="32">
        <f t="shared" si="555"/>
        <v>-0.12675800938644993</v>
      </c>
      <c r="X107" s="38">
        <f t="shared" si="555"/>
        <v>-0.21375092533283216</v>
      </c>
      <c r="Y107" s="31">
        <f t="shared" si="555"/>
        <v>9.1306858980362643E-2</v>
      </c>
      <c r="Z107" s="31">
        <f t="shared" si="555"/>
        <v>0.25102664930058344</v>
      </c>
      <c r="AA107" s="32">
        <f t="shared" si="555"/>
        <v>0.24310088008213296</v>
      </c>
      <c r="AB107" s="38">
        <f t="shared" si="555"/>
        <v>0.24050029278418472</v>
      </c>
      <c r="AC107" s="31">
        <f t="shared" si="555"/>
        <v>0.24515713785341237</v>
      </c>
      <c r="AD107" s="31">
        <f t="shared" si="555"/>
        <v>0.26657437974746878</v>
      </c>
      <c r="AE107" s="32">
        <f t="shared" si="555"/>
        <v>0.24747338461521376</v>
      </c>
      <c r="AF107" s="38">
        <f t="shared" si="555"/>
        <v>0.18302671229633027</v>
      </c>
      <c r="AG107" s="31">
        <f t="shared" si="555"/>
        <v>0.21435956858900082</v>
      </c>
      <c r="AH107" s="31">
        <f t="shared" si="555"/>
        <v>0.20530041024097848</v>
      </c>
      <c r="AI107" s="32">
        <f t="shared" si="555"/>
        <v>0.1086803437722582</v>
      </c>
      <c r="AJ107" s="38">
        <f t="shared" si="555"/>
        <v>0.11872026279869052</v>
      </c>
      <c r="AK107" s="31">
        <f t="shared" si="555"/>
        <v>0.11404673914108986</v>
      </c>
      <c r="AL107" s="31">
        <f t="shared" si="555"/>
        <v>8.812610372130962E-2</v>
      </c>
      <c r="AM107" s="32">
        <f t="shared" si="555"/>
        <v>6.4687718465511038E-2</v>
      </c>
      <c r="AN107" s="38">
        <f t="shared" si="555"/>
        <v>7.2455400486676425E-2</v>
      </c>
      <c r="AO107" s="31">
        <f t="shared" si="555"/>
        <v>7.6606827778989361E-2</v>
      </c>
      <c r="AP107" s="31">
        <f t="shared" si="555"/>
        <v>0.11077439848114212</v>
      </c>
      <c r="AQ107" s="32">
        <f>AQ106/AQ$10</f>
        <v>0.10424373946202255</v>
      </c>
      <c r="AR107" s="38">
        <f t="shared" si="555"/>
        <v>0.10385872232024473</v>
      </c>
      <c r="AS107" s="31">
        <f>AS106/AS$10</f>
        <v>0.1444238179180381</v>
      </c>
      <c r="AT107" s="31">
        <f>AT106/AT$10</f>
        <v>0.12396466753248983</v>
      </c>
      <c r="AU107" s="32">
        <f t="shared" si="555"/>
        <v>9.5274137794302147E-2</v>
      </c>
      <c r="AV107" s="38">
        <f>AV106/AV$10</f>
        <v>1.9453587523195287E-2</v>
      </c>
      <c r="AW107" s="31">
        <f t="shared" ref="AW107:AY107" si="556">AW106/AW$10</f>
        <v>-1.0864865473502872</v>
      </c>
      <c r="AX107" s="31">
        <f t="shared" si="556"/>
        <v>-8.5569500214849936E-2</v>
      </c>
      <c r="AY107" s="32">
        <f t="shared" si="556"/>
        <v>6.8164334472651193E-3</v>
      </c>
      <c r="AZ107" s="38">
        <f>AZ106/AZ$10</f>
        <v>-4.193431480228238E-2</v>
      </c>
      <c r="BA107" s="31">
        <f t="shared" ref="BA107:BC107" si="557">BA106/BA$10</f>
        <v>8.1904010830071289E-2</v>
      </c>
      <c r="BB107" s="492">
        <f t="shared" si="557"/>
        <v>0.11096203978472619</v>
      </c>
      <c r="BC107" s="32">
        <f t="shared" si="557"/>
        <v>-0.13454147707385386</v>
      </c>
      <c r="BD107" s="38">
        <f>BD106/BD$10</f>
        <v>0.16742636140750713</v>
      </c>
      <c r="BE107" s="492">
        <f t="shared" ref="BE107:BG107" si="558">BE106/BE$10</f>
        <v>0.22397684993799089</v>
      </c>
      <c r="BF107" s="562">
        <f t="shared" si="558"/>
        <v>0.24231139928152104</v>
      </c>
      <c r="BG107" s="563">
        <f t="shared" si="558"/>
        <v>7.9236735244365877E-2</v>
      </c>
      <c r="BH107" s="566">
        <f t="shared" ref="BH107:BK107" si="559">BH106/BH$10</f>
        <v>0.22569124683078667</v>
      </c>
      <c r="BI107" s="562">
        <f t="shared" si="559"/>
        <v>0.23544505235677116</v>
      </c>
      <c r="BJ107" s="562">
        <f t="shared" si="559"/>
        <v>0.24048935446459735</v>
      </c>
      <c r="BK107" s="562">
        <f t="shared" si="559"/>
        <v>0.24290070128545541</v>
      </c>
      <c r="BL107" s="566">
        <f t="shared" ref="BL107:BO107" si="560">BL106/BL$10</f>
        <v>0.24225819069963345</v>
      </c>
      <c r="BM107" s="562">
        <f t="shared" si="560"/>
        <v>0.24334396392142038</v>
      </c>
      <c r="BN107" s="562">
        <f t="shared" si="560"/>
        <v>0.24459197284034176</v>
      </c>
      <c r="BO107" s="598">
        <f t="shared" si="560"/>
        <v>0.24606865497824371</v>
      </c>
      <c r="BP107" s="347"/>
      <c r="BQ107" s="566">
        <f t="shared" ref="BQ107:CA107" si="561">BQ106/BQ$10</f>
        <v>0.1156812948112822</v>
      </c>
      <c r="BR107" s="562">
        <f t="shared" si="561"/>
        <v>0.11943606587214252</v>
      </c>
      <c r="BS107" s="562">
        <f t="shared" si="561"/>
        <v>-5.4054585522667897E-3</v>
      </c>
      <c r="BT107" s="562">
        <f t="shared" si="561"/>
        <v>-3.9529925971424067E-2</v>
      </c>
      <c r="BU107" s="562">
        <f t="shared" si="561"/>
        <v>4.9903018508670884E-2</v>
      </c>
      <c r="BV107" s="562">
        <f t="shared" si="561"/>
        <v>0.12588867633749759</v>
      </c>
      <c r="BW107" s="562">
        <f t="shared" si="561"/>
        <v>0.25031998456211196</v>
      </c>
      <c r="BX107" s="562">
        <f t="shared" si="561"/>
        <v>0.18128020889821517</v>
      </c>
      <c r="BY107" s="562">
        <f t="shared" si="561"/>
        <v>9.6756326866816178E-2</v>
      </c>
      <c r="BZ107" s="562">
        <f t="shared" si="561"/>
        <v>9.2621313594172444E-2</v>
      </c>
      <c r="CA107" s="562">
        <f t="shared" si="561"/>
        <v>0.11744007156262411</v>
      </c>
      <c r="CB107" s="562">
        <f t="shared" ref="CB107:CG107" si="562">CB106/CB$10</f>
        <v>-0.29767101959478004</v>
      </c>
      <c r="CC107" s="562">
        <f t="shared" si="562"/>
        <v>1.0181575965045583E-2</v>
      </c>
      <c r="CD107" s="562">
        <f t="shared" si="562"/>
        <v>0.1782218467065263</v>
      </c>
      <c r="CE107" s="562">
        <f t="shared" si="562"/>
        <v>0.23627680667056236</v>
      </c>
      <c r="CF107" s="562">
        <f t="shared" si="562"/>
        <v>0.24410809664775218</v>
      </c>
      <c r="CG107" s="598">
        <f t="shared" si="562"/>
        <v>0.24694309664775221</v>
      </c>
      <c r="CH107" s="336"/>
    </row>
    <row r="108" spans="2:86" ht="14.25" hidden="1" outlineLevel="1">
      <c r="B108" s="16" t="s">
        <v>44</v>
      </c>
      <c r="C108" s="17"/>
      <c r="D108" s="26">
        <f t="shared" ref="D108:AU108" si="563">(-D11+D19+D36+D46+D56+D65+D66+D85)-D99</f>
        <v>34.646000000000001</v>
      </c>
      <c r="E108" s="26">
        <f t="shared" si="563"/>
        <v>31.030999999999999</v>
      </c>
      <c r="F108" s="26">
        <f t="shared" si="563"/>
        <v>23.009</v>
      </c>
      <c r="G108" s="27">
        <f t="shared" si="563"/>
        <v>20.239000000000001</v>
      </c>
      <c r="H108" s="26">
        <f t="shared" si="563"/>
        <v>19.759</v>
      </c>
      <c r="I108" s="26">
        <f t="shared" si="563"/>
        <v>19.753</v>
      </c>
      <c r="J108" s="26">
        <f t="shared" si="563"/>
        <v>19.745999999999999</v>
      </c>
      <c r="K108" s="27">
        <f t="shared" si="563"/>
        <v>36.78</v>
      </c>
      <c r="L108" s="26">
        <f t="shared" si="563"/>
        <v>8.504999999999999</v>
      </c>
      <c r="M108" s="26">
        <f t="shared" si="563"/>
        <v>27.405000000000001</v>
      </c>
      <c r="N108" s="26">
        <f t="shared" si="563"/>
        <v>27.405000000000001</v>
      </c>
      <c r="O108" s="27">
        <f t="shared" si="563"/>
        <v>115.626</v>
      </c>
      <c r="P108" s="26">
        <f t="shared" si="563"/>
        <v>37.32</v>
      </c>
      <c r="Q108" s="26">
        <f t="shared" si="563"/>
        <v>37.292999999999999</v>
      </c>
      <c r="R108" s="26">
        <f t="shared" si="563"/>
        <v>37.311</v>
      </c>
      <c r="S108" s="27">
        <f t="shared" si="563"/>
        <v>51.666000000000004</v>
      </c>
      <c r="T108" s="26">
        <f t="shared" si="563"/>
        <v>35.247</v>
      </c>
      <c r="U108" s="26">
        <f t="shared" si="563"/>
        <v>34.988</v>
      </c>
      <c r="V108" s="26">
        <f t="shared" si="563"/>
        <v>34.814</v>
      </c>
      <c r="W108" s="27">
        <f t="shared" si="563"/>
        <v>52.671000000000014</v>
      </c>
      <c r="X108" s="26">
        <f t="shared" si="563"/>
        <v>111.68199999999999</v>
      </c>
      <c r="Y108" s="26">
        <f t="shared" si="563"/>
        <v>30.2</v>
      </c>
      <c r="Z108" s="26">
        <f t="shared" si="563"/>
        <v>-4.2000000000000028</v>
      </c>
      <c r="AA108" s="27">
        <f t="shared" si="563"/>
        <v>30.734000000000002</v>
      </c>
      <c r="AB108" s="26">
        <f t="shared" si="563"/>
        <v>27.507999999999999</v>
      </c>
      <c r="AC108" s="26">
        <f t="shared" si="563"/>
        <v>22.873999999999999</v>
      </c>
      <c r="AD108" s="26">
        <f t="shared" si="563"/>
        <v>22.029</v>
      </c>
      <c r="AE108" s="27">
        <f t="shared" ref="AE108:AJ108" si="564">(-AE11+AE19+AE36+AE46+AE56+AE65+AE66+AE85)-AE99</f>
        <v>18.746000000000002</v>
      </c>
      <c r="AF108" s="26">
        <f t="shared" si="564"/>
        <v>14.959999999999999</v>
      </c>
      <c r="AG108" s="26">
        <f t="shared" si="564"/>
        <v>11.705</v>
      </c>
      <c r="AH108" s="26">
        <f t="shared" si="564"/>
        <v>18.719000000000001</v>
      </c>
      <c r="AI108" s="27">
        <f t="shared" si="564"/>
        <v>14.499000000000001</v>
      </c>
      <c r="AJ108" s="26">
        <f t="shared" si="564"/>
        <v>16.926000000000002</v>
      </c>
      <c r="AK108" s="26">
        <f>(-AK11+AK19+AK36+AK46+AK56+AK65+AK66+AK85)-AK99</f>
        <v>15.709</v>
      </c>
      <c r="AL108" s="26">
        <f>(-AL11+AL19+AL36+AL46+AL56+AL65+AL66+AL85)-AL99</f>
        <v>13.706</v>
      </c>
      <c r="AM108" s="27">
        <f>(-AM11+AM19+AM36+AM46+AM56+AM65+AM66+AM85)-AM99</f>
        <v>17.725000000000001</v>
      </c>
      <c r="AN108" s="25">
        <f>(-AN11+AN19+AN36+AN46+AN56+AN65+AN66+AN85)-AN99</f>
        <v>11.379</v>
      </c>
      <c r="AO108" s="26">
        <f>(-AO11+AO19+AO36+AO46+AO56+AO65+AO66+AO85)-AO99</f>
        <v>14.962999999999999</v>
      </c>
      <c r="AP108" s="26">
        <f t="shared" si="563"/>
        <v>17.012999999999998</v>
      </c>
      <c r="AQ108" s="27">
        <f>(-AQ11+AQ19+AQ36+AQ46+AQ56+AQ65+AQ66+AQ85)-AQ99</f>
        <v>6.2769999999999992</v>
      </c>
      <c r="AR108" s="25">
        <f>(-AR11+AR19+AR36+AR46+AR56+AR65+AR66+AR85)-AR99</f>
        <v>14.702</v>
      </c>
      <c r="AS108" s="26">
        <f>(-AS11+AS19+AS36+AS46+AS56+AS65+AS66+AS85)-AS99</f>
        <v>7.5939999999999994</v>
      </c>
      <c r="AT108" s="26">
        <f>(-AT11+AT19+AT36+AT46+AT56+AT65+AT66+AT85)-AT99</f>
        <v>5.3519999999999994</v>
      </c>
      <c r="AU108" s="27">
        <f t="shared" si="563"/>
        <v>11.200999999999999</v>
      </c>
      <c r="AV108" s="25">
        <f>(-AV11+AV19+AV36+AV46+AV56+AV65+AV66+AV85)-AV99</f>
        <v>23.767000000000003</v>
      </c>
      <c r="AW108" s="26">
        <f t="shared" ref="AW108:AY108" si="565">(-AW11+AW19+AW36+AW46+AW56+AW65+AW66+AW85)-AW99</f>
        <v>120.001</v>
      </c>
      <c r="AX108" s="26">
        <f t="shared" si="565"/>
        <v>55.29</v>
      </c>
      <c r="AY108" s="27">
        <f t="shared" si="565"/>
        <v>17.887999999999998</v>
      </c>
      <c r="AZ108" s="25">
        <f>(-AZ11+AZ19+AZ36+AZ46+AZ56+AZ65+AZ66+AZ85)-AZ99</f>
        <v>7.5569999999999986</v>
      </c>
      <c r="BA108" s="26">
        <f t="shared" ref="BA108:BC108" si="566">(-BA11+BA19+BA36+BA46+BA56+BA65+BA66+BA85)-BA99</f>
        <v>3.6549999999999998</v>
      </c>
      <c r="BB108" s="26">
        <f t="shared" si="566"/>
        <v>3.948</v>
      </c>
      <c r="BC108" s="27">
        <f t="shared" si="566"/>
        <v>168.64400000000001</v>
      </c>
      <c r="BD108" s="25">
        <f>(-BD11+BD19+BD36+BD46+BD56+BD65+BD66+BD85)-BD99</f>
        <v>3.4470000000000001</v>
      </c>
      <c r="BE108" s="26">
        <f t="shared" ref="BE108:BG108" si="567">(-BE11+BE19+BE36+BE46+BE56+BE65+BE66+BE85)-BE99</f>
        <v>-7.6310000000000002</v>
      </c>
      <c r="BF108" s="26">
        <f t="shared" si="567"/>
        <v>-1.488</v>
      </c>
      <c r="BG108" s="27">
        <f t="shared" si="567"/>
        <v>23.462000000000003</v>
      </c>
      <c r="BH108" s="25">
        <f t="shared" ref="BH108:BK108" si="568">(-BH11+BH19+BH36+BH46+BH56+BH65+BH66+BH85)-BH99</f>
        <v>0</v>
      </c>
      <c r="BI108" s="26">
        <f t="shared" si="568"/>
        <v>0</v>
      </c>
      <c r="BJ108" s="26">
        <f t="shared" si="568"/>
        <v>0</v>
      </c>
      <c r="BK108" s="26">
        <f t="shared" si="568"/>
        <v>0</v>
      </c>
      <c r="BL108" s="25">
        <f t="shared" ref="BL108:BO108" si="569">(-BL11+BL19+BL36+BL46+BL56+BL65+BL66+BL85)-BL99</f>
        <v>0</v>
      </c>
      <c r="BM108" s="26">
        <f t="shared" si="569"/>
        <v>0</v>
      </c>
      <c r="BN108" s="26">
        <f t="shared" si="569"/>
        <v>0</v>
      </c>
      <c r="BO108" s="597">
        <f t="shared" si="569"/>
        <v>0</v>
      </c>
      <c r="BP108" s="347"/>
      <c r="BQ108" s="684">
        <f t="shared" ref="BQ108:CA108" si="570">(-BQ11+BQ19+BQ36+BQ46+BQ56+BQ65+BQ66+BQ85)-BQ99</f>
        <v>108.925</v>
      </c>
      <c r="BR108" s="26">
        <f t="shared" si="570"/>
        <v>96.037999999999997</v>
      </c>
      <c r="BS108" s="26">
        <f t="shared" si="570"/>
        <v>178.941</v>
      </c>
      <c r="BT108" s="26">
        <f t="shared" si="570"/>
        <v>163.59</v>
      </c>
      <c r="BU108" s="26">
        <f t="shared" si="570"/>
        <v>157.72000000000003</v>
      </c>
      <c r="BV108" s="26">
        <f t="shared" si="570"/>
        <v>168.416</v>
      </c>
      <c r="BW108" s="26">
        <f t="shared" si="570"/>
        <v>91.156999999999996</v>
      </c>
      <c r="BX108" s="26">
        <f t="shared" si="570"/>
        <v>59.882999999999996</v>
      </c>
      <c r="BY108" s="26">
        <f t="shared" si="570"/>
        <v>64.066000000000003</v>
      </c>
      <c r="BZ108" s="26">
        <f t="shared" si="570"/>
        <v>49.631999999999998</v>
      </c>
      <c r="CA108" s="26">
        <f t="shared" si="570"/>
        <v>38.849000000000004</v>
      </c>
      <c r="CB108" s="26">
        <f>(-CB11+CB19+CB36+CB46+CB56+CB65+CB66+CB85)-CB99</f>
        <v>216.946</v>
      </c>
      <c r="CC108" s="26">
        <f>(-CC11+CC19+CC36+CC46+CC56+CC65+CC66+CC85)-CC99</f>
        <v>183.804</v>
      </c>
      <c r="CD108" s="26">
        <f>(-CD11+CD19+CD36+CD46+CD56+CD65+CD66+CD85)-CD99</f>
        <v>17.79</v>
      </c>
      <c r="CE108" s="26">
        <f>(-CE11+CE19+CE36+CE46+CE56+CE65+CE66+CE85)-CE99</f>
        <v>0</v>
      </c>
      <c r="CF108" s="26">
        <f>(-CF11+CF19+CF36+CF46+CF56+CF65+CF66+CF85)-CF99</f>
        <v>0</v>
      </c>
      <c r="CG108" s="597">
        <f t="shared" ref="CG108" si="571">(-CG11+CG19+CG36+CG46+CG56+CG65+CG66+CG85)-CG99</f>
        <v>0</v>
      </c>
      <c r="CH108" s="336"/>
    </row>
    <row r="109" spans="2:86" ht="14.25" hidden="1" outlineLevel="1">
      <c r="B109" s="16" t="s">
        <v>45</v>
      </c>
      <c r="C109" s="17"/>
      <c r="D109" s="25">
        <f t="shared" ref="D109:K109" si="572">-D120</f>
        <v>0</v>
      </c>
      <c r="E109" s="26">
        <f t="shared" si="572"/>
        <v>0</v>
      </c>
      <c r="F109" s="26">
        <f t="shared" si="572"/>
        <v>0</v>
      </c>
      <c r="G109" s="27">
        <f t="shared" si="572"/>
        <v>0</v>
      </c>
      <c r="H109" s="25">
        <f t="shared" si="572"/>
        <v>0</v>
      </c>
      <c r="I109" s="26">
        <f t="shared" si="572"/>
        <v>0</v>
      </c>
      <c r="J109" s="26">
        <f t="shared" si="572"/>
        <v>0</v>
      </c>
      <c r="K109" s="27">
        <f t="shared" si="572"/>
        <v>0</v>
      </c>
      <c r="L109" s="25">
        <f t="shared" ref="L109:T109" si="573">-L120</f>
        <v>0</v>
      </c>
      <c r="M109" s="26">
        <f t="shared" si="573"/>
        <v>0</v>
      </c>
      <c r="N109" s="26">
        <f t="shared" si="573"/>
        <v>0</v>
      </c>
      <c r="O109" s="27">
        <f t="shared" si="573"/>
        <v>0</v>
      </c>
      <c r="P109" s="25">
        <f t="shared" si="573"/>
        <v>0</v>
      </c>
      <c r="Q109" s="26">
        <f t="shared" si="573"/>
        <v>0</v>
      </c>
      <c r="R109" s="26">
        <f t="shared" si="573"/>
        <v>0</v>
      </c>
      <c r="S109" s="27">
        <f t="shared" si="573"/>
        <v>0</v>
      </c>
      <c r="T109" s="25">
        <f t="shared" si="573"/>
        <v>0</v>
      </c>
      <c r="U109" s="26">
        <f t="shared" ref="U109:AD109" si="574">-U120</f>
        <v>0</v>
      </c>
      <c r="V109" s="26">
        <f t="shared" si="574"/>
        <v>0</v>
      </c>
      <c r="W109" s="27">
        <f t="shared" si="574"/>
        <v>0</v>
      </c>
      <c r="X109" s="25">
        <f t="shared" si="574"/>
        <v>0</v>
      </c>
      <c r="Y109" s="26">
        <f t="shared" si="574"/>
        <v>0</v>
      </c>
      <c r="Z109" s="26">
        <f t="shared" si="574"/>
        <v>0</v>
      </c>
      <c r="AA109" s="27">
        <f t="shared" si="574"/>
        <v>0</v>
      </c>
      <c r="AB109" s="25">
        <f t="shared" si="574"/>
        <v>0</v>
      </c>
      <c r="AC109" s="26">
        <f t="shared" si="574"/>
        <v>0</v>
      </c>
      <c r="AD109" s="26">
        <f t="shared" si="574"/>
        <v>0</v>
      </c>
      <c r="AE109" s="27">
        <f t="shared" ref="AE109:AJ109" si="575">-AE120</f>
        <v>0</v>
      </c>
      <c r="AF109" s="25">
        <f t="shared" si="575"/>
        <v>0</v>
      </c>
      <c r="AG109" s="26">
        <f t="shared" si="575"/>
        <v>0</v>
      </c>
      <c r="AH109" s="26">
        <f t="shared" si="575"/>
        <v>0</v>
      </c>
      <c r="AI109" s="27">
        <f t="shared" si="575"/>
        <v>0</v>
      </c>
      <c r="AJ109" s="25">
        <f t="shared" si="575"/>
        <v>0</v>
      </c>
      <c r="AK109" s="26">
        <f t="shared" ref="AK109:AU109" si="576">-AK120</f>
        <v>0</v>
      </c>
      <c r="AL109" s="26">
        <f t="shared" si="576"/>
        <v>0</v>
      </c>
      <c r="AM109" s="27">
        <f t="shared" si="576"/>
        <v>0</v>
      </c>
      <c r="AN109" s="25">
        <f t="shared" si="576"/>
        <v>0</v>
      </c>
      <c r="AO109" s="26">
        <f t="shared" si="576"/>
        <v>0</v>
      </c>
      <c r="AP109" s="26">
        <f t="shared" si="576"/>
        <v>0</v>
      </c>
      <c r="AQ109" s="27">
        <f t="shared" si="576"/>
        <v>0</v>
      </c>
      <c r="AR109" s="25">
        <f t="shared" si="576"/>
        <v>0</v>
      </c>
      <c r="AS109" s="26">
        <f t="shared" si="576"/>
        <v>0</v>
      </c>
      <c r="AT109" s="26">
        <f t="shared" si="576"/>
        <v>0</v>
      </c>
      <c r="AU109" s="27">
        <f t="shared" si="576"/>
        <v>0</v>
      </c>
      <c r="AV109" s="25">
        <f>-AV120</f>
        <v>0</v>
      </c>
      <c r="AW109" s="26">
        <f t="shared" ref="AW109:AY109" si="577">-AW120</f>
        <v>0</v>
      </c>
      <c r="AX109" s="26">
        <f t="shared" si="577"/>
        <v>0</v>
      </c>
      <c r="AY109" s="27">
        <f t="shared" si="577"/>
        <v>0</v>
      </c>
      <c r="AZ109" s="25">
        <f>-AZ120</f>
        <v>0</v>
      </c>
      <c r="BA109" s="26">
        <f t="shared" ref="BA109:BC109" si="578">-BA120</f>
        <v>0</v>
      </c>
      <c r="BB109" s="26">
        <f t="shared" si="578"/>
        <v>0</v>
      </c>
      <c r="BC109" s="27">
        <f t="shared" si="578"/>
        <v>3.214</v>
      </c>
      <c r="BD109" s="25">
        <f>-BD120</f>
        <v>-9.6509999999999998</v>
      </c>
      <c r="BE109" s="26">
        <f t="shared" ref="BE109:BG109" si="579">-BE120</f>
        <v>-29.809000000000001</v>
      </c>
      <c r="BF109" s="26">
        <f t="shared" si="579"/>
        <v>-50.850999999999999</v>
      </c>
      <c r="BG109" s="27">
        <f t="shared" si="579"/>
        <v>0</v>
      </c>
      <c r="BH109" s="25">
        <f t="shared" ref="BH109:BK109" si="580">-BH120</f>
        <v>0</v>
      </c>
      <c r="BI109" s="26">
        <f t="shared" si="580"/>
        <v>0</v>
      </c>
      <c r="BJ109" s="26">
        <f t="shared" si="580"/>
        <v>0</v>
      </c>
      <c r="BK109" s="26">
        <f t="shared" si="580"/>
        <v>0</v>
      </c>
      <c r="BL109" s="25">
        <f t="shared" ref="BL109:BO109" si="581">-BL120</f>
        <v>0</v>
      </c>
      <c r="BM109" s="26">
        <f t="shared" si="581"/>
        <v>0</v>
      </c>
      <c r="BN109" s="26">
        <f t="shared" si="581"/>
        <v>0</v>
      </c>
      <c r="BO109" s="597">
        <f t="shared" si="581"/>
        <v>0</v>
      </c>
      <c r="BP109" s="347"/>
      <c r="BQ109" s="25">
        <f t="shared" ref="BQ109:BV109" si="582">-BQ120</f>
        <v>0</v>
      </c>
      <c r="BR109" s="26">
        <f t="shared" si="582"/>
        <v>0</v>
      </c>
      <c r="BS109" s="26">
        <f t="shared" si="582"/>
        <v>0</v>
      </c>
      <c r="BT109" s="26">
        <f t="shared" si="582"/>
        <v>0</v>
      </c>
      <c r="BU109" s="26">
        <f t="shared" si="582"/>
        <v>0</v>
      </c>
      <c r="BV109" s="26">
        <f t="shared" si="582"/>
        <v>0</v>
      </c>
      <c r="BW109" s="26">
        <f t="shared" ref="BW109:CA109" si="583">-BW120</f>
        <v>0</v>
      </c>
      <c r="BX109" s="26">
        <f t="shared" si="583"/>
        <v>0</v>
      </c>
      <c r="BY109" s="26">
        <f t="shared" si="583"/>
        <v>0</v>
      </c>
      <c r="BZ109" s="26">
        <f t="shared" si="583"/>
        <v>0</v>
      </c>
      <c r="CA109" s="26">
        <f t="shared" si="583"/>
        <v>0</v>
      </c>
      <c r="CB109" s="26">
        <f>-CB120</f>
        <v>0</v>
      </c>
      <c r="CC109" s="26">
        <f>-CC120</f>
        <v>3.214</v>
      </c>
      <c r="CD109" s="26">
        <f>-CD120</f>
        <v>-90.311000000000007</v>
      </c>
      <c r="CE109" s="26">
        <f>-CE120</f>
        <v>0</v>
      </c>
      <c r="CF109" s="26">
        <f>-CF120</f>
        <v>0</v>
      </c>
      <c r="CG109" s="597">
        <f t="shared" ref="CG109" si="584">-CG120</f>
        <v>0</v>
      </c>
      <c r="CH109" s="336"/>
    </row>
    <row r="110" spans="2:86" ht="15" collapsed="1">
      <c r="B110" s="39" t="s">
        <v>46</v>
      </c>
      <c r="C110" s="40"/>
      <c r="D110" s="41">
        <f t="shared" ref="D110:K110" si="585">D91-D101</f>
        <v>49.142999999999979</v>
      </c>
      <c r="E110" s="42">
        <f t="shared" si="585"/>
        <v>59.654999999999987</v>
      </c>
      <c r="F110" s="42">
        <f t="shared" si="585"/>
        <v>66.604000000000028</v>
      </c>
      <c r="G110" s="43">
        <f t="shared" si="585"/>
        <v>75.183999999999855</v>
      </c>
      <c r="H110" s="41">
        <f t="shared" si="585"/>
        <v>83.295999999999978</v>
      </c>
      <c r="I110" s="42">
        <f t="shared" si="585"/>
        <v>96.489000000000033</v>
      </c>
      <c r="J110" s="42">
        <f t="shared" si="585"/>
        <v>112.66799999999998</v>
      </c>
      <c r="K110" s="43">
        <f t="shared" si="585"/>
        <v>125.68700000000013</v>
      </c>
      <c r="L110" s="41">
        <f>L91-L101</f>
        <v>134.83000000000004</v>
      </c>
      <c r="M110" s="42">
        <f t="shared" ref="M110:AU110" si="586">M91-M101</f>
        <v>127.89000000000001</v>
      </c>
      <c r="N110" s="42">
        <f t="shared" si="586"/>
        <v>75.579000000000107</v>
      </c>
      <c r="O110" s="43">
        <f t="shared" si="586"/>
        <v>20.667999999999463</v>
      </c>
      <c r="P110" s="41">
        <f t="shared" si="586"/>
        <v>31.279999999999959</v>
      </c>
      <c r="Q110" s="42">
        <f t="shared" si="586"/>
        <v>39.713000000000015</v>
      </c>
      <c r="R110" s="42">
        <f t="shared" si="586"/>
        <v>86.231000000000009</v>
      </c>
      <c r="S110" s="43">
        <f t="shared" si="586"/>
        <v>122.91900000000015</v>
      </c>
      <c r="T110" s="41">
        <f t="shared" si="586"/>
        <v>150.41200000000001</v>
      </c>
      <c r="U110" s="42">
        <f t="shared" si="586"/>
        <v>153.98200000000003</v>
      </c>
      <c r="V110" s="42">
        <f t="shared" si="586"/>
        <v>145.33800000000005</v>
      </c>
      <c r="W110" s="43">
        <f t="shared" si="586"/>
        <v>32.361999999999561</v>
      </c>
      <c r="X110" s="41">
        <f t="shared" si="586"/>
        <v>31.87299999999999</v>
      </c>
      <c r="Y110" s="42">
        <f t="shared" si="586"/>
        <v>118.70799999999997</v>
      </c>
      <c r="Z110" s="42">
        <f t="shared" si="586"/>
        <v>231.77599999999995</v>
      </c>
      <c r="AA110" s="43">
        <f t="shared" si="586"/>
        <v>266.11399999999992</v>
      </c>
      <c r="AB110" s="41">
        <f t="shared" si="586"/>
        <v>260.17099999999994</v>
      </c>
      <c r="AC110" s="42">
        <f t="shared" si="586"/>
        <v>273.33999999999997</v>
      </c>
      <c r="AD110" s="42">
        <f t="shared" si="586"/>
        <v>307.30199999999996</v>
      </c>
      <c r="AE110" s="43">
        <f t="shared" ref="AE110:AJ110" si="587">AE91-AE101</f>
        <v>272.87800000000016</v>
      </c>
      <c r="AF110" s="41">
        <f t="shared" si="587"/>
        <v>189.30100000000002</v>
      </c>
      <c r="AG110" s="42">
        <f t="shared" si="587"/>
        <v>234.45199999999997</v>
      </c>
      <c r="AH110" s="42">
        <f t="shared" si="587"/>
        <v>244.45100000000008</v>
      </c>
      <c r="AI110" s="43">
        <f t="shared" si="587"/>
        <v>126.63300000000005</v>
      </c>
      <c r="AJ110" s="41">
        <f t="shared" si="587"/>
        <v>138.66099999999992</v>
      </c>
      <c r="AK110" s="42">
        <f>AK91-AK101</f>
        <v>142.01099999999997</v>
      </c>
      <c r="AL110" s="42">
        <f>AL91-AL101</f>
        <v>112.89599999999996</v>
      </c>
      <c r="AM110" s="43">
        <f>AM91-AM101</f>
        <v>104.36299999999991</v>
      </c>
      <c r="AN110" s="41">
        <f>AN91-AN101</f>
        <v>98.100999999999971</v>
      </c>
      <c r="AO110" s="42">
        <f>AO91-AO101</f>
        <v>117.88000000000007</v>
      </c>
      <c r="AP110" s="42">
        <f t="shared" si="586"/>
        <v>163.36999999999998</v>
      </c>
      <c r="AQ110" s="43">
        <f>AQ91-AQ101</f>
        <v>141.47400000000007</v>
      </c>
      <c r="AR110" s="41">
        <f>AR91-AR101</f>
        <v>144.15000000000003</v>
      </c>
      <c r="AS110" s="42">
        <f>AS91-AS101</f>
        <v>181.48399999999998</v>
      </c>
      <c r="AT110" s="42">
        <f>AT91-AT101</f>
        <v>154.95000000000005</v>
      </c>
      <c r="AU110" s="43">
        <f t="shared" si="586"/>
        <v>130.85700000000003</v>
      </c>
      <c r="AV110" s="41">
        <f t="shared" ref="AV110:AY110" si="588">AV91-AV101</f>
        <v>71.078000000000088</v>
      </c>
      <c r="AW110" s="42">
        <f t="shared" si="588"/>
        <v>39.401999999999994</v>
      </c>
      <c r="AX110" s="42">
        <f t="shared" si="588"/>
        <v>64.274999999999963</v>
      </c>
      <c r="AY110" s="43">
        <f t="shared" si="588"/>
        <v>54.506999999999941</v>
      </c>
      <c r="AZ110" s="41">
        <f t="shared" ref="AZ110:BC110" si="589">AZ91-AZ101</f>
        <v>9.3310000000000599</v>
      </c>
      <c r="BA110" s="42">
        <f t="shared" si="589"/>
        <v>92.155999999999977</v>
      </c>
      <c r="BB110" s="42">
        <f t="shared" si="589"/>
        <v>104.82700000000007</v>
      </c>
      <c r="BC110" s="43">
        <f t="shared" si="589"/>
        <v>114.17199999999997</v>
      </c>
      <c r="BD110" s="41">
        <f>BD91-BD101</f>
        <v>124.2889999999999</v>
      </c>
      <c r="BE110" s="42">
        <f t="shared" ref="BE110:BG110" si="590">BE91-BE101</f>
        <v>153.471</v>
      </c>
      <c r="BF110" s="42">
        <f t="shared" si="590"/>
        <v>171.77200000000005</v>
      </c>
      <c r="BG110" s="43">
        <f t="shared" si="590"/>
        <v>164.78199999999998</v>
      </c>
      <c r="BH110" s="41">
        <f t="shared" ref="BH110:BK110" si="591">BH91-BH101</f>
        <v>156.96215185714999</v>
      </c>
      <c r="BI110" s="42">
        <f t="shared" si="591"/>
        <v>167.30771242166526</v>
      </c>
      <c r="BJ110" s="42">
        <f t="shared" si="591"/>
        <v>174.85408779835046</v>
      </c>
      <c r="BK110" s="42">
        <f t="shared" si="591"/>
        <v>174.9631478102423</v>
      </c>
      <c r="BL110" s="41">
        <f t="shared" ref="BL110:BO110" si="592">BL91-BL101</f>
        <v>166.20775697695612</v>
      </c>
      <c r="BM110" s="42">
        <f t="shared" si="592"/>
        <v>176.14214823662229</v>
      </c>
      <c r="BN110" s="42">
        <f t="shared" si="592"/>
        <v>182.18659288743373</v>
      </c>
      <c r="BO110" s="601">
        <f t="shared" si="592"/>
        <v>181.29625563641753</v>
      </c>
      <c r="BP110" s="347"/>
      <c r="BQ110" s="41">
        <f t="shared" ref="BQ110:BV110" si="593">BQ91-BQ101</f>
        <v>250.58599999999993</v>
      </c>
      <c r="BR110" s="42">
        <f t="shared" si="593"/>
        <v>418.14</v>
      </c>
      <c r="BS110" s="42">
        <f t="shared" si="593"/>
        <v>358.96699999999976</v>
      </c>
      <c r="BT110" s="42">
        <f t="shared" si="593"/>
        <v>280.14300000000043</v>
      </c>
      <c r="BU110" s="42">
        <f t="shared" si="593"/>
        <v>482.09399999999931</v>
      </c>
      <c r="BV110" s="42">
        <f t="shared" si="593"/>
        <v>648.47099999999978</v>
      </c>
      <c r="BW110" s="42">
        <f t="shared" ref="BW110:CA110" si="594">BW91-BW101</f>
        <v>1113.691</v>
      </c>
      <c r="BX110" s="42">
        <f t="shared" si="594"/>
        <v>794.83699999999988</v>
      </c>
      <c r="BY110" s="42">
        <f t="shared" si="594"/>
        <v>497.93099999999947</v>
      </c>
      <c r="BZ110" s="42">
        <f t="shared" si="594"/>
        <v>520.82500000000073</v>
      </c>
      <c r="CA110" s="42">
        <f t="shared" si="594"/>
        <v>611.44099999999958</v>
      </c>
      <c r="CB110" s="42">
        <f>CB91-CB101</f>
        <v>229.2619999999998</v>
      </c>
      <c r="CC110" s="42">
        <f>CC91-CC101</f>
        <v>320.4860000000005</v>
      </c>
      <c r="CD110" s="42">
        <f>CD91-CD101</f>
        <v>614.31400000000008</v>
      </c>
      <c r="CE110" s="42">
        <f>CE91-CE101</f>
        <v>674.08709988740793</v>
      </c>
      <c r="CF110" s="42">
        <f>CF91-CF101</f>
        <v>705.83275373742981</v>
      </c>
      <c r="CG110" s="601">
        <f t="shared" ref="CG110" si="595">CG91-CG101</f>
        <v>712.82326722551579</v>
      </c>
      <c r="CH110" s="336"/>
    </row>
    <row r="111" spans="2:86" ht="15" customHeight="1">
      <c r="B111" s="28" t="s">
        <v>99</v>
      </c>
      <c r="C111" s="29"/>
      <c r="D111" s="38">
        <f t="shared" ref="D111:AU111" si="596">D110/D$12</f>
        <v>0.18229670928899713</v>
      </c>
      <c r="E111" s="31">
        <f t="shared" si="596"/>
        <v>0.20075449093735903</v>
      </c>
      <c r="F111" s="31">
        <f t="shared" si="596"/>
        <v>0.20972155310580234</v>
      </c>
      <c r="G111" s="32">
        <f t="shared" si="596"/>
        <v>0.22095654576125703</v>
      </c>
      <c r="H111" s="38">
        <f t="shared" si="596"/>
        <v>0.22835211228993607</v>
      </c>
      <c r="I111" s="31">
        <f t="shared" si="596"/>
        <v>0.24712001925963117</v>
      </c>
      <c r="J111" s="31">
        <f t="shared" si="596"/>
        <v>0.26446273232150147</v>
      </c>
      <c r="K111" s="32">
        <f t="shared" si="596"/>
        <v>0.25702022019729437</v>
      </c>
      <c r="L111" s="38">
        <f t="shared" si="596"/>
        <v>0.2586934665653613</v>
      </c>
      <c r="M111" s="31">
        <f t="shared" si="596"/>
        <v>0.22281070062806521</v>
      </c>
      <c r="N111" s="31">
        <f t="shared" si="596"/>
        <v>0.14523307161057519</v>
      </c>
      <c r="O111" s="32">
        <f t="shared" si="596"/>
        <v>3.3229684842130826E-2</v>
      </c>
      <c r="P111" s="38">
        <f t="shared" si="596"/>
        <v>4.9255964097315114E-2</v>
      </c>
      <c r="Q111" s="31">
        <f t="shared" si="596"/>
        <v>6.0472567080496621E-2</v>
      </c>
      <c r="R111" s="31">
        <f t="shared" si="596"/>
        <v>0.1137243058321442</v>
      </c>
      <c r="S111" s="32">
        <f t="shared" si="596"/>
        <v>0.14552034720594414</v>
      </c>
      <c r="T111" s="38">
        <f t="shared" si="596"/>
        <v>0.18706215216242267</v>
      </c>
      <c r="U111" s="31">
        <f t="shared" si="596"/>
        <v>0.18275168382636564</v>
      </c>
      <c r="V111" s="31">
        <f t="shared" si="596"/>
        <v>0.1837288855515356</v>
      </c>
      <c r="W111" s="32">
        <f t="shared" si="596"/>
        <v>6.3100179968685013E-2</v>
      </c>
      <c r="X111" s="38">
        <f t="shared" si="596"/>
        <v>6.112566499307677E-2</v>
      </c>
      <c r="Y111" s="31">
        <f t="shared" si="596"/>
        <v>0.18530173894040144</v>
      </c>
      <c r="Z111" s="31">
        <f t="shared" si="596"/>
        <v>0.28860238725535359</v>
      </c>
      <c r="AA111" s="32">
        <f t="shared" si="596"/>
        <v>0.31584919320859067</v>
      </c>
      <c r="AB111" s="38">
        <f t="shared" si="596"/>
        <v>0.30408764123476612</v>
      </c>
      <c r="AC111" s="31">
        <f t="shared" si="596"/>
        <v>0.30490566374484923</v>
      </c>
      <c r="AD111" s="31">
        <f t="shared" si="596"/>
        <v>0.32033081524860652</v>
      </c>
      <c r="AE111" s="32">
        <f t="shared" si="596"/>
        <v>0.30302505349728448</v>
      </c>
      <c r="AF111" s="38">
        <f t="shared" si="596"/>
        <v>0.23591790648577646</v>
      </c>
      <c r="AG111" s="31">
        <f t="shared" si="596"/>
        <v>0.26122203404938049</v>
      </c>
      <c r="AH111" s="31">
        <f t="shared" si="596"/>
        <v>0.25720394311128703</v>
      </c>
      <c r="AI111" s="32">
        <f t="shared" si="596"/>
        <v>0.17050333849018656</v>
      </c>
      <c r="AJ111" s="38">
        <f t="shared" si="596"/>
        <v>0.17412045693419098</v>
      </c>
      <c r="AK111" s="31">
        <f t="shared" si="596"/>
        <v>0.17401091037416794</v>
      </c>
      <c r="AL111" s="31">
        <f t="shared" si="596"/>
        <v>0.14457516574228335</v>
      </c>
      <c r="AM111" s="32">
        <f t="shared" si="596"/>
        <v>0.13461087019891799</v>
      </c>
      <c r="AN111" s="38">
        <f t="shared" si="596"/>
        <v>0.1335854318469325</v>
      </c>
      <c r="AO111" s="31">
        <f t="shared" si="596"/>
        <v>0.14606173549295223</v>
      </c>
      <c r="AP111" s="31">
        <f t="shared" si="596"/>
        <v>0.175435393771222</v>
      </c>
      <c r="AQ111" s="32">
        <f>AQ110/AQ$12</f>
        <v>0.15183702907113403</v>
      </c>
      <c r="AR111" s="38">
        <f t="shared" si="596"/>
        <v>0.15049643464915488</v>
      </c>
      <c r="AS111" s="31">
        <f>AS110/AS$12</f>
        <v>0.18874207655387942</v>
      </c>
      <c r="AT111" s="31">
        <f>AT110/AT$12</f>
        <v>0.16658854189064831</v>
      </c>
      <c r="AU111" s="32">
        <f t="shared" si="596"/>
        <v>0.15261145813409968</v>
      </c>
      <c r="AV111" s="38">
        <f>AV110/AV$12</f>
        <v>9.8134996023681309E-2</v>
      </c>
      <c r="AW111" s="31">
        <f t="shared" ref="AW111:AY111" si="597">AW110/AW$12</f>
        <v>5.5457345051035049E-2</v>
      </c>
      <c r="AX111" s="31">
        <f t="shared" si="597"/>
        <v>9.5237742446917226E-2</v>
      </c>
      <c r="AY111" s="32">
        <f t="shared" si="597"/>
        <v>8.8462699502400266E-2</v>
      </c>
      <c r="AZ111" s="38">
        <f>AZ110/AZ$12</f>
        <v>1.7253366172234229E-2</v>
      </c>
      <c r="BA111" s="31">
        <f t="shared" ref="BA111:BC111" si="598">BA110/BA$12</f>
        <v>0.14711911162763963</v>
      </c>
      <c r="BB111" s="492">
        <f t="shared" si="598"/>
        <v>0.16018257332424654</v>
      </c>
      <c r="BC111" s="32">
        <f t="shared" si="598"/>
        <v>0.19981099054952742</v>
      </c>
      <c r="BD111" s="38">
        <f>BD110/BD$12</f>
        <v>0.21459477191891971</v>
      </c>
      <c r="BE111" s="492">
        <f t="shared" ref="BE111:BG111" si="599">BE110/BE$12</f>
        <v>0.25377594047126911</v>
      </c>
      <c r="BF111" s="562">
        <f t="shared" si="599"/>
        <v>0.2787140070939248</v>
      </c>
      <c r="BG111" s="563">
        <f t="shared" si="599"/>
        <v>0.26776014000445231</v>
      </c>
      <c r="BH111" s="566">
        <f t="shared" ref="BH111:BK111" si="600">BH110/BH$12</f>
        <v>0.26130683332331972</v>
      </c>
      <c r="BI111" s="562">
        <f t="shared" si="600"/>
        <v>0.26999657588579284</v>
      </c>
      <c r="BJ111" s="562">
        <f t="shared" si="600"/>
        <v>0.27407575834633224</v>
      </c>
      <c r="BK111" s="562">
        <f t="shared" si="600"/>
        <v>0.27683064853451345</v>
      </c>
      <c r="BL111" s="566">
        <f t="shared" ref="BL111:BO111" si="601">BL110/BL$12</f>
        <v>0.27817830219328904</v>
      </c>
      <c r="BM111" s="562">
        <f t="shared" si="601"/>
        <v>0.27713904292212083</v>
      </c>
      <c r="BN111" s="562">
        <f t="shared" si="601"/>
        <v>0.27731321353476768</v>
      </c>
      <c r="BO111" s="598">
        <f t="shared" si="601"/>
        <v>0.27920198792424389</v>
      </c>
      <c r="BP111" s="347"/>
      <c r="BQ111" s="566">
        <f t="shared" ref="BQ111:CA111" si="602">BQ110/BQ$12</f>
        <v>0.20463015891162681</v>
      </c>
      <c r="BR111" s="562">
        <f t="shared" si="602"/>
        <v>0.25034335848302003</v>
      </c>
      <c r="BS111" s="562">
        <f t="shared" si="602"/>
        <v>0.16042837867974513</v>
      </c>
      <c r="BT111" s="562">
        <f t="shared" si="602"/>
        <v>9.6778138476170159E-2</v>
      </c>
      <c r="BU111" s="562">
        <f t="shared" si="602"/>
        <v>0.16339051225139045</v>
      </c>
      <c r="BV111" s="562">
        <f t="shared" si="602"/>
        <v>0.23096271058704185</v>
      </c>
      <c r="BW111" s="562">
        <f t="shared" si="602"/>
        <v>0.3083399757412526</v>
      </c>
      <c r="BX111" s="562">
        <f t="shared" si="602"/>
        <v>0.23425512225025344</v>
      </c>
      <c r="BY111" s="562">
        <f t="shared" si="602"/>
        <v>0.15714393917876165</v>
      </c>
      <c r="BZ111" s="562">
        <f t="shared" si="602"/>
        <v>0.15298584185172148</v>
      </c>
      <c r="CA111" s="562">
        <f t="shared" si="602"/>
        <v>0.16494391770298208</v>
      </c>
      <c r="CB111" s="562">
        <f>CB110/CB$12</f>
        <v>8.410728776723983E-2</v>
      </c>
      <c r="CC111" s="562">
        <f>CC110/CC$12</f>
        <v>0.13392376584172172</v>
      </c>
      <c r="CD111" s="562">
        <f>CD110/CD$12</f>
        <v>0.25430682787715564</v>
      </c>
      <c r="CE111" s="562">
        <f>CE110/CE$12</f>
        <v>0.27067999279704946</v>
      </c>
      <c r="CF111" s="562">
        <f>CF110/CF$12</f>
        <v>0.27795614223310444</v>
      </c>
      <c r="CG111" s="598">
        <f t="shared" ref="CG111" si="603">CG110/CG$12</f>
        <v>0.28070899855932091</v>
      </c>
      <c r="CH111" s="336"/>
    </row>
    <row r="112" spans="2:86" ht="15">
      <c r="B112" s="39" t="s">
        <v>47</v>
      </c>
      <c r="C112" s="40"/>
      <c r="D112" s="41">
        <f t="shared" ref="D112:K112" si="604">D93-D103</f>
        <v>49.142999999999979</v>
      </c>
      <c r="E112" s="42">
        <f t="shared" si="604"/>
        <v>59.654999999999987</v>
      </c>
      <c r="F112" s="42">
        <f t="shared" si="604"/>
        <v>66.604000000000028</v>
      </c>
      <c r="G112" s="43">
        <f t="shared" si="604"/>
        <v>75.183999999999855</v>
      </c>
      <c r="H112" s="41">
        <f t="shared" si="604"/>
        <v>73.705999999999975</v>
      </c>
      <c r="I112" s="42">
        <f t="shared" si="604"/>
        <v>66.852000000000032</v>
      </c>
      <c r="J112" s="42">
        <f t="shared" si="604"/>
        <v>103.10099999999998</v>
      </c>
      <c r="K112" s="43">
        <f t="shared" si="604"/>
        <v>51.869000000000106</v>
      </c>
      <c r="L112" s="41">
        <f t="shared" ref="L112:AU112" si="605">L93-L103</f>
        <v>86.068000000000026</v>
      </c>
      <c r="M112" s="42">
        <f t="shared" si="605"/>
        <v>72.286000000000016</v>
      </c>
      <c r="N112" s="42">
        <f t="shared" si="605"/>
        <v>33.451000000000064</v>
      </c>
      <c r="O112" s="43">
        <f t="shared" si="605"/>
        <v>-24.95900000000049</v>
      </c>
      <c r="P112" s="41">
        <f t="shared" si="605"/>
        <v>-15.508000000000052</v>
      </c>
      <c r="Q112" s="42">
        <f t="shared" si="605"/>
        <v>-19.162999999999904</v>
      </c>
      <c r="R112" s="42">
        <f t="shared" si="605"/>
        <v>30.874999999999957</v>
      </c>
      <c r="S112" s="43">
        <f t="shared" si="605"/>
        <v>52.959000000000231</v>
      </c>
      <c r="T112" s="41">
        <f t="shared" si="605"/>
        <v>105.18600000000005</v>
      </c>
      <c r="U112" s="42">
        <f t="shared" si="605"/>
        <v>106.35500000000005</v>
      </c>
      <c r="V112" s="42">
        <f t="shared" si="605"/>
        <v>105.76000000000003</v>
      </c>
      <c r="W112" s="43">
        <f t="shared" si="605"/>
        <v>-12.339000000000404</v>
      </c>
      <c r="X112" s="41">
        <f t="shared" si="605"/>
        <v>0.22500000000002007</v>
      </c>
      <c r="Y112" s="42">
        <f t="shared" si="605"/>
        <v>88.692999999999955</v>
      </c>
      <c r="Z112" s="42">
        <f t="shared" si="605"/>
        <v>197.39899999999994</v>
      </c>
      <c r="AA112" s="43">
        <f t="shared" si="605"/>
        <v>235.55499999999986</v>
      </c>
      <c r="AB112" s="41">
        <f t="shared" si="605"/>
        <v>233.27499999999989</v>
      </c>
      <c r="AC112" s="42">
        <f t="shared" si="605"/>
        <v>242.65100000000004</v>
      </c>
      <c r="AD112" s="42">
        <f t="shared" si="605"/>
        <v>277.76099999999997</v>
      </c>
      <c r="AE112" s="43">
        <f t="shared" ref="AE112:AJ112" si="606">AE93-AE103</f>
        <v>241.59900000000005</v>
      </c>
      <c r="AF112" s="41">
        <f t="shared" si="606"/>
        <v>161.821</v>
      </c>
      <c r="AG112" s="42">
        <f t="shared" si="606"/>
        <v>204.09700000000001</v>
      </c>
      <c r="AH112" s="42">
        <f t="shared" si="606"/>
        <v>213.84000000000003</v>
      </c>
      <c r="AI112" s="43">
        <f t="shared" si="606"/>
        <v>95.215999999999966</v>
      </c>
      <c r="AJ112" s="41">
        <f t="shared" si="606"/>
        <v>111.46899999999998</v>
      </c>
      <c r="AK112" s="42">
        <f>AK93-AK103</f>
        <v>108.783</v>
      </c>
      <c r="AL112" s="42">
        <f>AL93-AL103</f>
        <v>82.521999999999991</v>
      </c>
      <c r="AM112" s="43">
        <f>AM93-AM103</f>
        <v>67.876999999999924</v>
      </c>
      <c r="AN112" s="41">
        <f>AN93-AN103</f>
        <v>64.587999999999994</v>
      </c>
      <c r="AO112" s="42">
        <f>AO93-AO103</f>
        <v>76.789000000000058</v>
      </c>
      <c r="AP112" s="42">
        <f t="shared" si="605"/>
        <v>120.16899999999997</v>
      </c>
      <c r="AQ112" s="43">
        <f>AQ93-AQ103</f>
        <v>103.40600000000005</v>
      </c>
      <c r="AR112" s="41">
        <f>AR93-AR103</f>
        <v>114.18100000000007</v>
      </c>
      <c r="AS112" s="42">
        <f>AS93-AS103</f>
        <v>146.46399999999994</v>
      </c>
      <c r="AT112" s="42">
        <f>AT93-AT103</f>
        <v>120.65599999999999</v>
      </c>
      <c r="AU112" s="43">
        <f t="shared" si="605"/>
        <v>92.894000000000048</v>
      </c>
      <c r="AV112" s="41">
        <f>AV93-AV103</f>
        <v>37.857000000000077</v>
      </c>
      <c r="AW112" s="42">
        <f t="shared" ref="AW112:AY112" si="607">AW93-AW103</f>
        <v>-651.93900000000008</v>
      </c>
      <c r="AX112" s="42">
        <f t="shared" si="607"/>
        <v>-2.4600000000000524</v>
      </c>
      <c r="AY112" s="43">
        <f t="shared" si="607"/>
        <v>22.087999999999958</v>
      </c>
      <c r="AZ112" s="41">
        <f>AZ93-AZ103</f>
        <v>-15.121999999999915</v>
      </c>
      <c r="BA112" s="42">
        <f t="shared" ref="BA112:BC112" si="608">BA93-BA103</f>
        <v>54.96</v>
      </c>
      <c r="BB112" s="42">
        <f t="shared" si="608"/>
        <v>76.564000000000064</v>
      </c>
      <c r="BC112" s="43">
        <f t="shared" si="608"/>
        <v>91.766999999999996</v>
      </c>
      <c r="BD112" s="41">
        <f>BD93-BD103</f>
        <v>100.41699999999997</v>
      </c>
      <c r="BE112" s="42">
        <f t="shared" ref="BE112:BG112" si="609">BE93-BE103</f>
        <v>127.81899999999999</v>
      </c>
      <c r="BF112" s="42">
        <f t="shared" si="609"/>
        <v>147.84899999999999</v>
      </c>
      <c r="BG112" s="43">
        <f t="shared" si="609"/>
        <v>72.22499999999998</v>
      </c>
      <c r="BH112" s="41">
        <f t="shared" ref="BH112:BK112" si="610">BH93-BH103</f>
        <v>135.56853185715002</v>
      </c>
      <c r="BI112" s="42">
        <f t="shared" si="610"/>
        <v>145.89730622166527</v>
      </c>
      <c r="BJ112" s="42">
        <f t="shared" si="610"/>
        <v>153.4267275363504</v>
      </c>
      <c r="BK112" s="42">
        <f t="shared" si="610"/>
        <v>153.51866394562231</v>
      </c>
      <c r="BL112" s="41">
        <f t="shared" ref="BL112:BO112" si="611">BL93-BL103</f>
        <v>144.74597827368999</v>
      </c>
      <c r="BM112" s="42">
        <f t="shared" si="611"/>
        <v>154.66290174632346</v>
      </c>
      <c r="BN112" s="42">
        <f t="shared" si="611"/>
        <v>160.68970393223179</v>
      </c>
      <c r="BO112" s="601">
        <f t="shared" si="611"/>
        <v>159.78154779166374</v>
      </c>
      <c r="BP112" s="347"/>
      <c r="BQ112" s="41">
        <f t="shared" ref="BQ112:BV112" si="612">BQ93-BQ103</f>
        <v>250.58599999999993</v>
      </c>
      <c r="BR112" s="42">
        <f t="shared" si="612"/>
        <v>295.52800000000002</v>
      </c>
      <c r="BS112" s="42">
        <f t="shared" si="612"/>
        <v>166.84599999999983</v>
      </c>
      <c r="BT112" s="42">
        <f t="shared" si="612"/>
        <v>49.163000000000459</v>
      </c>
      <c r="BU112" s="42">
        <f t="shared" si="612"/>
        <v>304.96199999999925</v>
      </c>
      <c r="BV112" s="42">
        <f t="shared" si="612"/>
        <v>521.87199999999973</v>
      </c>
      <c r="BW112" s="42">
        <f t="shared" ref="BW112:CA112" si="613">BW93-BW103</f>
        <v>995.28600000000017</v>
      </c>
      <c r="BX112" s="42">
        <f t="shared" si="613"/>
        <v>674.97400000000005</v>
      </c>
      <c r="BY112" s="42">
        <f t="shared" si="613"/>
        <v>370.6509999999995</v>
      </c>
      <c r="BZ112" s="42">
        <f t="shared" si="613"/>
        <v>364.95200000000068</v>
      </c>
      <c r="CA112" s="42">
        <f t="shared" si="613"/>
        <v>474.19499999999965</v>
      </c>
      <c r="CB112" s="42">
        <f>CB93-CB103</f>
        <v>-594.45400000000063</v>
      </c>
      <c r="CC112" s="42">
        <f>CC93-CC103</f>
        <v>208.16900000000038</v>
      </c>
      <c r="CD112" s="42">
        <f>CD93-CD103</f>
        <v>448.31</v>
      </c>
      <c r="CE112" s="42">
        <f>CE93-CE103</f>
        <v>588.41122956078812</v>
      </c>
      <c r="CF112" s="42">
        <f>CF93-CF103</f>
        <v>619.88013174390926</v>
      </c>
      <c r="CG112" s="601">
        <f t="shared" ref="CG112" si="614">CG93-CG103</f>
        <v>627.07923819562961</v>
      </c>
      <c r="CH112" s="41"/>
    </row>
    <row r="113" spans="2:86" ht="14.25">
      <c r="B113" s="28" t="s">
        <v>100</v>
      </c>
      <c r="C113" s="29"/>
      <c r="D113" s="38">
        <f t="shared" ref="D113:AU113" si="615">D112/D$12</f>
        <v>0.18229670928899713</v>
      </c>
      <c r="E113" s="31">
        <f t="shared" si="615"/>
        <v>0.20075449093735903</v>
      </c>
      <c r="F113" s="31">
        <f t="shared" si="615"/>
        <v>0.20972155310580234</v>
      </c>
      <c r="G113" s="32">
        <f t="shared" si="615"/>
        <v>0.22095654576125703</v>
      </c>
      <c r="H113" s="38">
        <f t="shared" si="615"/>
        <v>0.20206157304602895</v>
      </c>
      <c r="I113" s="31">
        <f t="shared" si="615"/>
        <v>0.1712160715474807</v>
      </c>
      <c r="J113" s="31">
        <f t="shared" si="615"/>
        <v>0.2420063564195612</v>
      </c>
      <c r="K113" s="32">
        <f t="shared" si="615"/>
        <v>0.10606810411111313</v>
      </c>
      <c r="L113" s="38">
        <f t="shared" si="615"/>
        <v>0.16513557279794938</v>
      </c>
      <c r="M113" s="31">
        <f t="shared" si="615"/>
        <v>0.12593708894831748</v>
      </c>
      <c r="N113" s="31">
        <f t="shared" si="615"/>
        <v>6.4279647500567E-2</v>
      </c>
      <c r="O113" s="32">
        <f t="shared" si="615"/>
        <v>-4.0128687051228039E-2</v>
      </c>
      <c r="P113" s="38">
        <f t="shared" si="615"/>
        <v>-2.4420124399653655E-2</v>
      </c>
      <c r="Q113" s="31">
        <f t="shared" si="615"/>
        <v>-2.9180263464446164E-2</v>
      </c>
      <c r="R113" s="31">
        <f t="shared" si="615"/>
        <v>4.071897510834209E-2</v>
      </c>
      <c r="S113" s="32">
        <f t="shared" si="615"/>
        <v>6.2696670715508745E-2</v>
      </c>
      <c r="T113" s="38">
        <f t="shared" si="615"/>
        <v>0.13081615520940215</v>
      </c>
      <c r="U113" s="31">
        <f t="shared" si="615"/>
        <v>0.12622615197460171</v>
      </c>
      <c r="V113" s="31">
        <f t="shared" si="615"/>
        <v>0.13369639692255575</v>
      </c>
      <c r="W113" s="32">
        <f t="shared" si="615"/>
        <v>-2.4058869063520193E-2</v>
      </c>
      <c r="X113" s="38">
        <f t="shared" si="615"/>
        <v>4.3150235696180165E-4</v>
      </c>
      <c r="Y113" s="31">
        <f t="shared" si="615"/>
        <v>0.13844869033124155</v>
      </c>
      <c r="Z113" s="31">
        <f t="shared" si="615"/>
        <v>0.24579690149894529</v>
      </c>
      <c r="AA113" s="32">
        <f t="shared" si="615"/>
        <v>0.27957888989774893</v>
      </c>
      <c r="AB113" s="38">
        <f t="shared" si="615"/>
        <v>0.27265161954652922</v>
      </c>
      <c r="AC113" s="31">
        <f t="shared" si="615"/>
        <v>0.27067265754500414</v>
      </c>
      <c r="AD113" s="31">
        <f t="shared" si="615"/>
        <v>0.28953735274833292</v>
      </c>
      <c r="AE113" s="32">
        <f t="shared" si="615"/>
        <v>0.26829040780088687</v>
      </c>
      <c r="AF113" s="38">
        <f t="shared" si="615"/>
        <v>0.20167073362229904</v>
      </c>
      <c r="AG113" s="31">
        <f t="shared" si="615"/>
        <v>0.22740106070059721</v>
      </c>
      <c r="AH113" s="31">
        <f t="shared" si="615"/>
        <v>0.22499597545077585</v>
      </c>
      <c r="AI113" s="32">
        <f t="shared" si="615"/>
        <v>0.12820233175934859</v>
      </c>
      <c r="AJ113" s="38">
        <f t="shared" si="615"/>
        <v>0.13997470964436534</v>
      </c>
      <c r="AK113" s="31">
        <f t="shared" si="615"/>
        <v>0.13329551135639575</v>
      </c>
      <c r="AL113" s="31">
        <f t="shared" si="615"/>
        <v>0.10567807386784926</v>
      </c>
      <c r="AM113" s="32">
        <f t="shared" si="615"/>
        <v>8.7550013285282655E-2</v>
      </c>
      <c r="AN113" s="38">
        <f t="shared" si="615"/>
        <v>8.7950335594231224E-2</v>
      </c>
      <c r="AO113" s="31">
        <f t="shared" si="615"/>
        <v>9.5147052992605285E-2</v>
      </c>
      <c r="AP113" s="31">
        <f t="shared" si="615"/>
        <v>0.12904386260692891</v>
      </c>
      <c r="AQ113" s="32">
        <f>AQ112/AQ$12</f>
        <v>0.11098053231074038</v>
      </c>
      <c r="AR113" s="38">
        <f t="shared" si="615"/>
        <v>0.11920800141987624</v>
      </c>
      <c r="AS113" s="31">
        <f>AS112/AS$12</f>
        <v>0.15232152421363529</v>
      </c>
      <c r="AT113" s="31">
        <f>AT112/AT$12</f>
        <v>0.12971866479740596</v>
      </c>
      <c r="AU113" s="32">
        <f t="shared" si="615"/>
        <v>0.10833725969500339</v>
      </c>
      <c r="AV113" s="38">
        <f>AV112/AV$12</f>
        <v>5.22678823893259E-2</v>
      </c>
      <c r="AW113" s="31">
        <f t="shared" ref="AW113:AY113" si="616">AW112/AW$12</f>
        <v>-0.91758809388423812</v>
      </c>
      <c r="AX113" s="31">
        <f t="shared" si="616"/>
        <v>-3.6450384507105637E-3</v>
      </c>
      <c r="AY113" s="32">
        <f t="shared" si="616"/>
        <v>3.5847948091236273E-2</v>
      </c>
      <c r="AZ113" s="38">
        <f>AZ112/AZ$12</f>
        <v>-2.7961140634071679E-2</v>
      </c>
      <c r="BA113" s="31">
        <f t="shared" ref="BA113:BC113" si="617">BA112/BA$12</f>
        <v>8.7738903327564954E-2</v>
      </c>
      <c r="BB113" s="492">
        <f t="shared" si="617"/>
        <v>0.11699484430535657</v>
      </c>
      <c r="BC113" s="32">
        <f t="shared" si="617"/>
        <v>0.1606002800140007</v>
      </c>
      <c r="BD113" s="38">
        <f>BD112/BD$12</f>
        <v>0.17337787907040986</v>
      </c>
      <c r="BE113" s="492">
        <f t="shared" ref="BE113:BG113" si="618">BE112/BE$12</f>
        <v>0.2113584125671765</v>
      </c>
      <c r="BF113" s="562">
        <f t="shared" si="618"/>
        <v>0.23989699854941243</v>
      </c>
      <c r="BG113" s="563">
        <f t="shared" si="618"/>
        <v>0.11736097457138257</v>
      </c>
      <c r="BH113" s="566">
        <f t="shared" ref="BH113:BK113" si="619">BH112/BH$12</f>
        <v>0.22569124683078667</v>
      </c>
      <c r="BI113" s="562">
        <f t="shared" si="619"/>
        <v>0.23544505235677124</v>
      </c>
      <c r="BJ113" s="562">
        <f t="shared" si="619"/>
        <v>0.24048935446459735</v>
      </c>
      <c r="BK113" s="562">
        <f t="shared" si="619"/>
        <v>0.24290070128545541</v>
      </c>
      <c r="BL113" s="566">
        <f t="shared" ref="BL113:BO113" si="620">BL112/BL$12</f>
        <v>0.24225819069963353</v>
      </c>
      <c r="BM113" s="562">
        <f t="shared" si="620"/>
        <v>0.24334396392142038</v>
      </c>
      <c r="BN113" s="562">
        <f t="shared" si="620"/>
        <v>0.24459197284034176</v>
      </c>
      <c r="BO113" s="598">
        <f t="shared" si="620"/>
        <v>0.24606865497824371</v>
      </c>
      <c r="BP113" s="347"/>
      <c r="BQ113" s="566">
        <f>BQ112/BQ$12</f>
        <v>0.20463015891162681</v>
      </c>
      <c r="BR113" s="562">
        <f t="shared" ref="BR113:BW113" si="621">BR112/BR$12</f>
        <v>0.17693469183950342</v>
      </c>
      <c r="BS113" s="562">
        <f t="shared" si="621"/>
        <v>7.4566278430052757E-2</v>
      </c>
      <c r="BT113" s="562">
        <f t="shared" si="621"/>
        <v>1.6983839046144256E-2</v>
      </c>
      <c r="BU113" s="562">
        <f t="shared" si="621"/>
        <v>0.10335722368917366</v>
      </c>
      <c r="BV113" s="562">
        <f t="shared" si="621"/>
        <v>0.18587257055362644</v>
      </c>
      <c r="BW113" s="562">
        <f t="shared" si="621"/>
        <v>0.27555799687310784</v>
      </c>
      <c r="BX113" s="562">
        <f t="shared" ref="BX113:CA113" si="622">BX112/BX$12</f>
        <v>0.19892898403791293</v>
      </c>
      <c r="BY113" s="562">
        <f t="shared" si="622"/>
        <v>0.116975159611567</v>
      </c>
      <c r="BZ113" s="562">
        <f t="shared" si="622"/>
        <v>0.10720009399600536</v>
      </c>
      <c r="CA113" s="562">
        <f t="shared" si="622"/>
        <v>0.12792007905123404</v>
      </c>
      <c r="CB113" s="562">
        <f>CB112/CB$12</f>
        <v>-0.21808199196721167</v>
      </c>
      <c r="CC113" s="562">
        <f>CC112/CC$12</f>
        <v>8.6989061648575519E-2</v>
      </c>
      <c r="CD113" s="562">
        <f>CD112/CD$12</f>
        <v>0.18558635161433343</v>
      </c>
      <c r="CE113" s="562">
        <f>CE112/CE$12</f>
        <v>0.23627680667056236</v>
      </c>
      <c r="CF113" s="562">
        <f>CF112/CF$12</f>
        <v>0.24410809664775218</v>
      </c>
      <c r="CG113" s="598">
        <f t="shared" ref="CG113" si="623">CG112/CG$12</f>
        <v>0.24694309664775221</v>
      </c>
      <c r="CH113" s="721"/>
    </row>
    <row r="114" spans="2:86" ht="9" customHeight="1">
      <c r="B114" s="28"/>
      <c r="C114" s="29"/>
      <c r="D114" s="38"/>
      <c r="E114" s="31"/>
      <c r="F114" s="31"/>
      <c r="G114" s="32"/>
      <c r="H114" s="38"/>
      <c r="I114" s="31"/>
      <c r="J114" s="31"/>
      <c r="K114" s="32"/>
      <c r="L114" s="38"/>
      <c r="M114" s="31"/>
      <c r="N114" s="31"/>
      <c r="O114" s="32"/>
      <c r="P114" s="38"/>
      <c r="Q114" s="31"/>
      <c r="R114" s="31"/>
      <c r="S114" s="32"/>
      <c r="T114" s="38"/>
      <c r="U114" s="31"/>
      <c r="V114" s="31"/>
      <c r="W114" s="32"/>
      <c r="X114" s="38"/>
      <c r="Y114" s="31"/>
      <c r="Z114" s="31"/>
      <c r="AA114" s="32"/>
      <c r="AB114" s="38"/>
      <c r="AC114" s="31"/>
      <c r="AD114" s="31"/>
      <c r="AE114" s="32"/>
      <c r="AF114" s="38"/>
      <c r="AG114" s="31"/>
      <c r="AH114" s="31"/>
      <c r="AI114" s="32"/>
      <c r="AJ114" s="38"/>
      <c r="AK114" s="31"/>
      <c r="AL114" s="31"/>
      <c r="AM114" s="32"/>
      <c r="AN114" s="38"/>
      <c r="AO114" s="31"/>
      <c r="AP114" s="31"/>
      <c r="AQ114" s="32"/>
      <c r="AR114" s="38"/>
      <c r="AS114" s="31"/>
      <c r="AT114" s="31"/>
      <c r="AU114" s="32"/>
      <c r="AV114" s="38"/>
      <c r="AW114" s="31"/>
      <c r="AX114" s="31"/>
      <c r="AY114" s="32"/>
      <c r="AZ114" s="38"/>
      <c r="BA114" s="31"/>
      <c r="BB114" s="492"/>
      <c r="BC114" s="32"/>
      <c r="BD114" s="38"/>
      <c r="BE114" s="492"/>
      <c r="BF114" s="562"/>
      <c r="BG114" s="563"/>
      <c r="BH114" s="566"/>
      <c r="BI114" s="562"/>
      <c r="BJ114" s="562"/>
      <c r="BK114" s="562"/>
      <c r="BL114" s="566"/>
      <c r="BM114" s="562"/>
      <c r="BN114" s="562"/>
      <c r="BO114" s="598"/>
      <c r="BP114" s="347"/>
      <c r="BQ114" s="566"/>
      <c r="BR114" s="562"/>
      <c r="BS114" s="562"/>
      <c r="BT114" s="562"/>
      <c r="BU114" s="562"/>
      <c r="BV114" s="562"/>
      <c r="BW114" s="562"/>
      <c r="BX114" s="562"/>
      <c r="BY114" s="562"/>
      <c r="BZ114" s="562"/>
      <c r="CA114" s="562"/>
      <c r="CB114" s="562"/>
      <c r="CC114" s="562"/>
      <c r="CD114" s="562"/>
      <c r="CE114" s="562"/>
      <c r="CF114" s="562"/>
      <c r="CG114" s="598"/>
      <c r="CH114" s="336"/>
    </row>
    <row r="115" spans="2:86" ht="14.25" hidden="1" outlineLevel="1">
      <c r="B115" s="16" t="s">
        <v>48</v>
      </c>
      <c r="C115" s="17"/>
      <c r="D115" s="26">
        <f t="shared" ref="D115:AU115" si="624">(D18+D35+D45+D55+D64)-D98</f>
        <v>0</v>
      </c>
      <c r="E115" s="26">
        <f t="shared" si="624"/>
        <v>0</v>
      </c>
      <c r="F115" s="26">
        <f t="shared" si="624"/>
        <v>0</v>
      </c>
      <c r="G115" s="27">
        <f t="shared" si="624"/>
        <v>0</v>
      </c>
      <c r="H115" s="26">
        <f t="shared" si="624"/>
        <v>9.59</v>
      </c>
      <c r="I115" s="26">
        <f t="shared" si="624"/>
        <v>29.637</v>
      </c>
      <c r="J115" s="26">
        <f t="shared" si="624"/>
        <v>9.5670000000000002</v>
      </c>
      <c r="K115" s="27">
        <f t="shared" si="624"/>
        <v>73.817999999999998</v>
      </c>
      <c r="L115" s="26">
        <f t="shared" si="624"/>
        <v>48.762</v>
      </c>
      <c r="M115" s="26">
        <f t="shared" si="624"/>
        <v>55.603999999999999</v>
      </c>
      <c r="N115" s="26">
        <f t="shared" si="624"/>
        <v>42.128</v>
      </c>
      <c r="O115" s="27">
        <f t="shared" si="624"/>
        <v>45.626999999999995</v>
      </c>
      <c r="P115" s="26">
        <f t="shared" si="624"/>
        <v>46.788000000000004</v>
      </c>
      <c r="Q115" s="26">
        <f t="shared" si="624"/>
        <v>58.876000000000005</v>
      </c>
      <c r="R115" s="26">
        <f t="shared" si="624"/>
        <v>55.355999999999995</v>
      </c>
      <c r="S115" s="27">
        <f t="shared" si="624"/>
        <v>69.960000000000008</v>
      </c>
      <c r="T115" s="26">
        <f t="shared" si="624"/>
        <v>45.225999999999992</v>
      </c>
      <c r="U115" s="26">
        <f t="shared" si="624"/>
        <v>47.626999999999995</v>
      </c>
      <c r="V115" s="26">
        <f t="shared" si="624"/>
        <v>39.578000000000003</v>
      </c>
      <c r="W115" s="27">
        <f t="shared" si="624"/>
        <v>44.701000000000001</v>
      </c>
      <c r="X115" s="26">
        <f t="shared" si="624"/>
        <v>31.647999999999996</v>
      </c>
      <c r="Y115" s="26">
        <f t="shared" si="624"/>
        <v>30.015000000000001</v>
      </c>
      <c r="Z115" s="26">
        <f t="shared" si="624"/>
        <v>34.377000000000002</v>
      </c>
      <c r="AA115" s="27">
        <f t="shared" si="624"/>
        <v>30.559000000000005</v>
      </c>
      <c r="AB115" s="26">
        <f t="shared" si="624"/>
        <v>26.895999999999997</v>
      </c>
      <c r="AC115" s="26">
        <f t="shared" si="624"/>
        <v>30.688999999999997</v>
      </c>
      <c r="AD115" s="26">
        <f t="shared" si="624"/>
        <v>29.541000000000004</v>
      </c>
      <c r="AE115" s="27">
        <f t="shared" ref="AE115:AJ115" si="625">(AE18+AE35+AE45+AE55+AE64)-AE98</f>
        <v>31.279</v>
      </c>
      <c r="AF115" s="26">
        <f t="shared" si="625"/>
        <v>27.48</v>
      </c>
      <c r="AG115" s="26">
        <f t="shared" si="625"/>
        <v>30.355</v>
      </c>
      <c r="AH115" s="26">
        <f t="shared" si="625"/>
        <v>30.611000000000004</v>
      </c>
      <c r="AI115" s="27">
        <f t="shared" si="625"/>
        <v>31.416999999999998</v>
      </c>
      <c r="AJ115" s="26">
        <f t="shared" si="625"/>
        <v>27.192</v>
      </c>
      <c r="AK115" s="26">
        <f>(AK18+AK35+AK45+AK55+AK64)-AK98</f>
        <v>33.228000000000002</v>
      </c>
      <c r="AL115" s="26">
        <f>(AL18+AL35+AL45+AL55+AL64)-AL98</f>
        <v>30.373999999999999</v>
      </c>
      <c r="AM115" s="27">
        <f>(AM18+AM35+AM45+AM55+AM64)-AM98</f>
        <v>36.486000000000004</v>
      </c>
      <c r="AN115" s="25">
        <f>(AN18+AN35+AN45+AN55+AN64)-AN98</f>
        <v>33.512999999999998</v>
      </c>
      <c r="AO115" s="26">
        <f>(AO18+AO35+AO45+AO55+AO64)-AO98</f>
        <v>41.090999999999994</v>
      </c>
      <c r="AP115" s="26">
        <f t="shared" si="624"/>
        <v>43.201000000000001</v>
      </c>
      <c r="AQ115" s="27">
        <f>(AQ18+AQ35+AQ45+AQ55+AQ64)-AQ98</f>
        <v>38.068000000000005</v>
      </c>
      <c r="AR115" s="25">
        <f>(AR18+AR35+AR45+AR55+AR64)-AR98</f>
        <v>29.968999999999998</v>
      </c>
      <c r="AS115" s="26">
        <f>(AS18+AS35+AS45+AS55+AS64)-AS98</f>
        <v>35.020000000000003</v>
      </c>
      <c r="AT115" s="26">
        <f>(AT18+AT35+AT45+AT55+AT64)-AT98</f>
        <v>34.294000000000004</v>
      </c>
      <c r="AU115" s="27">
        <f t="shared" si="624"/>
        <v>37.963000000000001</v>
      </c>
      <c r="AV115" s="25">
        <f>(AV18+AV35+AV45+AV55+AV64)-AV98</f>
        <v>33.221000000000004</v>
      </c>
      <c r="AW115" s="26">
        <f t="shared" ref="AW115:AY115" si="626">(AW18+AW35+AW45+AW55+AW64)-AW98</f>
        <v>691.34100000000001</v>
      </c>
      <c r="AX115" s="26">
        <f t="shared" si="626"/>
        <v>66.735000000000014</v>
      </c>
      <c r="AY115" s="27">
        <f t="shared" si="626"/>
        <v>32.418999999999997</v>
      </c>
      <c r="AZ115" s="25">
        <f>(AZ18+AZ35+AZ45+AZ55+AZ64)-AZ98</f>
        <v>24.452999999999999</v>
      </c>
      <c r="BA115" s="26">
        <f t="shared" ref="BA115:BC115" si="627">(BA18+BA35+BA45+BA55+BA64)-BA98</f>
        <v>37.195999999999998</v>
      </c>
      <c r="BB115" s="26">
        <f t="shared" si="627"/>
        <v>28.263000000000005</v>
      </c>
      <c r="BC115" s="27">
        <f t="shared" si="627"/>
        <v>22.405000000000001</v>
      </c>
      <c r="BD115" s="25">
        <f>(BD18+BD35+BD45+BD55+BD64)-BD98</f>
        <v>23.871999999999996</v>
      </c>
      <c r="BE115" s="26">
        <f t="shared" ref="BE115:BG115" si="628">(BE18+BE35+BE45+BE55+BE64)-BE98</f>
        <v>25.652000000000001</v>
      </c>
      <c r="BF115" s="26">
        <f t="shared" si="628"/>
        <v>23.922999999999998</v>
      </c>
      <c r="BG115" s="27">
        <f t="shared" si="628"/>
        <v>92.557000000000002</v>
      </c>
      <c r="BH115" s="25">
        <f t="shared" ref="BH115:BK115" si="629">(BH18+BH35+BH45+BH55+BH64)-BH98</f>
        <v>21.393620000000002</v>
      </c>
      <c r="BI115" s="26">
        <f t="shared" si="629"/>
        <v>21.410406200000001</v>
      </c>
      <c r="BJ115" s="26">
        <f t="shared" si="629"/>
        <v>21.427360262000001</v>
      </c>
      <c r="BK115" s="26">
        <f t="shared" si="629"/>
        <v>21.44448386462</v>
      </c>
      <c r="BL115" s="25">
        <f t="shared" ref="BL115:BO115" si="630">(BL18+BL35+BL45+BL55+BL64)-BL98</f>
        <v>21.461778703266202</v>
      </c>
      <c r="BM115" s="26">
        <f t="shared" si="630"/>
        <v>21.479246490298863</v>
      </c>
      <c r="BN115" s="26">
        <f t="shared" si="630"/>
        <v>21.49688895520185</v>
      </c>
      <c r="BO115" s="597">
        <f t="shared" si="630"/>
        <v>21.514707844753872</v>
      </c>
      <c r="BP115" s="347"/>
      <c r="BQ115" s="684">
        <f t="shared" ref="BQ115:CA115" si="631">(BQ18+BQ35+BQ45+BQ55+BQ64)-BQ98</f>
        <v>0</v>
      </c>
      <c r="BR115" s="26">
        <f t="shared" si="631"/>
        <v>122.61199999999999</v>
      </c>
      <c r="BS115" s="26">
        <f t="shared" si="631"/>
        <v>192.12099999999998</v>
      </c>
      <c r="BT115" s="26">
        <f t="shared" si="631"/>
        <v>230.98000000000005</v>
      </c>
      <c r="BU115" s="26">
        <f t="shared" si="631"/>
        <v>177.13199999999998</v>
      </c>
      <c r="BV115" s="26">
        <f t="shared" si="631"/>
        <v>126.59899999999999</v>
      </c>
      <c r="BW115" s="26">
        <f t="shared" si="631"/>
        <v>118.40500000000002</v>
      </c>
      <c r="BX115" s="26">
        <f t="shared" si="631"/>
        <v>119.86300000000001</v>
      </c>
      <c r="BY115" s="26">
        <f t="shared" si="631"/>
        <v>127.27999999999999</v>
      </c>
      <c r="BZ115" s="26">
        <f t="shared" si="631"/>
        <v>155.87300000000002</v>
      </c>
      <c r="CA115" s="26">
        <f t="shared" si="631"/>
        <v>137.24599999999998</v>
      </c>
      <c r="CB115" s="26">
        <f>(CB18+CB35+CB45+CB55+CB64)-CB98</f>
        <v>823.71600000000001</v>
      </c>
      <c r="CC115" s="26">
        <f>(CC18+CC35+CC45+CC55+CC64)-CC98</f>
        <v>112.31700000000001</v>
      </c>
      <c r="CD115" s="26">
        <f>(CD18+CD35+CD45+CD55+CD64)-CD98</f>
        <v>166.00400000000002</v>
      </c>
      <c r="CE115" s="26">
        <f>(CE18+CE35+CE45+CE55+CE64)-CE98</f>
        <v>85.67587032662</v>
      </c>
      <c r="CF115" s="26">
        <f>(CF18+CF35+CF45+CF55+CF64)-CF98</f>
        <v>85.952621993520779</v>
      </c>
      <c r="CG115" s="597">
        <f t="shared" ref="CG115" si="632">(CG18+CG35+CG45+CG55+CG64)-CG98</f>
        <v>85.744029029886207</v>
      </c>
      <c r="CH115" s="336"/>
    </row>
    <row r="116" spans="2:86" ht="14.25" hidden="1" outlineLevel="1">
      <c r="B116" s="28" t="s">
        <v>6</v>
      </c>
      <c r="C116" s="17"/>
      <c r="D116" s="38">
        <f t="shared" ref="D116:AU116" si="633">D115/D10</f>
        <v>0</v>
      </c>
      <c r="E116" s="31">
        <f t="shared" si="633"/>
        <v>0</v>
      </c>
      <c r="F116" s="31">
        <f t="shared" si="633"/>
        <v>0</v>
      </c>
      <c r="G116" s="32">
        <f t="shared" si="633"/>
        <v>0</v>
      </c>
      <c r="H116" s="38">
        <f t="shared" si="633"/>
        <v>2.6290539243907122E-2</v>
      </c>
      <c r="I116" s="31">
        <f t="shared" si="633"/>
        <v>7.5903947712150477E-2</v>
      </c>
      <c r="J116" s="31">
        <f t="shared" si="633"/>
        <v>2.2456375901940256E-2</v>
      </c>
      <c r="K116" s="32">
        <f t="shared" si="633"/>
        <v>0.1509521160861812</v>
      </c>
      <c r="L116" s="38">
        <f t="shared" si="633"/>
        <v>9.3557893767411873E-2</v>
      </c>
      <c r="M116" s="31">
        <f t="shared" si="633"/>
        <v>9.6873611679747729E-2</v>
      </c>
      <c r="N116" s="31">
        <f t="shared" si="633"/>
        <v>8.095342411000811E-2</v>
      </c>
      <c r="O116" s="32">
        <f t="shared" si="633"/>
        <v>7.335837189335892E-2</v>
      </c>
      <c r="P116" s="38">
        <f t="shared" si="633"/>
        <v>7.3676088496968759E-2</v>
      </c>
      <c r="Q116" s="31">
        <f t="shared" si="633"/>
        <v>8.9652830544942913E-2</v>
      </c>
      <c r="R116" s="31">
        <f t="shared" si="633"/>
        <v>7.3005330723802039E-2</v>
      </c>
      <c r="S116" s="32">
        <f t="shared" si="633"/>
        <v>8.2823676490435497E-2</v>
      </c>
      <c r="T116" s="38">
        <f t="shared" si="633"/>
        <v>5.6245996953020537E-2</v>
      </c>
      <c r="U116" s="31">
        <f t="shared" si="633"/>
        <v>5.6525531851763927E-2</v>
      </c>
      <c r="V116" s="31">
        <f t="shared" si="633"/>
        <v>5.0032488628979854E-2</v>
      </c>
      <c r="W116" s="32">
        <f t="shared" si="633"/>
        <v>8.7159049032205282E-2</v>
      </c>
      <c r="X116" s="38">
        <f t="shared" si="633"/>
        <v>6.0694162636115018E-2</v>
      </c>
      <c r="Y116" s="31">
        <f t="shared" si="633"/>
        <v>4.6853048609159877E-2</v>
      </c>
      <c r="Z116" s="31">
        <f t="shared" si="633"/>
        <v>4.2805485756408315E-2</v>
      </c>
      <c r="AA116" s="32">
        <f t="shared" si="633"/>
        <v>3.6270303310841696E-2</v>
      </c>
      <c r="AB116" s="38">
        <f t="shared" si="633"/>
        <v>3.1436021688236851E-2</v>
      </c>
      <c r="AC116" s="31">
        <f t="shared" si="633"/>
        <v>3.4233006199845165E-2</v>
      </c>
      <c r="AD116" s="31">
        <f t="shared" si="633"/>
        <v>3.0793462500273632E-2</v>
      </c>
      <c r="AE116" s="32">
        <f t="shared" si="633"/>
        <v>3.4734645696397497E-2</v>
      </c>
      <c r="AF116" s="38">
        <f t="shared" si="633"/>
        <v>3.4247172863477407E-2</v>
      </c>
      <c r="AG116" s="31">
        <f t="shared" si="633"/>
        <v>3.3820973348783312E-2</v>
      </c>
      <c r="AH116" s="31">
        <f t="shared" si="633"/>
        <v>3.2207967660511129E-2</v>
      </c>
      <c r="AI116" s="32">
        <f t="shared" si="633"/>
        <v>4.2301006730837844E-2</v>
      </c>
      <c r="AJ116" s="38">
        <f t="shared" si="633"/>
        <v>3.4145747289825716E-2</v>
      </c>
      <c r="AK116" s="31">
        <f t="shared" si="633"/>
        <v>4.0715399017772241E-2</v>
      </c>
      <c r="AL116" s="31">
        <f t="shared" si="633"/>
        <v>3.8897091874434131E-2</v>
      </c>
      <c r="AM116" s="32">
        <f t="shared" si="633"/>
        <v>4.7060856913635353E-2</v>
      </c>
      <c r="AN116" s="38">
        <f t="shared" si="633"/>
        <v>4.5635096252701297E-2</v>
      </c>
      <c r="AO116" s="31">
        <f t="shared" si="633"/>
        <v>5.0914682500346933E-2</v>
      </c>
      <c r="AP116" s="31">
        <f t="shared" si="633"/>
        <v>4.6391531164293093E-2</v>
      </c>
      <c r="AQ116" s="32">
        <f>AQ115/AQ10</f>
        <v>4.0856496760393629E-2</v>
      </c>
      <c r="AR116" s="38">
        <f t="shared" si="633"/>
        <v>3.1288433229278677E-2</v>
      </c>
      <c r="AS116" s="31">
        <f>AS115/AS10</f>
        <v>3.6420552340244092E-2</v>
      </c>
      <c r="AT116" s="31">
        <f>AT115/AT10</f>
        <v>3.6869877093242284E-2</v>
      </c>
      <c r="AU116" s="32">
        <f t="shared" si="633"/>
        <v>4.4274198439096302E-2</v>
      </c>
      <c r="AV116" s="38">
        <f>AV115/AV10</f>
        <v>4.5867113634355396E-2</v>
      </c>
      <c r="AW116" s="31">
        <f t="shared" ref="AW116:AY116" si="634">AW115/AW10</f>
        <v>0.97304543893527307</v>
      </c>
      <c r="AX116" s="31">
        <f t="shared" si="634"/>
        <v>9.8882780897627781E-2</v>
      </c>
      <c r="AY116" s="32">
        <f t="shared" si="634"/>
        <v>5.2614751411164014E-2</v>
      </c>
      <c r="AZ116" s="38">
        <f>AZ115/AZ10</f>
        <v>4.5214506806305954E-2</v>
      </c>
      <c r="BA116" s="31">
        <f t="shared" ref="BA116:BC116" si="635">BA115/BA10</f>
        <v>5.9380208300074712E-2</v>
      </c>
      <c r="BB116" s="492">
        <f t="shared" si="635"/>
        <v>4.318772901888996E-2</v>
      </c>
      <c r="BC116" s="32">
        <f t="shared" si="635"/>
        <v>3.9210710535526778E-2</v>
      </c>
      <c r="BD116" s="38">
        <f>BD115/BD10</f>
        <v>4.1216892848509962E-2</v>
      </c>
      <c r="BE116" s="492">
        <f t="shared" ref="BE116:BG116" si="636">BE115/BE10</f>
        <v>4.2417527904092603E-2</v>
      </c>
      <c r="BF116" s="562">
        <f t="shared" si="636"/>
        <v>3.8817008544512262E-2</v>
      </c>
      <c r="BG116" s="563">
        <f t="shared" si="636"/>
        <v>0.15039916543306972</v>
      </c>
      <c r="BH116" s="566">
        <f t="shared" ref="BH116:BK116" si="637">BH115/BH10</f>
        <v>3.5615586492533095E-2</v>
      </c>
      <c r="BI116" s="562">
        <f t="shared" si="637"/>
        <v>3.4551523529021619E-2</v>
      </c>
      <c r="BJ116" s="562">
        <f t="shared" si="637"/>
        <v>3.3586403881734797E-2</v>
      </c>
      <c r="BK116" s="562">
        <f t="shared" si="637"/>
        <v>3.3929947249058026E-2</v>
      </c>
      <c r="BL116" s="566">
        <f t="shared" ref="BL116:BO116" si="638">BL115/BL10</f>
        <v>3.5920111493655614E-2</v>
      </c>
      <c r="BM116" s="562">
        <f t="shared" si="638"/>
        <v>3.3795079000700508E-2</v>
      </c>
      <c r="BN116" s="562">
        <f t="shared" si="638"/>
        <v>3.2721240694425779E-2</v>
      </c>
      <c r="BO116" s="598">
        <f t="shared" si="638"/>
        <v>3.31333329460003E-2</v>
      </c>
      <c r="BP116" s="347"/>
      <c r="BQ116" s="566">
        <f t="shared" ref="BQ116:CA116" si="639">BQ115/BQ10</f>
        <v>0</v>
      </c>
      <c r="BR116" s="562">
        <f t="shared" si="639"/>
        <v>7.3408666643516654E-2</v>
      </c>
      <c r="BS116" s="562">
        <f t="shared" si="639"/>
        <v>8.5862100249692402E-2</v>
      </c>
      <c r="BT116" s="562">
        <f t="shared" si="639"/>
        <v>7.9794299430025917E-2</v>
      </c>
      <c r="BU116" s="562">
        <f t="shared" si="639"/>
        <v>6.003328856221677E-2</v>
      </c>
      <c r="BV116" s="562">
        <f t="shared" si="639"/>
        <v>4.5090140033415403E-2</v>
      </c>
      <c r="BW116" s="562">
        <f t="shared" si="639"/>
        <v>3.2781978868144768E-2</v>
      </c>
      <c r="BX116" s="562">
        <f t="shared" si="639"/>
        <v>3.5326138212340562E-2</v>
      </c>
      <c r="BY116" s="562">
        <f t="shared" si="639"/>
        <v>4.0168779567194654E-2</v>
      </c>
      <c r="BZ116" s="562">
        <f t="shared" si="639"/>
        <v>4.5785747855716132E-2</v>
      </c>
      <c r="CA116" s="562">
        <f t="shared" si="639"/>
        <v>3.7023838651748076E-2</v>
      </c>
      <c r="CB116" s="562">
        <f>CB115/CB10</f>
        <v>0.30218927973445131</v>
      </c>
      <c r="CC116" s="562">
        <f>CC115/CC10</f>
        <v>4.6934704193146146E-2</v>
      </c>
      <c r="CD116" s="562">
        <f>CD115/CD10</f>
        <v>6.8720476262822169E-2</v>
      </c>
      <c r="CE116" s="562">
        <f>CE115/CE10</f>
        <v>3.440318612648717E-2</v>
      </c>
      <c r="CF116" s="562">
        <f>CF115/CF10</f>
        <v>3.3848045585352378E-2</v>
      </c>
      <c r="CG116" s="598">
        <f t="shared" ref="CG116" si="640">CG115/CG10</f>
        <v>3.376590191156871E-2</v>
      </c>
      <c r="CH116" s="336"/>
    </row>
    <row r="117" spans="2:86" ht="14.25" hidden="1" outlineLevel="2">
      <c r="B117" s="16"/>
      <c r="C117" s="17"/>
      <c r="D117" s="51"/>
      <c r="E117" s="52"/>
      <c r="F117" s="52"/>
      <c r="G117" s="53"/>
      <c r="H117" s="51"/>
      <c r="I117" s="52"/>
      <c r="J117" s="52"/>
      <c r="K117" s="53"/>
      <c r="L117" s="51"/>
      <c r="M117" s="52"/>
      <c r="N117" s="52"/>
      <c r="O117" s="53"/>
      <c r="P117" s="51"/>
      <c r="Q117" s="52"/>
      <c r="R117" s="52"/>
      <c r="S117" s="53"/>
      <c r="T117" s="51"/>
      <c r="U117" s="52"/>
      <c r="V117" s="52"/>
      <c r="W117" s="53"/>
      <c r="X117" s="51"/>
      <c r="Y117" s="52"/>
      <c r="Z117" s="253"/>
      <c r="AA117" s="53"/>
      <c r="AB117" s="51"/>
      <c r="AC117" s="52"/>
      <c r="AD117" s="52"/>
      <c r="AE117" s="53"/>
      <c r="AF117" s="51"/>
      <c r="AG117" s="52"/>
      <c r="AH117" s="52"/>
      <c r="AI117" s="53"/>
      <c r="AJ117" s="51"/>
      <c r="AK117" s="52"/>
      <c r="AL117" s="52"/>
      <c r="AM117" s="53"/>
      <c r="AN117" s="51"/>
      <c r="AO117" s="52"/>
      <c r="AP117" s="52"/>
      <c r="AQ117" s="53"/>
      <c r="AR117" s="51"/>
      <c r="AS117" s="52"/>
      <c r="AT117" s="52"/>
      <c r="AU117" s="53"/>
      <c r="AV117" s="51"/>
      <c r="AW117" s="52"/>
      <c r="AX117" s="52"/>
      <c r="AY117" s="53"/>
      <c r="AZ117" s="51"/>
      <c r="BA117" s="52"/>
      <c r="BB117" s="52"/>
      <c r="BC117" s="24"/>
      <c r="BD117" s="51"/>
      <c r="BE117" s="52"/>
      <c r="BF117" s="52"/>
      <c r="BG117" s="24"/>
      <c r="BH117" s="51"/>
      <c r="BI117" s="477"/>
      <c r="BJ117" s="52"/>
      <c r="BK117" s="477"/>
      <c r="BL117" s="51"/>
      <c r="BM117" s="477"/>
      <c r="BN117" s="52"/>
      <c r="BO117" s="606"/>
      <c r="BP117" s="347"/>
      <c r="BQ117" s="51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52"/>
      <c r="CE117" s="52"/>
      <c r="CF117" s="52"/>
      <c r="CG117" s="606"/>
      <c r="CH117" s="336"/>
    </row>
    <row r="118" spans="2:86" ht="14.25" hidden="1" outlineLevel="2">
      <c r="B118" s="16" t="s">
        <v>49</v>
      </c>
      <c r="C118" s="17"/>
      <c r="D118" s="25">
        <f t="shared" ref="D118:AU118" si="641">D20+D37+D47+D67-D100</f>
        <v>0</v>
      </c>
      <c r="E118" s="26">
        <f t="shared" si="641"/>
        <v>0</v>
      </c>
      <c r="F118" s="26">
        <f t="shared" si="641"/>
        <v>0</v>
      </c>
      <c r="G118" s="27">
        <f t="shared" si="641"/>
        <v>0</v>
      </c>
      <c r="H118" s="25">
        <f t="shared" si="641"/>
        <v>0</v>
      </c>
      <c r="I118" s="26">
        <f t="shared" si="641"/>
        <v>0</v>
      </c>
      <c r="J118" s="26">
        <f t="shared" si="641"/>
        <v>0</v>
      </c>
      <c r="K118" s="27">
        <f t="shared" si="641"/>
        <v>0</v>
      </c>
      <c r="L118" s="25">
        <f t="shared" si="641"/>
        <v>0</v>
      </c>
      <c r="M118" s="26">
        <f t="shared" si="641"/>
        <v>0</v>
      </c>
      <c r="N118" s="26">
        <f t="shared" si="641"/>
        <v>0</v>
      </c>
      <c r="O118" s="27">
        <f t="shared" si="641"/>
        <v>0</v>
      </c>
      <c r="P118" s="25">
        <f t="shared" si="641"/>
        <v>0</v>
      </c>
      <c r="Q118" s="26">
        <f t="shared" si="641"/>
        <v>0</v>
      </c>
      <c r="R118" s="26">
        <f t="shared" si="641"/>
        <v>0</v>
      </c>
      <c r="S118" s="27">
        <f t="shared" si="641"/>
        <v>0</v>
      </c>
      <c r="T118" s="25">
        <f t="shared" si="641"/>
        <v>0</v>
      </c>
      <c r="U118" s="26">
        <f t="shared" si="641"/>
        <v>0</v>
      </c>
      <c r="V118" s="26">
        <f t="shared" si="641"/>
        <v>0</v>
      </c>
      <c r="W118" s="27">
        <f t="shared" si="641"/>
        <v>0</v>
      </c>
      <c r="X118" s="25">
        <f t="shared" si="641"/>
        <v>0</v>
      </c>
      <c r="Y118" s="26">
        <f t="shared" si="641"/>
        <v>0</v>
      </c>
      <c r="Z118" s="26">
        <f t="shared" si="641"/>
        <v>0</v>
      </c>
      <c r="AA118" s="27">
        <f t="shared" si="641"/>
        <v>0</v>
      </c>
      <c r="AB118" s="25">
        <f t="shared" si="641"/>
        <v>0</v>
      </c>
      <c r="AC118" s="26">
        <f t="shared" si="641"/>
        <v>0</v>
      </c>
      <c r="AD118" s="26">
        <f t="shared" si="641"/>
        <v>0</v>
      </c>
      <c r="AE118" s="27">
        <f t="shared" ref="AE118:AJ118" si="642">AE20+AE37+AE47+AE67-AE100</f>
        <v>0</v>
      </c>
      <c r="AF118" s="25">
        <f t="shared" si="642"/>
        <v>0</v>
      </c>
      <c r="AG118" s="26">
        <f t="shared" si="642"/>
        <v>0</v>
      </c>
      <c r="AH118" s="26">
        <f t="shared" si="642"/>
        <v>0</v>
      </c>
      <c r="AI118" s="27">
        <f t="shared" si="642"/>
        <v>0</v>
      </c>
      <c r="AJ118" s="25">
        <f t="shared" si="642"/>
        <v>0</v>
      </c>
      <c r="AK118" s="26">
        <f>AK20+AK37+AK47+AK67-AK100</f>
        <v>0</v>
      </c>
      <c r="AL118" s="26">
        <f>AL20+AL37+AL47+AL67-AL100</f>
        <v>0</v>
      </c>
      <c r="AM118" s="27">
        <f>AM20+AM37+AM47+AM67-AM100</f>
        <v>0</v>
      </c>
      <c r="AN118" s="25">
        <f>AN20+AN37+AN47+AN67-AN100</f>
        <v>0</v>
      </c>
      <c r="AO118" s="26">
        <f>AO20+AO37+AO47+AO67-AO100</f>
        <v>0</v>
      </c>
      <c r="AP118" s="26">
        <f t="shared" si="641"/>
        <v>0</v>
      </c>
      <c r="AQ118" s="27">
        <f>AQ20+AQ37+AQ47+AQ67-AQ100</f>
        <v>0</v>
      </c>
      <c r="AR118" s="25">
        <f>AR20+AR37+AR47+AR67-AR100</f>
        <v>0</v>
      </c>
      <c r="AS118" s="26">
        <f>AS20+AS37+AS47+AS67-AS100</f>
        <v>0</v>
      </c>
      <c r="AT118" s="26">
        <f>AT20+AT37+AT47+AT67-AT100</f>
        <v>0</v>
      </c>
      <c r="AU118" s="27">
        <f t="shared" si="641"/>
        <v>0</v>
      </c>
      <c r="AV118" s="25">
        <f>AV20+AV37+AV47+AV67-AV100</f>
        <v>0</v>
      </c>
      <c r="AW118" s="26">
        <f t="shared" ref="AW118:AY118" si="643">AW20+AW37+AW47+AW67-AW100</f>
        <v>0</v>
      </c>
      <c r="AX118" s="26">
        <f t="shared" si="643"/>
        <v>0</v>
      </c>
      <c r="AY118" s="27">
        <f t="shared" si="643"/>
        <v>0</v>
      </c>
      <c r="AZ118" s="25">
        <f>AZ20+AZ37+AZ47+AZ67-AZ100</f>
        <v>0</v>
      </c>
      <c r="BA118" s="26">
        <f t="shared" ref="BA118:BB118" si="644">BA20+BA37+BA47+BA67-BA100</f>
        <v>0</v>
      </c>
      <c r="BB118" s="26">
        <f t="shared" si="644"/>
        <v>0</v>
      </c>
      <c r="BC118" s="24">
        <v>-3.214</v>
      </c>
      <c r="BD118" s="22">
        <v>9.6509999999999998</v>
      </c>
      <c r="BE118" s="23">
        <v>29.809000000000001</v>
      </c>
      <c r="BF118" s="23">
        <v>50.850999999999999</v>
      </c>
      <c r="BG118" s="24">
        <v>0</v>
      </c>
      <c r="BH118" s="25">
        <f t="shared" ref="BH118:BK118" si="645">BH20+BH37+BH47+BH67-BH100</f>
        <v>0</v>
      </c>
      <c r="BI118" s="26">
        <f t="shared" si="645"/>
        <v>0</v>
      </c>
      <c r="BJ118" s="26">
        <f t="shared" si="645"/>
        <v>0</v>
      </c>
      <c r="BK118" s="26">
        <f t="shared" si="645"/>
        <v>0</v>
      </c>
      <c r="BL118" s="25">
        <f t="shared" ref="BL118:BO118" si="646">BL20+BL37+BL47+BL67-BL100</f>
        <v>0</v>
      </c>
      <c r="BM118" s="26">
        <f t="shared" si="646"/>
        <v>0</v>
      </c>
      <c r="BN118" s="26">
        <f t="shared" si="646"/>
        <v>0</v>
      </c>
      <c r="BO118" s="597">
        <f t="shared" si="646"/>
        <v>0</v>
      </c>
      <c r="BP118" s="347"/>
      <c r="BQ118" s="25">
        <f>SUM(D118:G118)</f>
        <v>0</v>
      </c>
      <c r="BR118" s="26">
        <f>SUM(H118:K118)</f>
        <v>0</v>
      </c>
      <c r="BS118" s="26">
        <f>SUM(L118:O118)</f>
        <v>0</v>
      </c>
      <c r="BT118" s="26">
        <f>SUM(P118:S118)</f>
        <v>0</v>
      </c>
      <c r="BU118" s="26">
        <f>SUM(T118:W118)</f>
        <v>0</v>
      </c>
      <c r="BV118" s="26">
        <f>SUM(X118:AA118)</f>
        <v>0</v>
      </c>
      <c r="BW118" s="26">
        <f>SUM(AB118:AE118)</f>
        <v>0</v>
      </c>
      <c r="BX118" s="26">
        <f>SUM(AF118:AI118)</f>
        <v>0</v>
      </c>
      <c r="BY118" s="26">
        <f>SUM(AJ118:AM118)</f>
        <v>0</v>
      </c>
      <c r="BZ118" s="26">
        <f>SUM(AN118:AQ118)</f>
        <v>0</v>
      </c>
      <c r="CA118" s="26">
        <f>SUM(AR118:AU118)</f>
        <v>0</v>
      </c>
      <c r="CB118" s="26">
        <f>SUM(AV118:AY118)</f>
        <v>0</v>
      </c>
      <c r="CC118" s="26">
        <f>SUM(AZ118:BC118)</f>
        <v>-3.214</v>
      </c>
      <c r="CD118" s="26">
        <f>SUM(BD118:BG118)</f>
        <v>90.311000000000007</v>
      </c>
      <c r="CE118" s="26">
        <f>SUM(BH118:BK118)</f>
        <v>0</v>
      </c>
      <c r="CF118" s="26">
        <f>SUM(BL118:BO118)</f>
        <v>0</v>
      </c>
      <c r="CG118" s="597">
        <f t="shared" ref="CG118" si="647">CG20+CG37+CG47+CG67-CG100</f>
        <v>0</v>
      </c>
      <c r="CH118" s="336"/>
    </row>
    <row r="119" spans="2:86" ht="14.25" hidden="1" outlineLevel="2">
      <c r="B119" s="20" t="s">
        <v>50</v>
      </c>
      <c r="C119" s="21"/>
      <c r="D119" s="22">
        <v>0</v>
      </c>
      <c r="E119" s="23">
        <v>0</v>
      </c>
      <c r="F119" s="23">
        <v>0</v>
      </c>
      <c r="G119" s="49">
        <v>0</v>
      </c>
      <c r="H119" s="22">
        <v>0</v>
      </c>
      <c r="I119" s="23">
        <v>0</v>
      </c>
      <c r="J119" s="23">
        <v>0</v>
      </c>
      <c r="K119" s="49">
        <v>0</v>
      </c>
      <c r="L119" s="22">
        <v>0</v>
      </c>
      <c r="M119" s="23">
        <v>0</v>
      </c>
      <c r="N119" s="23">
        <v>0</v>
      </c>
      <c r="O119" s="49">
        <v>0</v>
      </c>
      <c r="P119" s="22">
        <v>0</v>
      </c>
      <c r="Q119" s="23">
        <v>0</v>
      </c>
      <c r="R119" s="23">
        <v>0</v>
      </c>
      <c r="S119" s="49">
        <v>0</v>
      </c>
      <c r="T119" s="22">
        <v>0</v>
      </c>
      <c r="U119" s="23">
        <v>0</v>
      </c>
      <c r="V119" s="23">
        <v>0</v>
      </c>
      <c r="W119" s="49">
        <v>0</v>
      </c>
      <c r="X119" s="22">
        <v>0</v>
      </c>
      <c r="Y119" s="23">
        <v>0</v>
      </c>
      <c r="Z119" s="23">
        <v>0</v>
      </c>
      <c r="AA119" s="49">
        <v>0</v>
      </c>
      <c r="AB119" s="22">
        <v>0</v>
      </c>
      <c r="AC119" s="23">
        <v>0</v>
      </c>
      <c r="AD119" s="23">
        <v>0</v>
      </c>
      <c r="AE119" s="49">
        <v>0</v>
      </c>
      <c r="AF119" s="22">
        <v>0</v>
      </c>
      <c r="AG119" s="23">
        <v>0</v>
      </c>
      <c r="AH119" s="23">
        <v>0</v>
      </c>
      <c r="AI119" s="49">
        <v>0</v>
      </c>
      <c r="AJ119" s="22">
        <v>0</v>
      </c>
      <c r="AK119" s="23">
        <v>0</v>
      </c>
      <c r="AL119" s="23">
        <v>0</v>
      </c>
      <c r="AM119" s="49">
        <v>0</v>
      </c>
      <c r="AN119" s="22">
        <v>0</v>
      </c>
      <c r="AO119" s="23">
        <v>0</v>
      </c>
      <c r="AP119" s="23">
        <v>0</v>
      </c>
      <c r="AQ119" s="49">
        <v>0</v>
      </c>
      <c r="AR119" s="22">
        <v>0</v>
      </c>
      <c r="AS119" s="23">
        <v>0</v>
      </c>
      <c r="AT119" s="23">
        <v>0</v>
      </c>
      <c r="AU119" s="49">
        <v>0</v>
      </c>
      <c r="AV119" s="22">
        <v>0</v>
      </c>
      <c r="AW119" s="23">
        <v>0</v>
      </c>
      <c r="AX119" s="23">
        <v>0</v>
      </c>
      <c r="AY119" s="49">
        <v>0</v>
      </c>
      <c r="AZ119" s="22">
        <v>0</v>
      </c>
      <c r="BA119" s="23">
        <v>0</v>
      </c>
      <c r="BB119" s="23">
        <v>0</v>
      </c>
      <c r="BC119" s="49">
        <v>0</v>
      </c>
      <c r="BD119" s="22">
        <v>0</v>
      </c>
      <c r="BE119" s="23">
        <v>0</v>
      </c>
      <c r="BF119" s="23">
        <v>0</v>
      </c>
      <c r="BG119" s="49">
        <v>0</v>
      </c>
      <c r="BH119" s="22">
        <v>0</v>
      </c>
      <c r="BI119" s="23">
        <v>0</v>
      </c>
      <c r="BJ119" s="23">
        <v>0</v>
      </c>
      <c r="BK119" s="23">
        <v>0</v>
      </c>
      <c r="BL119" s="22">
        <v>0</v>
      </c>
      <c r="BM119" s="23">
        <v>0</v>
      </c>
      <c r="BN119" s="23">
        <v>0</v>
      </c>
      <c r="BO119" s="605">
        <v>0</v>
      </c>
      <c r="BP119" s="347"/>
      <c r="BQ119" s="25">
        <f>SUM(D119:G119)</f>
        <v>0</v>
      </c>
      <c r="BR119" s="26">
        <f>SUM(H119:K119)</f>
        <v>0</v>
      </c>
      <c r="BS119" s="26">
        <f>SUM(L119:O119)</f>
        <v>0</v>
      </c>
      <c r="BT119" s="26">
        <f>SUM(P119:S119)</f>
        <v>0</v>
      </c>
      <c r="BU119" s="26">
        <f>SUM(T119:W119)</f>
        <v>0</v>
      </c>
      <c r="BV119" s="26">
        <f>SUM(X119:AA119)</f>
        <v>0</v>
      </c>
      <c r="BW119" s="26">
        <f>SUM(AB119:AE119)</f>
        <v>0</v>
      </c>
      <c r="BX119" s="26">
        <f>SUM(AF119:AI119)</f>
        <v>0</v>
      </c>
      <c r="BY119" s="26">
        <f>SUM(AJ119:AM119)</f>
        <v>0</v>
      </c>
      <c r="BZ119" s="26">
        <f>SUM(AN119:AQ119)</f>
        <v>0</v>
      </c>
      <c r="CA119" s="26">
        <f>SUM(AR119:AU119)</f>
        <v>0</v>
      </c>
      <c r="CB119" s="26">
        <f>SUM(AV119:AY119)</f>
        <v>0</v>
      </c>
      <c r="CC119" s="26">
        <f>SUM(AZ119:BC119)</f>
        <v>0</v>
      </c>
      <c r="CD119" s="26">
        <f>SUM(BD119:BG119)</f>
        <v>0</v>
      </c>
      <c r="CE119" s="26">
        <f>SUM(BH119:BK119)</f>
        <v>0</v>
      </c>
      <c r="CF119" s="26">
        <f>SUM(BL119:BO119)</f>
        <v>0</v>
      </c>
      <c r="CG119" s="596">
        <v>0</v>
      </c>
      <c r="CH119" s="336"/>
    </row>
    <row r="120" spans="2:86" ht="14.25" hidden="1" outlineLevel="2">
      <c r="B120" s="16" t="s">
        <v>51</v>
      </c>
      <c r="C120" s="17"/>
      <c r="D120" s="25">
        <f t="shared" ref="D120:AU120" si="648">D118+D119</f>
        <v>0</v>
      </c>
      <c r="E120" s="26">
        <f t="shared" si="648"/>
        <v>0</v>
      </c>
      <c r="F120" s="26">
        <f t="shared" si="648"/>
        <v>0</v>
      </c>
      <c r="G120" s="27">
        <f t="shared" si="648"/>
        <v>0</v>
      </c>
      <c r="H120" s="25">
        <f t="shared" si="648"/>
        <v>0</v>
      </c>
      <c r="I120" s="26">
        <f t="shared" si="648"/>
        <v>0</v>
      </c>
      <c r="J120" s="26">
        <f t="shared" si="648"/>
        <v>0</v>
      </c>
      <c r="K120" s="27">
        <f t="shared" si="648"/>
        <v>0</v>
      </c>
      <c r="L120" s="25">
        <f t="shared" si="648"/>
        <v>0</v>
      </c>
      <c r="M120" s="26">
        <f t="shared" si="648"/>
        <v>0</v>
      </c>
      <c r="N120" s="26">
        <f t="shared" si="648"/>
        <v>0</v>
      </c>
      <c r="O120" s="27">
        <f t="shared" si="648"/>
        <v>0</v>
      </c>
      <c r="P120" s="25">
        <f t="shared" si="648"/>
        <v>0</v>
      </c>
      <c r="Q120" s="26">
        <f t="shared" si="648"/>
        <v>0</v>
      </c>
      <c r="R120" s="26">
        <f t="shared" si="648"/>
        <v>0</v>
      </c>
      <c r="S120" s="27">
        <f t="shared" si="648"/>
        <v>0</v>
      </c>
      <c r="T120" s="25">
        <f t="shared" si="648"/>
        <v>0</v>
      </c>
      <c r="U120" s="26">
        <f t="shared" si="648"/>
        <v>0</v>
      </c>
      <c r="V120" s="26">
        <f t="shared" si="648"/>
        <v>0</v>
      </c>
      <c r="W120" s="27">
        <f t="shared" si="648"/>
        <v>0</v>
      </c>
      <c r="X120" s="25">
        <f t="shared" si="648"/>
        <v>0</v>
      </c>
      <c r="Y120" s="26">
        <f t="shared" si="648"/>
        <v>0</v>
      </c>
      <c r="Z120" s="26">
        <f t="shared" si="648"/>
        <v>0</v>
      </c>
      <c r="AA120" s="27">
        <f t="shared" si="648"/>
        <v>0</v>
      </c>
      <c r="AB120" s="25">
        <f t="shared" si="648"/>
        <v>0</v>
      </c>
      <c r="AC120" s="26">
        <f t="shared" si="648"/>
        <v>0</v>
      </c>
      <c r="AD120" s="26">
        <f t="shared" si="648"/>
        <v>0</v>
      </c>
      <c r="AE120" s="27">
        <f t="shared" si="648"/>
        <v>0</v>
      </c>
      <c r="AF120" s="25">
        <f t="shared" si="648"/>
        <v>0</v>
      </c>
      <c r="AG120" s="26">
        <f t="shared" si="648"/>
        <v>0</v>
      </c>
      <c r="AH120" s="26">
        <f t="shared" si="648"/>
        <v>0</v>
      </c>
      <c r="AI120" s="27">
        <f t="shared" si="648"/>
        <v>0</v>
      </c>
      <c r="AJ120" s="25">
        <f t="shared" si="648"/>
        <v>0</v>
      </c>
      <c r="AK120" s="26">
        <f t="shared" si="648"/>
        <v>0</v>
      </c>
      <c r="AL120" s="26">
        <f t="shared" si="648"/>
        <v>0</v>
      </c>
      <c r="AM120" s="27">
        <f t="shared" si="648"/>
        <v>0</v>
      </c>
      <c r="AN120" s="25">
        <f t="shared" si="648"/>
        <v>0</v>
      </c>
      <c r="AO120" s="26">
        <f t="shared" si="648"/>
        <v>0</v>
      </c>
      <c r="AP120" s="26">
        <f t="shared" si="648"/>
        <v>0</v>
      </c>
      <c r="AQ120" s="27">
        <f>AQ118+AQ119</f>
        <v>0</v>
      </c>
      <c r="AR120" s="25">
        <f t="shared" si="648"/>
        <v>0</v>
      </c>
      <c r="AS120" s="26">
        <f>AS118+AS119</f>
        <v>0</v>
      </c>
      <c r="AT120" s="26">
        <f>AT118+AT119</f>
        <v>0</v>
      </c>
      <c r="AU120" s="27">
        <f t="shared" si="648"/>
        <v>0</v>
      </c>
      <c r="AV120" s="25">
        <f>AV118+AV119</f>
        <v>0</v>
      </c>
      <c r="AW120" s="26">
        <f t="shared" ref="AW120:AY120" si="649">AW118+AW119</f>
        <v>0</v>
      </c>
      <c r="AX120" s="26">
        <f t="shared" si="649"/>
        <v>0</v>
      </c>
      <c r="AY120" s="27">
        <f t="shared" si="649"/>
        <v>0</v>
      </c>
      <c r="AZ120" s="25">
        <f>AZ118+AZ119</f>
        <v>0</v>
      </c>
      <c r="BA120" s="26">
        <f t="shared" ref="BA120:BC120" si="650">BA118+BA119</f>
        <v>0</v>
      </c>
      <c r="BB120" s="26">
        <f t="shared" si="650"/>
        <v>0</v>
      </c>
      <c r="BC120" s="27">
        <f t="shared" si="650"/>
        <v>-3.214</v>
      </c>
      <c r="BD120" s="25">
        <f>BD118+BD119</f>
        <v>9.6509999999999998</v>
      </c>
      <c r="BE120" s="26">
        <f t="shared" ref="BE120:BG120" si="651">BE118+BE119</f>
        <v>29.809000000000001</v>
      </c>
      <c r="BF120" s="26">
        <f t="shared" si="651"/>
        <v>50.850999999999999</v>
      </c>
      <c r="BG120" s="27">
        <f t="shared" si="651"/>
        <v>0</v>
      </c>
      <c r="BH120" s="25">
        <f t="shared" ref="BH120:BK120" si="652">BH118+BH119</f>
        <v>0</v>
      </c>
      <c r="BI120" s="26">
        <f t="shared" si="652"/>
        <v>0</v>
      </c>
      <c r="BJ120" s="26">
        <f t="shared" si="652"/>
        <v>0</v>
      </c>
      <c r="BK120" s="26">
        <f t="shared" si="652"/>
        <v>0</v>
      </c>
      <c r="BL120" s="25">
        <f t="shared" ref="BL120:BO120" si="653">BL118+BL119</f>
        <v>0</v>
      </c>
      <c r="BM120" s="26">
        <f t="shared" si="653"/>
        <v>0</v>
      </c>
      <c r="BN120" s="26">
        <f t="shared" si="653"/>
        <v>0</v>
      </c>
      <c r="BO120" s="597">
        <f t="shared" si="653"/>
        <v>0</v>
      </c>
      <c r="BP120" s="347"/>
      <c r="BQ120" s="25">
        <f t="shared" ref="BQ120:CA120" si="654">BQ118+BQ119</f>
        <v>0</v>
      </c>
      <c r="BR120" s="26">
        <f t="shared" si="654"/>
        <v>0</v>
      </c>
      <c r="BS120" s="26">
        <f t="shared" si="654"/>
        <v>0</v>
      </c>
      <c r="BT120" s="26">
        <f t="shared" si="654"/>
        <v>0</v>
      </c>
      <c r="BU120" s="26">
        <f t="shared" si="654"/>
        <v>0</v>
      </c>
      <c r="BV120" s="26">
        <f t="shared" si="654"/>
        <v>0</v>
      </c>
      <c r="BW120" s="26">
        <f t="shared" si="654"/>
        <v>0</v>
      </c>
      <c r="BX120" s="26">
        <f t="shared" si="654"/>
        <v>0</v>
      </c>
      <c r="BY120" s="26">
        <f t="shared" si="654"/>
        <v>0</v>
      </c>
      <c r="BZ120" s="26">
        <f t="shared" si="654"/>
        <v>0</v>
      </c>
      <c r="CA120" s="26">
        <f t="shared" si="654"/>
        <v>0</v>
      </c>
      <c r="CB120" s="26">
        <f t="shared" ref="CB120:CG120" si="655">CB118+CB119</f>
        <v>0</v>
      </c>
      <c r="CC120" s="26">
        <f t="shared" si="655"/>
        <v>-3.214</v>
      </c>
      <c r="CD120" s="26">
        <f t="shared" si="655"/>
        <v>90.311000000000007</v>
      </c>
      <c r="CE120" s="26">
        <f t="shared" si="655"/>
        <v>0</v>
      </c>
      <c r="CF120" s="26">
        <f t="shared" si="655"/>
        <v>0</v>
      </c>
      <c r="CG120" s="597">
        <f t="shared" si="655"/>
        <v>0</v>
      </c>
      <c r="CH120" s="336"/>
    </row>
    <row r="121" spans="2:86" ht="9" hidden="1" customHeight="1" outlineLevel="1">
      <c r="B121" s="16"/>
      <c r="C121" s="17"/>
      <c r="D121" s="35"/>
      <c r="E121" s="36"/>
      <c r="F121" s="54"/>
      <c r="G121" s="55"/>
      <c r="H121" s="35"/>
      <c r="I121" s="36"/>
      <c r="J121" s="54"/>
      <c r="K121" s="55"/>
      <c r="L121" s="35"/>
      <c r="M121" s="36"/>
      <c r="N121" s="54"/>
      <c r="O121" s="55"/>
      <c r="P121" s="35"/>
      <c r="Q121" s="36"/>
      <c r="R121" s="54"/>
      <c r="S121" s="55"/>
      <c r="T121" s="35"/>
      <c r="U121" s="36"/>
      <c r="V121" s="54"/>
      <c r="W121" s="55"/>
      <c r="X121" s="35"/>
      <c r="Y121" s="36"/>
      <c r="Z121" s="54"/>
      <c r="AA121" s="55"/>
      <c r="AB121" s="35"/>
      <c r="AC121" s="36"/>
      <c r="AD121" s="54"/>
      <c r="AE121" s="55"/>
      <c r="AF121" s="35"/>
      <c r="AG121" s="36"/>
      <c r="AH121" s="36"/>
      <c r="AI121" s="55"/>
      <c r="AJ121" s="35"/>
      <c r="AK121" s="36"/>
      <c r="AL121" s="36"/>
      <c r="AM121" s="55"/>
      <c r="AN121" s="35"/>
      <c r="AO121" s="36"/>
      <c r="AP121" s="54"/>
      <c r="AQ121" s="55"/>
      <c r="AR121" s="35"/>
      <c r="AS121" s="36"/>
      <c r="AT121" s="54"/>
      <c r="AU121" s="55"/>
      <c r="AV121" s="35"/>
      <c r="AW121" s="36"/>
      <c r="AX121" s="36"/>
      <c r="AY121" s="55"/>
      <c r="AZ121" s="35"/>
      <c r="BA121" s="36"/>
      <c r="BB121" s="36"/>
      <c r="BC121" s="55"/>
      <c r="BD121" s="35"/>
      <c r="BE121" s="36"/>
      <c r="BF121" s="36"/>
      <c r="BG121" s="55"/>
      <c r="BH121" s="641"/>
      <c r="BI121" s="478"/>
      <c r="BJ121" s="54"/>
      <c r="BK121" s="478"/>
      <c r="BL121" s="641"/>
      <c r="BM121" s="478"/>
      <c r="BN121" s="54"/>
      <c r="BO121" s="607"/>
      <c r="BP121" s="347"/>
      <c r="BQ121" s="641"/>
      <c r="BR121" s="338"/>
      <c r="BS121" s="338"/>
      <c r="BT121" s="338"/>
      <c r="BU121" s="338"/>
      <c r="BV121" s="338"/>
      <c r="BW121" s="338"/>
      <c r="BX121" s="338"/>
      <c r="BY121" s="338"/>
      <c r="BZ121" s="338"/>
      <c r="CA121" s="338"/>
      <c r="CB121" s="338"/>
      <c r="CC121" s="338"/>
      <c r="CD121" s="338"/>
      <c r="CE121" s="338"/>
      <c r="CF121" s="338"/>
      <c r="CG121" s="607"/>
      <c r="CH121" s="336"/>
    </row>
    <row r="122" spans="2:86" ht="15" hidden="1" outlineLevel="1">
      <c r="B122" s="39" t="s">
        <v>52</v>
      </c>
      <c r="C122" s="17"/>
      <c r="D122" s="41">
        <f t="shared" ref="D122:O122" si="656">D106+D118</f>
        <v>14.496999999999982</v>
      </c>
      <c r="E122" s="42">
        <f t="shared" si="656"/>
        <v>28.623999999999995</v>
      </c>
      <c r="F122" s="42">
        <f t="shared" si="656"/>
        <v>43.595000000000041</v>
      </c>
      <c r="G122" s="43">
        <f t="shared" si="656"/>
        <v>54.944999999999844</v>
      </c>
      <c r="H122" s="41">
        <f t="shared" si="656"/>
        <v>53.946999999999981</v>
      </c>
      <c r="I122" s="42">
        <f t="shared" si="656"/>
        <v>47.099000000000011</v>
      </c>
      <c r="J122" s="42">
        <f t="shared" si="656"/>
        <v>83.35499999999999</v>
      </c>
      <c r="K122" s="43">
        <f t="shared" si="656"/>
        <v>15.089000000000098</v>
      </c>
      <c r="L122" s="41">
        <f t="shared" si="656"/>
        <v>77.563000000000031</v>
      </c>
      <c r="M122" s="42">
        <f t="shared" si="656"/>
        <v>44.881000000000029</v>
      </c>
      <c r="N122" s="42">
        <f t="shared" si="656"/>
        <v>6.04600000000009</v>
      </c>
      <c r="O122" s="43">
        <f t="shared" si="656"/>
        <v>-140.58500000000049</v>
      </c>
      <c r="P122" s="41">
        <f t="shared" ref="P122:W122" si="657">P106+P118</f>
        <v>-52.828000000000046</v>
      </c>
      <c r="Q122" s="42">
        <f t="shared" si="657"/>
        <v>-56.455999999999911</v>
      </c>
      <c r="R122" s="42">
        <f t="shared" si="657"/>
        <v>-6.4360000000000213</v>
      </c>
      <c r="S122" s="43">
        <f t="shared" si="657"/>
        <v>1.2930000000001769</v>
      </c>
      <c r="T122" s="41">
        <f t="shared" si="657"/>
        <v>69.939000000000036</v>
      </c>
      <c r="U122" s="42">
        <f t="shared" si="657"/>
        <v>71.367000000000047</v>
      </c>
      <c r="V122" s="42">
        <f t="shared" si="657"/>
        <v>70.946000000000012</v>
      </c>
      <c r="W122" s="43">
        <f t="shared" si="657"/>
        <v>-65.010000000000389</v>
      </c>
      <c r="X122" s="41">
        <f t="shared" ref="X122:AD122" si="658">X106+X118</f>
        <v>-111.45699999999999</v>
      </c>
      <c r="Y122" s="42">
        <f t="shared" si="658"/>
        <v>58.492999999999917</v>
      </c>
      <c r="Z122" s="42">
        <f t="shared" si="658"/>
        <v>201.59899999999993</v>
      </c>
      <c r="AA122" s="43">
        <f t="shared" si="658"/>
        <v>204.82099999999988</v>
      </c>
      <c r="AB122" s="41">
        <f t="shared" si="658"/>
        <v>205.76699999999997</v>
      </c>
      <c r="AC122" s="42">
        <f t="shared" si="658"/>
        <v>219.77700000000002</v>
      </c>
      <c r="AD122" s="42">
        <f t="shared" si="658"/>
        <v>255.732</v>
      </c>
      <c r="AE122" s="43">
        <f t="shared" ref="AE122:AJ122" si="659">AE106+AE118</f>
        <v>222.85300000000001</v>
      </c>
      <c r="AF122" s="41">
        <f t="shared" si="659"/>
        <v>146.86100000000002</v>
      </c>
      <c r="AG122" s="42">
        <f t="shared" si="659"/>
        <v>192.39200000000002</v>
      </c>
      <c r="AH122" s="42">
        <f t="shared" si="659"/>
        <v>195.12100000000004</v>
      </c>
      <c r="AI122" s="43">
        <f t="shared" si="659"/>
        <v>80.716999999999942</v>
      </c>
      <c r="AJ122" s="41">
        <f t="shared" si="659"/>
        <v>94.542999999999992</v>
      </c>
      <c r="AK122" s="42">
        <f t="shared" ref="AK122:AU122" si="660">AK106+AK118</f>
        <v>93.073999999999998</v>
      </c>
      <c r="AL122" s="42">
        <f t="shared" si="660"/>
        <v>68.815999999999974</v>
      </c>
      <c r="AM122" s="43">
        <f t="shared" si="660"/>
        <v>50.151999999999909</v>
      </c>
      <c r="AN122" s="41">
        <f t="shared" si="660"/>
        <v>53.209000000000081</v>
      </c>
      <c r="AO122" s="42">
        <f t="shared" si="660"/>
        <v>61.826000000000036</v>
      </c>
      <c r="AP122" s="42">
        <f t="shared" si="660"/>
        <v>103.15600000000005</v>
      </c>
      <c r="AQ122" s="43">
        <f t="shared" si="660"/>
        <v>97.129000000000048</v>
      </c>
      <c r="AR122" s="41">
        <f t="shared" si="660"/>
        <v>99.479000000000013</v>
      </c>
      <c r="AS122" s="42">
        <f t="shared" si="660"/>
        <v>138.86999999999995</v>
      </c>
      <c r="AT122" s="42">
        <f t="shared" si="660"/>
        <v>115.30399999999996</v>
      </c>
      <c r="AU122" s="43">
        <f t="shared" si="660"/>
        <v>81.692999999999969</v>
      </c>
      <c r="AV122" s="41">
        <f>AV106+AV118</f>
        <v>14.090000000000067</v>
      </c>
      <c r="AW122" s="42">
        <f t="shared" ref="AW122:AY122" si="661">AW106+AW118</f>
        <v>-771.94000000000017</v>
      </c>
      <c r="AX122" s="42">
        <f t="shared" si="661"/>
        <v>-57.750000000000071</v>
      </c>
      <c r="AY122" s="43">
        <f t="shared" si="661"/>
        <v>4.1999999999999815</v>
      </c>
      <c r="AZ122" s="41">
        <f>AZ106+AZ118</f>
        <v>-22.678999999999959</v>
      </c>
      <c r="BA122" s="42">
        <f t="shared" ref="BA122:BD122" si="662">BA106+BA118</f>
        <v>51.304999999999971</v>
      </c>
      <c r="BB122" s="42">
        <f t="shared" si="662"/>
        <v>72.616000000000085</v>
      </c>
      <c r="BC122" s="43">
        <f t="shared" si="662"/>
        <v>-80.091000000000093</v>
      </c>
      <c r="BD122" s="41">
        <f t="shared" si="662"/>
        <v>106.62099999999997</v>
      </c>
      <c r="BE122" s="42">
        <f t="shared" ref="BE122:BG122" si="663">BE106+BE118</f>
        <v>165.25899999999999</v>
      </c>
      <c r="BF122" s="42">
        <f t="shared" si="663"/>
        <v>200.18799999999999</v>
      </c>
      <c r="BG122" s="43">
        <f t="shared" si="663"/>
        <v>48.762999999999963</v>
      </c>
      <c r="BH122" s="41">
        <f t="shared" ref="BH122:BK122" si="664">BH106+BH118</f>
        <v>135.56853185715002</v>
      </c>
      <c r="BI122" s="42">
        <f t="shared" si="664"/>
        <v>145.89730622166522</v>
      </c>
      <c r="BJ122" s="42">
        <f t="shared" si="664"/>
        <v>153.4267275363504</v>
      </c>
      <c r="BK122" s="42">
        <f t="shared" si="664"/>
        <v>153.51866394562231</v>
      </c>
      <c r="BL122" s="41">
        <f t="shared" ref="BL122:BO122" si="665">BL106+BL118</f>
        <v>144.74597827368993</v>
      </c>
      <c r="BM122" s="42">
        <f t="shared" si="665"/>
        <v>154.66290174632346</v>
      </c>
      <c r="BN122" s="42">
        <f t="shared" si="665"/>
        <v>160.68970393223179</v>
      </c>
      <c r="BO122" s="601">
        <f t="shared" si="665"/>
        <v>159.78154779166374</v>
      </c>
      <c r="BP122" s="347"/>
      <c r="BQ122" s="41">
        <f t="shared" ref="BQ122:BW122" si="666">BQ106+BQ118</f>
        <v>141.66099999999994</v>
      </c>
      <c r="BR122" s="42">
        <f t="shared" si="666"/>
        <v>199.49</v>
      </c>
      <c r="BS122" s="42">
        <f t="shared" si="666"/>
        <v>-12.095000000000212</v>
      </c>
      <c r="BT122" s="42">
        <f t="shared" si="666"/>
        <v>-114.42699999999945</v>
      </c>
      <c r="BU122" s="42">
        <f t="shared" si="666"/>
        <v>147.24199999999948</v>
      </c>
      <c r="BV122" s="42">
        <f t="shared" si="666"/>
        <v>353.45599999999956</v>
      </c>
      <c r="BW122" s="42">
        <f t="shared" si="666"/>
        <v>904.12900000000025</v>
      </c>
      <c r="BX122" s="42">
        <f t="shared" ref="BX122:CA122" si="667">BX106+BX118</f>
        <v>615.09100000000001</v>
      </c>
      <c r="BY122" s="42">
        <f t="shared" si="667"/>
        <v>306.5849999999997</v>
      </c>
      <c r="BZ122" s="42">
        <f t="shared" si="667"/>
        <v>315.32000000000073</v>
      </c>
      <c r="CA122" s="42">
        <f t="shared" si="667"/>
        <v>435.34599999999972</v>
      </c>
      <c r="CB122" s="42">
        <f>CB106+CB118</f>
        <v>-811.40000000000009</v>
      </c>
      <c r="CC122" s="42">
        <f>CC106+CC118</f>
        <v>21.151000000000408</v>
      </c>
      <c r="CD122" s="42">
        <f>CD106+CD118</f>
        <v>520.8309999999999</v>
      </c>
      <c r="CE122" s="42">
        <f>CE106+CE118</f>
        <v>588.41122956078812</v>
      </c>
      <c r="CF122" s="42">
        <f>CF106+CF118</f>
        <v>619.88013174390926</v>
      </c>
      <c r="CG122" s="601">
        <f t="shared" ref="CG122" si="668">CG106+CG118</f>
        <v>627.07923819562961</v>
      </c>
      <c r="CH122" s="336"/>
    </row>
    <row r="123" spans="2:86" ht="14.25" hidden="1" outlineLevel="1">
      <c r="B123" s="28" t="s">
        <v>101</v>
      </c>
      <c r="C123" s="17"/>
      <c r="D123" s="38">
        <f t="shared" ref="D123:AU123" si="669">D122/D10</f>
        <v>5.3776842979927748E-2</v>
      </c>
      <c r="E123" s="31">
        <f t="shared" si="669"/>
        <v>9.6327156962383129E-2</v>
      </c>
      <c r="F123" s="31">
        <f t="shared" si="669"/>
        <v>0.13727120154416339</v>
      </c>
      <c r="G123" s="32">
        <f t="shared" si="669"/>
        <v>0.16147660947611536</v>
      </c>
      <c r="H123" s="38">
        <f t="shared" si="669"/>
        <v>0.14789319297091313</v>
      </c>
      <c r="I123" s="31">
        <f t="shared" si="669"/>
        <v>0.12062624534516232</v>
      </c>
      <c r="J123" s="31">
        <f t="shared" si="669"/>
        <v>0.19565707257303541</v>
      </c>
      <c r="K123" s="32">
        <f t="shared" si="669"/>
        <v>3.0855841117673238E-2</v>
      </c>
      <c r="L123" s="38">
        <f t="shared" si="669"/>
        <v>0.14881733551293569</v>
      </c>
      <c r="M123" s="31">
        <f t="shared" si="669"/>
        <v>7.8191938813732112E-2</v>
      </c>
      <c r="N123" s="31">
        <f t="shared" si="669"/>
        <v>1.1618030814876478E-2</v>
      </c>
      <c r="O123" s="32">
        <f t="shared" si="669"/>
        <v>-0.22603034853547027</v>
      </c>
      <c r="P123" s="38">
        <f t="shared" si="669"/>
        <v>-8.3187150618061645E-2</v>
      </c>
      <c r="Q123" s="31">
        <f t="shared" si="669"/>
        <v>-8.596780014344195E-2</v>
      </c>
      <c r="R123" s="31">
        <f t="shared" si="669"/>
        <v>-8.48801048736165E-3</v>
      </c>
      <c r="S123" s="32">
        <f t="shared" si="669"/>
        <v>1.5307463365086869E-3</v>
      </c>
      <c r="T123" s="38">
        <f t="shared" si="669"/>
        <v>8.6980692099617618E-2</v>
      </c>
      <c r="U123" s="31">
        <f t="shared" si="669"/>
        <v>8.4701065187075389E-2</v>
      </c>
      <c r="V123" s="31">
        <f t="shared" si="669"/>
        <v>8.9686314070231074E-2</v>
      </c>
      <c r="W123" s="32">
        <f t="shared" si="669"/>
        <v>-0.12675800938644993</v>
      </c>
      <c r="X123" s="38">
        <f t="shared" si="669"/>
        <v>-0.21375092533283216</v>
      </c>
      <c r="Y123" s="31">
        <f t="shared" si="669"/>
        <v>9.1306858980362643E-2</v>
      </c>
      <c r="Z123" s="31">
        <f t="shared" si="669"/>
        <v>0.25102664930058344</v>
      </c>
      <c r="AA123" s="32">
        <f t="shared" si="669"/>
        <v>0.24310088008213296</v>
      </c>
      <c r="AB123" s="38">
        <f t="shared" si="669"/>
        <v>0.24050029278418472</v>
      </c>
      <c r="AC123" s="31">
        <f t="shared" si="669"/>
        <v>0.24515713785341237</v>
      </c>
      <c r="AD123" s="31">
        <f t="shared" si="669"/>
        <v>0.26657437974746878</v>
      </c>
      <c r="AE123" s="32">
        <f t="shared" si="669"/>
        <v>0.24747338461521376</v>
      </c>
      <c r="AF123" s="38">
        <f t="shared" si="669"/>
        <v>0.18302671229633027</v>
      </c>
      <c r="AG123" s="31">
        <f t="shared" si="669"/>
        <v>0.21435956858900082</v>
      </c>
      <c r="AH123" s="31">
        <f t="shared" si="669"/>
        <v>0.20530041024097848</v>
      </c>
      <c r="AI123" s="32">
        <f t="shared" si="669"/>
        <v>0.1086803437722582</v>
      </c>
      <c r="AJ123" s="38">
        <f t="shared" si="669"/>
        <v>0.11872026279869052</v>
      </c>
      <c r="AK123" s="31">
        <f t="shared" si="669"/>
        <v>0.11404673914108986</v>
      </c>
      <c r="AL123" s="31">
        <f t="shared" si="669"/>
        <v>8.812610372130962E-2</v>
      </c>
      <c r="AM123" s="32">
        <f t="shared" si="669"/>
        <v>6.4687718465511038E-2</v>
      </c>
      <c r="AN123" s="38">
        <f t="shared" si="669"/>
        <v>7.2455400486676425E-2</v>
      </c>
      <c r="AO123" s="31">
        <f t="shared" si="669"/>
        <v>7.6606827778989361E-2</v>
      </c>
      <c r="AP123" s="31">
        <f t="shared" si="669"/>
        <v>0.11077439848114212</v>
      </c>
      <c r="AQ123" s="32">
        <f>AQ122/AQ10</f>
        <v>0.10424373946202255</v>
      </c>
      <c r="AR123" s="38">
        <f t="shared" si="669"/>
        <v>0.10385872232024473</v>
      </c>
      <c r="AS123" s="31">
        <f>AS122/AS10</f>
        <v>0.1444238179180381</v>
      </c>
      <c r="AT123" s="31">
        <f>AT122/AT10</f>
        <v>0.12396466753248983</v>
      </c>
      <c r="AU123" s="32">
        <f t="shared" si="669"/>
        <v>9.5274137794302147E-2</v>
      </c>
      <c r="AV123" s="38">
        <f>AV122/AV10</f>
        <v>1.9453587523195287E-2</v>
      </c>
      <c r="AW123" s="31">
        <f t="shared" ref="AW123:AY123" si="670">AW122/AW10</f>
        <v>-1.0864865473502872</v>
      </c>
      <c r="AX123" s="31">
        <f t="shared" si="670"/>
        <v>-8.5569500214849936E-2</v>
      </c>
      <c r="AY123" s="32">
        <f t="shared" si="670"/>
        <v>6.8164334472651193E-3</v>
      </c>
      <c r="AZ123" s="38">
        <f>AZ122/AZ10</f>
        <v>-4.193431480228238E-2</v>
      </c>
      <c r="BA123" s="31">
        <f t="shared" ref="BA123:BC123" si="671">BA122/BA10</f>
        <v>8.1904010830071289E-2</v>
      </c>
      <c r="BB123" s="492">
        <f t="shared" si="671"/>
        <v>0.11096203978472619</v>
      </c>
      <c r="BC123" s="32">
        <f t="shared" si="671"/>
        <v>-0.14016625831291582</v>
      </c>
      <c r="BD123" s="38">
        <f>BD122/BD10</f>
        <v>0.18408957491626088</v>
      </c>
      <c r="BE123" s="492">
        <f t="shared" ref="BE123:BG123" si="672">BE122/BE10</f>
        <v>0.27326829268292679</v>
      </c>
      <c r="BF123" s="562">
        <f t="shared" si="672"/>
        <v>0.32482127268774075</v>
      </c>
      <c r="BG123" s="563">
        <f t="shared" si="672"/>
        <v>7.9236735244365877E-2</v>
      </c>
      <c r="BH123" s="566">
        <f t="shared" ref="BH123:BK123" si="673">BH122/BH10</f>
        <v>0.22569124683078667</v>
      </c>
      <c r="BI123" s="562">
        <f t="shared" si="673"/>
        <v>0.23544505235677116</v>
      </c>
      <c r="BJ123" s="562">
        <f t="shared" si="673"/>
        <v>0.24048935446459735</v>
      </c>
      <c r="BK123" s="562">
        <f t="shared" si="673"/>
        <v>0.24290070128545541</v>
      </c>
      <c r="BL123" s="566">
        <f t="shared" ref="BL123:BO123" si="674">BL122/BL10</f>
        <v>0.24225819069963345</v>
      </c>
      <c r="BM123" s="562">
        <f t="shared" si="674"/>
        <v>0.24334396392142038</v>
      </c>
      <c r="BN123" s="562">
        <f t="shared" si="674"/>
        <v>0.24459197284034176</v>
      </c>
      <c r="BO123" s="598">
        <f t="shared" si="674"/>
        <v>0.24606865497824371</v>
      </c>
      <c r="BP123" s="347"/>
      <c r="BQ123" s="566">
        <f t="shared" ref="BQ123:CA123" si="675">BQ122/BQ10</f>
        <v>0.1156812948112822</v>
      </c>
      <c r="BR123" s="562">
        <f t="shared" si="675"/>
        <v>0.11943606587214252</v>
      </c>
      <c r="BS123" s="562">
        <f t="shared" si="675"/>
        <v>-5.4054585522667897E-3</v>
      </c>
      <c r="BT123" s="562">
        <f t="shared" si="675"/>
        <v>-3.9529925971424067E-2</v>
      </c>
      <c r="BU123" s="562">
        <f t="shared" si="675"/>
        <v>4.9903018508670884E-2</v>
      </c>
      <c r="BV123" s="562">
        <f t="shared" si="675"/>
        <v>0.12588867633749759</v>
      </c>
      <c r="BW123" s="562">
        <f t="shared" si="675"/>
        <v>0.25031998456211196</v>
      </c>
      <c r="BX123" s="562">
        <f t="shared" si="675"/>
        <v>0.18128020889821517</v>
      </c>
      <c r="BY123" s="562">
        <f t="shared" si="675"/>
        <v>9.6756326866816178E-2</v>
      </c>
      <c r="BZ123" s="562">
        <f t="shared" si="675"/>
        <v>9.2621313594172444E-2</v>
      </c>
      <c r="CA123" s="562">
        <f t="shared" si="675"/>
        <v>0.11744007156262411</v>
      </c>
      <c r="CB123" s="562">
        <f>CB122/CB10</f>
        <v>-0.29767101959478004</v>
      </c>
      <c r="CC123" s="562">
        <f>CC122/CC10</f>
        <v>8.8385189097754859E-3</v>
      </c>
      <c r="CD123" s="562">
        <f>CD122/CD10</f>
        <v>0.21560778277898077</v>
      </c>
      <c r="CE123" s="562">
        <f>CE122/CE10</f>
        <v>0.23627680667056236</v>
      </c>
      <c r="CF123" s="562">
        <f>CF122/CF10</f>
        <v>0.24410809664775218</v>
      </c>
      <c r="CG123" s="598">
        <f t="shared" ref="CG123" si="676">CG122/CG10</f>
        <v>0.24694309664775221</v>
      </c>
      <c r="CH123" s="336"/>
    </row>
    <row r="124" spans="2:86" ht="9" hidden="1" customHeight="1" outlineLevel="1">
      <c r="B124" s="28"/>
      <c r="C124" s="29"/>
      <c r="D124" s="30"/>
      <c r="E124" s="33"/>
      <c r="F124" s="33"/>
      <c r="G124" s="34"/>
      <c r="H124" s="30"/>
      <c r="I124" s="33"/>
      <c r="J124" s="33"/>
      <c r="K124" s="34"/>
      <c r="L124" s="30"/>
      <c r="M124" s="33"/>
      <c r="N124" s="33"/>
      <c r="O124" s="34"/>
      <c r="P124" s="30"/>
      <c r="Q124" s="33"/>
      <c r="R124" s="33"/>
      <c r="S124" s="34"/>
      <c r="T124" s="30"/>
      <c r="U124" s="33"/>
      <c r="V124" s="33"/>
      <c r="W124" s="34"/>
      <c r="X124" s="30"/>
      <c r="Y124" s="33"/>
      <c r="Z124" s="33"/>
      <c r="AA124" s="34"/>
      <c r="AB124" s="30"/>
      <c r="AC124" s="33"/>
      <c r="AD124" s="33"/>
      <c r="AE124" s="34"/>
      <c r="AF124" s="30"/>
      <c r="AG124" s="33"/>
      <c r="AH124" s="33"/>
      <c r="AI124" s="34"/>
      <c r="AJ124" s="30"/>
      <c r="AK124" s="33"/>
      <c r="AL124" s="33"/>
      <c r="AM124" s="34"/>
      <c r="AN124" s="30"/>
      <c r="AO124" s="33"/>
      <c r="AP124" s="33"/>
      <c r="AQ124" s="34"/>
      <c r="AR124" s="30"/>
      <c r="AS124" s="33"/>
      <c r="AT124" s="33"/>
      <c r="AU124" s="34"/>
      <c r="AV124" s="30"/>
      <c r="AW124" s="33"/>
      <c r="AX124" s="33"/>
      <c r="AY124" s="34"/>
      <c r="AZ124" s="462"/>
      <c r="BA124" s="463"/>
      <c r="BB124" s="493"/>
      <c r="BC124" s="34"/>
      <c r="BD124" s="462"/>
      <c r="BE124" s="493"/>
      <c r="BF124" s="564"/>
      <c r="BG124" s="565"/>
      <c r="BH124" s="642"/>
      <c r="BI124" s="393"/>
      <c r="BJ124" s="393"/>
      <c r="BK124" s="393"/>
      <c r="BL124" s="642"/>
      <c r="BM124" s="393"/>
      <c r="BN124" s="393"/>
      <c r="BO124" s="608"/>
      <c r="BP124" s="347"/>
      <c r="BQ124" s="561"/>
      <c r="BR124" s="564"/>
      <c r="BS124" s="564"/>
      <c r="BT124" s="564"/>
      <c r="BU124" s="564"/>
      <c r="BV124" s="564"/>
      <c r="BW124" s="564"/>
      <c r="BX124" s="564"/>
      <c r="BY124" s="564"/>
      <c r="BZ124" s="564"/>
      <c r="CA124" s="564"/>
      <c r="CB124" s="564"/>
      <c r="CC124" s="564"/>
      <c r="CD124" s="564"/>
      <c r="CE124" s="564"/>
      <c r="CF124" s="564"/>
      <c r="CG124" s="604"/>
      <c r="CH124" s="336"/>
    </row>
    <row r="125" spans="2:86" ht="14.25" collapsed="1">
      <c r="B125" s="16" t="s">
        <v>53</v>
      </c>
      <c r="C125" s="17"/>
      <c r="D125" s="56">
        <f t="shared" ref="D125:AU125" si="677">D106/D135</f>
        <v>2.472422520414495E-2</v>
      </c>
      <c r="E125" s="57">
        <f t="shared" si="677"/>
        <v>4.8347267967232495E-2</v>
      </c>
      <c r="F125" s="57">
        <f t="shared" si="677"/>
        <v>7.2501488446660461E-2</v>
      </c>
      <c r="G125" s="58">
        <f t="shared" si="677"/>
        <v>8.9186583299245933E-2</v>
      </c>
      <c r="H125" s="56">
        <f t="shared" si="677"/>
        <v>8.6816652987656673E-2</v>
      </c>
      <c r="I125" s="57">
        <f t="shared" si="677"/>
        <v>7.5213388586804653E-2</v>
      </c>
      <c r="J125" s="57">
        <f t="shared" si="677"/>
        <v>0.1318023983909529</v>
      </c>
      <c r="K125" s="58">
        <f t="shared" si="677"/>
        <v>2.3388830589471849E-2</v>
      </c>
      <c r="L125" s="56">
        <f t="shared" si="677"/>
        <v>0.12128390845576974</v>
      </c>
      <c r="M125" s="57">
        <f t="shared" si="677"/>
        <v>7.0842402842472341E-2</v>
      </c>
      <c r="N125" s="57">
        <f t="shared" si="677"/>
        <v>9.6257944544217034E-3</v>
      </c>
      <c r="O125" s="58">
        <f t="shared" si="677"/>
        <v>-0.23932457645584876</v>
      </c>
      <c r="P125" s="56">
        <f t="shared" si="677"/>
        <v>-8.9931327520402643E-2</v>
      </c>
      <c r="Q125" s="57">
        <f t="shared" si="677"/>
        <v>-9.6089758209737502E-2</v>
      </c>
      <c r="R125" s="57">
        <f t="shared" si="677"/>
        <v>-1.0894459500405447E-2</v>
      </c>
      <c r="S125" s="58">
        <f t="shared" si="677"/>
        <v>2.0631914204429511E-3</v>
      </c>
      <c r="T125" s="56">
        <f t="shared" si="677"/>
        <v>0.11201872023909633</v>
      </c>
      <c r="U125" s="57">
        <f t="shared" si="677"/>
        <v>0.11188996475560971</v>
      </c>
      <c r="V125" s="57">
        <f t="shared" si="677"/>
        <v>0.11246809657424583</v>
      </c>
      <c r="W125" s="58">
        <f t="shared" si="677"/>
        <v>-0.10571419279302781</v>
      </c>
      <c r="X125" s="56">
        <f t="shared" si="677"/>
        <v>-0.18015377975906652</v>
      </c>
      <c r="Y125" s="57">
        <f t="shared" si="677"/>
        <v>9.0251654811683069E-2</v>
      </c>
      <c r="Z125" s="57">
        <f t="shared" si="677"/>
        <v>0.30557387087924154</v>
      </c>
      <c r="AA125" s="58">
        <f t="shared" si="677"/>
        <v>0.30633256708189799</v>
      </c>
      <c r="AB125" s="56">
        <f t="shared" si="677"/>
        <v>0.3034647427436255</v>
      </c>
      <c r="AC125" s="57">
        <f t="shared" si="677"/>
        <v>0.32548947009863455</v>
      </c>
      <c r="AD125" s="57">
        <f t="shared" si="677"/>
        <v>0.37898068877826996</v>
      </c>
      <c r="AE125" s="58">
        <f t="shared" ref="AE125:AJ125" si="678">AE106/AE135</f>
        <v>0.32799269992420282</v>
      </c>
      <c r="AF125" s="56">
        <f t="shared" si="678"/>
        <v>0.22348510210913963</v>
      </c>
      <c r="AG125" s="57">
        <f t="shared" si="678"/>
        <v>0.30874999197601799</v>
      </c>
      <c r="AH125" s="57">
        <f t="shared" si="678"/>
        <v>0.31804615818444698</v>
      </c>
      <c r="AI125" s="58">
        <f t="shared" si="678"/>
        <v>0.13468546637744025</v>
      </c>
      <c r="AJ125" s="56">
        <f t="shared" si="678"/>
        <v>0.15896552941710562</v>
      </c>
      <c r="AK125" s="57">
        <f>AK106/AK135</f>
        <v>0.16319466970586943</v>
      </c>
      <c r="AL125" s="57">
        <f>AL106/AL135</f>
        <v>0.12302895514062798</v>
      </c>
      <c r="AM125" s="58">
        <f>AM106/AM135</f>
        <v>9.4970099340632538E-2</v>
      </c>
      <c r="AN125" s="56">
        <f>AN106/AN135</f>
        <v>0.1052836736995611</v>
      </c>
      <c r="AO125" s="57">
        <f>AO106/AO135</f>
        <v>0.12349762796504377</v>
      </c>
      <c r="AP125" s="57">
        <f t="shared" si="677"/>
        <v>0.20582255396666735</v>
      </c>
      <c r="AQ125" s="58">
        <f>AQ106/AQ135</f>
        <v>0.19028149727005059</v>
      </c>
      <c r="AR125" s="56">
        <f>AR106/AR135</f>
        <v>0.19102987800311477</v>
      </c>
      <c r="AS125" s="57">
        <f>AS106/AS135</f>
        <v>0.26691961273879461</v>
      </c>
      <c r="AT125" s="57">
        <f>AT106/AT135</f>
        <v>0.22177812570325067</v>
      </c>
      <c r="AU125" s="58">
        <f t="shared" si="677"/>
        <v>0.156466428658985</v>
      </c>
      <c r="AV125" s="56">
        <f>AV106/AV135</f>
        <v>2.6727773172448326E-2</v>
      </c>
      <c r="AW125" s="57">
        <f t="shared" ref="AW125:AY125" si="679">AW106/AW135</f>
        <v>-1.4949415920428843</v>
      </c>
      <c r="AX125" s="57">
        <f t="shared" si="679"/>
        <v>-0.11439471823243832</v>
      </c>
      <c r="AY125" s="58">
        <f t="shared" si="679"/>
        <v>8.2581254055329074E-3</v>
      </c>
      <c r="AZ125" s="56">
        <f>AZ106/AZ135</f>
        <v>-4.4574031926477041E-2</v>
      </c>
      <c r="BA125" s="57">
        <f t="shared" ref="BA125:BC125" si="680">BA106/BA135</f>
        <v>9.9754235739256514E-2</v>
      </c>
      <c r="BB125" s="57">
        <f t="shared" si="680"/>
        <v>0.13908686416735797</v>
      </c>
      <c r="BC125" s="58">
        <f t="shared" si="680"/>
        <v>-0.151382144559049</v>
      </c>
      <c r="BD125" s="56">
        <f>BD106/BD135</f>
        <v>0.18734833614120769</v>
      </c>
      <c r="BE125" s="57">
        <f t="shared" ref="BE125:BG125" si="681">BE106/BE135</f>
        <v>0.26542741750586407</v>
      </c>
      <c r="BF125" s="57">
        <f t="shared" si="681"/>
        <v>0.29577364365036451</v>
      </c>
      <c r="BG125" s="58">
        <f t="shared" si="681"/>
        <v>9.6332060442870987E-2</v>
      </c>
      <c r="BH125" s="56">
        <f t="shared" ref="BH125:BK125" si="682">BH106/BH135</f>
        <v>0.26781773075926968</v>
      </c>
      <c r="BI125" s="57">
        <f t="shared" si="682"/>
        <v>0.28822238421338969</v>
      </c>
      <c r="BJ125" s="57">
        <f t="shared" si="682"/>
        <v>0.30309687243573236</v>
      </c>
      <c r="BK125" s="57">
        <f t="shared" si="682"/>
        <v>0.303278494233712</v>
      </c>
      <c r="BL125" s="56">
        <f t="shared" ref="BL125:BO125" si="683">BL106/BL135</f>
        <v>0.28594791805105507</v>
      </c>
      <c r="BM125" s="57">
        <f t="shared" si="683"/>
        <v>0.30553895370048312</v>
      </c>
      <c r="BN125" s="57">
        <f t="shared" si="683"/>
        <v>0.31744499460137415</v>
      </c>
      <c r="BO125" s="609">
        <f t="shared" si="683"/>
        <v>0.31565091810434226</v>
      </c>
      <c r="BP125" s="347"/>
      <c r="BQ125" s="56">
        <f t="shared" ref="BQ125:CA125" si="684">BQ106/BQ135</f>
        <v>0.23651912291861793</v>
      </c>
      <c r="BR125" s="57">
        <f t="shared" si="684"/>
        <v>0.31600423894602947</v>
      </c>
      <c r="BS125" s="57">
        <f t="shared" si="684"/>
        <v>-1.9440829036031775E-2</v>
      </c>
      <c r="BT125" s="57">
        <f t="shared" si="684"/>
        <v>-0.19384287524478655</v>
      </c>
      <c r="BU125" s="57">
        <f t="shared" si="684"/>
        <v>0.23359584216471344</v>
      </c>
      <c r="BV125" s="57">
        <f t="shared" si="684"/>
        <v>0.54066671663548649</v>
      </c>
      <c r="BW125" s="57">
        <f t="shared" si="684"/>
        <v>1.3357335680382703</v>
      </c>
      <c r="BX125" s="57">
        <f t="shared" si="684"/>
        <v>0.98688083893318723</v>
      </c>
      <c r="BY125" s="57">
        <f t="shared" si="684"/>
        <v>0.54443652236143525</v>
      </c>
      <c r="BZ125" s="57">
        <f>BZ106/BZ135</f>
        <v>0.62512328699229447</v>
      </c>
      <c r="CA125" s="57">
        <f t="shared" si="684"/>
        <v>0.83598242759737029</v>
      </c>
      <c r="CB125" s="57">
        <f t="shared" ref="CB125:CG125" si="685">CB106/CB135</f>
        <v>-1.5778655450092274</v>
      </c>
      <c r="CC125" s="57">
        <f t="shared" si="685"/>
        <v>4.7471229152186857E-2</v>
      </c>
      <c r="CD125" s="57">
        <f t="shared" si="685"/>
        <v>0.84457045386441676</v>
      </c>
      <c r="CE125" s="57">
        <f t="shared" si="685"/>
        <v>1.162415481642104</v>
      </c>
      <c r="CF125" s="57">
        <f t="shared" si="685"/>
        <v>1.2245827844572552</v>
      </c>
      <c r="CG125" s="609">
        <f t="shared" si="685"/>
        <v>1.2637707164606591</v>
      </c>
      <c r="CH125" s="56"/>
    </row>
    <row r="126" spans="2:86" ht="15">
      <c r="B126" s="39" t="s">
        <v>54</v>
      </c>
      <c r="C126" s="40"/>
      <c r="D126" s="59">
        <f t="shared" ref="D126:O126" si="686">(D110)/D136</f>
        <v>8.3812002428591867E-2</v>
      </c>
      <c r="E126" s="60">
        <f t="shared" si="686"/>
        <v>0.10076007093995439</v>
      </c>
      <c r="F126" s="60">
        <f t="shared" si="686"/>
        <v>0.1107670406354254</v>
      </c>
      <c r="G126" s="61">
        <f t="shared" si="686"/>
        <v>0.1220384762720996</v>
      </c>
      <c r="H126" s="59">
        <f t="shared" si="686"/>
        <v>0.13404786044191244</v>
      </c>
      <c r="I126" s="60">
        <f t="shared" si="686"/>
        <v>0.15408532349629916</v>
      </c>
      <c r="J126" s="60">
        <f t="shared" si="686"/>
        <v>0.1781526317786801</v>
      </c>
      <c r="K126" s="61">
        <f t="shared" si="686"/>
        <v>0.19482218505526755</v>
      </c>
      <c r="L126" s="59">
        <f t="shared" si="686"/>
        <v>0.21083131618286335</v>
      </c>
      <c r="M126" s="60">
        <f t="shared" si="686"/>
        <v>0.20186793742393846</v>
      </c>
      <c r="N126" s="60">
        <f t="shared" si="686"/>
        <v>0.11968227877567132</v>
      </c>
      <c r="O126" s="61">
        <f t="shared" si="686"/>
        <v>3.2602968782041337E-2</v>
      </c>
      <c r="P126" s="59">
        <f t="shared" ref="P126:W126" si="687">(P110)/P136</f>
        <v>4.9356145297675243E-2</v>
      </c>
      <c r="Q126" s="60">
        <f t="shared" si="687"/>
        <v>6.3010703553148098E-2</v>
      </c>
      <c r="R126" s="60">
        <f t="shared" si="687"/>
        <v>0.13674155147451766</v>
      </c>
      <c r="S126" s="61">
        <f t="shared" si="687"/>
        <v>0.19587405444425168</v>
      </c>
      <c r="T126" s="59">
        <f t="shared" si="687"/>
        <v>0.24090936027971446</v>
      </c>
      <c r="U126" s="60">
        <f t="shared" si="687"/>
        <v>0.24054162559537109</v>
      </c>
      <c r="V126" s="60">
        <f t="shared" si="687"/>
        <v>0.22976523594972739</v>
      </c>
      <c r="W126" s="61">
        <f t="shared" si="687"/>
        <v>5.1450574888074196E-2</v>
      </c>
      <c r="X126" s="59">
        <f t="shared" ref="X126:AD126" si="688">(X110)/X136</f>
        <v>5.0067153101216594E-2</v>
      </c>
      <c r="Y126" s="60">
        <f t="shared" si="688"/>
        <v>0.18213424859726185</v>
      </c>
      <c r="Z126" s="60">
        <f t="shared" si="688"/>
        <v>0.34904131703702806</v>
      </c>
      <c r="AA126" s="61">
        <f t="shared" si="688"/>
        <v>0.39587278588440394</v>
      </c>
      <c r="AB126" s="59">
        <f t="shared" si="688"/>
        <v>0.38183568668372048</v>
      </c>
      <c r="AC126" s="60">
        <f t="shared" si="688"/>
        <v>0.40294773649629761</v>
      </c>
      <c r="AD126" s="60">
        <f t="shared" si="688"/>
        <v>0.45358295731801812</v>
      </c>
      <c r="AE126" s="61">
        <f t="shared" ref="AE126:AJ126" si="689">(AE110)/AE136</f>
        <v>0.39824286162535322</v>
      </c>
      <c r="AF126" s="59">
        <f t="shared" si="689"/>
        <v>0.28554426591527543</v>
      </c>
      <c r="AG126" s="60">
        <f t="shared" si="689"/>
        <v>0.37525709173032928</v>
      </c>
      <c r="AH126" s="60">
        <f t="shared" si="689"/>
        <v>0.39744446449678661</v>
      </c>
      <c r="AI126" s="61">
        <f t="shared" si="689"/>
        <v>0.20906988147539124</v>
      </c>
      <c r="AJ126" s="59">
        <f t="shared" si="689"/>
        <v>0.22898243423779574</v>
      </c>
      <c r="AK126" s="60">
        <f t="shared" ref="AK126:AU126" si="690">(AK110)/AK136</f>
        <v>0.24208057249325377</v>
      </c>
      <c r="AL126" s="60">
        <f t="shared" si="690"/>
        <v>0.19538940809968841</v>
      </c>
      <c r="AM126" s="61">
        <f t="shared" si="690"/>
        <v>0.1917457622758956</v>
      </c>
      <c r="AN126" s="59">
        <f t="shared" si="690"/>
        <v>0.18775993768194435</v>
      </c>
      <c r="AO126" s="60">
        <f t="shared" si="690"/>
        <v>0.22860644705864117</v>
      </c>
      <c r="AP126" s="60">
        <f t="shared" si="690"/>
        <v>0.3177149880494668</v>
      </c>
      <c r="AQ126" s="61">
        <f t="shared" si="690"/>
        <v>0.27030786367865872</v>
      </c>
      <c r="AR126" s="59">
        <f t="shared" si="690"/>
        <v>0.27178831621340338</v>
      </c>
      <c r="AS126" s="60">
        <f t="shared" si="690"/>
        <v>0.34019532494798205</v>
      </c>
      <c r="AT126" s="60">
        <f t="shared" si="690"/>
        <v>0.29081552217292411</v>
      </c>
      <c r="AU126" s="61">
        <f t="shared" si="690"/>
        <v>0.24560247747747754</v>
      </c>
      <c r="AV126" s="59">
        <f>(AV110)/AV136</f>
        <v>0.13281635398759267</v>
      </c>
      <c r="AW126" s="60">
        <f t="shared" ref="AW126:AY126" si="691">(AW110)/AW136</f>
        <v>7.3932998337530156E-2</v>
      </c>
      <c r="AX126" s="60">
        <f t="shared" si="691"/>
        <v>0.12396216044204003</v>
      </c>
      <c r="AY126" s="61">
        <f t="shared" si="691"/>
        <v>0.10511061230156883</v>
      </c>
      <c r="AZ126" s="59">
        <f>(AZ110)/AZ136</f>
        <v>1.7863056916359043E-2</v>
      </c>
      <c r="BA126" s="60">
        <f t="shared" ref="BA126:BC126" si="692">(BA110)/BA136</f>
        <v>0.17505076426575589</v>
      </c>
      <c r="BB126" s="60">
        <f t="shared" si="692"/>
        <v>0.19710584753427324</v>
      </c>
      <c r="BC126" s="61">
        <f t="shared" si="692"/>
        <v>0.21617711936774456</v>
      </c>
      <c r="BD126" s="59">
        <f>(BD110)/BD136</f>
        <v>0.23757631596050094</v>
      </c>
      <c r="BE126" s="60">
        <f t="shared" ref="BE126:BG126" si="693">(BE110)/BE136</f>
        <v>0.29545585806198238</v>
      </c>
      <c r="BF126" s="60">
        <f t="shared" si="693"/>
        <v>0.3350498170384415</v>
      </c>
      <c r="BG126" s="61">
        <f t="shared" si="693"/>
        <v>0.32169972843859024</v>
      </c>
      <c r="BH126" s="59">
        <f t="shared" ref="BH126" si="694">(BH110)/BH136</f>
        <v>0.30643323680730855</v>
      </c>
      <c r="BI126" s="60">
        <f>(BI110)/BI136</f>
        <v>0.32663061288084538</v>
      </c>
      <c r="BJ126" s="60">
        <f t="shared" ref="BJ126" si="695">(BJ110)/BJ136</f>
        <v>0.34136321055155761</v>
      </c>
      <c r="BK126" s="60">
        <f>(BK110)/BK136</f>
        <v>0.34157612565277684</v>
      </c>
      <c r="BL126" s="59">
        <f t="shared" ref="BL126" si="696">(BL110)/BL136</f>
        <v>0.32448319770286793</v>
      </c>
      <c r="BM126" s="60">
        <f>(BM110)/BM136</f>
        <v>0.34387785834806772</v>
      </c>
      <c r="BN126" s="60">
        <f t="shared" ref="BN126" si="697">(BN110)/BN136</f>
        <v>0.35567827467223018</v>
      </c>
      <c r="BO126" s="612">
        <f>(BO110)/BO136</f>
        <v>0.35394009178896213</v>
      </c>
      <c r="BP126" s="347"/>
      <c r="BQ126" s="59">
        <f t="shared" ref="BQ126:BW126" si="698">(BQ110)/BQ136</f>
        <v>0.41838177717003833</v>
      </c>
      <c r="BR126" s="60">
        <f t="shared" si="698"/>
        <v>0.66235907801339799</v>
      </c>
      <c r="BS126" s="60">
        <f t="shared" si="698"/>
        <v>0.56564174725307592</v>
      </c>
      <c r="BT126" s="60">
        <f t="shared" si="698"/>
        <v>0.4443413464283682</v>
      </c>
      <c r="BU126" s="60">
        <f t="shared" si="698"/>
        <v>0.76467509231413344</v>
      </c>
      <c r="BV126" s="60">
        <f t="shared" si="698"/>
        <v>0.98721811264685211</v>
      </c>
      <c r="BW126" s="60">
        <f t="shared" si="698"/>
        <v>1.645334297563853</v>
      </c>
      <c r="BX126" s="60">
        <f t="shared" ref="BX126:CA126" si="699">(BX110)/BX136</f>
        <v>1.2674405486352487</v>
      </c>
      <c r="BY126" s="60">
        <f t="shared" si="699"/>
        <v>0.86063178781276684</v>
      </c>
      <c r="BZ126" s="60">
        <f t="shared" si="699"/>
        <v>1.0036560966338779</v>
      </c>
      <c r="CA126" s="60">
        <f t="shared" si="699"/>
        <v>1.1485382665448198</v>
      </c>
      <c r="CB126" s="60">
        <f>(CB110)/CB136</f>
        <v>0.4356160414217341</v>
      </c>
      <c r="CC126" s="60">
        <f>(CC110)/CC136</f>
        <v>0.60790558368124348</v>
      </c>
      <c r="CD126" s="60">
        <f>(CD110)/CD136</f>
        <v>1.1885207722790572</v>
      </c>
      <c r="CE126" s="60">
        <f>(CE110)/CE136</f>
        <v>1.3160031858924881</v>
      </c>
      <c r="CF126" s="60">
        <f>(CF110)/CF136</f>
        <v>1.3779794225121282</v>
      </c>
      <c r="CG126" s="612">
        <f t="shared" ref="CG126" si="700">(CG110)/CG136</f>
        <v>1.4193361658576287</v>
      </c>
      <c r="CH126" s="336"/>
    </row>
    <row r="127" spans="2:86" ht="14.25">
      <c r="B127" s="62" t="s">
        <v>55</v>
      </c>
      <c r="C127" s="63"/>
      <c r="D127" s="64">
        <f t="shared" ref="D127:O127" si="701">D112/D136</f>
        <v>8.3812002428591867E-2</v>
      </c>
      <c r="E127" s="65">
        <f t="shared" si="701"/>
        <v>0.10076007093995439</v>
      </c>
      <c r="F127" s="65">
        <f t="shared" si="701"/>
        <v>0.1107670406354254</v>
      </c>
      <c r="G127" s="66">
        <f t="shared" si="701"/>
        <v>0.1220384762720996</v>
      </c>
      <c r="H127" s="64">
        <f t="shared" si="701"/>
        <v>0.11861471861471858</v>
      </c>
      <c r="I127" s="65">
        <f t="shared" si="701"/>
        <v>0.10675737178719433</v>
      </c>
      <c r="J127" s="65">
        <f t="shared" si="701"/>
        <v>0.1630251223862472</v>
      </c>
      <c r="K127" s="66">
        <f t="shared" si="701"/>
        <v>8.0399977059136443E-2</v>
      </c>
      <c r="L127" s="64">
        <f t="shared" si="701"/>
        <v>0.13458302841523909</v>
      </c>
      <c r="M127" s="65">
        <f t="shared" si="701"/>
        <v>0.11409981800474484</v>
      </c>
      <c r="N127" s="65">
        <f t="shared" si="701"/>
        <v>5.2970956314915302E-2</v>
      </c>
      <c r="O127" s="66">
        <f t="shared" si="701"/>
        <v>-3.9371854936665708E-2</v>
      </c>
      <c r="P127" s="64">
        <f t="shared" ref="P127:W127" si="702">P112/P136</f>
        <v>-2.4469792240292561E-2</v>
      </c>
      <c r="Q127" s="65">
        <f t="shared" si="702"/>
        <v>-3.0405008742451351E-2</v>
      </c>
      <c r="R127" s="65">
        <f t="shared" si="702"/>
        <v>4.8960297361456163E-2</v>
      </c>
      <c r="S127" s="66">
        <f t="shared" si="702"/>
        <v>8.4391298735859849E-2</v>
      </c>
      <c r="T127" s="64">
        <f t="shared" si="702"/>
        <v>0.16847254188749605</v>
      </c>
      <c r="U127" s="65">
        <f t="shared" si="702"/>
        <v>0.16614152686804756</v>
      </c>
      <c r="V127" s="65">
        <f t="shared" si="702"/>
        <v>0.16719626906963883</v>
      </c>
      <c r="W127" s="66">
        <f t="shared" si="702"/>
        <v>-1.961710164835229E-2</v>
      </c>
      <c r="X127" s="64">
        <f t="shared" ref="X127:AD127" si="703">X112/X136</f>
        <v>3.5343737482429461E-4</v>
      </c>
      <c r="Y127" s="65">
        <f t="shared" si="703"/>
        <v>0.13608209144149461</v>
      </c>
      <c r="Z127" s="65">
        <f t="shared" si="703"/>
        <v>0.29727153347107682</v>
      </c>
      <c r="AA127" s="66">
        <f t="shared" si="703"/>
        <v>0.35041303380882161</v>
      </c>
      <c r="AB127" s="64">
        <f t="shared" si="703"/>
        <v>0.34236221489383856</v>
      </c>
      <c r="AC127" s="65">
        <f t="shared" si="703"/>
        <v>0.35770714571070145</v>
      </c>
      <c r="AD127" s="65">
        <f t="shared" si="703"/>
        <v>0.40997994092980206</v>
      </c>
      <c r="AE127" s="66">
        <f t="shared" ref="AE127:AJ127" si="704">AE112/AE136</f>
        <v>0.35259374931589821</v>
      </c>
      <c r="AF127" s="64">
        <f t="shared" si="704"/>
        <v>0.24409305103869383</v>
      </c>
      <c r="AG127" s="65">
        <f t="shared" si="704"/>
        <v>0.32667175648271302</v>
      </c>
      <c r="AH127" s="65">
        <f t="shared" si="704"/>
        <v>0.34767509352791698</v>
      </c>
      <c r="AI127" s="66">
        <f t="shared" si="704"/>
        <v>0.15720071256750481</v>
      </c>
      <c r="AJ127" s="64">
        <f t="shared" si="704"/>
        <v>0.18407802454946137</v>
      </c>
      <c r="AK127" s="65">
        <f t="shared" ref="AK127:AU127" si="705">AK112/AK136</f>
        <v>0.18543810632650731</v>
      </c>
      <c r="AL127" s="65">
        <f t="shared" si="705"/>
        <v>0.14282104534440981</v>
      </c>
      <c r="AM127" s="66">
        <f t="shared" si="705"/>
        <v>0.12471016649579796</v>
      </c>
      <c r="AN127" s="64">
        <f t="shared" si="705"/>
        <v>0.12361789232527115</v>
      </c>
      <c r="AO127" s="65">
        <f t="shared" si="705"/>
        <v>0.14891805618583304</v>
      </c>
      <c r="AP127" s="65">
        <f t="shared" si="705"/>
        <v>0.23369953111903272</v>
      </c>
      <c r="AQ127" s="66">
        <f t="shared" si="705"/>
        <v>0.19757308729204931</v>
      </c>
      <c r="AR127" s="64">
        <f t="shared" si="705"/>
        <v>0.21528311989984478</v>
      </c>
      <c r="AS127" s="65">
        <f t="shared" si="705"/>
        <v>0.27454964665304504</v>
      </c>
      <c r="AT127" s="65">
        <f t="shared" si="705"/>
        <v>0.22645135620068615</v>
      </c>
      <c r="AU127" s="66">
        <f t="shared" si="705"/>
        <v>0.1743506006006007</v>
      </c>
      <c r="AV127" s="64">
        <f>AV112/AV136</f>
        <v>7.0739591897750351E-2</v>
      </c>
      <c r="AW127" s="65">
        <f t="shared" ref="AW127:AY127" si="706">AW112/AW136</f>
        <v>-1.2232832090546439</v>
      </c>
      <c r="AX127" s="65">
        <f t="shared" si="706"/>
        <v>-4.7444094078168044E-3</v>
      </c>
      <c r="AY127" s="66">
        <f t="shared" si="706"/>
        <v>4.2594221008623673E-2</v>
      </c>
      <c r="AZ127" s="64">
        <f>AZ112/AZ136</f>
        <v>-2.8949217306738634E-2</v>
      </c>
      <c r="BA127" s="65">
        <f t="shared" ref="BA127:BC127" si="707">BA112/BA136</f>
        <v>0.10439678375847418</v>
      </c>
      <c r="BB127" s="65">
        <f t="shared" si="707"/>
        <v>0.14396302584843693</v>
      </c>
      <c r="BC127" s="66">
        <f t="shared" si="707"/>
        <v>0.17375473595119487</v>
      </c>
      <c r="BD127" s="64">
        <f>BD112/BD136</f>
        <v>0.19194539275242084</v>
      </c>
      <c r="BE127" s="65">
        <f t="shared" ref="BE127:BG127" si="708">BE112/BE136</f>
        <v>0.24607171596995212</v>
      </c>
      <c r="BF127" s="65">
        <f t="shared" si="708"/>
        <v>0.28838681740514471</v>
      </c>
      <c r="BG127" s="66">
        <f t="shared" si="708"/>
        <v>0.14100303969169675</v>
      </c>
      <c r="BH127" s="64">
        <f t="shared" ref="BH127:BK127" si="709">BH112/BH136</f>
        <v>0.2646670138926796</v>
      </c>
      <c r="BI127" s="65">
        <f t="shared" si="709"/>
        <v>0.28483161869276719</v>
      </c>
      <c r="BJ127" s="65">
        <f t="shared" si="709"/>
        <v>0.29953111737729543</v>
      </c>
      <c r="BK127" s="65">
        <f t="shared" si="709"/>
        <v>0.29971060250246928</v>
      </c>
      <c r="BL127" s="64">
        <f t="shared" ref="BL127:BO127" si="710">BL112/BL136</f>
        <v>0.28258391027675445</v>
      </c>
      <c r="BM127" s="65">
        <f t="shared" si="710"/>
        <v>0.30194446900339006</v>
      </c>
      <c r="BN127" s="65">
        <f t="shared" si="710"/>
        <v>0.3137104423898025</v>
      </c>
      <c r="BO127" s="66">
        <f t="shared" si="710"/>
        <v>0.31193747213940753</v>
      </c>
      <c r="BP127" s="347"/>
      <c r="BQ127" s="64">
        <f t="shared" ref="BQ127:BW127" si="711">BQ112/BQ136</f>
        <v>0.41838177717003833</v>
      </c>
      <c r="BR127" s="65">
        <f t="shared" si="711"/>
        <v>0.46813424596341774</v>
      </c>
      <c r="BS127" s="65">
        <f t="shared" si="711"/>
        <v>0.26290735070963817</v>
      </c>
      <c r="BT127" s="65">
        <f t="shared" si="711"/>
        <v>7.7978580990629917E-2</v>
      </c>
      <c r="BU127" s="65">
        <f t="shared" si="711"/>
        <v>0.48371654802238262</v>
      </c>
      <c r="BV127" s="65">
        <f t="shared" si="711"/>
        <v>0.79448655511694111</v>
      </c>
      <c r="BW127" s="65">
        <f t="shared" si="711"/>
        <v>1.4704062362766128</v>
      </c>
      <c r="BX127" s="65">
        <f t="shared" ref="BX127:CA127" si="712">BX112/BX136</f>
        <v>1.0763079938082003</v>
      </c>
      <c r="BY127" s="65">
        <f t="shared" si="712"/>
        <v>0.64063902987480137</v>
      </c>
      <c r="BZ127" s="65">
        <f t="shared" si="712"/>
        <v>0.70328094807032526</v>
      </c>
      <c r="CA127" s="65">
        <f t="shared" si="712"/>
        <v>0.89073369843406114</v>
      </c>
      <c r="CB127" s="65">
        <f>CB112/CB136</f>
        <v>-1.1295098982269893</v>
      </c>
      <c r="CC127" s="65">
        <f>CC112/CC136</f>
        <v>0.39485998592556554</v>
      </c>
      <c r="CD127" s="65">
        <f>CD112/CD136</f>
        <v>0.86735081313534135</v>
      </c>
      <c r="CE127" s="65">
        <f>CE112/CE136</f>
        <v>1.1487403524652118</v>
      </c>
      <c r="CF127" s="65">
        <f>CF112/CF136</f>
        <v>1.2101762938093552</v>
      </c>
      <c r="CG127" s="66">
        <f t="shared" ref="CG127" si="713">CG112/CG136</f>
        <v>1.2486071689182487</v>
      </c>
      <c r="CH127" s="336"/>
    </row>
    <row r="128" spans="2:86" ht="15"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  <c r="AI128" s="67"/>
      <c r="AJ128" s="67"/>
      <c r="AK128" s="67"/>
      <c r="AL128" s="67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  <c r="BI128" s="67"/>
      <c r="BJ128" s="67"/>
      <c r="BK128" s="67"/>
      <c r="BL128" s="67"/>
      <c r="BM128" s="67"/>
      <c r="BN128" s="67"/>
      <c r="BO128" s="67"/>
      <c r="CC128" s="530"/>
      <c r="CD128" s="530"/>
      <c r="CE128" s="530"/>
      <c r="CF128" s="530"/>
      <c r="CG128" s="67"/>
    </row>
    <row r="129" spans="2:86" ht="14.25">
      <c r="B129" s="68"/>
      <c r="C129" s="68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253" t="s">
        <v>306</v>
      </c>
      <c r="AW129" s="52"/>
      <c r="AX129" s="52"/>
      <c r="AY129" s="52"/>
      <c r="AZ129" s="253" t="s">
        <v>306</v>
      </c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  <c r="BK129" s="52"/>
      <c r="BL129" s="52"/>
      <c r="BM129" s="52"/>
      <c r="BN129" s="52"/>
      <c r="BO129" s="52"/>
      <c r="BR129" s="371"/>
      <c r="BS129" s="371"/>
      <c r="BT129" s="371"/>
      <c r="BU129" s="371"/>
      <c r="BV129" s="371"/>
      <c r="BW129" s="371"/>
      <c r="BX129" s="371"/>
      <c r="BY129" s="371"/>
      <c r="BZ129" s="371"/>
      <c r="CA129" s="371" t="s">
        <v>306</v>
      </c>
      <c r="CB129" s="451" t="s">
        <v>306</v>
      </c>
      <c r="CC129" s="539"/>
      <c r="CD129" s="573"/>
      <c r="CE129" s="680"/>
      <c r="CF129" s="680"/>
      <c r="CG129" s="52"/>
    </row>
    <row r="130" spans="2:86" ht="14.25">
      <c r="B130" s="68"/>
      <c r="C130" s="68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2"/>
      <c r="AW130" s="52"/>
      <c r="AX130" s="52"/>
      <c r="AY130" s="52"/>
      <c r="AZ130" s="52"/>
      <c r="BA130" s="52"/>
      <c r="BB130" s="52"/>
      <c r="BC130" s="52"/>
      <c r="BD130" s="52"/>
      <c r="BE130" s="52"/>
      <c r="BF130" s="52"/>
      <c r="BG130" s="52"/>
      <c r="BH130" s="52"/>
      <c r="BI130" s="52"/>
      <c r="BJ130" s="52"/>
      <c r="BK130" s="52"/>
      <c r="BL130" s="52"/>
      <c r="BM130" s="52"/>
      <c r="BN130" s="52"/>
      <c r="BO130" s="52"/>
      <c r="BR130" s="371"/>
      <c r="BS130" s="371"/>
      <c r="BT130" s="371"/>
      <c r="BU130" s="371"/>
      <c r="BV130" s="371"/>
      <c r="BW130" s="371"/>
      <c r="BX130" s="371"/>
      <c r="BY130" s="371"/>
      <c r="BZ130" s="371"/>
      <c r="CA130" s="371" t="s">
        <v>306</v>
      </c>
      <c r="CB130" s="371"/>
      <c r="CC130" s="540"/>
      <c r="CD130" s="540"/>
      <c r="CE130" s="540"/>
      <c r="CF130" s="540"/>
      <c r="CG130" s="52"/>
    </row>
    <row r="131" spans="2:86" ht="14.25">
      <c r="B131" s="68"/>
      <c r="C131" s="68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260"/>
      <c r="AW131" s="52"/>
      <c r="AX131" s="52"/>
      <c r="AY131" s="52"/>
      <c r="AZ131" s="260"/>
      <c r="BA131" s="52"/>
      <c r="BB131" s="52"/>
      <c r="BC131" s="52"/>
      <c r="BD131" s="52"/>
      <c r="BE131" s="52"/>
      <c r="BF131" s="52"/>
      <c r="BG131" s="52"/>
      <c r="BH131" s="52"/>
      <c r="BI131" s="52"/>
      <c r="BJ131" s="52"/>
      <c r="BK131" s="52"/>
      <c r="BL131" s="52"/>
      <c r="BM131" s="52"/>
      <c r="BN131" s="52"/>
      <c r="BO131" s="52"/>
      <c r="BQ131" s="254"/>
      <c r="BR131" s="254"/>
      <c r="BS131" s="254"/>
      <c r="BT131" s="254"/>
      <c r="BU131" s="254"/>
      <c r="BV131" s="254"/>
      <c r="BW131" s="254"/>
      <c r="BX131" s="254"/>
      <c r="BY131" s="254"/>
      <c r="BZ131" s="254"/>
      <c r="CA131" s="254"/>
      <c r="CB131" s="254"/>
      <c r="CC131" s="254"/>
      <c r="CD131" s="254"/>
      <c r="CE131" s="254"/>
      <c r="CF131" s="254"/>
      <c r="CG131" s="260"/>
    </row>
    <row r="132" spans="2:86" ht="14.25" customHeight="1">
      <c r="B132" s="69" t="s">
        <v>56</v>
      </c>
      <c r="C132" s="70"/>
      <c r="D132" s="250">
        <f>264.478*2</f>
        <v>528.95600000000002</v>
      </c>
      <c r="E132" s="250">
        <f>267.647*2</f>
        <v>535.29399999999998</v>
      </c>
      <c r="F132" s="250">
        <f>271.069*2</f>
        <v>542.13800000000003</v>
      </c>
      <c r="G132" s="250">
        <f>275.555*2</f>
        <v>551.11</v>
      </c>
      <c r="H132" s="248">
        <f>278.793*2</f>
        <v>557.58600000000001</v>
      </c>
      <c r="I132" s="72">
        <v>561.83199999999999</v>
      </c>
      <c r="J132" s="72">
        <v>567.30999999999995</v>
      </c>
      <c r="K132" s="72">
        <v>567.30999999999995</v>
      </c>
      <c r="L132" s="71">
        <v>583.702</v>
      </c>
      <c r="M132" s="72">
        <v>586.13300000000004</v>
      </c>
      <c r="N132" s="72">
        <v>587.34799999999996</v>
      </c>
      <c r="O132" s="72">
        <v>587.42399999999998</v>
      </c>
      <c r="P132" s="71">
        <v>587.42600000000004</v>
      </c>
      <c r="Q132" s="72">
        <v>587.53399999999999</v>
      </c>
      <c r="R132" s="72">
        <v>590.75900000000001</v>
      </c>
      <c r="S132" s="72">
        <v>595.51199999999994</v>
      </c>
      <c r="T132" s="71">
        <v>601.22199999999998</v>
      </c>
      <c r="U132" s="72">
        <v>606.86</v>
      </c>
      <c r="V132" s="72">
        <v>611.94500000000005</v>
      </c>
      <c r="W132" s="72">
        <v>614.96</v>
      </c>
      <c r="X132" s="71">
        <v>618.67700000000002</v>
      </c>
      <c r="Y132" s="72">
        <v>620.88099999999997</v>
      </c>
      <c r="Z132" s="72">
        <v>623.61300000000006</v>
      </c>
      <c r="AA132" s="72">
        <v>631.11800000000005</v>
      </c>
      <c r="AB132" s="71">
        <v>640.92600000000004</v>
      </c>
      <c r="AC132" s="72">
        <v>648.02800000000002</v>
      </c>
      <c r="AD132" s="72">
        <v>649.78200000000004</v>
      </c>
      <c r="AE132" s="99">
        <v>654.65</v>
      </c>
      <c r="AF132" s="71">
        <v>638.94600000000003</v>
      </c>
      <c r="AG132" s="72">
        <v>608.51099999999997</v>
      </c>
      <c r="AH132" s="72">
        <v>600.50400000000002</v>
      </c>
      <c r="AI132" s="99">
        <v>583.46600000000001</v>
      </c>
      <c r="AJ132" s="71">
        <v>580.024</v>
      </c>
      <c r="AK132" s="72">
        <v>562.36199999999997</v>
      </c>
      <c r="AL132" s="72">
        <v>553.04899999999998</v>
      </c>
      <c r="AM132" s="99">
        <v>525.80399999999997</v>
      </c>
      <c r="AN132" s="71">
        <v>502.18</v>
      </c>
      <c r="AO132" s="72">
        <v>494.29300000000001</v>
      </c>
      <c r="AP132" s="72">
        <v>491.97899999999998</v>
      </c>
      <c r="AQ132" s="99">
        <v>497.62</v>
      </c>
      <c r="AR132" s="71">
        <v>505.10500000000002</v>
      </c>
      <c r="AS132" s="72">
        <v>511.82100000000003</v>
      </c>
      <c r="AT132" s="72">
        <v>513.85900000000004</v>
      </c>
      <c r="AU132" s="99">
        <v>513.57399999999996</v>
      </c>
      <c r="AV132" s="71">
        <v>516.22799999999995</v>
      </c>
      <c r="AW132" s="72">
        <v>516.36800000000005</v>
      </c>
      <c r="AX132" s="72">
        <v>504.83100000000002</v>
      </c>
      <c r="AY132" s="99">
        <v>506.35199999999998</v>
      </c>
      <c r="AZ132" s="71">
        <v>508.79399999999998</v>
      </c>
      <c r="BA132" s="72">
        <v>511.23500000000001</v>
      </c>
      <c r="BB132" s="72">
        <v>511.09</v>
      </c>
      <c r="BC132" s="99">
        <v>507.834</v>
      </c>
      <c r="BD132" s="71">
        <v>503.79</v>
      </c>
      <c r="BE132" s="72">
        <v>500.81700000000001</v>
      </c>
      <c r="BF132" s="72">
        <v>494.096</v>
      </c>
      <c r="BG132" s="99">
        <v>493.66300000000001</v>
      </c>
      <c r="BH132" s="248">
        <f t="shared" ref="BH132" si="714">BG132+(BH133-BG133)</f>
        <v>493.66300000000001</v>
      </c>
      <c r="BI132" s="250">
        <f t="shared" ref="BI132" si="715">BH132+(BI133-BH133)</f>
        <v>493.66300000000001</v>
      </c>
      <c r="BJ132" s="250">
        <f t="shared" ref="BJ132" si="716">BI132+(BJ133-BI133)</f>
        <v>493.66300000000001</v>
      </c>
      <c r="BK132" s="479">
        <f t="shared" ref="BK132" si="717">BJ132+(BK133-BJ133)</f>
        <v>493.66300000000001</v>
      </c>
      <c r="BL132" s="248">
        <f t="shared" ref="BL132" si="718">BK132+(BL133-BK133)</f>
        <v>493.66300000000001</v>
      </c>
      <c r="BM132" s="250">
        <f t="shared" ref="BM132" si="719">BL132+(BM133-BL133)</f>
        <v>493.66300000000001</v>
      </c>
      <c r="BN132" s="250">
        <f t="shared" ref="BN132" si="720">BM132+(BN133-BM133)</f>
        <v>493.66300000000001</v>
      </c>
      <c r="BO132" s="479">
        <f t="shared" ref="BO132" si="721">BN132+(BO133-BN133)</f>
        <v>493.66300000000001</v>
      </c>
      <c r="BP132" s="247"/>
      <c r="BQ132" s="26">
        <f>AVERAGE(D132:G132)</f>
        <v>539.37450000000001</v>
      </c>
      <c r="BR132" s="520">
        <f>AVERAGE(H132:K132)</f>
        <v>563.5095</v>
      </c>
      <c r="BS132" s="520">
        <f>AVERAGE(L132:O132)</f>
        <v>586.15174999999999</v>
      </c>
      <c r="BT132" s="520">
        <f>AVERAGE(P132:S132)</f>
        <v>590.30774999999994</v>
      </c>
      <c r="BU132" s="520">
        <f>AVERAGE(T132:W132)</f>
        <v>608.74675000000002</v>
      </c>
      <c r="BV132" s="520">
        <f>AVERAGE(X132:AA132)</f>
        <v>623.57225000000005</v>
      </c>
      <c r="BW132" s="520">
        <f>AVERAGE(AB132:AE132)</f>
        <v>648.34650000000011</v>
      </c>
      <c r="BX132" s="520">
        <f>AVERAGE(AF132:AI132)</f>
        <v>607.85674999999992</v>
      </c>
      <c r="BY132" s="520">
        <f>AVERAGE(AJ132:AM132)</f>
        <v>555.30975000000001</v>
      </c>
      <c r="BZ132" s="520">
        <f>AVERAGE(AN132:AQ132)</f>
        <v>496.51800000000003</v>
      </c>
      <c r="CA132" s="520">
        <f>AVERAGE(AR132:AU132)</f>
        <v>511.08974999999998</v>
      </c>
      <c r="CB132" s="520">
        <f>AVERAGE(AV132:AY132)</f>
        <v>510.94475</v>
      </c>
      <c r="CC132" s="520">
        <f>AVERAGE(AZ132:BC132)</f>
        <v>509.73824999999999</v>
      </c>
      <c r="CD132" s="26">
        <f>AVERAGE(BD132:BG132)</f>
        <v>498.0915</v>
      </c>
      <c r="CE132" s="26">
        <f>AVERAGE(BH132:BK132)</f>
        <v>493.66300000000001</v>
      </c>
      <c r="CF132" s="26">
        <f>AVERAGE(BL132:BO132)</f>
        <v>493.66300000000001</v>
      </c>
      <c r="CG132" s="688">
        <f>CF132-10</f>
        <v>483.66300000000001</v>
      </c>
      <c r="CH132" s="336"/>
    </row>
    <row r="133" spans="2:86" ht="14.25">
      <c r="B133" s="16" t="s">
        <v>57</v>
      </c>
      <c r="C133" s="17"/>
      <c r="D133" s="74">
        <f t="shared" ref="D133:AD133" si="722">D132</f>
        <v>528.95600000000002</v>
      </c>
      <c r="E133" s="74">
        <f t="shared" si="722"/>
        <v>535.29399999999998</v>
      </c>
      <c r="F133" s="74">
        <f t="shared" si="722"/>
        <v>542.13800000000003</v>
      </c>
      <c r="G133" s="74">
        <f t="shared" si="722"/>
        <v>551.11</v>
      </c>
      <c r="H133" s="73">
        <f t="shared" si="722"/>
        <v>557.58600000000001</v>
      </c>
      <c r="I133" s="74">
        <f t="shared" si="722"/>
        <v>561.83199999999999</v>
      </c>
      <c r="J133" s="74">
        <f t="shared" si="722"/>
        <v>567.30999999999995</v>
      </c>
      <c r="K133" s="74">
        <f t="shared" si="722"/>
        <v>567.30999999999995</v>
      </c>
      <c r="L133" s="73">
        <f t="shared" si="722"/>
        <v>583.702</v>
      </c>
      <c r="M133" s="74">
        <f t="shared" si="722"/>
        <v>586.13300000000004</v>
      </c>
      <c r="N133" s="74">
        <f t="shared" si="722"/>
        <v>587.34799999999996</v>
      </c>
      <c r="O133" s="74">
        <f t="shared" si="722"/>
        <v>587.42399999999998</v>
      </c>
      <c r="P133" s="73">
        <f t="shared" si="722"/>
        <v>587.42600000000004</v>
      </c>
      <c r="Q133" s="74">
        <f t="shared" si="722"/>
        <v>587.53399999999999</v>
      </c>
      <c r="R133" s="74">
        <f t="shared" si="722"/>
        <v>590.75900000000001</v>
      </c>
      <c r="S133" s="74">
        <f t="shared" si="722"/>
        <v>595.51199999999994</v>
      </c>
      <c r="T133" s="73">
        <f t="shared" si="722"/>
        <v>601.22199999999998</v>
      </c>
      <c r="U133" s="74">
        <f t="shared" si="722"/>
        <v>606.86</v>
      </c>
      <c r="V133" s="74">
        <f t="shared" si="722"/>
        <v>611.94500000000005</v>
      </c>
      <c r="W133" s="74">
        <f t="shared" si="722"/>
        <v>614.96</v>
      </c>
      <c r="X133" s="73">
        <f t="shared" si="722"/>
        <v>618.67700000000002</v>
      </c>
      <c r="Y133" s="74">
        <f t="shared" si="722"/>
        <v>620.88099999999997</v>
      </c>
      <c r="Z133" s="74">
        <f t="shared" si="722"/>
        <v>623.61300000000006</v>
      </c>
      <c r="AA133" s="74">
        <f t="shared" si="722"/>
        <v>631.11800000000005</v>
      </c>
      <c r="AB133" s="73">
        <f t="shared" si="722"/>
        <v>640.92600000000004</v>
      </c>
      <c r="AC133" s="74">
        <f t="shared" si="722"/>
        <v>648.02800000000002</v>
      </c>
      <c r="AD133" s="74">
        <f t="shared" si="722"/>
        <v>649.78200000000004</v>
      </c>
      <c r="AE133" s="100">
        <f>+AE136</f>
        <v>685.20500000000004</v>
      </c>
      <c r="AF133" s="73">
        <f>+AF136</f>
        <v>662.94799999999998</v>
      </c>
      <c r="AG133" s="74">
        <f>+AG136</f>
        <v>624.77700000000004</v>
      </c>
      <c r="AH133" s="74">
        <f>+AH136</f>
        <v>615.05700000000002</v>
      </c>
      <c r="AI133" s="100">
        <f>+AI136</f>
        <v>605.697</v>
      </c>
      <c r="AJ133" s="73">
        <f>AJ135</f>
        <v>594.73900000000003</v>
      </c>
      <c r="AK133" s="74">
        <f>AK135</f>
        <v>570.32500000000005</v>
      </c>
      <c r="AL133" s="74">
        <f>AL135</f>
        <v>559.34799999999996</v>
      </c>
      <c r="AM133" s="100">
        <f>AM135</f>
        <v>528.08199999999999</v>
      </c>
      <c r="AN133" s="73">
        <v>505.387</v>
      </c>
      <c r="AO133" s="74">
        <v>500.625</v>
      </c>
      <c r="AP133" s="74">
        <f t="shared" ref="AP133:AX133" si="723">AP135</f>
        <v>501.18900000000002</v>
      </c>
      <c r="AQ133" s="74">
        <f t="shared" si="723"/>
        <v>510.44900000000001</v>
      </c>
      <c r="AR133" s="73">
        <f t="shared" si="723"/>
        <v>520.75099999999998</v>
      </c>
      <c r="AS133" s="74">
        <f t="shared" si="723"/>
        <v>520.26900000000001</v>
      </c>
      <c r="AT133" s="74">
        <f t="shared" si="723"/>
        <v>519.90700000000004</v>
      </c>
      <c r="AU133" s="100">
        <f t="shared" si="723"/>
        <v>522.11199999999997</v>
      </c>
      <c r="AV133" s="73">
        <f>AV135</f>
        <v>527.16700000000003</v>
      </c>
      <c r="AW133" s="74">
        <f t="shared" si="723"/>
        <v>516.36800000000005</v>
      </c>
      <c r="AX133" s="74">
        <f t="shared" si="723"/>
        <v>504.83100000000002</v>
      </c>
      <c r="AY133" s="100">
        <f>AY135</f>
        <v>508.59</v>
      </c>
      <c r="AZ133" s="73">
        <f>AZ135</f>
        <v>508.79399999999998</v>
      </c>
      <c r="BA133" s="74">
        <f t="shared" ref="BA133:BB133" si="724">BA135</f>
        <v>514.31399999999996</v>
      </c>
      <c r="BB133" s="74">
        <f t="shared" si="724"/>
        <v>522.09100000000001</v>
      </c>
      <c r="BC133" s="100">
        <f>BC135</f>
        <v>507.834</v>
      </c>
      <c r="BD133" s="73">
        <f>BD135</f>
        <v>517.59199999999998</v>
      </c>
      <c r="BE133" s="74">
        <f t="shared" ref="BE133" si="725">BE135</f>
        <v>510.30900000000003</v>
      </c>
      <c r="BF133" s="74">
        <f>BF135</f>
        <v>504.90300000000002</v>
      </c>
      <c r="BG133" s="100">
        <f>BG135</f>
        <v>506.197</v>
      </c>
      <c r="BH133" s="249">
        <f t="shared" ref="BH133:BK133" si="726">BG133+(BH135-BG135)</f>
        <v>506.197</v>
      </c>
      <c r="BI133" s="251">
        <f t="shared" si="726"/>
        <v>506.197</v>
      </c>
      <c r="BJ133" s="251">
        <f t="shared" si="726"/>
        <v>506.197</v>
      </c>
      <c r="BK133" s="461">
        <f t="shared" si="726"/>
        <v>506.197</v>
      </c>
      <c r="BL133" s="249">
        <f t="shared" ref="BL133" si="727">BK133+(BL135-BK135)</f>
        <v>506.197</v>
      </c>
      <c r="BM133" s="251">
        <f t="shared" ref="BM133" si="728">BL133+(BM135-BL135)</f>
        <v>506.197</v>
      </c>
      <c r="BN133" s="251">
        <f t="shared" ref="BN133" si="729">BM133+(BN135-BM135)</f>
        <v>506.197</v>
      </c>
      <c r="BO133" s="461">
        <f t="shared" ref="BO133" si="730">BN133+(BO135-BN135)</f>
        <v>506.197</v>
      </c>
      <c r="BP133" s="247"/>
      <c r="BQ133" s="74">
        <f t="shared" ref="BQ133:CA133" si="731">BQ132</f>
        <v>539.37450000000001</v>
      </c>
      <c r="BR133" s="74">
        <f t="shared" si="731"/>
        <v>563.5095</v>
      </c>
      <c r="BS133" s="74">
        <f t="shared" si="731"/>
        <v>586.15174999999999</v>
      </c>
      <c r="BT133" s="74">
        <f t="shared" si="731"/>
        <v>590.30774999999994</v>
      </c>
      <c r="BU133" s="74">
        <f t="shared" si="731"/>
        <v>608.74675000000002</v>
      </c>
      <c r="BV133" s="74">
        <f t="shared" si="731"/>
        <v>623.57225000000005</v>
      </c>
      <c r="BW133" s="74">
        <f t="shared" si="731"/>
        <v>648.34650000000011</v>
      </c>
      <c r="BX133" s="74">
        <f t="shared" si="731"/>
        <v>607.85674999999992</v>
      </c>
      <c r="BY133" s="74">
        <f t="shared" si="731"/>
        <v>555.30975000000001</v>
      </c>
      <c r="BZ133" s="74">
        <f t="shared" si="731"/>
        <v>496.51800000000003</v>
      </c>
      <c r="CA133" s="74">
        <f t="shared" si="731"/>
        <v>511.08974999999998</v>
      </c>
      <c r="CB133" s="74">
        <f>CB132</f>
        <v>510.94475</v>
      </c>
      <c r="CC133" s="74">
        <f>CC132</f>
        <v>509.73824999999999</v>
      </c>
      <c r="CD133" s="26">
        <f>AVERAGE(BD133:BG133)</f>
        <v>509.75025000000005</v>
      </c>
      <c r="CE133" s="26">
        <f>AVERAGE(BH133:BK133)</f>
        <v>506.197</v>
      </c>
      <c r="CF133" s="26">
        <f>AVERAGE(BL133:BO133)</f>
        <v>506.197</v>
      </c>
      <c r="CG133" s="688">
        <f>CF133-10</f>
        <v>496.197</v>
      </c>
      <c r="CH133" s="336"/>
    </row>
    <row r="134" spans="2:86" ht="14.25">
      <c r="B134" s="16"/>
      <c r="C134" s="17"/>
      <c r="D134" s="52"/>
      <c r="E134" s="52"/>
      <c r="F134" s="52"/>
      <c r="G134" s="52"/>
      <c r="H134" s="51"/>
      <c r="I134" s="52"/>
      <c r="J134" s="52"/>
      <c r="K134" s="52"/>
      <c r="L134" s="51"/>
      <c r="M134" s="52"/>
      <c r="N134" s="52"/>
      <c r="O134" s="52"/>
      <c r="P134" s="51"/>
      <c r="Q134" s="52"/>
      <c r="R134" s="52"/>
      <c r="S134" s="52"/>
      <c r="T134" s="51"/>
      <c r="U134" s="52"/>
      <c r="V134" s="52"/>
      <c r="W134" s="52"/>
      <c r="X134" s="51"/>
      <c r="Y134" s="52"/>
      <c r="Z134" s="52"/>
      <c r="AA134" s="52"/>
      <c r="AB134" s="51"/>
      <c r="AC134" s="52"/>
      <c r="AD134" s="52"/>
      <c r="AE134" s="101"/>
      <c r="AF134" s="51"/>
      <c r="AG134" s="52"/>
      <c r="AH134" s="52"/>
      <c r="AI134" s="101"/>
      <c r="AJ134" s="51"/>
      <c r="AK134" s="52"/>
      <c r="AL134" s="52"/>
      <c r="AM134" s="101"/>
      <c r="AN134" s="51"/>
      <c r="AO134" s="52"/>
      <c r="AP134" s="52"/>
      <c r="AQ134" s="101"/>
      <c r="AR134" s="51"/>
      <c r="AS134" s="52"/>
      <c r="AT134" s="52"/>
      <c r="AU134" s="101"/>
      <c r="AV134" s="51"/>
      <c r="AW134" s="52"/>
      <c r="AX134" s="52"/>
      <c r="AY134" s="101"/>
      <c r="AZ134" s="51"/>
      <c r="BA134" s="52"/>
      <c r="BB134" s="52"/>
      <c r="BC134" s="101"/>
      <c r="BD134" s="51"/>
      <c r="BE134" s="251"/>
      <c r="BF134" s="251"/>
      <c r="BG134" s="101"/>
      <c r="BH134" s="51"/>
      <c r="BI134" s="251"/>
      <c r="BJ134" s="52"/>
      <c r="BK134" s="101"/>
      <c r="BL134" s="51"/>
      <c r="BM134" s="251"/>
      <c r="BN134" s="52"/>
      <c r="BO134" s="101"/>
      <c r="BP134" s="247"/>
      <c r="BR134" s="338"/>
      <c r="BS134" s="338"/>
      <c r="BT134" s="338"/>
      <c r="BU134" s="338"/>
      <c r="BV134" s="338"/>
      <c r="BW134" s="338"/>
      <c r="BX134" s="338"/>
      <c r="BY134" s="338"/>
      <c r="BZ134" s="338"/>
      <c r="CA134" s="338"/>
      <c r="CB134" s="338"/>
      <c r="CC134" s="338"/>
      <c r="CD134" s="338"/>
      <c r="CE134" s="338"/>
      <c r="CF134" s="338"/>
      <c r="CG134" s="689"/>
      <c r="CH134" s="336"/>
    </row>
    <row r="135" spans="2:86" ht="14.25">
      <c r="B135" s="16" t="s">
        <v>58</v>
      </c>
      <c r="C135" s="17"/>
      <c r="D135" s="251">
        <f>293.174*2</f>
        <v>586.34799999999996</v>
      </c>
      <c r="E135" s="251">
        <f>296.025*2</f>
        <v>592.04999999999995</v>
      </c>
      <c r="F135" s="251">
        <f>300.649*2</f>
        <v>601.298</v>
      </c>
      <c r="G135" s="251">
        <f>308.034*2</f>
        <v>616.06799999999998</v>
      </c>
      <c r="H135" s="249">
        <f>310.695*2</f>
        <v>621.39</v>
      </c>
      <c r="I135" s="76">
        <v>626.20500000000004</v>
      </c>
      <c r="J135" s="76">
        <v>632.42399999999998</v>
      </c>
      <c r="K135" s="76">
        <v>645.13699999999994</v>
      </c>
      <c r="L135" s="75">
        <v>639.51599999999996</v>
      </c>
      <c r="M135" s="76">
        <v>633.53300000000002</v>
      </c>
      <c r="N135" s="76">
        <v>628.10400000000004</v>
      </c>
      <c r="O135" s="76">
        <v>587.42399999999998</v>
      </c>
      <c r="P135" s="75">
        <v>587.42600000000004</v>
      </c>
      <c r="Q135" s="76">
        <v>587.53399999999999</v>
      </c>
      <c r="R135" s="76">
        <v>590.75900000000001</v>
      </c>
      <c r="S135" s="76">
        <v>626.69899999999996</v>
      </c>
      <c r="T135" s="75">
        <v>624.351</v>
      </c>
      <c r="U135" s="76">
        <v>637.83199999999999</v>
      </c>
      <c r="V135" s="76">
        <v>630.80999999999995</v>
      </c>
      <c r="W135" s="76">
        <v>614.96</v>
      </c>
      <c r="X135" s="75">
        <v>618.67700000000002</v>
      </c>
      <c r="Y135" s="76">
        <v>648.11</v>
      </c>
      <c r="Z135" s="76">
        <v>659.73900000000003</v>
      </c>
      <c r="AA135" s="76">
        <v>668.62300000000005</v>
      </c>
      <c r="AB135" s="75">
        <v>678.05899999999997</v>
      </c>
      <c r="AC135" s="76">
        <v>675.22</v>
      </c>
      <c r="AD135" s="76">
        <v>674.78899999999999</v>
      </c>
      <c r="AE135" s="79">
        <v>679.44500000000005</v>
      </c>
      <c r="AF135" s="75">
        <v>657.14</v>
      </c>
      <c r="AG135" s="76">
        <v>623.13199999999995</v>
      </c>
      <c r="AH135" s="76">
        <v>613.49900000000002</v>
      </c>
      <c r="AI135" s="79">
        <v>599.29999999999995</v>
      </c>
      <c r="AJ135" s="75">
        <v>594.73900000000003</v>
      </c>
      <c r="AK135" s="76">
        <v>570.32500000000005</v>
      </c>
      <c r="AL135" s="76">
        <v>559.34799999999996</v>
      </c>
      <c r="AM135" s="79">
        <v>528.08199999999999</v>
      </c>
      <c r="AN135" s="75">
        <v>505.387</v>
      </c>
      <c r="AO135" s="76">
        <v>500.625</v>
      </c>
      <c r="AP135" s="76">
        <v>501.18900000000002</v>
      </c>
      <c r="AQ135" s="79">
        <v>510.44900000000001</v>
      </c>
      <c r="AR135" s="75">
        <v>520.75099999999998</v>
      </c>
      <c r="AS135" s="76">
        <v>520.26900000000001</v>
      </c>
      <c r="AT135" s="76">
        <v>519.90700000000004</v>
      </c>
      <c r="AU135" s="79">
        <v>522.11199999999997</v>
      </c>
      <c r="AV135" s="75">
        <v>527.16700000000003</v>
      </c>
      <c r="AW135" s="76">
        <v>516.36800000000005</v>
      </c>
      <c r="AX135" s="76">
        <v>504.83100000000002</v>
      </c>
      <c r="AY135" s="79">
        <v>508.59</v>
      </c>
      <c r="AZ135" s="75">
        <v>508.79399999999998</v>
      </c>
      <c r="BA135" s="76">
        <v>514.31399999999996</v>
      </c>
      <c r="BB135" s="76">
        <v>522.09100000000001</v>
      </c>
      <c r="BC135" s="79">
        <v>507.834</v>
      </c>
      <c r="BD135" s="75">
        <v>517.59199999999998</v>
      </c>
      <c r="BE135" s="76">
        <v>510.30900000000003</v>
      </c>
      <c r="BF135" s="76">
        <v>504.90300000000002</v>
      </c>
      <c r="BG135" s="79">
        <v>506.197</v>
      </c>
      <c r="BH135" s="249">
        <f t="shared" ref="BH135" si="732">BG135+(BH136-BG136)</f>
        <v>506.197</v>
      </c>
      <c r="BI135" s="251">
        <f t="shared" ref="BI135" si="733">BH135+(BI136-BH136)</f>
        <v>506.197</v>
      </c>
      <c r="BJ135" s="251">
        <f t="shared" ref="BJ135" si="734">BI135+(BJ136-BI136)</f>
        <v>506.197</v>
      </c>
      <c r="BK135" s="461">
        <f t="shared" ref="BK135" si="735">BJ135+(BK136-BJ136)</f>
        <v>506.197</v>
      </c>
      <c r="BL135" s="249">
        <f t="shared" ref="BL135" si="736">BK135+(BL136-BK136)</f>
        <v>506.197</v>
      </c>
      <c r="BM135" s="251">
        <f t="shared" ref="BM135" si="737">BL135+(BM136-BL136)</f>
        <v>506.197</v>
      </c>
      <c r="BN135" s="251">
        <f t="shared" ref="BN135" si="738">BM135+(BN136-BM136)</f>
        <v>506.197</v>
      </c>
      <c r="BO135" s="461">
        <f t="shared" ref="BO135" si="739">BN135+(BO136-BN136)</f>
        <v>506.197</v>
      </c>
      <c r="BP135" s="247"/>
      <c r="BQ135" s="26">
        <f>AVERAGE(D135:G135)</f>
        <v>598.94100000000003</v>
      </c>
      <c r="BR135" s="26">
        <f>AVERAGE(H135:K135)</f>
        <v>631.28899999999999</v>
      </c>
      <c r="BS135" s="26">
        <f>AVERAGE(L135:O135)</f>
        <v>622.14425000000006</v>
      </c>
      <c r="BT135" s="26">
        <v>590.30799999999999</v>
      </c>
      <c r="BU135" s="26">
        <v>630.32799999999997</v>
      </c>
      <c r="BV135" s="26">
        <v>653.74099999999999</v>
      </c>
      <c r="BW135" s="26">
        <f>AVERAGE(AB135:AE135)</f>
        <v>676.87824999999998</v>
      </c>
      <c r="BX135" s="26">
        <f>AVERAGE(AF135:AI135)</f>
        <v>623.26774999999998</v>
      </c>
      <c r="BY135" s="26">
        <f>AVERAGE(AJ135:AM135)</f>
        <v>563.12350000000004</v>
      </c>
      <c r="BZ135" s="26">
        <f>AVERAGE(AN135:AQ135)</f>
        <v>504.41250000000002</v>
      </c>
      <c r="CA135" s="26">
        <f>AVERAGE(AR135:AU135)</f>
        <v>520.75975000000005</v>
      </c>
      <c r="CB135" s="26">
        <f>AVERAGE(AV135:AY135)</f>
        <v>514.23900000000003</v>
      </c>
      <c r="CC135" s="26">
        <f>AVERAGE(AZ135:BC135)</f>
        <v>513.25824999999998</v>
      </c>
      <c r="CD135" s="26">
        <f>AVERAGE(BD135:BG135)</f>
        <v>509.75025000000005</v>
      </c>
      <c r="CE135" s="26">
        <f>AVERAGE(BH135:BK135)</f>
        <v>506.197</v>
      </c>
      <c r="CF135" s="26">
        <f>AVERAGE(BL135:BO135)</f>
        <v>506.197</v>
      </c>
      <c r="CG135" s="688">
        <f>CF135-10</f>
        <v>496.197</v>
      </c>
      <c r="CH135" s="336"/>
    </row>
    <row r="136" spans="2:86" ht="14.25">
      <c r="B136" s="16" t="s">
        <v>59</v>
      </c>
      <c r="C136" s="17"/>
      <c r="D136" s="73">
        <f t="shared" ref="D136:T136" si="740">(D135)</f>
        <v>586.34799999999996</v>
      </c>
      <c r="E136" s="74">
        <f t="shared" si="740"/>
        <v>592.04999999999995</v>
      </c>
      <c r="F136" s="74">
        <f t="shared" si="740"/>
        <v>601.298</v>
      </c>
      <c r="G136" s="26">
        <f t="shared" si="740"/>
        <v>616.06799999999998</v>
      </c>
      <c r="H136" s="73">
        <f t="shared" si="740"/>
        <v>621.39</v>
      </c>
      <c r="I136" s="74">
        <f t="shared" si="740"/>
        <v>626.20500000000004</v>
      </c>
      <c r="J136" s="74">
        <f t="shared" si="740"/>
        <v>632.42399999999998</v>
      </c>
      <c r="K136" s="26">
        <f t="shared" si="740"/>
        <v>645.13699999999994</v>
      </c>
      <c r="L136" s="73">
        <f t="shared" si="740"/>
        <v>639.51599999999996</v>
      </c>
      <c r="M136" s="74">
        <f t="shared" si="740"/>
        <v>633.53300000000002</v>
      </c>
      <c r="N136" s="76">
        <v>631.49699999999996</v>
      </c>
      <c r="O136" s="23">
        <v>633.92999999999995</v>
      </c>
      <c r="P136" s="75">
        <v>633.76099999999997</v>
      </c>
      <c r="Q136" s="76">
        <v>630.25800000000004</v>
      </c>
      <c r="R136" s="76">
        <v>630.61300000000006</v>
      </c>
      <c r="S136" s="23">
        <v>627.54100000000005</v>
      </c>
      <c r="T136" s="73">
        <f t="shared" si="740"/>
        <v>624.351</v>
      </c>
      <c r="U136" s="76">
        <v>640.14700000000005</v>
      </c>
      <c r="V136" s="76">
        <v>632.54999999999995</v>
      </c>
      <c r="W136" s="23">
        <v>628.99199999999996</v>
      </c>
      <c r="X136" s="75">
        <v>636.60500000000002</v>
      </c>
      <c r="Y136" s="76">
        <v>651.76099999999997</v>
      </c>
      <c r="Z136" s="76">
        <v>664.03599999999994</v>
      </c>
      <c r="AA136" s="23">
        <v>672.221</v>
      </c>
      <c r="AB136" s="75">
        <v>681.36900000000003</v>
      </c>
      <c r="AC136" s="76">
        <v>678.351</v>
      </c>
      <c r="AD136" s="76">
        <v>677.49900000000002</v>
      </c>
      <c r="AE136" s="24">
        <v>685.20500000000004</v>
      </c>
      <c r="AF136" s="75">
        <v>662.94799999999998</v>
      </c>
      <c r="AG136" s="76">
        <v>624.77700000000004</v>
      </c>
      <c r="AH136" s="76">
        <v>615.05700000000002</v>
      </c>
      <c r="AI136" s="24">
        <v>605.697</v>
      </c>
      <c r="AJ136" s="75">
        <v>605.553</v>
      </c>
      <c r="AK136" s="76">
        <v>586.62699999999995</v>
      </c>
      <c r="AL136" s="76">
        <v>577.79999999999995</v>
      </c>
      <c r="AM136" s="24">
        <v>544.27800000000002</v>
      </c>
      <c r="AN136" s="75">
        <v>522.48099999999999</v>
      </c>
      <c r="AO136" s="76">
        <v>515.64599999999996</v>
      </c>
      <c r="AP136" s="76">
        <v>514.20299999999997</v>
      </c>
      <c r="AQ136" s="24">
        <v>523.38099999999997</v>
      </c>
      <c r="AR136" s="75">
        <v>530.37599999999998</v>
      </c>
      <c r="AS136" s="76">
        <v>533.47</v>
      </c>
      <c r="AT136" s="76">
        <v>532.81200000000001</v>
      </c>
      <c r="AU136" s="24">
        <v>532.79999999999995</v>
      </c>
      <c r="AV136" s="75">
        <v>535.16</v>
      </c>
      <c r="AW136" s="76">
        <v>532.94200000000001</v>
      </c>
      <c r="AX136" s="76">
        <v>518.505</v>
      </c>
      <c r="AY136" s="24">
        <v>518.56799999999998</v>
      </c>
      <c r="AZ136" s="75">
        <v>522.36300000000006</v>
      </c>
      <c r="BA136" s="76">
        <v>526.45299999999997</v>
      </c>
      <c r="BB136" s="76">
        <v>531.83100000000002</v>
      </c>
      <c r="BC136" s="24">
        <v>528.14099999999996</v>
      </c>
      <c r="BD136" s="75">
        <v>523.154</v>
      </c>
      <c r="BE136" s="76">
        <v>519.43799999999999</v>
      </c>
      <c r="BF136" s="76">
        <v>512.67600000000004</v>
      </c>
      <c r="BG136" s="24">
        <v>512.22299999999996</v>
      </c>
      <c r="BH136" s="249">
        <f t="shared" ref="BH136:BO136" si="741">BG136</f>
        <v>512.22299999999996</v>
      </c>
      <c r="BI136" s="251">
        <f t="shared" si="741"/>
        <v>512.22299999999996</v>
      </c>
      <c r="BJ136" s="251">
        <f t="shared" si="741"/>
        <v>512.22299999999996</v>
      </c>
      <c r="BK136" s="461">
        <f t="shared" si="741"/>
        <v>512.22299999999996</v>
      </c>
      <c r="BL136" s="249">
        <f t="shared" si="741"/>
        <v>512.22299999999996</v>
      </c>
      <c r="BM136" s="251">
        <f t="shared" si="741"/>
        <v>512.22299999999996</v>
      </c>
      <c r="BN136" s="251">
        <f t="shared" si="741"/>
        <v>512.22299999999996</v>
      </c>
      <c r="BO136" s="461">
        <f t="shared" si="741"/>
        <v>512.22299999999996</v>
      </c>
      <c r="BP136" s="247"/>
      <c r="BQ136" s="26">
        <f>AVERAGE(D136:G136)</f>
        <v>598.94100000000003</v>
      </c>
      <c r="BR136" s="26">
        <f>AVERAGE(H136:K136)</f>
        <v>631.28899999999999</v>
      </c>
      <c r="BS136" s="26">
        <f>AVERAGE(L136:O136)</f>
        <v>634.61899999999991</v>
      </c>
      <c r="BT136" s="26">
        <v>630.46799999999996</v>
      </c>
      <c r="BU136" s="26">
        <v>630.45600000000002</v>
      </c>
      <c r="BV136" s="26">
        <v>656.86699999999996</v>
      </c>
      <c r="BW136" s="26">
        <f>(BW135)</f>
        <v>676.87824999999998</v>
      </c>
      <c r="BX136" s="26">
        <f>AVERAGE(AF136:AI136)</f>
        <v>627.11974999999995</v>
      </c>
      <c r="BY136" s="26">
        <f>AVERAGE(AJ136:AM136)</f>
        <v>578.56449999999995</v>
      </c>
      <c r="BZ136" s="26">
        <f>AVERAGE(AN136:AQ136)</f>
        <v>518.92774999999995</v>
      </c>
      <c r="CA136" s="26">
        <f>AVERAGE(AR136:AU136)</f>
        <v>532.36449999999991</v>
      </c>
      <c r="CB136" s="26">
        <f>AVERAGE(AV136:AY136)</f>
        <v>526.29375000000005</v>
      </c>
      <c r="CC136" s="26">
        <f>AVERAGE(AZ136:BC136)</f>
        <v>527.197</v>
      </c>
      <c r="CD136" s="26">
        <f>AVERAGE(BD136:BG136)</f>
        <v>516.87275</v>
      </c>
      <c r="CE136" s="26">
        <f>AVERAGE(BH136:BK136)</f>
        <v>512.22299999999996</v>
      </c>
      <c r="CF136" s="26">
        <f>AVERAGE(BL136:BO136)</f>
        <v>512.22299999999996</v>
      </c>
      <c r="CG136" s="688">
        <f>CF136-10</f>
        <v>502.22299999999996</v>
      </c>
      <c r="CH136" s="336"/>
    </row>
    <row r="137" spans="2:86" ht="14.25">
      <c r="B137" s="28" t="s">
        <v>60</v>
      </c>
      <c r="C137" s="29"/>
      <c r="D137" s="77">
        <f t="shared" ref="D137:AU137" si="742">D135/D132</f>
        <v>1.1085005180014971</v>
      </c>
      <c r="E137" s="77">
        <f t="shared" si="742"/>
        <v>1.106027715610487</v>
      </c>
      <c r="F137" s="77">
        <f t="shared" si="742"/>
        <v>1.1091235072988797</v>
      </c>
      <c r="G137" s="78">
        <f t="shared" si="742"/>
        <v>1.11786757634592</v>
      </c>
      <c r="H137" s="77">
        <f t="shared" si="742"/>
        <v>1.11442898494582</v>
      </c>
      <c r="I137" s="77">
        <f t="shared" si="742"/>
        <v>1.1145769553887996</v>
      </c>
      <c r="J137" s="77">
        <f t="shared" si="742"/>
        <v>1.1147767534504944</v>
      </c>
      <c r="K137" s="78">
        <f t="shared" si="742"/>
        <v>1.1371860182263664</v>
      </c>
      <c r="L137" s="77">
        <f t="shared" si="742"/>
        <v>1.0956207105680638</v>
      </c>
      <c r="M137" s="77">
        <f t="shared" si="742"/>
        <v>1.0808690177826534</v>
      </c>
      <c r="N137" s="77">
        <f t="shared" si="742"/>
        <v>1.0693898676764033</v>
      </c>
      <c r="O137" s="78">
        <f t="shared" si="742"/>
        <v>1</v>
      </c>
      <c r="P137" s="77">
        <f>P135/P132</f>
        <v>1</v>
      </c>
      <c r="Q137" s="77">
        <f t="shared" si="742"/>
        <v>1</v>
      </c>
      <c r="R137" s="77">
        <f t="shared" si="742"/>
        <v>1</v>
      </c>
      <c r="S137" s="78">
        <f t="shared" si="742"/>
        <v>1.0523700613925497</v>
      </c>
      <c r="T137" s="77">
        <f t="shared" si="742"/>
        <v>1.0384699828016939</v>
      </c>
      <c r="U137" s="77">
        <f t="shared" si="742"/>
        <v>1.0510364828790824</v>
      </c>
      <c r="V137" s="77">
        <f t="shared" si="742"/>
        <v>1.0308279338829469</v>
      </c>
      <c r="W137" s="78">
        <f t="shared" si="742"/>
        <v>1</v>
      </c>
      <c r="X137" s="77">
        <f t="shared" si="742"/>
        <v>1</v>
      </c>
      <c r="Y137" s="77">
        <f t="shared" si="742"/>
        <v>1.0438554247915464</v>
      </c>
      <c r="Z137" s="77">
        <f t="shared" si="742"/>
        <v>1.0579301586079828</v>
      </c>
      <c r="AA137" s="78">
        <f t="shared" si="742"/>
        <v>1.0594262879524907</v>
      </c>
      <c r="AB137" s="77">
        <f t="shared" si="742"/>
        <v>1.057936485647329</v>
      </c>
      <c r="AC137" s="77">
        <f t="shared" si="742"/>
        <v>1.0419611498268593</v>
      </c>
      <c r="AD137" s="77">
        <f t="shared" si="742"/>
        <v>1.0384852150413522</v>
      </c>
      <c r="AE137" s="78">
        <f t="shared" si="742"/>
        <v>1.037875200488811</v>
      </c>
      <c r="AF137" s="77">
        <f t="shared" ref="AF137:AK137" si="743">AF135/AF132</f>
        <v>1.0284750197982302</v>
      </c>
      <c r="AG137" s="77">
        <f t="shared" si="743"/>
        <v>1.0240275032004351</v>
      </c>
      <c r="AH137" s="77">
        <f t="shared" si="743"/>
        <v>1.0216401556026271</v>
      </c>
      <c r="AI137" s="78">
        <f t="shared" si="743"/>
        <v>1.0271378280825274</v>
      </c>
      <c r="AJ137" s="77">
        <f t="shared" si="743"/>
        <v>1.0253696398769707</v>
      </c>
      <c r="AK137" s="77">
        <f t="shared" si="743"/>
        <v>1.0141599183444117</v>
      </c>
      <c r="AL137" s="77">
        <f>AL135/AL132</f>
        <v>1.0113895875410677</v>
      </c>
      <c r="AM137" s="78">
        <f>AM135/AM132</f>
        <v>1.004332412838244</v>
      </c>
      <c r="AN137" s="77">
        <f>AN135/AN132</f>
        <v>1.0063861563582779</v>
      </c>
      <c r="AO137" s="77">
        <f>AO135/AO132</f>
        <v>1.0128102158031775</v>
      </c>
      <c r="AP137" s="77">
        <f t="shared" si="742"/>
        <v>1.0187203112327965</v>
      </c>
      <c r="AQ137" s="78">
        <f t="shared" si="742"/>
        <v>1.0257807162091557</v>
      </c>
      <c r="AR137" s="77">
        <f>AR135/AR132</f>
        <v>1.0309757377179001</v>
      </c>
      <c r="AS137" s="77">
        <f>AS135/AS132</f>
        <v>1.0165057705721336</v>
      </c>
      <c r="AT137" s="77">
        <f>AT135/AT132</f>
        <v>1.0117697656360987</v>
      </c>
      <c r="AU137" s="78">
        <f t="shared" si="742"/>
        <v>1.0166246733674213</v>
      </c>
      <c r="AV137" s="77">
        <f>AV135/AV132</f>
        <v>1.0211902492697027</v>
      </c>
      <c r="AW137" s="77">
        <f t="shared" ref="AW137" si="744">AW135/AW132</f>
        <v>1</v>
      </c>
      <c r="AX137" s="77">
        <f>AX135/AX132</f>
        <v>1</v>
      </c>
      <c r="AY137" s="78">
        <f t="shared" ref="AY137" si="745">AY135/AY132</f>
        <v>1.0044198502227699</v>
      </c>
      <c r="AZ137" s="77">
        <f>AZ135/AZ132</f>
        <v>1</v>
      </c>
      <c r="BA137" s="77">
        <f t="shared" ref="BA137" si="746">BA135/BA132</f>
        <v>1.0060226705918021</v>
      </c>
      <c r="BB137" s="77">
        <f>BB135/BB132</f>
        <v>1.0215245847111076</v>
      </c>
      <c r="BC137" s="78">
        <f t="shared" ref="BC137" si="747">BC135/BC132</f>
        <v>1</v>
      </c>
      <c r="BD137" s="521">
        <f>BD135/BD132</f>
        <v>1.0273963357748268</v>
      </c>
      <c r="BE137" s="77">
        <f t="shared" ref="BE137:BG137" si="748">BE135/BE132</f>
        <v>1.0189530307477581</v>
      </c>
      <c r="BF137" s="77">
        <f t="shared" si="748"/>
        <v>1.0218722677374437</v>
      </c>
      <c r="BG137" s="78">
        <f t="shared" si="748"/>
        <v>1.0253897902010076</v>
      </c>
      <c r="BH137" s="521">
        <f t="shared" ref="BH137:BK137" si="749">BH135/BH132</f>
        <v>1.0253897902010076</v>
      </c>
      <c r="BI137" s="77">
        <f t="shared" si="749"/>
        <v>1.0253897902010076</v>
      </c>
      <c r="BJ137" s="77">
        <f t="shared" si="749"/>
        <v>1.0253897902010076</v>
      </c>
      <c r="BK137" s="78">
        <f t="shared" si="749"/>
        <v>1.0253897902010076</v>
      </c>
      <c r="BL137" s="521">
        <f t="shared" ref="BL137:BO137" si="750">BL135/BL132</f>
        <v>1.0253897902010076</v>
      </c>
      <c r="BM137" s="77">
        <f t="shared" si="750"/>
        <v>1.0253897902010076</v>
      </c>
      <c r="BN137" s="77">
        <f t="shared" si="750"/>
        <v>1.0253897902010076</v>
      </c>
      <c r="BO137" s="78">
        <f t="shared" si="750"/>
        <v>1.0253897902010076</v>
      </c>
      <c r="BP137" s="247"/>
      <c r="BQ137" s="77">
        <f>BQ135/BQ132</f>
        <v>1.1104362553290896</v>
      </c>
      <c r="BR137" s="77">
        <f t="shared" ref="BR137:CA137" si="751">BR135/BR132</f>
        <v>1.1202810245435082</v>
      </c>
      <c r="BS137" s="77">
        <f t="shared" si="751"/>
        <v>1.0614047471495225</v>
      </c>
      <c r="BT137" s="77">
        <f t="shared" si="751"/>
        <v>1.0000004235079076</v>
      </c>
      <c r="BU137" s="77">
        <f t="shared" si="751"/>
        <v>1.0354519346509858</v>
      </c>
      <c r="BV137" s="77">
        <f t="shared" si="751"/>
        <v>1.0483805204609409</v>
      </c>
      <c r="BW137" s="77">
        <f t="shared" si="751"/>
        <v>1.0440069469026205</v>
      </c>
      <c r="BX137" s="77">
        <f t="shared" si="751"/>
        <v>1.0253530128603492</v>
      </c>
      <c r="BY137" s="77">
        <f t="shared" si="751"/>
        <v>1.0140709757032</v>
      </c>
      <c r="BZ137" s="77">
        <f t="shared" si="751"/>
        <v>1.0158997256897031</v>
      </c>
      <c r="CA137" s="77">
        <f t="shared" si="751"/>
        <v>1.0189203559648772</v>
      </c>
      <c r="CB137" s="77">
        <f t="shared" ref="CB137:CG137" si="752">CB135/CB132</f>
        <v>1.0064473702880792</v>
      </c>
      <c r="CC137" s="77">
        <f t="shared" si="752"/>
        <v>1.006905504933169</v>
      </c>
      <c r="CD137" s="77">
        <f t="shared" si="752"/>
        <v>1.0234068439232551</v>
      </c>
      <c r="CE137" s="77">
        <f t="shared" si="752"/>
        <v>1.0253897902010076</v>
      </c>
      <c r="CF137" s="77">
        <f t="shared" si="752"/>
        <v>1.0253897902010076</v>
      </c>
      <c r="CG137" s="690">
        <f t="shared" si="752"/>
        <v>1.0259147381544587</v>
      </c>
      <c r="CH137" s="336"/>
    </row>
    <row r="138" spans="2:86" ht="14.25">
      <c r="B138" s="16"/>
      <c r="C138" s="17"/>
      <c r="D138" s="51"/>
      <c r="E138" s="52"/>
      <c r="F138" s="52"/>
      <c r="G138" s="52"/>
      <c r="H138" s="51"/>
      <c r="I138" s="52"/>
      <c r="J138" s="52"/>
      <c r="K138" s="52"/>
      <c r="L138" s="51"/>
      <c r="M138" s="52"/>
      <c r="N138" s="52"/>
      <c r="O138" s="52"/>
      <c r="P138" s="51"/>
      <c r="Q138" s="52"/>
      <c r="R138" s="52"/>
      <c r="S138" s="52"/>
      <c r="T138" s="51"/>
      <c r="U138" s="52"/>
      <c r="V138" s="52"/>
      <c r="W138" s="52"/>
      <c r="X138" s="51"/>
      <c r="Y138" s="52"/>
      <c r="Z138" s="52"/>
      <c r="AA138" s="52"/>
      <c r="AB138" s="51"/>
      <c r="AC138" s="52"/>
      <c r="AD138" s="52"/>
      <c r="AE138" s="101"/>
      <c r="AF138" s="51"/>
      <c r="AG138" s="52"/>
      <c r="AH138" s="52"/>
      <c r="AI138" s="101"/>
      <c r="AJ138" s="51"/>
      <c r="AK138" s="52"/>
      <c r="AL138" s="52"/>
      <c r="AM138" s="101"/>
      <c r="AN138" s="51"/>
      <c r="AO138" s="52"/>
      <c r="AP138" s="52"/>
      <c r="AQ138" s="101"/>
      <c r="AR138" s="51"/>
      <c r="AS138" s="52"/>
      <c r="AT138" s="52"/>
      <c r="AU138" s="101"/>
      <c r="AV138" s="51"/>
      <c r="AW138" s="52"/>
      <c r="AX138" s="52"/>
      <c r="AY138" s="101"/>
      <c r="AZ138" s="51"/>
      <c r="BA138" s="52"/>
      <c r="BB138" s="52"/>
      <c r="BC138" s="101"/>
      <c r="BD138" s="51"/>
      <c r="BE138" s="52"/>
      <c r="BF138" s="52"/>
      <c r="BG138" s="101"/>
      <c r="BH138" s="51"/>
      <c r="BI138" s="52"/>
      <c r="BJ138" s="52"/>
      <c r="BK138" s="101"/>
      <c r="BL138" s="51"/>
      <c r="BM138" s="52"/>
      <c r="BN138" s="52"/>
      <c r="BO138" s="101"/>
      <c r="BP138" s="247"/>
      <c r="BR138" s="338"/>
      <c r="BS138" s="338"/>
      <c r="BT138" s="338"/>
      <c r="BU138" s="338"/>
      <c r="BV138" s="338"/>
      <c r="BW138" s="338"/>
      <c r="BX138" s="338"/>
      <c r="BY138" s="338"/>
      <c r="BZ138" s="338"/>
      <c r="CA138" s="338"/>
      <c r="CB138" s="338"/>
      <c r="CC138" s="338"/>
      <c r="CD138" s="338"/>
      <c r="CE138" s="338"/>
      <c r="CF138" s="338"/>
      <c r="CG138" s="691"/>
      <c r="CH138" s="336"/>
    </row>
    <row r="139" spans="2:86" ht="14.25">
      <c r="B139" s="16" t="s">
        <v>61</v>
      </c>
      <c r="C139" s="17"/>
      <c r="D139" s="73">
        <f>D132</f>
        <v>528.95600000000002</v>
      </c>
      <c r="E139" s="74">
        <f t="shared" ref="E139:AU139" si="753">E132</f>
        <v>535.29399999999998</v>
      </c>
      <c r="F139" s="74">
        <f t="shared" si="753"/>
        <v>542.13800000000003</v>
      </c>
      <c r="G139" s="74">
        <f>F139</f>
        <v>542.13800000000003</v>
      </c>
      <c r="H139" s="73">
        <f>H132</f>
        <v>557.58600000000001</v>
      </c>
      <c r="I139" s="74">
        <f t="shared" si="753"/>
        <v>561.83199999999999</v>
      </c>
      <c r="J139" s="74">
        <f t="shared" si="753"/>
        <v>567.30999999999995</v>
      </c>
      <c r="K139" s="74">
        <f>J139</f>
        <v>567.30999999999995</v>
      </c>
      <c r="L139" s="73">
        <f>L132</f>
        <v>583.702</v>
      </c>
      <c r="M139" s="74">
        <f t="shared" si="753"/>
        <v>586.13300000000004</v>
      </c>
      <c r="N139" s="74">
        <f t="shared" si="753"/>
        <v>587.34799999999996</v>
      </c>
      <c r="O139" s="74">
        <f t="shared" si="753"/>
        <v>587.42399999999998</v>
      </c>
      <c r="P139" s="73">
        <f>P132</f>
        <v>587.42600000000004</v>
      </c>
      <c r="Q139" s="74">
        <f t="shared" si="753"/>
        <v>587.53399999999999</v>
      </c>
      <c r="R139" s="74">
        <f t="shared" si="753"/>
        <v>590.75900000000001</v>
      </c>
      <c r="S139" s="74">
        <f t="shared" si="753"/>
        <v>595.51199999999994</v>
      </c>
      <c r="T139" s="73">
        <f>T132</f>
        <v>601.22199999999998</v>
      </c>
      <c r="U139" s="74">
        <f t="shared" si="753"/>
        <v>606.86</v>
      </c>
      <c r="V139" s="74">
        <f t="shared" si="753"/>
        <v>611.94500000000005</v>
      </c>
      <c r="W139" s="74">
        <f t="shared" si="753"/>
        <v>614.96</v>
      </c>
      <c r="X139" s="73">
        <f>X132</f>
        <v>618.67700000000002</v>
      </c>
      <c r="Y139" s="74">
        <f t="shared" si="753"/>
        <v>620.88099999999997</v>
      </c>
      <c r="Z139" s="74">
        <f t="shared" si="753"/>
        <v>623.61300000000006</v>
      </c>
      <c r="AA139" s="74">
        <f t="shared" si="753"/>
        <v>631.11800000000005</v>
      </c>
      <c r="AB139" s="73">
        <f>AB132</f>
        <v>640.92600000000004</v>
      </c>
      <c r="AC139" s="74">
        <f t="shared" si="753"/>
        <v>648.02800000000002</v>
      </c>
      <c r="AD139" s="74">
        <f t="shared" si="753"/>
        <v>649.78200000000004</v>
      </c>
      <c r="AE139" s="74">
        <f t="shared" si="753"/>
        <v>654.65</v>
      </c>
      <c r="AF139" s="73">
        <f t="shared" ref="AF139:AK139" si="754">AF132</f>
        <v>638.94600000000003</v>
      </c>
      <c r="AG139" s="74">
        <f t="shared" si="754"/>
        <v>608.51099999999997</v>
      </c>
      <c r="AH139" s="74">
        <f t="shared" si="754"/>
        <v>600.50400000000002</v>
      </c>
      <c r="AI139" s="74">
        <f t="shared" si="754"/>
        <v>583.46600000000001</v>
      </c>
      <c r="AJ139" s="73">
        <f t="shared" si="754"/>
        <v>580.024</v>
      </c>
      <c r="AK139" s="74">
        <f t="shared" si="754"/>
        <v>562.36199999999997</v>
      </c>
      <c r="AL139" s="74">
        <f>AL132</f>
        <v>553.04899999999998</v>
      </c>
      <c r="AM139" s="74">
        <f>AM132</f>
        <v>525.80399999999997</v>
      </c>
      <c r="AN139" s="73">
        <f>AN132</f>
        <v>502.18</v>
      </c>
      <c r="AO139" s="74">
        <f t="shared" si="753"/>
        <v>494.29300000000001</v>
      </c>
      <c r="AP139" s="74">
        <f t="shared" si="753"/>
        <v>491.97899999999998</v>
      </c>
      <c r="AQ139" s="74">
        <f t="shared" si="753"/>
        <v>497.62</v>
      </c>
      <c r="AR139" s="73">
        <f>AR132</f>
        <v>505.10500000000002</v>
      </c>
      <c r="AS139" s="74">
        <f>AS132</f>
        <v>511.82100000000003</v>
      </c>
      <c r="AT139" s="74">
        <f>AT132</f>
        <v>513.85900000000004</v>
      </c>
      <c r="AU139" s="74">
        <f t="shared" si="753"/>
        <v>513.57399999999996</v>
      </c>
      <c r="AV139" s="73">
        <f>AV132</f>
        <v>516.22799999999995</v>
      </c>
      <c r="AW139" s="74">
        <f t="shared" ref="AW139:AY139" si="755">AW132</f>
        <v>516.36800000000005</v>
      </c>
      <c r="AX139" s="74">
        <f t="shared" si="755"/>
        <v>504.83100000000002</v>
      </c>
      <c r="AY139" s="74">
        <f t="shared" si="755"/>
        <v>506.35199999999998</v>
      </c>
      <c r="AZ139" s="73">
        <f>AZ132</f>
        <v>508.79399999999998</v>
      </c>
      <c r="BA139" s="74">
        <f t="shared" ref="BA139:BC139" si="756">BA132</f>
        <v>511.23500000000001</v>
      </c>
      <c r="BB139" s="74">
        <f t="shared" si="756"/>
        <v>511.09</v>
      </c>
      <c r="BC139" s="74">
        <f t="shared" si="756"/>
        <v>507.834</v>
      </c>
      <c r="BD139" s="73">
        <f>BD132</f>
        <v>503.79</v>
      </c>
      <c r="BE139" s="74">
        <f t="shared" ref="BE139:BG139" si="757">BE132</f>
        <v>500.81700000000001</v>
      </c>
      <c r="BF139" s="74">
        <f t="shared" si="757"/>
        <v>494.096</v>
      </c>
      <c r="BG139" s="74">
        <f t="shared" si="757"/>
        <v>493.66300000000001</v>
      </c>
      <c r="BH139" s="73">
        <f t="shared" ref="BH139:BK139" si="758">BH132</f>
        <v>493.66300000000001</v>
      </c>
      <c r="BI139" s="74">
        <f t="shared" si="758"/>
        <v>493.66300000000001</v>
      </c>
      <c r="BJ139" s="74">
        <f t="shared" si="758"/>
        <v>493.66300000000001</v>
      </c>
      <c r="BK139" s="100">
        <f t="shared" si="758"/>
        <v>493.66300000000001</v>
      </c>
      <c r="BL139" s="73">
        <f t="shared" ref="BL139:BO139" si="759">BL132</f>
        <v>493.66300000000001</v>
      </c>
      <c r="BM139" s="74">
        <f t="shared" si="759"/>
        <v>493.66300000000001</v>
      </c>
      <c r="BN139" s="74">
        <f t="shared" si="759"/>
        <v>493.66300000000001</v>
      </c>
      <c r="BO139" s="100">
        <f t="shared" si="759"/>
        <v>493.66300000000001</v>
      </c>
      <c r="BP139" s="247"/>
      <c r="BQ139" s="26">
        <f>G139</f>
        <v>542.13800000000003</v>
      </c>
      <c r="BR139" s="26">
        <f>K139</f>
        <v>567.30999999999995</v>
      </c>
      <c r="BS139" s="26">
        <f>O139</f>
        <v>587.42399999999998</v>
      </c>
      <c r="BT139" s="26">
        <f>S139</f>
        <v>595.51199999999994</v>
      </c>
      <c r="BU139" s="26">
        <f>W139</f>
        <v>614.96</v>
      </c>
      <c r="BV139" s="26">
        <f>AA139</f>
        <v>631.11800000000005</v>
      </c>
      <c r="BW139" s="26">
        <f>AE139</f>
        <v>654.65</v>
      </c>
      <c r="BX139" s="26">
        <f>AI139</f>
        <v>583.46600000000001</v>
      </c>
      <c r="BY139" s="26">
        <f>AM139</f>
        <v>525.80399999999997</v>
      </c>
      <c r="BZ139" s="26">
        <f>AQ139</f>
        <v>497.62</v>
      </c>
      <c r="CA139" s="26">
        <f>AU139</f>
        <v>513.57399999999996</v>
      </c>
      <c r="CB139" s="26">
        <f>AY139</f>
        <v>506.35199999999998</v>
      </c>
      <c r="CC139" s="26">
        <f>BC139</f>
        <v>507.834</v>
      </c>
      <c r="CD139" s="26">
        <f>BG139</f>
        <v>493.66300000000001</v>
      </c>
      <c r="CE139" s="26">
        <f>BK139</f>
        <v>493.66300000000001</v>
      </c>
      <c r="CF139" s="26">
        <f>BO139</f>
        <v>493.66300000000001</v>
      </c>
      <c r="CG139" s="688">
        <f>CG132</f>
        <v>483.66300000000001</v>
      </c>
      <c r="CH139" s="336"/>
    </row>
    <row r="140" spans="2:86" ht="14.25">
      <c r="B140" s="16"/>
      <c r="C140" s="17"/>
      <c r="D140" s="75"/>
      <c r="E140" s="76"/>
      <c r="F140" s="76"/>
      <c r="G140" s="76"/>
      <c r="H140" s="75"/>
      <c r="I140" s="76"/>
      <c r="J140" s="76"/>
      <c r="K140" s="76"/>
      <c r="L140" s="75"/>
      <c r="M140" s="76"/>
      <c r="N140" s="76"/>
      <c r="O140" s="76"/>
      <c r="P140" s="75"/>
      <c r="Q140" s="76"/>
      <c r="R140" s="76"/>
      <c r="S140" s="76"/>
      <c r="T140" s="75"/>
      <c r="U140" s="76"/>
      <c r="V140" s="76"/>
      <c r="W140" s="76"/>
      <c r="X140" s="75"/>
      <c r="Y140" s="76"/>
      <c r="Z140" s="76"/>
      <c r="AA140" s="76"/>
      <c r="AB140" s="75"/>
      <c r="AC140" s="76"/>
      <c r="AD140" s="76"/>
      <c r="AE140" s="79"/>
      <c r="AF140" s="75"/>
      <c r="AG140" s="76"/>
      <c r="AH140" s="76"/>
      <c r="AI140" s="79"/>
      <c r="AJ140" s="75"/>
      <c r="AK140" s="76"/>
      <c r="AL140" s="76"/>
      <c r="AM140" s="79"/>
      <c r="AN140" s="388"/>
      <c r="AO140" s="76"/>
      <c r="AP140" s="76"/>
      <c r="AQ140" s="79"/>
      <c r="AR140" s="388"/>
      <c r="AS140" s="76"/>
      <c r="AT140" s="76"/>
      <c r="AU140" s="79"/>
      <c r="AV140" s="388"/>
      <c r="AW140" s="76"/>
      <c r="AX140" s="76"/>
      <c r="AY140" s="79"/>
      <c r="AZ140" s="388"/>
      <c r="BA140" s="76"/>
      <c r="BB140" s="76"/>
      <c r="BC140" s="79"/>
      <c r="BD140" s="75"/>
      <c r="BE140" s="76"/>
      <c r="BF140" s="76"/>
      <c r="BG140" s="79"/>
      <c r="BH140" s="75"/>
      <c r="BI140" s="76"/>
      <c r="BJ140" s="76"/>
      <c r="BK140" s="79"/>
      <c r="BL140" s="75"/>
      <c r="BM140" s="76"/>
      <c r="BN140" s="76"/>
      <c r="BO140" s="79"/>
      <c r="BP140" s="247"/>
      <c r="BR140" s="338"/>
      <c r="BS140" s="338"/>
      <c r="BT140" s="338"/>
      <c r="BU140" s="338"/>
      <c r="BV140" s="338"/>
      <c r="BW140" s="338"/>
      <c r="BX140" s="338"/>
      <c r="BY140" s="338"/>
      <c r="BZ140" s="338"/>
      <c r="CA140" s="338"/>
      <c r="CB140" s="338"/>
      <c r="CC140" s="338"/>
      <c r="CD140" s="338"/>
      <c r="CE140" s="338"/>
      <c r="CF140" s="338"/>
      <c r="CG140" s="692"/>
      <c r="CH140" s="336"/>
    </row>
    <row r="141" spans="2:86" ht="14.25">
      <c r="B141" s="16" t="s">
        <v>62</v>
      </c>
      <c r="C141" s="17"/>
      <c r="D141" s="75">
        <v>0</v>
      </c>
      <c r="E141" s="76">
        <v>0</v>
      </c>
      <c r="F141" s="76">
        <v>0</v>
      </c>
      <c r="G141" s="76">
        <v>0</v>
      </c>
      <c r="H141" s="75">
        <v>0</v>
      </c>
      <c r="I141" s="76">
        <v>0</v>
      </c>
      <c r="J141" s="76">
        <v>0</v>
      </c>
      <c r="K141" s="76">
        <v>0</v>
      </c>
      <c r="L141" s="75">
        <v>0</v>
      </c>
      <c r="M141" s="76">
        <v>0</v>
      </c>
      <c r="N141" s="76">
        <v>0</v>
      </c>
      <c r="O141" s="76">
        <v>0</v>
      </c>
      <c r="P141" s="75">
        <v>0</v>
      </c>
      <c r="Q141" s="76">
        <v>0</v>
      </c>
      <c r="R141" s="76">
        <v>0</v>
      </c>
      <c r="S141" s="76">
        <v>0</v>
      </c>
      <c r="T141" s="75">
        <v>0</v>
      </c>
      <c r="U141" s="76">
        <v>0</v>
      </c>
      <c r="V141" s="76">
        <v>0</v>
      </c>
      <c r="W141" s="76">
        <v>0</v>
      </c>
      <c r="X141" s="75">
        <v>0</v>
      </c>
      <c r="Y141" s="76">
        <v>0</v>
      </c>
      <c r="Z141" s="76">
        <v>0</v>
      </c>
      <c r="AA141" s="76">
        <v>0</v>
      </c>
      <c r="AB141" s="75">
        <v>0</v>
      </c>
      <c r="AC141" s="76">
        <v>0</v>
      </c>
      <c r="AD141" s="76">
        <v>0</v>
      </c>
      <c r="AE141" s="79">
        <v>0</v>
      </c>
      <c r="AF141" s="75">
        <v>0</v>
      </c>
      <c r="AG141" s="76">
        <v>0</v>
      </c>
      <c r="AH141" s="76">
        <v>0</v>
      </c>
      <c r="AI141" s="79">
        <v>0</v>
      </c>
      <c r="AJ141" s="75">
        <v>0</v>
      </c>
      <c r="AK141" s="377">
        <v>0.06</v>
      </c>
      <c r="AL141" s="377">
        <v>0.06</v>
      </c>
      <c r="AM141" s="377">
        <v>0.06</v>
      </c>
      <c r="AN141" s="420">
        <v>0.06</v>
      </c>
      <c r="AO141" s="377">
        <v>0.06</v>
      </c>
      <c r="AP141" s="377">
        <v>0.06</v>
      </c>
      <c r="AQ141" s="377">
        <v>0.06</v>
      </c>
      <c r="AR141" s="420">
        <v>0.06</v>
      </c>
      <c r="AS141" s="377">
        <v>0.06</v>
      </c>
      <c r="AT141" s="377">
        <v>0.06</v>
      </c>
      <c r="AU141" s="377">
        <v>0.06</v>
      </c>
      <c r="AV141" s="420">
        <v>0.06</v>
      </c>
      <c r="AW141" s="377">
        <f>AV141</f>
        <v>0.06</v>
      </c>
      <c r="AX141" s="377">
        <f t="shared" ref="AX141:BB141" si="760">AW141</f>
        <v>0.06</v>
      </c>
      <c r="AY141" s="377">
        <v>0.06</v>
      </c>
      <c r="AZ141" s="420">
        <v>0.06</v>
      </c>
      <c r="BA141" s="377">
        <f>AZ141</f>
        <v>0.06</v>
      </c>
      <c r="BB141" s="377">
        <f t="shared" si="760"/>
        <v>0.06</v>
      </c>
      <c r="BC141" s="377">
        <v>0.06</v>
      </c>
      <c r="BD141" s="420">
        <v>0.06</v>
      </c>
      <c r="BE141" s="377">
        <f t="shared" ref="BE141" si="761">BD141</f>
        <v>0.06</v>
      </c>
      <c r="BF141" s="377">
        <f t="shared" ref="BF141" si="762">BE141</f>
        <v>0.06</v>
      </c>
      <c r="BG141" s="377">
        <v>0.06</v>
      </c>
      <c r="BH141" s="420">
        <f t="shared" ref="BH141" si="763">BG141</f>
        <v>0.06</v>
      </c>
      <c r="BI141" s="377">
        <f t="shared" ref="BI141" si="764">BH141</f>
        <v>0.06</v>
      </c>
      <c r="BJ141" s="377">
        <f t="shared" ref="BJ141" si="765">BI141</f>
        <v>0.06</v>
      </c>
      <c r="BK141" s="460">
        <f t="shared" ref="BK141" si="766">BJ141</f>
        <v>0.06</v>
      </c>
      <c r="BL141" s="420">
        <f t="shared" ref="BL141" si="767">BK141</f>
        <v>0.06</v>
      </c>
      <c r="BM141" s="377">
        <f t="shared" ref="BM141" si="768">BL141</f>
        <v>0.06</v>
      </c>
      <c r="BN141" s="377">
        <f t="shared" ref="BN141" si="769">BM141</f>
        <v>0.06</v>
      </c>
      <c r="BO141" s="460">
        <f t="shared" ref="BO141" si="770">BN141</f>
        <v>0.06</v>
      </c>
      <c r="BP141" s="247"/>
      <c r="BQ141" s="26">
        <f>SUM(D141:G141)</f>
        <v>0</v>
      </c>
      <c r="BR141" s="421">
        <f>SUM(H141:K141)</f>
        <v>0</v>
      </c>
      <c r="BS141" s="421">
        <f>SUM(L141:O141)</f>
        <v>0</v>
      </c>
      <c r="BT141" s="421">
        <f>SUM(P141:S141)</f>
        <v>0</v>
      </c>
      <c r="BU141" s="421">
        <f>SUM(T141:W141)</f>
        <v>0</v>
      </c>
      <c r="BV141" s="421">
        <f>SUM(X141:AA141)</f>
        <v>0</v>
      </c>
      <c r="BW141" s="421">
        <f>SUM(AB141:AE141)</f>
        <v>0</v>
      </c>
      <c r="BX141" s="421">
        <f>SUM(AF141:AI141)</f>
        <v>0</v>
      </c>
      <c r="BY141" s="421">
        <f>SUM(AJ141:AM141)</f>
        <v>0.18</v>
      </c>
      <c r="BZ141" s="421">
        <f>SUM(AN141:AQ141)</f>
        <v>0.24</v>
      </c>
      <c r="CA141" s="421">
        <f>SUM(AR141:AU141)</f>
        <v>0.24</v>
      </c>
      <c r="CB141" s="421">
        <f>SUM(AV141:AY141)</f>
        <v>0.24</v>
      </c>
      <c r="CC141" s="421">
        <f>SUM(AZ141:BC141)</f>
        <v>0.24</v>
      </c>
      <c r="CD141" s="421">
        <f>SUM(BD141:BG141)</f>
        <v>0.24</v>
      </c>
      <c r="CE141" s="421">
        <f>SUM(BH141:BK141)</f>
        <v>0.24</v>
      </c>
      <c r="CF141" s="421">
        <f>SUM(BL141:BO141)</f>
        <v>0.24</v>
      </c>
      <c r="CG141" s="693">
        <f>CE141</f>
        <v>0.24</v>
      </c>
      <c r="CH141" s="336"/>
    </row>
    <row r="142" spans="2:86" ht="14.25">
      <c r="B142" s="16" t="s">
        <v>63</v>
      </c>
      <c r="C142" s="17"/>
      <c r="D142" s="75"/>
      <c r="E142" s="76"/>
      <c r="F142" s="76"/>
      <c r="G142" s="79"/>
      <c r="H142" s="75"/>
      <c r="I142" s="76"/>
      <c r="J142" s="76"/>
      <c r="K142" s="79"/>
      <c r="L142" s="75"/>
      <c r="M142" s="76"/>
      <c r="N142" s="76"/>
      <c r="O142" s="79"/>
      <c r="P142" s="75"/>
      <c r="Q142" s="76"/>
      <c r="R142" s="76"/>
      <c r="S142" s="79"/>
      <c r="T142" s="75"/>
      <c r="U142" s="76"/>
      <c r="V142" s="76"/>
      <c r="W142" s="79"/>
      <c r="X142" s="75"/>
      <c r="Y142" s="76"/>
      <c r="Z142" s="76"/>
      <c r="AA142" s="79"/>
      <c r="AB142" s="75"/>
      <c r="AC142" s="76"/>
      <c r="AD142" s="76"/>
      <c r="AE142" s="79"/>
      <c r="AF142" s="75"/>
      <c r="AG142" s="76"/>
      <c r="AH142" s="76"/>
      <c r="AI142" s="79"/>
      <c r="AJ142" s="75"/>
      <c r="AK142" s="76"/>
      <c r="AL142" s="76"/>
      <c r="AM142" s="79"/>
      <c r="AN142" s="75"/>
      <c r="AO142" s="76"/>
      <c r="AP142" s="76"/>
      <c r="AQ142" s="79"/>
      <c r="AR142" s="75"/>
      <c r="AS142" s="76"/>
      <c r="AT142" s="76"/>
      <c r="AU142" s="79"/>
      <c r="AV142" s="75"/>
      <c r="AW142" s="76"/>
      <c r="AX142" s="76"/>
      <c r="AY142" s="79"/>
      <c r="AZ142" s="75"/>
      <c r="BA142" s="76"/>
      <c r="BB142" s="76"/>
      <c r="BC142" s="79"/>
      <c r="BD142" s="75"/>
      <c r="BE142" s="76"/>
      <c r="BF142" s="76"/>
      <c r="BG142" s="79"/>
      <c r="BH142" s="75"/>
      <c r="BI142" s="76"/>
      <c r="BJ142" s="76"/>
      <c r="BK142" s="79"/>
      <c r="BL142" s="75"/>
      <c r="BM142" s="76"/>
      <c r="BN142" s="76"/>
      <c r="BO142" s="79"/>
      <c r="BP142" s="247"/>
      <c r="BR142" s="338"/>
      <c r="BS142" s="338"/>
      <c r="BT142" s="338"/>
      <c r="BU142" s="338"/>
      <c r="BV142" s="338"/>
      <c r="BW142" s="338"/>
      <c r="BX142" s="338"/>
      <c r="BY142" s="338"/>
      <c r="BZ142" s="338"/>
      <c r="CA142" s="338"/>
      <c r="CB142" s="338"/>
      <c r="CC142" s="338"/>
      <c r="CD142" s="338"/>
      <c r="CE142" s="338"/>
      <c r="CF142" s="338"/>
      <c r="CG142" s="692"/>
      <c r="CH142" s="336"/>
    </row>
    <row r="143" spans="2:86" ht="14.25">
      <c r="B143" s="28" t="s">
        <v>64</v>
      </c>
      <c r="C143" s="29"/>
      <c r="D143" s="80"/>
      <c r="E143" s="81"/>
      <c r="F143" s="81"/>
      <c r="G143" s="81"/>
      <c r="H143" s="80"/>
      <c r="I143" s="81"/>
      <c r="J143" s="81"/>
      <c r="K143" s="81"/>
      <c r="L143" s="80"/>
      <c r="M143" s="81"/>
      <c r="N143" s="81"/>
      <c r="O143" s="81"/>
      <c r="P143" s="80"/>
      <c r="Q143" s="81"/>
      <c r="R143" s="81"/>
      <c r="S143" s="81"/>
      <c r="T143" s="80"/>
      <c r="U143" s="81"/>
      <c r="V143" s="81"/>
      <c r="W143" s="81"/>
      <c r="X143" s="80"/>
      <c r="Y143" s="81"/>
      <c r="Z143" s="81"/>
      <c r="AA143" s="81"/>
      <c r="AB143" s="80"/>
      <c r="AC143" s="81"/>
      <c r="AD143" s="81"/>
      <c r="AE143" s="102"/>
      <c r="AF143" s="80"/>
      <c r="AG143" s="81"/>
      <c r="AH143" s="81"/>
      <c r="AI143" s="102"/>
      <c r="AJ143" s="80"/>
      <c r="AK143" s="81"/>
      <c r="AL143" s="81"/>
      <c r="AM143" s="102"/>
      <c r="AN143" s="80"/>
      <c r="AO143" s="81"/>
      <c r="AP143" s="81"/>
      <c r="AQ143" s="102"/>
      <c r="AR143" s="80"/>
      <c r="AS143" s="81"/>
      <c r="AT143" s="81"/>
      <c r="AU143" s="102"/>
      <c r="AV143" s="80"/>
      <c r="AW143" s="81"/>
      <c r="AX143" s="81"/>
      <c r="AY143" s="102"/>
      <c r="AZ143" s="80"/>
      <c r="BA143" s="81"/>
      <c r="BB143" s="81"/>
      <c r="BC143" s="102"/>
      <c r="BD143" s="80"/>
      <c r="BE143" s="81"/>
      <c r="BF143" s="81"/>
      <c r="BG143" s="102"/>
      <c r="BH143" s="80"/>
      <c r="BI143" s="81"/>
      <c r="BJ143" s="81"/>
      <c r="BK143" s="102"/>
      <c r="BL143" s="80"/>
      <c r="BM143" s="81"/>
      <c r="BN143" s="81"/>
      <c r="BO143" s="102"/>
      <c r="BP143" s="247"/>
      <c r="BR143" s="338"/>
      <c r="BS143" s="338"/>
      <c r="BT143" s="338"/>
      <c r="BU143" s="338"/>
      <c r="BV143" s="338"/>
      <c r="BW143" s="338"/>
      <c r="BX143" s="338"/>
      <c r="BY143" s="338"/>
      <c r="BZ143" s="338"/>
      <c r="CA143" s="338"/>
      <c r="CB143" s="338"/>
      <c r="CC143" s="338"/>
      <c r="CD143" s="338"/>
      <c r="CE143" s="338"/>
      <c r="CF143" s="338"/>
      <c r="CG143" s="694"/>
      <c r="CH143" s="336"/>
    </row>
    <row r="144" spans="2:86" ht="14.25">
      <c r="B144" s="16"/>
      <c r="C144" s="17"/>
      <c r="D144" s="51"/>
      <c r="E144" s="52"/>
      <c r="F144" s="52"/>
      <c r="G144" s="52"/>
      <c r="H144" s="51"/>
      <c r="I144" s="52"/>
      <c r="J144" s="52"/>
      <c r="K144" s="52"/>
      <c r="L144" s="51"/>
      <c r="M144" s="52"/>
      <c r="N144" s="52"/>
      <c r="O144" s="52"/>
      <c r="P144" s="51"/>
      <c r="Q144" s="52"/>
      <c r="R144" s="52"/>
      <c r="S144" s="52"/>
      <c r="T144" s="51"/>
      <c r="U144" s="52"/>
      <c r="V144" s="52"/>
      <c r="W144" s="52"/>
      <c r="X144" s="51"/>
      <c r="Y144" s="52"/>
      <c r="Z144" s="52"/>
      <c r="AA144" s="52"/>
      <c r="AB144" s="51"/>
      <c r="AC144" s="52"/>
      <c r="AD144" s="52"/>
      <c r="AE144" s="101"/>
      <c r="AF144" s="51"/>
      <c r="AG144" s="52"/>
      <c r="AH144" s="52"/>
      <c r="AI144" s="101"/>
      <c r="AJ144" s="51"/>
      <c r="AK144" s="52"/>
      <c r="AL144" s="52"/>
      <c r="AM144" s="101"/>
      <c r="AN144" s="51"/>
      <c r="AO144" s="52"/>
      <c r="AP144" s="52"/>
      <c r="AQ144" s="101"/>
      <c r="AR144" s="51"/>
      <c r="AS144" s="52"/>
      <c r="AT144" s="52"/>
      <c r="AU144" s="101"/>
      <c r="AV144" s="51"/>
      <c r="AW144" s="52"/>
      <c r="AX144" s="52"/>
      <c r="AY144" s="101"/>
      <c r="AZ144" s="51"/>
      <c r="BA144" s="52"/>
      <c r="BB144" s="52"/>
      <c r="BC144" s="101"/>
      <c r="BD144" s="51"/>
      <c r="BE144" s="52"/>
      <c r="BF144" s="52"/>
      <c r="BG144" s="101"/>
      <c r="BH144" s="51"/>
      <c r="BI144" s="52"/>
      <c r="BJ144" s="52"/>
      <c r="BK144" s="101"/>
      <c r="BL144" s="51"/>
      <c r="BM144" s="52"/>
      <c r="BN144" s="52"/>
      <c r="BO144" s="101"/>
      <c r="BP144" s="247"/>
      <c r="BR144" s="338"/>
      <c r="BS144" s="338"/>
      <c r="BT144" s="338"/>
      <c r="BU144" s="338"/>
      <c r="BV144" s="338"/>
      <c r="BW144" s="338"/>
      <c r="BX144" s="338"/>
      <c r="BY144" s="338"/>
      <c r="BZ144" s="338"/>
      <c r="CA144" s="338"/>
      <c r="CB144" s="338"/>
      <c r="CC144" s="338"/>
      <c r="CD144" s="338"/>
      <c r="CE144" s="338"/>
      <c r="CF144" s="338"/>
      <c r="CG144" s="691"/>
      <c r="CH144" s="336"/>
    </row>
    <row r="145" spans="2:86" ht="14.25">
      <c r="B145" s="16" t="s">
        <v>65</v>
      </c>
      <c r="C145" s="17"/>
      <c r="D145" s="82">
        <v>0.35</v>
      </c>
      <c r="E145" s="83">
        <v>0.35</v>
      </c>
      <c r="F145" s="83">
        <v>0.35</v>
      </c>
      <c r="G145" s="84">
        <v>0.35</v>
      </c>
      <c r="H145" s="82">
        <v>0.35</v>
      </c>
      <c r="I145" s="83">
        <v>0.35</v>
      </c>
      <c r="J145" s="83">
        <v>0.35</v>
      </c>
      <c r="K145" s="84">
        <v>0.35</v>
      </c>
      <c r="L145" s="82">
        <v>0.35</v>
      </c>
      <c r="M145" s="83">
        <v>0.35</v>
      </c>
      <c r="N145" s="83">
        <v>0.35</v>
      </c>
      <c r="O145" s="84">
        <v>0.35</v>
      </c>
      <c r="P145" s="82">
        <v>0.35</v>
      </c>
      <c r="Q145" s="83">
        <v>0.35</v>
      </c>
      <c r="R145" s="83">
        <v>0.35</v>
      </c>
      <c r="S145" s="84">
        <v>0.35</v>
      </c>
      <c r="T145" s="82">
        <v>0.35</v>
      </c>
      <c r="U145" s="83">
        <v>0.35</v>
      </c>
      <c r="V145" s="83">
        <v>0.35</v>
      </c>
      <c r="W145" s="84">
        <v>0.35</v>
      </c>
      <c r="X145" s="82">
        <v>0.35</v>
      </c>
      <c r="Y145" s="83">
        <v>0.35</v>
      </c>
      <c r="Z145" s="83">
        <v>0.35</v>
      </c>
      <c r="AA145" s="84">
        <v>0.35</v>
      </c>
      <c r="AB145" s="82">
        <v>0.35</v>
      </c>
      <c r="AC145" s="83">
        <v>0.35</v>
      </c>
      <c r="AD145" s="83">
        <v>0.35</v>
      </c>
      <c r="AE145" s="84">
        <v>0.35</v>
      </c>
      <c r="AF145" s="82">
        <v>0.35</v>
      </c>
      <c r="AG145" s="83">
        <v>0.35</v>
      </c>
      <c r="AH145" s="83">
        <v>0.35</v>
      </c>
      <c r="AI145" s="84">
        <v>0.35</v>
      </c>
      <c r="AJ145" s="82">
        <v>0.35</v>
      </c>
      <c r="AK145" s="83">
        <v>0.35</v>
      </c>
      <c r="AL145" s="83">
        <v>0.35</v>
      </c>
      <c r="AM145" s="84">
        <v>0.35</v>
      </c>
      <c r="AN145" s="82">
        <v>0.35</v>
      </c>
      <c r="AO145" s="83">
        <v>0.35</v>
      </c>
      <c r="AP145" s="83">
        <v>0.35</v>
      </c>
      <c r="AQ145" s="84">
        <v>0.35</v>
      </c>
      <c r="AR145" s="82">
        <v>0.35</v>
      </c>
      <c r="AS145" s="83">
        <v>0.35</v>
      </c>
      <c r="AT145" s="83">
        <v>0.35</v>
      </c>
      <c r="AU145" s="84">
        <v>0.35</v>
      </c>
      <c r="AV145" s="82">
        <v>0.35</v>
      </c>
      <c r="AW145" s="83">
        <v>0.35</v>
      </c>
      <c r="AX145" s="83">
        <v>0.35</v>
      </c>
      <c r="AY145" s="84">
        <v>0.35</v>
      </c>
      <c r="AZ145" s="464">
        <v>0.35</v>
      </c>
      <c r="BA145" s="465">
        <v>0.35</v>
      </c>
      <c r="BB145" s="465">
        <v>0.35</v>
      </c>
      <c r="BC145" s="533">
        <v>0.35</v>
      </c>
      <c r="BD145" s="531">
        <v>0.35</v>
      </c>
      <c r="BE145" s="532">
        <v>0.35</v>
      </c>
      <c r="BF145" s="532">
        <v>0.35</v>
      </c>
      <c r="BG145" s="533">
        <v>0.35</v>
      </c>
      <c r="BH145" s="531">
        <v>0.35</v>
      </c>
      <c r="BI145" s="532">
        <v>0.35</v>
      </c>
      <c r="BJ145" s="532">
        <v>0.35</v>
      </c>
      <c r="BK145" s="533">
        <v>0.35</v>
      </c>
      <c r="BL145" s="531">
        <v>0.35</v>
      </c>
      <c r="BM145" s="532">
        <v>0.35</v>
      </c>
      <c r="BN145" s="532">
        <v>0.35</v>
      </c>
      <c r="BO145" s="533">
        <v>0.35</v>
      </c>
      <c r="BP145" s="247"/>
      <c r="BQ145" s="83">
        <v>0.35</v>
      </c>
      <c r="BR145" s="532">
        <v>0.35</v>
      </c>
      <c r="BS145" s="532">
        <v>0.35</v>
      </c>
      <c r="BT145" s="532">
        <v>0.35</v>
      </c>
      <c r="BU145" s="532">
        <v>0.35</v>
      </c>
      <c r="BV145" s="532">
        <v>0.35</v>
      </c>
      <c r="BW145" s="532">
        <v>0.35</v>
      </c>
      <c r="BX145" s="532">
        <v>0.35</v>
      </c>
      <c r="BY145" s="532">
        <v>0.35</v>
      </c>
      <c r="BZ145" s="532">
        <v>0.35</v>
      </c>
      <c r="CA145" s="465">
        <v>0.35</v>
      </c>
      <c r="CB145" s="465">
        <v>0.35</v>
      </c>
      <c r="CC145" s="465">
        <v>0.35</v>
      </c>
      <c r="CD145" s="465">
        <v>0.35</v>
      </c>
      <c r="CE145" s="532">
        <v>0.35</v>
      </c>
      <c r="CF145" s="532">
        <v>0.35</v>
      </c>
      <c r="CG145" s="695">
        <v>0.35</v>
      </c>
      <c r="CH145" s="336"/>
    </row>
    <row r="146" spans="2:86" ht="14.25">
      <c r="B146" s="28"/>
      <c r="C146" s="29"/>
      <c r="D146" s="51"/>
      <c r="E146" s="52"/>
      <c r="F146" s="52"/>
      <c r="G146" s="52"/>
      <c r="H146" s="51"/>
      <c r="I146" s="52"/>
      <c r="J146" s="52"/>
      <c r="K146" s="52"/>
      <c r="L146" s="51"/>
      <c r="M146" s="52"/>
      <c r="N146" s="52"/>
      <c r="O146" s="52"/>
      <c r="P146" s="51"/>
      <c r="Q146" s="52"/>
      <c r="R146" s="52"/>
      <c r="S146" s="52"/>
      <c r="T146" s="51"/>
      <c r="U146" s="52"/>
      <c r="V146" s="52"/>
      <c r="W146" s="52"/>
      <c r="X146" s="51"/>
      <c r="Y146" s="52"/>
      <c r="Z146" s="52"/>
      <c r="AA146" s="52"/>
      <c r="AB146" s="51"/>
      <c r="AC146" s="52"/>
      <c r="AD146" s="52"/>
      <c r="AE146" s="101"/>
      <c r="AF146" s="51"/>
      <c r="AG146" s="52"/>
      <c r="AH146" s="52"/>
      <c r="AI146" s="101"/>
      <c r="AJ146" s="51"/>
      <c r="AK146" s="52"/>
      <c r="AL146" s="52"/>
      <c r="AM146" s="101"/>
      <c r="AN146" s="51"/>
      <c r="AO146" s="52"/>
      <c r="AP146" s="52"/>
      <c r="AQ146" s="101"/>
      <c r="AR146" s="51"/>
      <c r="AS146" s="52"/>
      <c r="AT146" s="52"/>
      <c r="AU146" s="101"/>
      <c r="AV146" s="51"/>
      <c r="AW146" s="52"/>
      <c r="AX146" s="52"/>
      <c r="AY146" s="101"/>
      <c r="AZ146" s="51"/>
      <c r="BA146" s="52"/>
      <c r="BB146" s="52"/>
      <c r="BC146" s="101"/>
      <c r="BD146" s="51"/>
      <c r="BE146" s="52"/>
      <c r="BF146" s="52"/>
      <c r="BG146" s="101"/>
      <c r="BH146" s="51"/>
      <c r="BI146" s="52"/>
      <c r="BJ146" s="52"/>
      <c r="BK146" s="101"/>
      <c r="BL146" s="51"/>
      <c r="BM146" s="52"/>
      <c r="BN146" s="52"/>
      <c r="BO146" s="101"/>
      <c r="BP146" s="247"/>
      <c r="BR146" s="338"/>
      <c r="BS146" s="338"/>
      <c r="BT146" s="338"/>
      <c r="BU146" s="338"/>
      <c r="BV146" s="338"/>
      <c r="BW146" s="338"/>
      <c r="BX146" s="338"/>
      <c r="BY146" s="338"/>
      <c r="BZ146" s="338"/>
      <c r="CA146" s="338"/>
      <c r="CB146" s="338"/>
      <c r="CC146" s="338"/>
      <c r="CD146" s="338"/>
      <c r="CE146" s="338"/>
      <c r="CF146" s="338"/>
      <c r="CG146" s="691"/>
      <c r="CH146" s="336"/>
    </row>
    <row r="147" spans="2:86" ht="14.25">
      <c r="B147" s="50" t="s">
        <v>66</v>
      </c>
      <c r="C147" s="86">
        <f t="shared" ref="C147:AC147" si="771">C33+C43+C53+C63</f>
        <v>0</v>
      </c>
      <c r="D147" s="85">
        <f>D33+D43+D53+D63</f>
        <v>123.456</v>
      </c>
      <c r="E147" s="85">
        <f>E33+E43+E53+E63</f>
        <v>122.613</v>
      </c>
      <c r="F147" s="85">
        <f>F33+F43+F53+F63</f>
        <v>118.098</v>
      </c>
      <c r="G147" s="86">
        <f>G33+G43+G53+G63</f>
        <v>116.80900000000004</v>
      </c>
      <c r="H147" s="85">
        <f t="shared" si="771"/>
        <v>129.29900000000001</v>
      </c>
      <c r="I147" s="85">
        <f t="shared" si="771"/>
        <v>151.447</v>
      </c>
      <c r="J147" s="85">
        <f t="shared" si="771"/>
        <v>137.751</v>
      </c>
      <c r="K147" s="86">
        <f t="shared" si="771"/>
        <v>212.04299999999998</v>
      </c>
      <c r="L147" s="85">
        <f>L33+L43+L53+L63</f>
        <v>203.999</v>
      </c>
      <c r="M147" s="85">
        <f>M33+M43+M53+M63</f>
        <v>239.006</v>
      </c>
      <c r="N147" s="85">
        <f>N33+N43+N53+N63</f>
        <v>258.64599999999996</v>
      </c>
      <c r="O147" s="86">
        <f>O33+O43+O53+O63</f>
        <v>434.60400000000004</v>
      </c>
      <c r="P147" s="85">
        <f t="shared" si="771"/>
        <v>345.83300000000003</v>
      </c>
      <c r="Q147" s="85">
        <f t="shared" si="771"/>
        <v>361.20399999999995</v>
      </c>
      <c r="R147" s="85">
        <f t="shared" si="771"/>
        <v>368.476</v>
      </c>
      <c r="S147" s="86">
        <f t="shared" si="771"/>
        <v>426.97399999999999</v>
      </c>
      <c r="T147" s="85">
        <f t="shared" si="771"/>
        <v>332.76100000000002</v>
      </c>
      <c r="U147" s="85">
        <f t="shared" si="771"/>
        <v>357.52499999999998</v>
      </c>
      <c r="V147" s="85">
        <f t="shared" si="771"/>
        <v>339.06300000000005</v>
      </c>
      <c r="W147" s="86">
        <f t="shared" si="771"/>
        <v>329.41400000000004</v>
      </c>
      <c r="X147" s="85">
        <f t="shared" si="771"/>
        <v>373.08299999999997</v>
      </c>
      <c r="Y147" s="85">
        <f t="shared" si="771"/>
        <v>285.01200000000006</v>
      </c>
      <c r="Z147" s="85">
        <f t="shared" si="771"/>
        <v>291.42500000000001</v>
      </c>
      <c r="AA147" s="86">
        <f t="shared" si="771"/>
        <v>296.95600000000007</v>
      </c>
      <c r="AB147" s="85">
        <f t="shared" si="771"/>
        <v>303.19099999999997</v>
      </c>
      <c r="AC147" s="85">
        <f t="shared" si="771"/>
        <v>311.72800000000001</v>
      </c>
      <c r="AD147" s="85">
        <f t="shared" ref="AD147:AU147" si="772">AD33+AD43+AD53+AD63</f>
        <v>309.517</v>
      </c>
      <c r="AE147" s="86">
        <f t="shared" si="772"/>
        <v>312.99100000000004</v>
      </c>
      <c r="AF147" s="85">
        <f>AF33+AF43+AF53+AF63</f>
        <v>319.81400000000002</v>
      </c>
      <c r="AG147" s="85">
        <f t="shared" si="772"/>
        <v>324.76299999999998</v>
      </c>
      <c r="AH147" s="85">
        <f>AH33+AH43+AH53+AH63</f>
        <v>346.93099999999998</v>
      </c>
      <c r="AI147" s="86">
        <f>AI33+AI43+AI53+AI63</f>
        <v>331.58100000000007</v>
      </c>
      <c r="AJ147" s="85">
        <f>AJ33+AJ43+AJ53+AJ63</f>
        <v>336.096</v>
      </c>
      <c r="AK147" s="85">
        <f>AK33+AK43+AK53+AK63</f>
        <v>343.95000000000005</v>
      </c>
      <c r="AL147" s="85">
        <f t="shared" si="772"/>
        <v>339.58100000000002</v>
      </c>
      <c r="AM147" s="86">
        <f t="shared" si="772"/>
        <v>360.84900000000005</v>
      </c>
      <c r="AN147" s="85">
        <f>AN33+AN43+AN53+AN63</f>
        <v>356.04999999999995</v>
      </c>
      <c r="AO147" s="85">
        <f t="shared" si="772"/>
        <v>369.02</v>
      </c>
      <c r="AP147" s="85">
        <f t="shared" si="772"/>
        <v>371.02099999999996</v>
      </c>
      <c r="AQ147" s="86">
        <f t="shared" si="772"/>
        <v>363.88800000000003</v>
      </c>
      <c r="AR147" s="85">
        <f t="shared" si="772"/>
        <v>370.983</v>
      </c>
      <c r="AS147" s="85">
        <f>AS33+AS43+AS53+AS63</f>
        <v>363.35</v>
      </c>
      <c r="AT147" s="85">
        <f>AT33+AT43+AT53+AT63</f>
        <v>359.62200000000001</v>
      </c>
      <c r="AU147" s="86">
        <f t="shared" si="772"/>
        <v>360.48300000000006</v>
      </c>
      <c r="AV147" s="85">
        <f>AV33+AV43+AV53+AV63</f>
        <v>359.88299999999992</v>
      </c>
      <c r="AW147" s="85">
        <f t="shared" ref="AW147:AY147" si="773">AW33+AW43+AW53+AW63</f>
        <v>1021.96</v>
      </c>
      <c r="AX147" s="85">
        <f t="shared" si="773"/>
        <v>354.71000000000004</v>
      </c>
      <c r="AY147" s="86">
        <f t="shared" si="773"/>
        <v>311.27800000000002</v>
      </c>
      <c r="AZ147" s="85">
        <f>AZ33+AZ43+AZ53+AZ63</f>
        <v>310.73399999999998</v>
      </c>
      <c r="BA147" s="85">
        <f t="shared" ref="BA147:BC147" si="774">BA33+BA43+BA53+BA63</f>
        <v>299.29000000000002</v>
      </c>
      <c r="BB147" s="85">
        <f t="shared" si="774"/>
        <v>285.40599999999995</v>
      </c>
      <c r="BC147" s="86">
        <f t="shared" si="774"/>
        <v>339.65000000000003</v>
      </c>
      <c r="BD147" s="522">
        <f>BD33+BD43+BD53+BD63</f>
        <v>249.74299999999999</v>
      </c>
      <c r="BE147" s="85">
        <f t="shared" ref="BE147:BG147" si="775">BE33+BE43+BE53+BE63</f>
        <v>240.815</v>
      </c>
      <c r="BF147" s="85">
        <f t="shared" si="775"/>
        <v>227.87299999999999</v>
      </c>
      <c r="BG147" s="86">
        <f t="shared" si="775"/>
        <v>319.471</v>
      </c>
      <c r="BH147" s="522">
        <f t="shared" ref="BH147:BK147" si="776">BH33+BH43+BH53+BH63</f>
        <v>234.26574209999998</v>
      </c>
      <c r="BI147" s="85">
        <f t="shared" si="776"/>
        <v>236.71243213139999</v>
      </c>
      <c r="BJ147" s="85">
        <f t="shared" si="776"/>
        <v>241.79336281114647</v>
      </c>
      <c r="BK147" s="86">
        <f t="shared" si="776"/>
        <v>239.53645801546645</v>
      </c>
      <c r="BL147" s="522">
        <f t="shared" ref="BL147:BO147" si="777">BL33+BL43+BL53+BL63</f>
        <v>228.53855438197229</v>
      </c>
      <c r="BM147" s="85">
        <f t="shared" si="777"/>
        <v>243.10674883668764</v>
      </c>
      <c r="BN147" s="85">
        <f t="shared" si="777"/>
        <v>251.29120567746256</v>
      </c>
      <c r="BO147" s="86">
        <f t="shared" si="777"/>
        <v>248.3715044312126</v>
      </c>
      <c r="BP147" s="247"/>
      <c r="BQ147" s="85">
        <f>BQ33+BQ43+BQ53+BQ63</f>
        <v>480.97600000000006</v>
      </c>
      <c r="BR147" s="85">
        <f t="shared" ref="BR147:BW147" si="778">BR33+BR43+BR53+BR63</f>
        <v>630.54000000000008</v>
      </c>
      <c r="BS147" s="85">
        <f t="shared" si="778"/>
        <v>1136.2550000000001</v>
      </c>
      <c r="BT147" s="85">
        <f t="shared" si="778"/>
        <v>1502.4869999999999</v>
      </c>
      <c r="BU147" s="85">
        <f t="shared" si="778"/>
        <v>1358.7629999999999</v>
      </c>
      <c r="BV147" s="85">
        <f t="shared" si="778"/>
        <v>1246.4760000000003</v>
      </c>
      <c r="BW147" s="85">
        <f t="shared" si="778"/>
        <v>1237.4269999999999</v>
      </c>
      <c r="BX147" s="85">
        <f t="shared" ref="BX147:CA147" si="779">BX33+BX43+BX53+BX63</f>
        <v>1323.0889999999999</v>
      </c>
      <c r="BY147" s="85">
        <f t="shared" si="779"/>
        <v>1380.4759999999999</v>
      </c>
      <c r="BZ147" s="85">
        <f t="shared" si="779"/>
        <v>1459.9789999999998</v>
      </c>
      <c r="CA147" s="85">
        <f t="shared" si="779"/>
        <v>1454.4379999999999</v>
      </c>
      <c r="CB147" s="85">
        <f>CB33+CB43+CB53+CB63</f>
        <v>2047.8309999999997</v>
      </c>
      <c r="CC147" s="85">
        <f>CC33+CC43+CC53+CC63</f>
        <v>1235.08</v>
      </c>
      <c r="CD147" s="85">
        <f>CD33+CD43+CD53+CD63</f>
        <v>1037.902</v>
      </c>
      <c r="CE147" s="85">
        <f>CE33+CE43+CE53+CE63</f>
        <v>952.30799505801292</v>
      </c>
      <c r="CF147" s="85">
        <f>CF33+CF43+CF53+CF63</f>
        <v>971.30801332733506</v>
      </c>
      <c r="CG147" s="689">
        <f t="shared" ref="CG147" si="780">CG33+CG43+CG53+CG63</f>
        <v>971.30801332733506</v>
      </c>
      <c r="CH147" s="336"/>
    </row>
    <row r="148" spans="2:86" ht="14.25">
      <c r="B148" s="87" t="s">
        <v>67</v>
      </c>
      <c r="C148" s="89">
        <f t="shared" ref="C148:AC148" si="781">C16+C33+C43+C53+C63</f>
        <v>0</v>
      </c>
      <c r="D148" s="88">
        <f>D16+D33+D43+D53+D63</f>
        <v>251.29199999999997</v>
      </c>
      <c r="E148" s="88">
        <f>E16+E33+E43+E53+E63</f>
        <v>263.51799999999997</v>
      </c>
      <c r="F148" s="88">
        <f>F16+F33+F43+F53+F63</f>
        <v>268.358</v>
      </c>
      <c r="G148" s="89">
        <f>G16+G33+G43+G53+G63</f>
        <v>279.565</v>
      </c>
      <c r="H148" s="88">
        <f t="shared" si="781"/>
        <v>305.084</v>
      </c>
      <c r="I148" s="88">
        <f t="shared" si="781"/>
        <v>336.89799999999997</v>
      </c>
      <c r="J148" s="88">
        <f t="shared" si="781"/>
        <v>335.33100000000007</v>
      </c>
      <c r="K148" s="89">
        <f t="shared" si="781"/>
        <v>436.47099999999989</v>
      </c>
      <c r="L148" s="88">
        <f>L16+L33+L43+L53+L63</f>
        <v>444.23200000000003</v>
      </c>
      <c r="M148" s="88">
        <f>M16+M33+M43+M53+M63</f>
        <v>518.08100000000002</v>
      </c>
      <c r="N148" s="88">
        <f>N16+N33+N43+N53+N63</f>
        <v>514.73599999999999</v>
      </c>
      <c r="O148" s="89">
        <f>O16+O33+O43+O53+O63</f>
        <v>759.44700000000012</v>
      </c>
      <c r="P148" s="88">
        <f t="shared" si="781"/>
        <v>673.25000000000011</v>
      </c>
      <c r="Q148" s="88">
        <f t="shared" si="781"/>
        <v>696.73399999999992</v>
      </c>
      <c r="R148" s="88">
        <f t="shared" si="781"/>
        <v>764.68500000000006</v>
      </c>
      <c r="S148" s="89">
        <f t="shared" si="781"/>
        <v>865.61399999999981</v>
      </c>
      <c r="T148" s="88">
        <f t="shared" si="781"/>
        <v>721.60299999999995</v>
      </c>
      <c r="U148" s="88">
        <f t="shared" si="781"/>
        <v>763.4380000000001</v>
      </c>
      <c r="V148" s="88">
        <f t="shared" si="781"/>
        <v>718.2</v>
      </c>
      <c r="W148" s="89">
        <f t="shared" si="781"/>
        <v>582.14600000000019</v>
      </c>
      <c r="X148" s="88">
        <f t="shared" si="781"/>
        <v>630.71299999999997</v>
      </c>
      <c r="Y148" s="88">
        <f t="shared" si="781"/>
        <v>573.07100000000003</v>
      </c>
      <c r="Z148" s="88">
        <f t="shared" si="781"/>
        <v>633.04200000000003</v>
      </c>
      <c r="AA148" s="89">
        <f t="shared" si="781"/>
        <v>636.74600000000009</v>
      </c>
      <c r="AB148" s="88">
        <f t="shared" si="781"/>
        <v>647.17599999999993</v>
      </c>
      <c r="AC148" s="88">
        <f t="shared" si="781"/>
        <v>678.41000000000008</v>
      </c>
      <c r="AD148" s="88">
        <f t="shared" ref="AD148:AU148" si="782">AD16+AD33+AD43+AD53+AD63</f>
        <v>700.32499999999993</v>
      </c>
      <c r="AE148" s="89">
        <f t="shared" si="782"/>
        <v>684.79</v>
      </c>
      <c r="AF148" s="88">
        <f>AF16+AF33+AF43+AF53+AF63</f>
        <v>654.2890000000001</v>
      </c>
      <c r="AG148" s="88">
        <f t="shared" si="782"/>
        <v>702.88</v>
      </c>
      <c r="AH148" s="88">
        <f>AH16+AH33+AH43+AH53+AH63</f>
        <v>759.03099999999995</v>
      </c>
      <c r="AI148" s="89">
        <f>AI16+AI33+AI43+AI53+AI63</f>
        <v>672.69399999999996</v>
      </c>
      <c r="AJ148" s="88">
        <f>AJ16+AJ33+AJ43+AJ53+AJ63</f>
        <v>702.41800000000012</v>
      </c>
      <c r="AK148" s="88">
        <f>AK16+AK33+AK43+AK53+AK63</f>
        <v>725.78899999999999</v>
      </c>
      <c r="AL148" s="88">
        <f t="shared" si="782"/>
        <v>714.08399999999995</v>
      </c>
      <c r="AM148" s="89">
        <f t="shared" si="782"/>
        <v>731.68200000000002</v>
      </c>
      <c r="AN148" s="88">
        <f>AN16+AN33+AN43+AN53+AN63</f>
        <v>691.48800000000006</v>
      </c>
      <c r="AO148" s="88">
        <f t="shared" si="782"/>
        <v>755.07900000000006</v>
      </c>
      <c r="AP148" s="88">
        <f t="shared" si="782"/>
        <v>836.00199999999995</v>
      </c>
      <c r="AQ148" s="89">
        <f t="shared" si="782"/>
        <v>841.13999999999987</v>
      </c>
      <c r="AR148" s="88">
        <f t="shared" si="782"/>
        <v>864.84299999999985</v>
      </c>
      <c r="AS148" s="88">
        <f>AS16+AS33+AS43+AS53+AS63</f>
        <v>841.09099999999989</v>
      </c>
      <c r="AT148" s="88">
        <f>AT16+AT33+AT43+AT53+AT63</f>
        <v>814.59599999999989</v>
      </c>
      <c r="AU148" s="89">
        <f t="shared" si="782"/>
        <v>777.61399999999992</v>
      </c>
      <c r="AV148" s="88">
        <f>AV16+AV33+AV43+AV53+AV63</f>
        <v>711.03600000000006</v>
      </c>
      <c r="AW148" s="88">
        <f t="shared" ref="AW148:AY148" si="783">AW16+AW33+AW43+AW53+AW63</f>
        <v>1483.6790000000001</v>
      </c>
      <c r="AX148" s="88">
        <f t="shared" si="783"/>
        <v>733.96400000000006</v>
      </c>
      <c r="AY148" s="89">
        <f t="shared" si="783"/>
        <v>613.88800000000003</v>
      </c>
      <c r="AZ148" s="88">
        <f>AZ16+AZ33+AZ43+AZ53+AZ63</f>
        <v>569.94400000000007</v>
      </c>
      <c r="BA148" s="88">
        <f t="shared" ref="BA148:BC148" si="784">BA16+BA33+BA43+BA53+BA63</f>
        <v>586.89800000000014</v>
      </c>
      <c r="BB148" s="88">
        <f t="shared" si="784"/>
        <v>571.46900000000005</v>
      </c>
      <c r="BC148" s="89">
        <f t="shared" si="784"/>
        <v>583.53300000000002</v>
      </c>
      <c r="BD148" s="523">
        <f>BD16+BD33+BD43+BD53+BD63</f>
        <v>480.29200000000003</v>
      </c>
      <c r="BE148" s="88">
        <f t="shared" ref="BE148:BG148" si="785">BE16+BE33+BE43+BE53+BE63</f>
        <v>480.387</v>
      </c>
      <c r="BF148" s="88">
        <f t="shared" si="785"/>
        <v>466.40600000000001</v>
      </c>
      <c r="BG148" s="89">
        <f t="shared" si="785"/>
        <v>561.39800000000002</v>
      </c>
      <c r="BH148" s="523">
        <f t="shared" ref="BH148:BK148" si="786">BH16+BH33+BH43+BH53+BH63</f>
        <v>460.72262612999998</v>
      </c>
      <c r="BI148" s="88">
        <f t="shared" si="786"/>
        <v>468.77736886755002</v>
      </c>
      <c r="BJ148" s="88">
        <f t="shared" si="786"/>
        <v>479.12088514820857</v>
      </c>
      <c r="BK148" s="89">
        <f t="shared" si="786"/>
        <v>473.06870402262979</v>
      </c>
      <c r="BL148" s="523">
        <f t="shared" ref="BL148:BO148" si="787">BL16+BL33+BL43+BL53+BL63</f>
        <v>447.81606930532882</v>
      </c>
      <c r="BM148" s="88">
        <f t="shared" si="787"/>
        <v>475.40875328063379</v>
      </c>
      <c r="BN148" s="88">
        <f t="shared" si="787"/>
        <v>490.42845761627677</v>
      </c>
      <c r="BO148" s="89">
        <f t="shared" si="787"/>
        <v>483.75626353268888</v>
      </c>
      <c r="BP148" s="247"/>
      <c r="BQ148" s="88">
        <f>BQ16+BQ33+BQ43+BQ53+BQ63</f>
        <v>1062.7329999999999</v>
      </c>
      <c r="BR148" s="88">
        <f t="shared" ref="BR148:BW148" si="788">BR16+BR33+BR43+BR53+BR63</f>
        <v>1413.7840000000001</v>
      </c>
      <c r="BS148" s="88">
        <f t="shared" si="788"/>
        <v>2236.4959999999996</v>
      </c>
      <c r="BT148" s="88">
        <f t="shared" si="788"/>
        <v>3000.2829999999994</v>
      </c>
      <c r="BU148" s="88">
        <f t="shared" si="788"/>
        <v>2785.3870000000002</v>
      </c>
      <c r="BV148" s="88">
        <f t="shared" si="788"/>
        <v>2473.5720000000001</v>
      </c>
      <c r="BW148" s="88">
        <f t="shared" si="788"/>
        <v>2710.7009999999996</v>
      </c>
      <c r="BX148" s="88">
        <f t="shared" ref="BX148:CA148" si="789">BX16+BX33+BX43+BX53+BX63</f>
        <v>2788.8940000000002</v>
      </c>
      <c r="BY148" s="88">
        <f t="shared" si="789"/>
        <v>2873.973</v>
      </c>
      <c r="BZ148" s="88">
        <f t="shared" si="789"/>
        <v>3123.7089999999998</v>
      </c>
      <c r="CA148" s="88">
        <f t="shared" si="789"/>
        <v>3298.1440000000007</v>
      </c>
      <c r="CB148" s="88">
        <f>CB16+CB33+CB43+CB53+CB63</f>
        <v>3542.5670000000005</v>
      </c>
      <c r="CC148" s="88">
        <f>CC16+CC33+CC43+CC53+CC63</f>
        <v>2311.8440000000001</v>
      </c>
      <c r="CD148" s="88">
        <f>CD16+CD33+CD43+CD53+CD63</f>
        <v>1988.4829999999999</v>
      </c>
      <c r="CE148" s="88">
        <f>CE16+CE33+CE43+CE53+CE63</f>
        <v>1881.6895841683884</v>
      </c>
      <c r="CF148" s="88">
        <f>CF16+CF33+CF43+CF53+CF63</f>
        <v>1897.4095437349283</v>
      </c>
      <c r="CG148" s="89">
        <f t="shared" ref="CG148" si="790">CG16+CG33+CG43+CG53+CG63</f>
        <v>1889.7914416696158</v>
      </c>
      <c r="CH148" s="336"/>
    </row>
    <row r="149" spans="2:86" ht="14.25">
      <c r="B149" s="68"/>
      <c r="C149" s="68"/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52"/>
      <c r="AQ149" s="52"/>
      <c r="AR149" s="52"/>
      <c r="AS149" s="52"/>
      <c r="AT149" s="52"/>
      <c r="AU149" s="52"/>
      <c r="AV149" s="52"/>
      <c r="AW149" s="52"/>
      <c r="AX149" s="52"/>
      <c r="AY149" s="52"/>
      <c r="AZ149" s="52"/>
      <c r="BA149" s="52"/>
      <c r="BB149" s="52"/>
      <c r="BC149" s="52"/>
      <c r="BD149" s="52"/>
      <c r="BE149" s="52"/>
      <c r="BF149" s="52"/>
      <c r="BG149" s="52"/>
      <c r="BH149" s="52"/>
      <c r="BI149" s="52"/>
      <c r="BJ149" s="52"/>
      <c r="BK149" s="52"/>
      <c r="BL149" s="52"/>
      <c r="BM149" s="52"/>
      <c r="BN149" s="52"/>
      <c r="BO149" s="52"/>
      <c r="CC149" s="338"/>
    </row>
    <row r="150" spans="2:86" ht="14.25">
      <c r="B150" s="68"/>
      <c r="C150" s="68"/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52"/>
      <c r="AQ150" s="52"/>
      <c r="AR150" s="52"/>
      <c r="AS150" s="52"/>
      <c r="AT150" s="52"/>
      <c r="AU150" s="52"/>
      <c r="AV150" s="52"/>
      <c r="AW150" s="52"/>
      <c r="AX150" s="52"/>
      <c r="AY150" s="52"/>
      <c r="AZ150" s="52"/>
      <c r="BA150" s="52"/>
      <c r="BB150" s="52"/>
      <c r="BC150" s="52"/>
      <c r="BD150" s="52"/>
      <c r="BE150" s="52"/>
      <c r="BF150" s="52"/>
      <c r="BG150" s="52"/>
      <c r="BH150" s="52"/>
      <c r="BI150" s="52"/>
      <c r="BJ150" s="52"/>
      <c r="BK150" s="52"/>
      <c r="BL150" s="52"/>
      <c r="BM150" s="52"/>
      <c r="BN150" s="52"/>
      <c r="BO150" s="52"/>
      <c r="CC150" s="338"/>
    </row>
    <row r="151" spans="2:86" ht="14.25">
      <c r="B151" s="68"/>
      <c r="C151" s="68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2"/>
      <c r="AW151" s="52"/>
      <c r="AX151" s="52"/>
      <c r="AY151" s="52"/>
      <c r="AZ151" s="52"/>
      <c r="BA151" s="52"/>
      <c r="BB151" s="52"/>
      <c r="BC151" s="52"/>
      <c r="BD151" s="52"/>
      <c r="BE151" s="52"/>
      <c r="BF151" s="52"/>
      <c r="BG151" s="52"/>
      <c r="BH151" s="52"/>
      <c r="BI151" s="52"/>
      <c r="BJ151" s="52"/>
      <c r="BK151" s="52"/>
      <c r="BL151" s="52"/>
      <c r="BM151" s="52"/>
      <c r="BN151" s="52"/>
      <c r="BO151" s="52"/>
      <c r="CC151" s="338"/>
    </row>
    <row r="152" spans="2:86" ht="14.25">
      <c r="B152" s="68"/>
      <c r="C152" s="68"/>
      <c r="D152" s="52"/>
      <c r="E152" s="52"/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52"/>
      <c r="AQ152" s="52"/>
      <c r="AR152" s="52"/>
      <c r="AS152" s="52"/>
      <c r="AT152" s="52"/>
      <c r="AU152" s="52"/>
      <c r="AV152" s="52"/>
      <c r="AW152" s="52"/>
      <c r="AX152" s="52"/>
      <c r="AY152" s="52"/>
      <c r="AZ152" s="52"/>
      <c r="BA152" s="52"/>
      <c r="BB152" s="52"/>
      <c r="BC152" s="52"/>
      <c r="BD152" s="52"/>
      <c r="BE152" s="52"/>
      <c r="BF152" s="52"/>
      <c r="BG152" s="52"/>
      <c r="BH152" s="52"/>
      <c r="BI152" s="52"/>
      <c r="BJ152" s="52"/>
      <c r="BK152" s="52"/>
      <c r="BL152" s="52"/>
      <c r="BM152" s="52"/>
      <c r="BN152" s="52"/>
      <c r="BO152" s="52"/>
      <c r="CC152" s="338"/>
    </row>
    <row r="153" spans="2:86" ht="14.25">
      <c r="B153" s="68"/>
      <c r="C153" s="68"/>
      <c r="D153" s="52"/>
      <c r="E153" s="52"/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52"/>
      <c r="AQ153" s="52"/>
      <c r="AR153" s="52"/>
      <c r="AS153" s="52"/>
      <c r="AT153" s="52"/>
      <c r="AU153" s="52"/>
      <c r="AV153" s="52"/>
      <c r="AW153" s="52"/>
      <c r="AX153" s="52"/>
      <c r="AY153" s="52"/>
      <c r="AZ153" s="52"/>
      <c r="BA153" s="52"/>
      <c r="BB153" s="52"/>
      <c r="BC153" s="52"/>
      <c r="BD153" s="52"/>
      <c r="BE153" s="52"/>
      <c r="BF153" s="52"/>
      <c r="BG153" s="52"/>
      <c r="BH153" s="52"/>
      <c r="BI153" s="52"/>
      <c r="BJ153" s="52"/>
      <c r="BK153" s="52"/>
      <c r="BL153" s="52"/>
      <c r="BM153" s="52"/>
      <c r="BN153" s="52"/>
      <c r="BO153" s="52"/>
      <c r="CC153" s="338"/>
    </row>
    <row r="154" spans="2:86" ht="14.25">
      <c r="B154" s="68"/>
      <c r="C154" s="68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52"/>
      <c r="AQ154" s="52"/>
      <c r="AR154" s="52"/>
      <c r="AS154" s="52"/>
      <c r="AT154" s="52"/>
      <c r="AU154" s="52"/>
      <c r="AV154" s="52"/>
      <c r="AW154" s="52"/>
      <c r="AX154" s="52"/>
      <c r="AY154" s="52"/>
      <c r="AZ154" s="52"/>
      <c r="BA154" s="52"/>
      <c r="BB154" s="52"/>
      <c r="BC154" s="52"/>
      <c r="BD154" s="52"/>
      <c r="BE154" s="52"/>
      <c r="BF154" s="52"/>
      <c r="BG154" s="52"/>
      <c r="BH154" s="52"/>
      <c r="BI154" s="52"/>
      <c r="BJ154" s="52"/>
      <c r="BK154" s="52"/>
      <c r="BL154" s="52"/>
      <c r="BM154" s="52"/>
      <c r="BN154" s="52"/>
      <c r="BO154" s="52"/>
      <c r="CC154" s="338"/>
    </row>
    <row r="155" spans="2:86" ht="14.25">
      <c r="B155" s="68"/>
      <c r="C155" s="68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52"/>
      <c r="AQ155" s="52"/>
      <c r="AR155" s="52"/>
      <c r="AS155" s="52"/>
      <c r="AT155" s="52"/>
      <c r="AU155" s="52"/>
      <c r="AV155" s="52"/>
      <c r="AW155" s="52"/>
      <c r="AX155" s="52"/>
      <c r="AY155" s="52"/>
      <c r="AZ155" s="52"/>
      <c r="BA155" s="52"/>
      <c r="BB155" s="52"/>
      <c r="BC155" s="52"/>
      <c r="BD155" s="52"/>
      <c r="BE155" s="52"/>
      <c r="BF155" s="52"/>
      <c r="BG155" s="52"/>
      <c r="BH155" s="52"/>
      <c r="BI155" s="52"/>
      <c r="BJ155" s="52"/>
      <c r="BK155" s="52"/>
      <c r="BL155" s="52"/>
      <c r="BM155" s="52"/>
      <c r="BN155" s="52"/>
      <c r="BO155" s="52"/>
      <c r="CC155" s="338"/>
    </row>
    <row r="156" spans="2:86" ht="14.25">
      <c r="B156" s="68"/>
      <c r="C156" s="68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52"/>
      <c r="AQ156" s="52"/>
      <c r="AR156" s="52"/>
      <c r="AS156" s="52"/>
      <c r="AT156" s="52"/>
      <c r="AU156" s="52"/>
      <c r="AV156" s="52"/>
      <c r="AW156" s="52"/>
      <c r="AX156" s="52"/>
      <c r="AY156" s="52"/>
      <c r="AZ156" s="52"/>
      <c r="BA156" s="52"/>
      <c r="BB156" s="52"/>
      <c r="BC156" s="52"/>
      <c r="BD156" s="52"/>
      <c r="BE156" s="52"/>
      <c r="BF156" s="52"/>
      <c r="BG156" s="52"/>
      <c r="BH156" s="52"/>
      <c r="BI156" s="52"/>
      <c r="BJ156" s="52"/>
      <c r="BK156" s="52"/>
      <c r="BL156" s="52"/>
      <c r="BM156" s="52"/>
      <c r="BN156" s="52"/>
      <c r="BO156" s="52"/>
      <c r="CC156" s="338"/>
    </row>
    <row r="157" spans="2:86" ht="14.25">
      <c r="B157" s="68"/>
      <c r="C157" s="68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52"/>
      <c r="AQ157" s="52"/>
      <c r="AR157" s="52"/>
      <c r="AS157" s="52"/>
      <c r="AT157" s="52"/>
      <c r="AU157" s="52"/>
      <c r="AV157" s="52"/>
      <c r="AW157" s="52"/>
      <c r="AX157" s="52"/>
      <c r="AY157" s="52"/>
      <c r="AZ157" s="52"/>
      <c r="BA157" s="52"/>
      <c r="BB157" s="52"/>
      <c r="BC157" s="52"/>
      <c r="BD157" s="52"/>
      <c r="BE157" s="52"/>
      <c r="BF157" s="52"/>
      <c r="BG157" s="52"/>
      <c r="BH157" s="52"/>
      <c r="BI157" s="52"/>
      <c r="BJ157" s="52"/>
      <c r="BK157" s="52"/>
      <c r="BL157" s="52"/>
      <c r="BM157" s="52"/>
      <c r="BN157" s="52"/>
      <c r="BO157" s="52"/>
      <c r="CC157" s="338"/>
    </row>
    <row r="158" spans="2:86" ht="14.25">
      <c r="B158" s="68"/>
      <c r="C158" s="68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2"/>
      <c r="AT158" s="52"/>
      <c r="AU158" s="52"/>
      <c r="AV158" s="52"/>
      <c r="AW158" s="52"/>
      <c r="AX158" s="52"/>
      <c r="AY158" s="52"/>
      <c r="AZ158" s="52"/>
      <c r="BA158" s="52"/>
      <c r="BB158" s="52"/>
      <c r="BC158" s="52"/>
      <c r="BD158" s="52"/>
      <c r="BE158" s="52"/>
      <c r="BF158" s="52"/>
      <c r="BG158" s="52"/>
      <c r="BH158" s="52"/>
      <c r="BI158" s="52"/>
      <c r="BJ158" s="52"/>
      <c r="BK158" s="52"/>
      <c r="BL158" s="52"/>
      <c r="BM158" s="52"/>
      <c r="BN158" s="52"/>
      <c r="BO158" s="52"/>
      <c r="CC158" s="338"/>
    </row>
    <row r="159" spans="2:86" ht="14.25">
      <c r="B159" s="68"/>
      <c r="C159" s="68"/>
      <c r="D159" s="52"/>
      <c r="E159" s="52"/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2"/>
      <c r="AT159" s="52"/>
      <c r="AU159" s="52"/>
      <c r="AV159" s="52"/>
      <c r="AW159" s="52"/>
      <c r="AX159" s="52"/>
      <c r="AY159" s="52"/>
      <c r="AZ159" s="52"/>
      <c r="BA159" s="52"/>
      <c r="BB159" s="52"/>
      <c r="BC159" s="52"/>
      <c r="BD159" s="52"/>
      <c r="BE159" s="52"/>
      <c r="BF159" s="52"/>
      <c r="BG159" s="52"/>
      <c r="BH159" s="52"/>
      <c r="BI159" s="52"/>
      <c r="BJ159" s="52"/>
      <c r="BK159" s="52"/>
      <c r="BL159" s="52"/>
      <c r="BM159" s="52"/>
      <c r="BN159" s="52"/>
      <c r="BO159" s="52"/>
      <c r="CC159" s="338"/>
    </row>
    <row r="160" spans="2:86" ht="14.25">
      <c r="B160" s="68"/>
      <c r="C160" s="68"/>
      <c r="D160" s="52"/>
      <c r="E160" s="52"/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2"/>
      <c r="AT160" s="52"/>
      <c r="AU160" s="52"/>
      <c r="AV160" s="52"/>
      <c r="AW160" s="52"/>
      <c r="AX160" s="52"/>
      <c r="AY160" s="52"/>
      <c r="AZ160" s="52"/>
      <c r="BA160" s="52"/>
      <c r="BB160" s="52"/>
      <c r="BC160" s="52"/>
      <c r="BD160" s="52"/>
      <c r="BE160" s="52"/>
      <c r="BF160" s="52"/>
      <c r="BG160" s="52"/>
      <c r="BH160" s="52"/>
      <c r="BI160" s="52"/>
      <c r="BJ160" s="52"/>
      <c r="BK160" s="52"/>
      <c r="BL160" s="52"/>
      <c r="BM160" s="52"/>
      <c r="BN160" s="52"/>
      <c r="BO160" s="52"/>
      <c r="CC160" s="338"/>
    </row>
    <row r="161" spans="2:81" ht="14.25">
      <c r="B161" s="68"/>
      <c r="C161" s="68"/>
      <c r="D161" s="52"/>
      <c r="E161" s="52"/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2"/>
      <c r="AT161" s="52"/>
      <c r="AU161" s="52"/>
      <c r="AV161" s="52"/>
      <c r="AW161" s="52"/>
      <c r="AX161" s="52"/>
      <c r="AY161" s="52"/>
      <c r="AZ161" s="52"/>
      <c r="BA161" s="52"/>
      <c r="BB161" s="52"/>
      <c r="BC161" s="52"/>
      <c r="BD161" s="52"/>
      <c r="BE161" s="52"/>
      <c r="BF161" s="52"/>
      <c r="BG161" s="52"/>
      <c r="BH161" s="52"/>
      <c r="BI161" s="52"/>
      <c r="BJ161" s="52"/>
      <c r="BK161" s="52"/>
      <c r="BL161" s="52"/>
      <c r="BM161" s="52"/>
      <c r="BN161" s="52"/>
      <c r="BO161" s="52"/>
      <c r="CC161" s="338"/>
    </row>
    <row r="162" spans="2:81" ht="14.25">
      <c r="B162" s="68"/>
      <c r="C162" s="68"/>
      <c r="D162" s="52"/>
      <c r="E162" s="52"/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52"/>
      <c r="AQ162" s="52"/>
      <c r="AR162" s="52"/>
      <c r="AS162" s="52"/>
      <c r="AT162" s="52"/>
      <c r="AU162" s="52"/>
      <c r="AV162" s="52"/>
      <c r="AW162" s="52"/>
      <c r="AX162" s="52"/>
      <c r="AY162" s="52"/>
      <c r="AZ162" s="52"/>
      <c r="BA162" s="52"/>
      <c r="BB162" s="52"/>
      <c r="BC162" s="52"/>
      <c r="BD162" s="52"/>
      <c r="BE162" s="52"/>
      <c r="BF162" s="52"/>
      <c r="BG162" s="52"/>
      <c r="BH162" s="52"/>
      <c r="BI162" s="52"/>
      <c r="BJ162" s="52"/>
      <c r="BK162" s="52"/>
      <c r="BL162" s="52"/>
      <c r="BM162" s="52"/>
      <c r="BN162" s="52"/>
      <c r="BO162" s="52"/>
      <c r="CC162" s="338"/>
    </row>
    <row r="163" spans="2:81" ht="14.25">
      <c r="B163" s="68"/>
      <c r="C163" s="68"/>
      <c r="D163" s="52"/>
      <c r="E163" s="52"/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52"/>
      <c r="AQ163" s="52"/>
      <c r="AR163" s="52"/>
      <c r="AS163" s="52"/>
      <c r="AT163" s="52"/>
      <c r="AU163" s="52"/>
      <c r="AV163" s="52"/>
      <c r="AW163" s="52"/>
      <c r="AX163" s="52"/>
      <c r="AY163" s="52"/>
      <c r="AZ163" s="52"/>
      <c r="BA163" s="52"/>
      <c r="BB163" s="52"/>
      <c r="BC163" s="52"/>
      <c r="BD163" s="52"/>
      <c r="BE163" s="52"/>
      <c r="BF163" s="52"/>
      <c r="BG163" s="52"/>
      <c r="BH163" s="52"/>
      <c r="BI163" s="52"/>
      <c r="BJ163" s="52"/>
      <c r="BK163" s="52"/>
      <c r="BL163" s="52"/>
      <c r="BM163" s="52"/>
      <c r="BN163" s="52"/>
      <c r="BO163" s="52"/>
      <c r="CC163" s="338"/>
    </row>
    <row r="164" spans="2:81" ht="14.25">
      <c r="B164" s="68"/>
      <c r="C164" s="68"/>
      <c r="D164" s="52"/>
      <c r="E164" s="52"/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52"/>
      <c r="AQ164" s="52"/>
      <c r="AR164" s="52"/>
      <c r="AS164" s="52"/>
      <c r="AT164" s="52"/>
      <c r="AU164" s="52"/>
      <c r="AV164" s="52"/>
      <c r="AW164" s="52"/>
      <c r="AX164" s="52"/>
      <c r="AY164" s="52"/>
      <c r="AZ164" s="52"/>
      <c r="BA164" s="52"/>
      <c r="BB164" s="52"/>
      <c r="BC164" s="52"/>
      <c r="BD164" s="52"/>
      <c r="BE164" s="52"/>
      <c r="BF164" s="52"/>
      <c r="BG164" s="52"/>
      <c r="BH164" s="52"/>
      <c r="BI164" s="52"/>
      <c r="BJ164" s="52"/>
      <c r="BK164" s="52"/>
      <c r="BL164" s="52"/>
      <c r="BM164" s="52"/>
      <c r="BN164" s="52"/>
      <c r="BO164" s="52"/>
    </row>
    <row r="165" spans="2:81" ht="14.25">
      <c r="B165" s="68"/>
      <c r="C165" s="68"/>
      <c r="D165" s="52"/>
      <c r="E165" s="52"/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52"/>
      <c r="AQ165" s="52"/>
      <c r="AR165" s="52"/>
      <c r="AS165" s="52"/>
      <c r="AT165" s="52"/>
      <c r="AU165" s="52"/>
      <c r="AV165" s="52"/>
      <c r="AW165" s="52"/>
      <c r="AX165" s="52"/>
      <c r="AY165" s="52"/>
      <c r="AZ165" s="52"/>
      <c r="BA165" s="52"/>
      <c r="BB165" s="52"/>
      <c r="BC165" s="52"/>
      <c r="BD165" s="52"/>
      <c r="BE165" s="52"/>
      <c r="BF165" s="52"/>
      <c r="BG165" s="52"/>
      <c r="BH165" s="52"/>
      <c r="BI165" s="52"/>
      <c r="BJ165" s="52"/>
      <c r="BK165" s="52"/>
      <c r="BL165" s="52"/>
      <c r="BM165" s="52"/>
      <c r="BN165" s="52"/>
      <c r="BO165" s="52"/>
    </row>
    <row r="166" spans="2:81" ht="14.25">
      <c r="B166" s="68"/>
      <c r="C166" s="68"/>
      <c r="D166" s="52"/>
      <c r="E166" s="52"/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2"/>
      <c r="AW166" s="52"/>
      <c r="AX166" s="52"/>
      <c r="AY166" s="52"/>
      <c r="AZ166" s="52"/>
      <c r="BA166" s="52"/>
      <c r="BB166" s="52"/>
      <c r="BC166" s="52"/>
      <c r="BD166" s="52"/>
      <c r="BE166" s="52"/>
      <c r="BF166" s="52"/>
      <c r="BG166" s="52"/>
      <c r="BH166" s="52"/>
      <c r="BI166" s="52"/>
      <c r="BJ166" s="52"/>
      <c r="BK166" s="52"/>
      <c r="BL166" s="52"/>
      <c r="BM166" s="52"/>
      <c r="BN166" s="52"/>
      <c r="BO166" s="52"/>
    </row>
    <row r="167" spans="2:81" ht="14.25">
      <c r="B167" s="68"/>
      <c r="C167" s="68"/>
      <c r="D167" s="52"/>
      <c r="E167" s="52"/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52"/>
      <c r="AQ167" s="52"/>
      <c r="AR167" s="52"/>
      <c r="AS167" s="52"/>
      <c r="AT167" s="52"/>
      <c r="AU167" s="52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  <c r="BK167" s="52"/>
      <c r="BL167" s="52"/>
      <c r="BM167" s="52"/>
      <c r="BN167" s="52"/>
      <c r="BO167" s="52"/>
    </row>
    <row r="168" spans="2:81" ht="14.25">
      <c r="B168" s="68"/>
      <c r="C168" s="68"/>
      <c r="D168" s="52"/>
      <c r="E168" s="52"/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52"/>
      <c r="AQ168" s="52"/>
      <c r="AR168" s="52"/>
      <c r="AS168" s="52"/>
      <c r="AT168" s="52"/>
      <c r="AU168" s="52"/>
      <c r="AV168" s="52"/>
      <c r="AW168" s="52"/>
      <c r="AX168" s="52"/>
      <c r="AY168" s="52"/>
      <c r="AZ168" s="52"/>
      <c r="BA168" s="52"/>
      <c r="BB168" s="52"/>
      <c r="BC168" s="52"/>
      <c r="BD168" s="52"/>
      <c r="BE168" s="52"/>
      <c r="BF168" s="52"/>
      <c r="BG168" s="52"/>
      <c r="BH168" s="52"/>
      <c r="BI168" s="52"/>
      <c r="BJ168" s="52"/>
      <c r="BK168" s="52"/>
      <c r="BL168" s="52"/>
      <c r="BM168" s="52"/>
      <c r="BN168" s="52"/>
      <c r="BO168" s="52"/>
    </row>
    <row r="169" spans="2:81" ht="14.25">
      <c r="B169" s="68"/>
      <c r="C169" s="68"/>
      <c r="D169" s="52"/>
      <c r="E169" s="52"/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52"/>
      <c r="AQ169" s="52"/>
      <c r="AR169" s="52"/>
      <c r="AS169" s="52"/>
      <c r="AT169" s="52"/>
      <c r="AU169" s="52"/>
      <c r="AV169" s="52"/>
      <c r="AW169" s="52"/>
      <c r="AX169" s="52"/>
      <c r="AY169" s="52"/>
      <c r="AZ169" s="52"/>
      <c r="BA169" s="52"/>
      <c r="BB169" s="52"/>
      <c r="BC169" s="52"/>
      <c r="BD169" s="52"/>
      <c r="BE169" s="52"/>
      <c r="BF169" s="52"/>
      <c r="BG169" s="52"/>
      <c r="BH169" s="52"/>
      <c r="BI169" s="52"/>
      <c r="BJ169" s="52"/>
      <c r="BK169" s="52"/>
      <c r="BL169" s="52"/>
      <c r="BM169" s="52"/>
      <c r="BN169" s="52"/>
      <c r="BO169" s="52"/>
    </row>
    <row r="170" spans="2:81" ht="14.25">
      <c r="B170" s="68"/>
      <c r="C170" s="68"/>
      <c r="D170" s="52"/>
      <c r="E170" s="52"/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52"/>
      <c r="AQ170" s="52"/>
      <c r="AR170" s="52"/>
      <c r="AS170" s="52"/>
      <c r="AT170" s="52"/>
      <c r="AU170" s="52"/>
      <c r="AV170" s="52"/>
      <c r="AW170" s="52"/>
      <c r="AX170" s="52"/>
      <c r="AY170" s="52"/>
      <c r="AZ170" s="52"/>
      <c r="BA170" s="52"/>
      <c r="BB170" s="52"/>
      <c r="BC170" s="52"/>
      <c r="BD170" s="52"/>
      <c r="BE170" s="52"/>
      <c r="BF170" s="52"/>
      <c r="BG170" s="52"/>
      <c r="BH170" s="52"/>
      <c r="BI170" s="52"/>
      <c r="BJ170" s="52"/>
      <c r="BK170" s="52"/>
      <c r="BL170" s="52"/>
      <c r="BM170" s="52"/>
      <c r="BN170" s="52"/>
      <c r="BO170" s="52"/>
    </row>
    <row r="171" spans="2:81" ht="14.25">
      <c r="B171" s="68"/>
      <c r="C171" s="68"/>
      <c r="D171" s="52"/>
      <c r="E171" s="52"/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52"/>
      <c r="AQ171" s="52"/>
      <c r="AR171" s="52"/>
      <c r="AS171" s="52"/>
      <c r="AT171" s="52"/>
      <c r="AU171" s="52"/>
      <c r="AV171" s="52"/>
      <c r="AW171" s="52"/>
      <c r="AX171" s="52"/>
      <c r="AY171" s="52"/>
      <c r="AZ171" s="52"/>
      <c r="BA171" s="52"/>
      <c r="BB171" s="52"/>
      <c r="BC171" s="52"/>
      <c r="BD171" s="52"/>
      <c r="BE171" s="52"/>
      <c r="BF171" s="52"/>
      <c r="BG171" s="52"/>
      <c r="BH171" s="52"/>
      <c r="BI171" s="52"/>
      <c r="BJ171" s="52"/>
      <c r="BK171" s="52"/>
      <c r="BL171" s="52"/>
      <c r="BM171" s="52"/>
      <c r="BN171" s="52"/>
      <c r="BO171" s="52"/>
    </row>
    <row r="172" spans="2:81" ht="14.25">
      <c r="B172" s="68"/>
      <c r="C172" s="68"/>
      <c r="D172" s="52"/>
      <c r="E172" s="52"/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52"/>
      <c r="AQ172" s="52"/>
      <c r="AR172" s="52"/>
      <c r="AS172" s="52"/>
      <c r="AT172" s="52"/>
      <c r="AU172" s="52"/>
      <c r="AV172" s="52"/>
      <c r="AW172" s="52"/>
      <c r="AX172" s="52"/>
      <c r="AY172" s="52"/>
      <c r="AZ172" s="52"/>
      <c r="BA172" s="52"/>
      <c r="BB172" s="52"/>
      <c r="BC172" s="52"/>
      <c r="BD172" s="52"/>
      <c r="BE172" s="52"/>
      <c r="BF172" s="52"/>
      <c r="BG172" s="52"/>
      <c r="BH172" s="52"/>
      <c r="BI172" s="52"/>
      <c r="BJ172" s="52"/>
      <c r="BK172" s="52"/>
      <c r="BL172" s="52"/>
      <c r="BM172" s="52"/>
      <c r="BN172" s="52"/>
      <c r="BO172" s="52"/>
    </row>
    <row r="173" spans="2:81" ht="14.25">
      <c r="B173" s="68"/>
      <c r="C173" s="68"/>
      <c r="D173" s="52"/>
      <c r="E173" s="52"/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2"/>
      <c r="AW173" s="52"/>
      <c r="AX173" s="52"/>
      <c r="AY173" s="52"/>
      <c r="AZ173" s="52"/>
      <c r="BA173" s="52"/>
      <c r="BB173" s="52"/>
      <c r="BC173" s="52"/>
      <c r="BD173" s="52"/>
      <c r="BE173" s="52"/>
      <c r="BF173" s="52"/>
      <c r="BG173" s="52"/>
      <c r="BH173" s="52"/>
      <c r="BI173" s="52"/>
      <c r="BJ173" s="52"/>
      <c r="BK173" s="52"/>
      <c r="BL173" s="52"/>
      <c r="BM173" s="52"/>
      <c r="BN173" s="52"/>
      <c r="BO173" s="52"/>
    </row>
    <row r="174" spans="2:81" ht="14.25">
      <c r="B174" s="68"/>
      <c r="C174" s="68"/>
      <c r="D174" s="52"/>
      <c r="E174" s="52"/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2"/>
      <c r="BA174" s="52"/>
      <c r="BB174" s="52"/>
      <c r="BC174" s="52"/>
      <c r="BD174" s="52"/>
      <c r="BE174" s="52"/>
      <c r="BF174" s="52"/>
      <c r="BG174" s="52"/>
      <c r="BH174" s="52"/>
      <c r="BI174" s="52"/>
      <c r="BJ174" s="52"/>
      <c r="BK174" s="52"/>
      <c r="BL174" s="52"/>
      <c r="BM174" s="52"/>
      <c r="BN174" s="52"/>
      <c r="BO174" s="52"/>
    </row>
    <row r="175" spans="2:81" ht="14.25">
      <c r="B175" s="68"/>
      <c r="C175" s="68"/>
      <c r="D175" s="52"/>
      <c r="E175" s="52"/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2"/>
      <c r="BA175" s="52"/>
      <c r="BB175" s="52"/>
      <c r="BC175" s="52"/>
      <c r="BD175" s="52"/>
      <c r="BE175" s="52"/>
      <c r="BF175" s="52"/>
      <c r="BG175" s="52"/>
      <c r="BH175" s="52"/>
      <c r="BI175" s="52"/>
      <c r="BJ175" s="52"/>
      <c r="BK175" s="52"/>
      <c r="BL175" s="52"/>
      <c r="BM175" s="52"/>
      <c r="BN175" s="52"/>
      <c r="BO175" s="52"/>
    </row>
    <row r="176" spans="2:81" ht="14.25">
      <c r="B176" s="68"/>
      <c r="C176" s="68"/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2"/>
      <c r="AW176" s="52"/>
      <c r="AX176" s="52"/>
      <c r="AY176" s="52"/>
      <c r="AZ176" s="52"/>
      <c r="BA176" s="52"/>
      <c r="BB176" s="52"/>
      <c r="BC176" s="52"/>
      <c r="BD176" s="52"/>
      <c r="BE176" s="52"/>
      <c r="BF176" s="52"/>
      <c r="BG176" s="52"/>
      <c r="BH176" s="52"/>
      <c r="BI176" s="52"/>
      <c r="BJ176" s="52"/>
      <c r="BK176" s="52"/>
      <c r="BL176" s="52"/>
      <c r="BM176" s="52"/>
      <c r="BN176" s="52"/>
      <c r="BO176" s="52"/>
    </row>
    <row r="177" spans="2:67" ht="14.25">
      <c r="B177" s="68"/>
      <c r="C177" s="68"/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52"/>
      <c r="AQ177" s="52"/>
      <c r="AR177" s="52"/>
      <c r="AS177" s="52"/>
      <c r="AT177" s="52"/>
      <c r="AU177" s="52"/>
      <c r="AV177" s="52"/>
      <c r="AW177" s="52"/>
      <c r="AX177" s="52"/>
      <c r="AY177" s="52"/>
      <c r="AZ177" s="52"/>
      <c r="BA177" s="52"/>
      <c r="BB177" s="52"/>
      <c r="BC177" s="52"/>
      <c r="BD177" s="52"/>
      <c r="BE177" s="52"/>
      <c r="BF177" s="52"/>
      <c r="BG177" s="52"/>
      <c r="BH177" s="52"/>
      <c r="BI177" s="52"/>
      <c r="BJ177" s="52"/>
      <c r="BK177" s="52"/>
      <c r="BL177" s="52"/>
      <c r="BM177" s="52"/>
      <c r="BN177" s="52"/>
      <c r="BO177" s="52"/>
    </row>
    <row r="178" spans="2:67" ht="14.25">
      <c r="B178" s="68"/>
      <c r="C178" s="68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52"/>
      <c r="AQ178" s="52"/>
      <c r="AR178" s="52"/>
      <c r="AS178" s="52"/>
      <c r="AT178" s="52"/>
      <c r="AU178" s="52"/>
      <c r="AV178" s="52"/>
      <c r="AW178" s="52"/>
      <c r="AX178" s="52"/>
      <c r="AY178" s="52"/>
      <c r="AZ178" s="52"/>
      <c r="BA178" s="52"/>
      <c r="BB178" s="52"/>
      <c r="BC178" s="52"/>
      <c r="BD178" s="52"/>
      <c r="BE178" s="52"/>
      <c r="BF178" s="52"/>
      <c r="BG178" s="52"/>
      <c r="BH178" s="52"/>
      <c r="BI178" s="52"/>
      <c r="BJ178" s="52"/>
      <c r="BK178" s="52"/>
      <c r="BL178" s="52"/>
      <c r="BM178" s="52"/>
      <c r="BN178" s="52"/>
      <c r="BO178" s="52"/>
    </row>
    <row r="179" spans="2:67" ht="14.25">
      <c r="B179" s="68"/>
      <c r="C179" s="68"/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52"/>
      <c r="AQ179" s="52"/>
      <c r="AR179" s="52"/>
      <c r="AS179" s="52"/>
      <c r="AT179" s="52"/>
      <c r="AU179" s="52"/>
      <c r="AV179" s="52"/>
      <c r="AW179" s="52"/>
      <c r="AX179" s="52"/>
      <c r="AY179" s="52"/>
      <c r="AZ179" s="52"/>
      <c r="BA179" s="52"/>
      <c r="BB179" s="52"/>
      <c r="BC179" s="52"/>
      <c r="BD179" s="52"/>
      <c r="BE179" s="52"/>
      <c r="BF179" s="52"/>
      <c r="BG179" s="52"/>
      <c r="BH179" s="52"/>
      <c r="BI179" s="52"/>
      <c r="BJ179" s="52"/>
      <c r="BK179" s="52"/>
      <c r="BL179" s="52"/>
      <c r="BM179" s="52"/>
      <c r="BN179" s="52"/>
      <c r="BO179" s="52"/>
    </row>
    <row r="180" spans="2:67" ht="14.25">
      <c r="B180" s="68"/>
      <c r="C180" s="68"/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2"/>
      <c r="AW180" s="52"/>
      <c r="AX180" s="52"/>
      <c r="AY180" s="52"/>
      <c r="AZ180" s="52"/>
      <c r="BA180" s="52"/>
      <c r="BB180" s="52"/>
      <c r="BC180" s="52"/>
      <c r="BD180" s="52"/>
      <c r="BE180" s="52"/>
      <c r="BF180" s="52"/>
      <c r="BG180" s="52"/>
      <c r="BH180" s="52"/>
      <c r="BI180" s="52"/>
      <c r="BJ180" s="52"/>
      <c r="BK180" s="52"/>
      <c r="BL180" s="52"/>
      <c r="BM180" s="52"/>
      <c r="BN180" s="52"/>
      <c r="BO180" s="52"/>
    </row>
    <row r="181" spans="2:67" ht="14.25">
      <c r="B181" s="68"/>
      <c r="C181" s="68"/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52"/>
      <c r="AQ181" s="52"/>
      <c r="AR181" s="52"/>
      <c r="AS181" s="52"/>
      <c r="AT181" s="52"/>
      <c r="AU181" s="52"/>
      <c r="AV181" s="52"/>
      <c r="AW181" s="52"/>
      <c r="AX181" s="52"/>
      <c r="AY181" s="52"/>
      <c r="AZ181" s="52"/>
      <c r="BA181" s="52"/>
      <c r="BB181" s="52"/>
      <c r="BC181" s="52"/>
      <c r="BD181" s="52"/>
      <c r="BE181" s="52"/>
      <c r="BF181" s="52"/>
      <c r="BG181" s="52"/>
      <c r="BH181" s="52"/>
      <c r="BI181" s="52"/>
      <c r="BJ181" s="52"/>
      <c r="BK181" s="52"/>
      <c r="BL181" s="52"/>
      <c r="BM181" s="52"/>
      <c r="BN181" s="52"/>
      <c r="BO181" s="52"/>
    </row>
    <row r="182" spans="2:67" ht="14.25">
      <c r="B182" s="68"/>
      <c r="C182" s="68"/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  <c r="AQ182" s="52"/>
      <c r="AR182" s="52"/>
      <c r="AS182" s="52"/>
      <c r="AT182" s="52"/>
      <c r="AU182" s="52"/>
      <c r="AV182" s="52"/>
      <c r="AW182" s="52"/>
      <c r="AX182" s="52"/>
      <c r="AY182" s="52"/>
      <c r="AZ182" s="52"/>
      <c r="BA182" s="52"/>
      <c r="BB182" s="52"/>
      <c r="BC182" s="52"/>
      <c r="BD182" s="52"/>
      <c r="BE182" s="52"/>
      <c r="BF182" s="52"/>
      <c r="BG182" s="52"/>
      <c r="BH182" s="52"/>
      <c r="BI182" s="52"/>
      <c r="BJ182" s="52"/>
      <c r="BK182" s="52"/>
      <c r="BL182" s="52"/>
      <c r="BM182" s="52"/>
      <c r="BN182" s="52"/>
      <c r="BO182" s="52"/>
    </row>
    <row r="183" spans="2:67" ht="14.25">
      <c r="B183" s="68"/>
      <c r="C183" s="68"/>
      <c r="D183" s="52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52"/>
      <c r="AE183" s="52"/>
      <c r="AF183" s="52"/>
      <c r="AG183" s="52"/>
      <c r="AH183" s="52"/>
      <c r="AI183" s="52"/>
      <c r="AJ183" s="52"/>
      <c r="AK183" s="52"/>
      <c r="AL183" s="52"/>
      <c r="AM183" s="52"/>
      <c r="AN183" s="52"/>
      <c r="AO183" s="52"/>
      <c r="AP183" s="52"/>
      <c r="AQ183" s="52"/>
      <c r="AR183" s="52"/>
      <c r="AS183" s="52"/>
      <c r="AT183" s="52"/>
      <c r="AU183" s="52"/>
      <c r="AV183" s="52"/>
      <c r="AW183" s="52"/>
      <c r="AX183" s="52"/>
      <c r="AY183" s="52"/>
      <c r="AZ183" s="52"/>
      <c r="BA183" s="52"/>
      <c r="BB183" s="52"/>
      <c r="BC183" s="52"/>
      <c r="BD183" s="52"/>
      <c r="BE183" s="52"/>
      <c r="BF183" s="52"/>
      <c r="BG183" s="52"/>
      <c r="BH183" s="52"/>
      <c r="BI183" s="52"/>
      <c r="BJ183" s="52"/>
      <c r="BK183" s="52"/>
      <c r="BL183" s="52"/>
      <c r="BM183" s="52"/>
      <c r="BN183" s="52"/>
      <c r="BO183" s="52"/>
    </row>
    <row r="184" spans="2:67" ht="14.25">
      <c r="B184" s="68"/>
      <c r="C184" s="68"/>
      <c r="D184" s="52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52"/>
      <c r="AE184" s="52"/>
      <c r="AF184" s="52"/>
      <c r="AG184" s="52"/>
      <c r="AH184" s="52"/>
      <c r="AI184" s="52"/>
      <c r="AJ184" s="52"/>
      <c r="AK184" s="52"/>
      <c r="AL184" s="52"/>
      <c r="AM184" s="52"/>
      <c r="AN184" s="52"/>
      <c r="AO184" s="52"/>
      <c r="AP184" s="52"/>
      <c r="AQ184" s="52"/>
      <c r="AR184" s="52"/>
      <c r="AS184" s="52"/>
      <c r="AT184" s="52"/>
      <c r="AU184" s="52"/>
      <c r="AV184" s="52"/>
      <c r="AW184" s="52"/>
      <c r="AX184" s="52"/>
      <c r="AY184" s="52"/>
      <c r="AZ184" s="52"/>
      <c r="BA184" s="52"/>
      <c r="BB184" s="52"/>
      <c r="BC184" s="52"/>
      <c r="BD184" s="52"/>
      <c r="BE184" s="52"/>
      <c r="BF184" s="52"/>
      <c r="BG184" s="52"/>
      <c r="BH184" s="52"/>
      <c r="BI184" s="52"/>
      <c r="BJ184" s="52"/>
      <c r="BK184" s="52"/>
      <c r="BL184" s="52"/>
      <c r="BM184" s="52"/>
      <c r="BN184" s="52"/>
      <c r="BO184" s="52"/>
    </row>
    <row r="185" spans="2:67" ht="14.25">
      <c r="B185" s="68"/>
      <c r="C185" s="68"/>
      <c r="D185" s="52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52"/>
      <c r="AE185" s="52"/>
      <c r="AF185" s="52"/>
      <c r="AG185" s="52"/>
      <c r="AH185" s="52"/>
      <c r="AI185" s="52"/>
      <c r="AJ185" s="52"/>
      <c r="AK185" s="52"/>
      <c r="AL185" s="52"/>
      <c r="AM185" s="52"/>
      <c r="AN185" s="52"/>
      <c r="AO185" s="52"/>
      <c r="AP185" s="52"/>
      <c r="AQ185" s="52"/>
      <c r="AR185" s="52"/>
      <c r="AS185" s="52"/>
      <c r="AT185" s="52"/>
      <c r="AU185" s="52"/>
      <c r="AV185" s="52"/>
      <c r="AW185" s="52"/>
      <c r="AX185" s="52"/>
      <c r="AY185" s="52"/>
      <c r="AZ185" s="52"/>
      <c r="BA185" s="52"/>
      <c r="BB185" s="52"/>
      <c r="BC185" s="52"/>
      <c r="BD185" s="52"/>
      <c r="BE185" s="52"/>
      <c r="BF185" s="52"/>
      <c r="BG185" s="52"/>
      <c r="BH185" s="52"/>
      <c r="BI185" s="52"/>
      <c r="BJ185" s="52"/>
      <c r="BK185" s="52"/>
      <c r="BL185" s="52"/>
      <c r="BM185" s="52"/>
      <c r="BN185" s="52"/>
      <c r="BO185" s="52"/>
    </row>
    <row r="186" spans="2:67" ht="14.25">
      <c r="B186" s="68"/>
      <c r="C186" s="68"/>
      <c r="D186" s="52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52"/>
      <c r="AE186" s="52"/>
      <c r="AF186" s="52"/>
      <c r="AG186" s="52"/>
      <c r="AH186" s="52"/>
      <c r="AI186" s="52"/>
      <c r="AJ186" s="52"/>
      <c r="AK186" s="52"/>
      <c r="AL186" s="52"/>
      <c r="AM186" s="52"/>
      <c r="AN186" s="52"/>
      <c r="AO186" s="52"/>
      <c r="AP186" s="52"/>
      <c r="AQ186" s="52"/>
      <c r="AR186" s="52"/>
      <c r="AS186" s="52"/>
      <c r="AT186" s="52"/>
      <c r="AU186" s="52"/>
      <c r="AV186" s="52"/>
      <c r="AW186" s="52"/>
      <c r="AX186" s="52"/>
      <c r="AY186" s="52"/>
      <c r="AZ186" s="52"/>
      <c r="BA186" s="52"/>
      <c r="BB186" s="52"/>
      <c r="BC186" s="52"/>
      <c r="BD186" s="52"/>
      <c r="BE186" s="52"/>
      <c r="BF186" s="52"/>
      <c r="BG186" s="52"/>
      <c r="BH186" s="52"/>
      <c r="BI186" s="52"/>
      <c r="BJ186" s="52"/>
      <c r="BK186" s="52"/>
      <c r="BL186" s="52"/>
      <c r="BM186" s="52"/>
      <c r="BN186" s="52"/>
      <c r="BO186" s="52"/>
    </row>
    <row r="187" spans="2:67" ht="14.25">
      <c r="B187" s="68"/>
      <c r="C187" s="68"/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52"/>
      <c r="AE187" s="52"/>
      <c r="AF187" s="52"/>
      <c r="AG187" s="52"/>
      <c r="AH187" s="52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2"/>
      <c r="BA187" s="52"/>
      <c r="BB187" s="52"/>
      <c r="BC187" s="52"/>
      <c r="BD187" s="52"/>
      <c r="BE187" s="52"/>
      <c r="BF187" s="52"/>
      <c r="BG187" s="52"/>
      <c r="BH187" s="52"/>
      <c r="BI187" s="52"/>
      <c r="BJ187" s="52"/>
      <c r="BK187" s="52"/>
      <c r="BL187" s="52"/>
      <c r="BM187" s="52"/>
      <c r="BN187" s="52"/>
      <c r="BO187" s="52"/>
    </row>
    <row r="188" spans="2:67" ht="14.25">
      <c r="B188" s="68"/>
      <c r="C188" s="68"/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52"/>
      <c r="AE188" s="52"/>
      <c r="AF188" s="52"/>
      <c r="AG188" s="52"/>
      <c r="AH188" s="52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2"/>
      <c r="AT188" s="52"/>
      <c r="AU188" s="52"/>
      <c r="AV188" s="52"/>
      <c r="AW188" s="52"/>
      <c r="AX188" s="52"/>
      <c r="AY188" s="52"/>
      <c r="AZ188" s="52"/>
      <c r="BA188" s="52"/>
      <c r="BB188" s="52"/>
      <c r="BC188" s="52"/>
      <c r="BD188" s="52"/>
      <c r="BE188" s="52"/>
      <c r="BF188" s="52"/>
      <c r="BG188" s="52"/>
      <c r="BH188" s="52"/>
      <c r="BI188" s="52"/>
      <c r="BJ188" s="52"/>
      <c r="BK188" s="52"/>
      <c r="BL188" s="52"/>
      <c r="BM188" s="52"/>
      <c r="BN188" s="52"/>
      <c r="BO188" s="52"/>
    </row>
    <row r="189" spans="2:67" ht="14.25">
      <c r="B189" s="68"/>
      <c r="C189" s="68"/>
      <c r="D189" s="52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52"/>
      <c r="AE189" s="52"/>
      <c r="AF189" s="52"/>
      <c r="AG189" s="52"/>
      <c r="AH189" s="52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2"/>
      <c r="AT189" s="52"/>
      <c r="AU189" s="52"/>
      <c r="AV189" s="52"/>
      <c r="AW189" s="52"/>
      <c r="AX189" s="52"/>
      <c r="AY189" s="52"/>
      <c r="AZ189" s="52"/>
      <c r="BA189" s="52"/>
      <c r="BB189" s="52"/>
      <c r="BC189" s="52"/>
      <c r="BD189" s="52"/>
      <c r="BE189" s="52"/>
      <c r="BF189" s="52"/>
      <c r="BG189" s="52"/>
      <c r="BH189" s="52"/>
      <c r="BI189" s="52"/>
      <c r="BJ189" s="52"/>
      <c r="BK189" s="52"/>
      <c r="BL189" s="52"/>
      <c r="BM189" s="52"/>
      <c r="BN189" s="52"/>
      <c r="BO189" s="52"/>
    </row>
    <row r="190" spans="2:67" ht="14.25">
      <c r="B190" s="68"/>
      <c r="C190" s="68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52"/>
      <c r="AE190" s="52"/>
      <c r="AF190" s="52"/>
      <c r="AG190" s="52"/>
      <c r="AH190" s="52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2"/>
      <c r="AT190" s="52"/>
      <c r="AU190" s="52"/>
      <c r="AV190" s="52"/>
      <c r="AW190" s="52"/>
      <c r="AX190" s="52"/>
      <c r="AY190" s="52"/>
      <c r="AZ190" s="52"/>
      <c r="BA190" s="52"/>
      <c r="BB190" s="52"/>
      <c r="BC190" s="52"/>
      <c r="BD190" s="52"/>
      <c r="BE190" s="52"/>
      <c r="BF190" s="52"/>
      <c r="BG190" s="52"/>
      <c r="BH190" s="52"/>
      <c r="BI190" s="52"/>
      <c r="BJ190" s="52"/>
      <c r="BK190" s="52"/>
      <c r="BL190" s="52"/>
      <c r="BM190" s="52"/>
      <c r="BN190" s="52"/>
      <c r="BO190" s="52"/>
    </row>
    <row r="191" spans="2:67" ht="14.25">
      <c r="B191" s="68"/>
      <c r="C191" s="68"/>
      <c r="D191" s="52"/>
      <c r="E191" s="52"/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52"/>
      <c r="AE191" s="52"/>
      <c r="AF191" s="52"/>
      <c r="AG191" s="52"/>
      <c r="AH191" s="52"/>
      <c r="AI191" s="52"/>
      <c r="AJ191" s="52"/>
      <c r="AK191" s="52"/>
      <c r="AL191" s="52"/>
      <c r="AM191" s="52"/>
      <c r="AN191" s="52"/>
      <c r="AO191" s="52"/>
      <c r="AP191" s="52"/>
      <c r="AQ191" s="52"/>
      <c r="AR191" s="52"/>
      <c r="AS191" s="52"/>
      <c r="AT191" s="52"/>
      <c r="AU191" s="52"/>
      <c r="AV191" s="52"/>
      <c r="AW191" s="52"/>
      <c r="AX191" s="52"/>
      <c r="AY191" s="52"/>
      <c r="AZ191" s="52"/>
      <c r="BA191" s="52"/>
      <c r="BB191" s="52"/>
      <c r="BC191" s="52"/>
      <c r="BD191" s="52"/>
      <c r="BE191" s="52"/>
      <c r="BF191" s="52"/>
      <c r="BG191" s="52"/>
      <c r="BH191" s="52"/>
      <c r="BI191" s="52"/>
      <c r="BJ191" s="52"/>
      <c r="BK191" s="52"/>
      <c r="BL191" s="52"/>
      <c r="BM191" s="52"/>
      <c r="BN191" s="52"/>
      <c r="BO191" s="52"/>
    </row>
    <row r="192" spans="2:67" ht="14.25">
      <c r="B192" s="68"/>
      <c r="C192" s="68"/>
      <c r="D192" s="52"/>
      <c r="E192" s="52"/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D192" s="52"/>
      <c r="AE192" s="52"/>
      <c r="AF192" s="52"/>
      <c r="AG192" s="52"/>
      <c r="AH192" s="52"/>
      <c r="AI192" s="52"/>
      <c r="AJ192" s="52"/>
      <c r="AK192" s="52"/>
      <c r="AL192" s="52"/>
      <c r="AM192" s="52"/>
      <c r="AN192" s="52"/>
      <c r="AO192" s="52"/>
      <c r="AP192" s="52"/>
      <c r="AQ192" s="52"/>
      <c r="AR192" s="52"/>
      <c r="AS192" s="52"/>
      <c r="AT192" s="52"/>
      <c r="AU192" s="52"/>
      <c r="AV192" s="52"/>
      <c r="AW192" s="52"/>
      <c r="AX192" s="52"/>
      <c r="AY192" s="52"/>
      <c r="AZ192" s="52"/>
      <c r="BA192" s="52"/>
      <c r="BB192" s="52"/>
      <c r="BC192" s="52"/>
      <c r="BD192" s="52"/>
      <c r="BE192" s="52"/>
      <c r="BF192" s="52"/>
      <c r="BG192" s="52"/>
      <c r="BH192" s="52"/>
      <c r="BI192" s="52"/>
      <c r="BJ192" s="52"/>
      <c r="BK192" s="52"/>
      <c r="BL192" s="52"/>
      <c r="BM192" s="52"/>
      <c r="BN192" s="52"/>
      <c r="BO192" s="52"/>
    </row>
    <row r="193" spans="2:67" ht="14.25">
      <c r="B193" s="68"/>
      <c r="C193" s="68"/>
      <c r="D193" s="52"/>
      <c r="E193" s="52"/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D193" s="52"/>
      <c r="AE193" s="52"/>
      <c r="AF193" s="52"/>
      <c r="AG193" s="52"/>
      <c r="AH193" s="52"/>
      <c r="AI193" s="52"/>
      <c r="AJ193" s="52"/>
      <c r="AK193" s="52"/>
      <c r="AL193" s="52"/>
      <c r="AM193" s="52"/>
      <c r="AN193" s="52"/>
      <c r="AO193" s="52"/>
      <c r="AP193" s="52"/>
      <c r="AQ193" s="52"/>
      <c r="AR193" s="52"/>
      <c r="AS193" s="52"/>
      <c r="AT193" s="52"/>
      <c r="AU193" s="52"/>
      <c r="AV193" s="52"/>
      <c r="AW193" s="52"/>
      <c r="AX193" s="52"/>
      <c r="AY193" s="52"/>
      <c r="AZ193" s="52"/>
      <c r="BA193" s="52"/>
      <c r="BB193" s="52"/>
      <c r="BC193" s="52"/>
      <c r="BD193" s="52"/>
      <c r="BE193" s="52"/>
      <c r="BF193" s="52"/>
      <c r="BG193" s="52"/>
      <c r="BH193" s="52"/>
      <c r="BI193" s="52"/>
      <c r="BJ193" s="52"/>
      <c r="BK193" s="52"/>
      <c r="BL193" s="52"/>
      <c r="BM193" s="52"/>
      <c r="BN193" s="52"/>
      <c r="BO193" s="52"/>
    </row>
    <row r="194" spans="2:67" ht="14.25">
      <c r="B194" s="68"/>
      <c r="C194" s="68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52"/>
      <c r="AE194" s="52"/>
      <c r="AF194" s="52"/>
      <c r="AG194" s="52"/>
      <c r="AH194" s="52"/>
      <c r="AI194" s="52"/>
      <c r="AJ194" s="52"/>
      <c r="AK194" s="52"/>
      <c r="AL194" s="52"/>
      <c r="AM194" s="52"/>
      <c r="AN194" s="52"/>
      <c r="AO194" s="52"/>
      <c r="AP194" s="52"/>
      <c r="AQ194" s="52"/>
      <c r="AR194" s="52"/>
      <c r="AS194" s="52"/>
      <c r="AT194" s="52"/>
      <c r="AU194" s="52"/>
      <c r="AV194" s="52"/>
      <c r="AW194" s="52"/>
      <c r="AX194" s="52"/>
      <c r="AY194" s="52"/>
      <c r="AZ194" s="52"/>
      <c r="BA194" s="52"/>
      <c r="BB194" s="52"/>
      <c r="BC194" s="52"/>
      <c r="BD194" s="52"/>
      <c r="BE194" s="52"/>
      <c r="BF194" s="52"/>
      <c r="BG194" s="52"/>
      <c r="BH194" s="52"/>
      <c r="BI194" s="52"/>
      <c r="BJ194" s="52"/>
      <c r="BK194" s="52"/>
      <c r="BL194" s="52"/>
      <c r="BM194" s="52"/>
      <c r="BN194" s="52"/>
      <c r="BO194" s="52"/>
    </row>
    <row r="195" spans="2:67" ht="14.25">
      <c r="B195" s="68"/>
      <c r="C195" s="68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52"/>
      <c r="AE195" s="52"/>
      <c r="AF195" s="52"/>
      <c r="AG195" s="52"/>
      <c r="AH195" s="52"/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2"/>
      <c r="BA195" s="52"/>
      <c r="BB195" s="52"/>
      <c r="BC195" s="52"/>
      <c r="BD195" s="52"/>
      <c r="BE195" s="52"/>
      <c r="BF195" s="52"/>
      <c r="BG195" s="52"/>
      <c r="BH195" s="52"/>
      <c r="BI195" s="52"/>
      <c r="BJ195" s="52"/>
      <c r="BK195" s="52"/>
      <c r="BL195" s="52"/>
      <c r="BM195" s="52"/>
      <c r="BN195" s="52"/>
      <c r="BO195" s="52"/>
    </row>
    <row r="196" spans="2:67" ht="14.25">
      <c r="B196" s="68"/>
      <c r="C196" s="68"/>
      <c r="D196" s="52"/>
      <c r="E196" s="52"/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  <c r="AB196" s="52"/>
      <c r="AC196" s="52"/>
      <c r="AD196" s="52"/>
      <c r="AE196" s="52"/>
      <c r="AF196" s="52"/>
      <c r="AG196" s="52"/>
      <c r="AH196" s="52"/>
      <c r="AI196" s="52"/>
      <c r="AJ196" s="52"/>
      <c r="AK196" s="52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2"/>
      <c r="AW196" s="52"/>
      <c r="AX196" s="52"/>
      <c r="AY196" s="52"/>
      <c r="AZ196" s="52"/>
      <c r="BA196" s="52"/>
      <c r="BB196" s="52"/>
      <c r="BC196" s="52"/>
      <c r="BD196" s="52"/>
      <c r="BE196" s="52"/>
      <c r="BF196" s="52"/>
      <c r="BG196" s="52"/>
      <c r="BH196" s="52"/>
      <c r="BI196" s="52"/>
      <c r="BJ196" s="52"/>
      <c r="BK196" s="52"/>
      <c r="BL196" s="52"/>
      <c r="BM196" s="52"/>
      <c r="BN196" s="52"/>
      <c r="BO196" s="52"/>
    </row>
    <row r="197" spans="2:67" ht="14.25">
      <c r="B197" s="68"/>
      <c r="C197" s="68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52"/>
      <c r="AE197" s="52"/>
      <c r="AF197" s="52"/>
      <c r="AG197" s="52"/>
      <c r="AH197" s="52"/>
      <c r="AI197" s="52"/>
      <c r="AJ197" s="52"/>
      <c r="AK197" s="52"/>
      <c r="AL197" s="52"/>
      <c r="AM197" s="52"/>
      <c r="AN197" s="52"/>
      <c r="AO197" s="52"/>
      <c r="AP197" s="52"/>
      <c r="AQ197" s="52"/>
      <c r="AR197" s="52"/>
      <c r="AS197" s="52"/>
      <c r="AT197" s="52"/>
      <c r="AU197" s="52"/>
      <c r="AV197" s="52"/>
      <c r="AW197" s="52"/>
      <c r="AX197" s="52"/>
      <c r="AY197" s="52"/>
      <c r="AZ197" s="52"/>
      <c r="BA197" s="52"/>
      <c r="BB197" s="52"/>
      <c r="BC197" s="52"/>
      <c r="BD197" s="52"/>
      <c r="BE197" s="52"/>
      <c r="BF197" s="52"/>
      <c r="BG197" s="52"/>
      <c r="BH197" s="52"/>
      <c r="BI197" s="52"/>
      <c r="BJ197" s="52"/>
      <c r="BK197" s="52"/>
      <c r="BL197" s="52"/>
      <c r="BM197" s="52"/>
      <c r="BN197" s="52"/>
      <c r="BO197" s="52"/>
    </row>
    <row r="198" spans="2:67" ht="14.25">
      <c r="B198" s="68"/>
      <c r="C198" s="68"/>
      <c r="D198" s="52"/>
      <c r="E198" s="52"/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  <c r="AB198" s="52"/>
      <c r="AC198" s="52"/>
      <c r="AD198" s="52"/>
      <c r="AE198" s="52"/>
      <c r="AF198" s="52"/>
      <c r="AG198" s="52"/>
      <c r="AH198" s="52"/>
      <c r="AI198" s="52"/>
      <c r="AJ198" s="52"/>
      <c r="AK198" s="52"/>
      <c r="AL198" s="52"/>
      <c r="AM198" s="52"/>
      <c r="AN198" s="52"/>
      <c r="AO198" s="52"/>
      <c r="AP198" s="52"/>
      <c r="AQ198" s="52"/>
      <c r="AR198" s="52"/>
      <c r="AS198" s="52"/>
      <c r="AT198" s="52"/>
      <c r="AU198" s="52"/>
      <c r="AV198" s="52"/>
      <c r="AW198" s="52"/>
      <c r="AX198" s="52"/>
      <c r="AY198" s="52"/>
      <c r="AZ198" s="52"/>
      <c r="BA198" s="52"/>
      <c r="BB198" s="52"/>
      <c r="BC198" s="52"/>
      <c r="BD198" s="52"/>
      <c r="BE198" s="52"/>
      <c r="BF198" s="52"/>
      <c r="BG198" s="52"/>
      <c r="BH198" s="52"/>
      <c r="BI198" s="52"/>
      <c r="BJ198" s="52"/>
      <c r="BK198" s="52"/>
      <c r="BL198" s="52"/>
      <c r="BM198" s="52"/>
      <c r="BN198" s="52"/>
      <c r="BO198" s="52"/>
    </row>
    <row r="199" spans="2:67" ht="14.25">
      <c r="B199" s="68"/>
      <c r="C199" s="68"/>
      <c r="D199" s="52"/>
      <c r="E199" s="52"/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  <c r="AB199" s="52"/>
      <c r="AC199" s="52"/>
      <c r="AD199" s="52"/>
      <c r="AE199" s="52"/>
      <c r="AF199" s="52"/>
      <c r="AG199" s="52"/>
      <c r="AH199" s="52"/>
      <c r="AI199" s="52"/>
      <c r="AJ199" s="52"/>
      <c r="AK199" s="52"/>
      <c r="AL199" s="52"/>
      <c r="AM199" s="52"/>
      <c r="AN199" s="52"/>
      <c r="AO199" s="52"/>
      <c r="AP199" s="52"/>
      <c r="AQ199" s="52"/>
      <c r="AR199" s="52"/>
      <c r="AS199" s="52"/>
      <c r="AT199" s="52"/>
      <c r="AU199" s="52"/>
      <c r="AV199" s="52"/>
      <c r="AW199" s="52"/>
      <c r="AX199" s="52"/>
      <c r="AY199" s="52"/>
      <c r="AZ199" s="52"/>
      <c r="BA199" s="52"/>
      <c r="BB199" s="52"/>
      <c r="BC199" s="52"/>
      <c r="BD199" s="52"/>
      <c r="BE199" s="52"/>
      <c r="BF199" s="52"/>
      <c r="BG199" s="52"/>
      <c r="BH199" s="52"/>
      <c r="BI199" s="52"/>
      <c r="BJ199" s="52"/>
      <c r="BK199" s="52"/>
      <c r="BL199" s="52"/>
      <c r="BM199" s="52"/>
      <c r="BN199" s="52"/>
      <c r="BO199" s="52"/>
    </row>
    <row r="200" spans="2:67" ht="14.25">
      <c r="B200" s="68"/>
      <c r="C200" s="68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52"/>
      <c r="AE200" s="52"/>
      <c r="AF200" s="52"/>
      <c r="AG200" s="52"/>
      <c r="AH200" s="52"/>
      <c r="AI200" s="52"/>
      <c r="AJ200" s="52"/>
      <c r="AK200" s="52"/>
      <c r="AL200" s="52"/>
      <c r="AM200" s="52"/>
      <c r="AN200" s="52"/>
      <c r="AO200" s="52"/>
      <c r="AP200" s="52"/>
      <c r="AQ200" s="52"/>
      <c r="AR200" s="52"/>
      <c r="AS200" s="52"/>
      <c r="AT200" s="52"/>
      <c r="AU200" s="52"/>
      <c r="AV200" s="52"/>
      <c r="AW200" s="52"/>
      <c r="AX200" s="52"/>
      <c r="AY200" s="52"/>
      <c r="AZ200" s="52"/>
      <c r="BA200" s="52"/>
      <c r="BB200" s="52"/>
      <c r="BC200" s="52"/>
      <c r="BD200" s="52"/>
      <c r="BE200" s="52"/>
      <c r="BF200" s="52"/>
      <c r="BG200" s="52"/>
      <c r="BH200" s="52"/>
      <c r="BI200" s="52"/>
      <c r="BJ200" s="52"/>
      <c r="BK200" s="52"/>
      <c r="BL200" s="52"/>
      <c r="BM200" s="52"/>
      <c r="BN200" s="52"/>
      <c r="BO200" s="52"/>
    </row>
    <row r="201" spans="2:67" ht="14.25">
      <c r="B201" s="68"/>
      <c r="C201" s="68"/>
      <c r="D201" s="52"/>
      <c r="E201" s="52"/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D201" s="52"/>
      <c r="AE201" s="52"/>
      <c r="AF201" s="52"/>
      <c r="AG201" s="52"/>
      <c r="AH201" s="52"/>
      <c r="AI201" s="52"/>
      <c r="AJ201" s="52"/>
      <c r="AK201" s="52"/>
      <c r="AL201" s="52"/>
      <c r="AM201" s="52"/>
      <c r="AN201" s="52"/>
      <c r="AO201" s="52"/>
      <c r="AP201" s="52"/>
      <c r="AQ201" s="52"/>
      <c r="AR201" s="52"/>
      <c r="AS201" s="52"/>
      <c r="AT201" s="52"/>
      <c r="AU201" s="52"/>
      <c r="AV201" s="52"/>
      <c r="AW201" s="52"/>
      <c r="AX201" s="52"/>
      <c r="AY201" s="52"/>
      <c r="AZ201" s="52"/>
      <c r="BA201" s="52"/>
      <c r="BB201" s="52"/>
      <c r="BC201" s="52"/>
      <c r="BD201" s="52"/>
      <c r="BE201" s="52"/>
      <c r="BF201" s="52"/>
      <c r="BG201" s="52"/>
      <c r="BH201" s="52"/>
      <c r="BI201" s="52"/>
      <c r="BJ201" s="52"/>
      <c r="BK201" s="52"/>
      <c r="BL201" s="52"/>
      <c r="BM201" s="52"/>
      <c r="BN201" s="52"/>
      <c r="BO201" s="52"/>
    </row>
    <row r="202" spans="2:67" ht="14.25">
      <c r="B202" s="68"/>
      <c r="C202" s="68"/>
      <c r="D202" s="52"/>
      <c r="E202" s="52"/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52"/>
      <c r="AE202" s="52"/>
      <c r="AF202" s="52"/>
      <c r="AG202" s="52"/>
      <c r="AH202" s="52"/>
      <c r="AI202" s="52"/>
      <c r="AJ202" s="52"/>
      <c r="AK202" s="52"/>
      <c r="AL202" s="52"/>
      <c r="AM202" s="52"/>
      <c r="AN202" s="52"/>
      <c r="AO202" s="52"/>
      <c r="AP202" s="52"/>
      <c r="AQ202" s="52"/>
      <c r="AR202" s="52"/>
      <c r="AS202" s="52"/>
      <c r="AT202" s="52"/>
      <c r="AU202" s="52"/>
      <c r="AV202" s="52"/>
      <c r="AW202" s="52"/>
      <c r="AX202" s="52"/>
      <c r="AY202" s="52"/>
      <c r="AZ202" s="52"/>
      <c r="BA202" s="52"/>
      <c r="BB202" s="52"/>
      <c r="BC202" s="52"/>
      <c r="BD202" s="52"/>
      <c r="BE202" s="52"/>
      <c r="BF202" s="52"/>
      <c r="BG202" s="52"/>
      <c r="BH202" s="52"/>
      <c r="BI202" s="52"/>
      <c r="BJ202" s="52"/>
      <c r="BK202" s="52"/>
      <c r="BL202" s="52"/>
      <c r="BM202" s="52"/>
      <c r="BN202" s="52"/>
      <c r="BO202" s="52"/>
    </row>
    <row r="203" spans="2:67" ht="14.25">
      <c r="B203" s="68"/>
      <c r="C203" s="68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52"/>
      <c r="AE203" s="52"/>
      <c r="AF203" s="52"/>
      <c r="AG203" s="52"/>
      <c r="AH203" s="52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2"/>
      <c r="AT203" s="52"/>
      <c r="AU203" s="52"/>
      <c r="AV203" s="52"/>
      <c r="AW203" s="52"/>
      <c r="AX203" s="52"/>
      <c r="AY203" s="52"/>
      <c r="AZ203" s="52"/>
      <c r="BA203" s="52"/>
      <c r="BB203" s="52"/>
      <c r="BC203" s="52"/>
      <c r="BD203" s="52"/>
      <c r="BE203" s="52"/>
      <c r="BF203" s="52"/>
      <c r="BG203" s="52"/>
      <c r="BH203" s="52"/>
      <c r="BI203" s="52"/>
      <c r="BJ203" s="52"/>
      <c r="BK203" s="52"/>
      <c r="BL203" s="52"/>
      <c r="BM203" s="52"/>
      <c r="BN203" s="52"/>
      <c r="BO203" s="52"/>
    </row>
    <row r="204" spans="2:67" ht="14.25">
      <c r="B204" s="68"/>
      <c r="C204" s="68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52"/>
      <c r="AE204" s="52"/>
      <c r="AF204" s="52"/>
      <c r="AG204" s="52"/>
      <c r="AH204" s="52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2"/>
      <c r="AT204" s="52"/>
      <c r="AU204" s="52"/>
      <c r="AV204" s="52"/>
      <c r="AW204" s="52"/>
      <c r="AX204" s="52"/>
      <c r="AY204" s="52"/>
      <c r="AZ204" s="52"/>
      <c r="BA204" s="52"/>
      <c r="BB204" s="52"/>
      <c r="BC204" s="52"/>
      <c r="BD204" s="52"/>
      <c r="BE204" s="52"/>
      <c r="BF204" s="52"/>
      <c r="BG204" s="52"/>
      <c r="BH204" s="52"/>
      <c r="BI204" s="52"/>
      <c r="BJ204" s="52"/>
      <c r="BK204" s="52"/>
      <c r="BL204" s="52"/>
      <c r="BM204" s="52"/>
      <c r="BN204" s="52"/>
      <c r="BO204" s="52"/>
    </row>
    <row r="205" spans="2:67" ht="14.25">
      <c r="B205" s="68"/>
      <c r="C205" s="68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52"/>
      <c r="AE205" s="52"/>
      <c r="AF205" s="52"/>
      <c r="AG205" s="52"/>
      <c r="AH205" s="52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2"/>
      <c r="AT205" s="52"/>
      <c r="AU205" s="52"/>
      <c r="AV205" s="52"/>
      <c r="AW205" s="52"/>
      <c r="AX205" s="52"/>
      <c r="AY205" s="52"/>
      <c r="AZ205" s="52"/>
      <c r="BA205" s="52"/>
      <c r="BB205" s="52"/>
      <c r="BC205" s="52"/>
      <c r="BD205" s="52"/>
      <c r="BE205" s="52"/>
      <c r="BF205" s="52"/>
      <c r="BG205" s="52"/>
      <c r="BH205" s="52"/>
      <c r="BI205" s="52"/>
      <c r="BJ205" s="52"/>
      <c r="BK205" s="52"/>
      <c r="BL205" s="52"/>
      <c r="BM205" s="52"/>
      <c r="BN205" s="52"/>
      <c r="BO205" s="52"/>
    </row>
    <row r="206" spans="2:67" ht="14.25">
      <c r="B206" s="68"/>
      <c r="C206" s="68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52"/>
      <c r="AE206" s="52"/>
      <c r="AF206" s="52"/>
      <c r="AG206" s="52"/>
      <c r="AH206" s="52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2"/>
      <c r="AT206" s="52"/>
      <c r="AU206" s="52"/>
      <c r="AV206" s="52"/>
      <c r="AW206" s="52"/>
      <c r="AX206" s="52"/>
      <c r="AY206" s="52"/>
      <c r="AZ206" s="52"/>
      <c r="BA206" s="52"/>
      <c r="BB206" s="52"/>
      <c r="BC206" s="52"/>
      <c r="BD206" s="52"/>
      <c r="BE206" s="52"/>
      <c r="BF206" s="52"/>
      <c r="BG206" s="52"/>
      <c r="BH206" s="52"/>
      <c r="BI206" s="52"/>
      <c r="BJ206" s="52"/>
      <c r="BK206" s="52"/>
      <c r="BL206" s="52"/>
      <c r="BM206" s="52"/>
      <c r="BN206" s="52"/>
      <c r="BO206" s="52"/>
    </row>
    <row r="207" spans="2:67" ht="14.25">
      <c r="B207" s="68"/>
      <c r="C207" s="68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52"/>
      <c r="AE207" s="52"/>
      <c r="AF207" s="52"/>
      <c r="AG207" s="52"/>
      <c r="AH207" s="52"/>
      <c r="AI207" s="52"/>
      <c r="AJ207" s="52"/>
      <c r="AK207" s="52"/>
      <c r="AL207" s="52"/>
      <c r="AM207" s="52"/>
      <c r="AN207" s="52"/>
      <c r="AO207" s="52"/>
      <c r="AP207" s="52"/>
      <c r="AQ207" s="52"/>
      <c r="AR207" s="52"/>
      <c r="AS207" s="52"/>
      <c r="AT207" s="52"/>
      <c r="AU207" s="52"/>
      <c r="AV207" s="52"/>
      <c r="AW207" s="52"/>
      <c r="AX207" s="52"/>
      <c r="AY207" s="52"/>
      <c r="AZ207" s="52"/>
      <c r="BA207" s="52"/>
      <c r="BB207" s="52"/>
      <c r="BC207" s="52"/>
      <c r="BD207" s="52"/>
      <c r="BE207" s="52"/>
      <c r="BF207" s="52"/>
      <c r="BG207" s="52"/>
      <c r="BH207" s="52"/>
      <c r="BI207" s="52"/>
      <c r="BJ207" s="52"/>
      <c r="BK207" s="52"/>
      <c r="BL207" s="52"/>
      <c r="BM207" s="52"/>
      <c r="BN207" s="52"/>
      <c r="BO207" s="52"/>
    </row>
    <row r="208" spans="2:67" ht="14.25">
      <c r="B208" s="68"/>
      <c r="C208" s="68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52"/>
      <c r="AE208" s="52"/>
      <c r="AF208" s="52"/>
      <c r="AG208" s="52"/>
      <c r="AH208" s="52"/>
      <c r="AI208" s="52"/>
      <c r="AJ208" s="52"/>
      <c r="AK208" s="52"/>
      <c r="AL208" s="52"/>
      <c r="AM208" s="52"/>
      <c r="AN208" s="52"/>
      <c r="AO208" s="52"/>
      <c r="AP208" s="52"/>
      <c r="AQ208" s="52"/>
      <c r="AR208" s="52"/>
      <c r="AS208" s="52"/>
      <c r="AT208" s="52"/>
      <c r="AU208" s="52"/>
      <c r="AV208" s="52"/>
      <c r="AW208" s="52"/>
      <c r="AX208" s="52"/>
      <c r="AY208" s="52"/>
      <c r="AZ208" s="52"/>
      <c r="BA208" s="52"/>
      <c r="BB208" s="52"/>
      <c r="BC208" s="52"/>
      <c r="BD208" s="52"/>
      <c r="BE208" s="52"/>
      <c r="BF208" s="52"/>
      <c r="BG208" s="52"/>
      <c r="BH208" s="52"/>
      <c r="BI208" s="52"/>
      <c r="BJ208" s="52"/>
      <c r="BK208" s="52"/>
      <c r="BL208" s="52"/>
      <c r="BM208" s="52"/>
      <c r="BN208" s="52"/>
      <c r="BO208" s="52"/>
    </row>
    <row r="209" spans="2:67" ht="14.25">
      <c r="B209" s="68"/>
      <c r="C209" s="68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52"/>
      <c r="AE209" s="52"/>
      <c r="AF209" s="52"/>
      <c r="AG209" s="52"/>
      <c r="AH209" s="52"/>
      <c r="AI209" s="52"/>
      <c r="AJ209" s="52"/>
      <c r="AK209" s="52"/>
      <c r="AL209" s="52"/>
      <c r="AM209" s="52"/>
      <c r="AN209" s="52"/>
      <c r="AO209" s="52"/>
      <c r="AP209" s="52"/>
      <c r="AQ209" s="52"/>
      <c r="AR209" s="52"/>
      <c r="AS209" s="52"/>
      <c r="AT209" s="52"/>
      <c r="AU209" s="52"/>
      <c r="AV209" s="52"/>
      <c r="AW209" s="52"/>
      <c r="AX209" s="52"/>
      <c r="AY209" s="52"/>
      <c r="AZ209" s="52"/>
      <c r="BA209" s="52"/>
      <c r="BB209" s="52"/>
      <c r="BC209" s="52"/>
      <c r="BD209" s="52"/>
      <c r="BE209" s="52"/>
      <c r="BF209" s="52"/>
      <c r="BG209" s="52"/>
      <c r="BH209" s="52"/>
      <c r="BI209" s="52"/>
      <c r="BJ209" s="52"/>
      <c r="BK209" s="52"/>
      <c r="BL209" s="52"/>
      <c r="BM209" s="52"/>
      <c r="BN209" s="52"/>
      <c r="BO209" s="52"/>
    </row>
    <row r="210" spans="2:67" ht="14.25">
      <c r="B210" s="68"/>
      <c r="C210" s="68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52"/>
      <c r="AE210" s="52"/>
      <c r="AF210" s="52"/>
      <c r="AG210" s="52"/>
      <c r="AH210" s="52"/>
      <c r="AI210" s="52"/>
      <c r="AJ210" s="52"/>
      <c r="AK210" s="52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2"/>
      <c r="AW210" s="52"/>
      <c r="AX210" s="52"/>
      <c r="AY210" s="52"/>
      <c r="AZ210" s="52"/>
      <c r="BA210" s="52"/>
      <c r="BB210" s="52"/>
      <c r="BC210" s="52"/>
      <c r="BD210" s="52"/>
      <c r="BE210" s="52"/>
      <c r="BF210" s="52"/>
      <c r="BG210" s="52"/>
      <c r="BH210" s="52"/>
      <c r="BI210" s="52"/>
      <c r="BJ210" s="52"/>
      <c r="BK210" s="52"/>
      <c r="BL210" s="52"/>
      <c r="BM210" s="52"/>
      <c r="BN210" s="52"/>
      <c r="BO210" s="52"/>
    </row>
    <row r="211" spans="2:67" ht="14.25">
      <c r="B211" s="68"/>
      <c r="C211" s="68"/>
      <c r="D211" s="52"/>
      <c r="E211" s="52"/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52"/>
      <c r="AE211" s="52"/>
      <c r="AF211" s="52"/>
      <c r="AG211" s="52"/>
      <c r="AH211" s="52"/>
      <c r="AI211" s="52"/>
      <c r="AJ211" s="52"/>
      <c r="AK211" s="52"/>
      <c r="AL211" s="52"/>
      <c r="AM211" s="52"/>
      <c r="AN211" s="52"/>
      <c r="AO211" s="52"/>
      <c r="AP211" s="52"/>
      <c r="AQ211" s="52"/>
      <c r="AR211" s="52"/>
      <c r="AS211" s="52"/>
      <c r="AT211" s="52"/>
      <c r="AU211" s="52"/>
      <c r="AV211" s="52"/>
      <c r="AW211" s="52"/>
      <c r="AX211" s="52"/>
      <c r="AY211" s="52"/>
      <c r="AZ211" s="52"/>
      <c r="BA211" s="52"/>
      <c r="BB211" s="52"/>
      <c r="BC211" s="52"/>
      <c r="BD211" s="52"/>
      <c r="BE211" s="52"/>
      <c r="BF211" s="52"/>
      <c r="BG211" s="52"/>
      <c r="BH211" s="52"/>
      <c r="BI211" s="52"/>
      <c r="BJ211" s="52"/>
      <c r="BK211" s="52"/>
      <c r="BL211" s="52"/>
      <c r="BM211" s="52"/>
      <c r="BN211" s="52"/>
      <c r="BO211" s="52"/>
    </row>
    <row r="212" spans="2:67" ht="14.25">
      <c r="B212" s="68"/>
      <c r="C212" s="68"/>
      <c r="D212" s="52"/>
      <c r="E212" s="52"/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52"/>
      <c r="AE212" s="52"/>
      <c r="AF212" s="52"/>
      <c r="AG212" s="52"/>
      <c r="AH212" s="52"/>
      <c r="AI212" s="52"/>
      <c r="AJ212" s="52"/>
      <c r="AK212" s="52"/>
      <c r="AL212" s="52"/>
      <c r="AM212" s="52"/>
      <c r="AN212" s="52"/>
      <c r="AO212" s="52"/>
      <c r="AP212" s="52"/>
      <c r="AQ212" s="52"/>
      <c r="AR212" s="52"/>
      <c r="AS212" s="52"/>
      <c r="AT212" s="52"/>
      <c r="AU212" s="52"/>
      <c r="AV212" s="52"/>
      <c r="AW212" s="52"/>
      <c r="AX212" s="52"/>
      <c r="AY212" s="52"/>
      <c r="AZ212" s="52"/>
      <c r="BA212" s="52"/>
      <c r="BB212" s="52"/>
      <c r="BC212" s="52"/>
      <c r="BD212" s="52"/>
      <c r="BE212" s="52"/>
      <c r="BF212" s="52"/>
      <c r="BG212" s="52"/>
      <c r="BH212" s="52"/>
      <c r="BI212" s="52"/>
      <c r="BJ212" s="52"/>
      <c r="BK212" s="52"/>
      <c r="BL212" s="52"/>
      <c r="BM212" s="52"/>
      <c r="BN212" s="52"/>
      <c r="BO212" s="52"/>
    </row>
    <row r="213" spans="2:67" ht="14.25">
      <c r="B213" s="68"/>
      <c r="C213" s="68"/>
      <c r="D213" s="52"/>
      <c r="E213" s="52"/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52"/>
      <c r="AE213" s="52"/>
      <c r="AF213" s="52"/>
      <c r="AG213" s="52"/>
      <c r="AH213" s="52"/>
      <c r="AI213" s="52"/>
      <c r="AJ213" s="52"/>
      <c r="AK213" s="52"/>
      <c r="AL213" s="52"/>
      <c r="AM213" s="52"/>
      <c r="AN213" s="52"/>
      <c r="AO213" s="52"/>
      <c r="AP213" s="52"/>
      <c r="AQ213" s="52"/>
      <c r="AR213" s="52"/>
      <c r="AS213" s="52"/>
      <c r="AT213" s="52"/>
      <c r="AU213" s="52"/>
      <c r="AV213" s="52"/>
      <c r="AW213" s="52"/>
      <c r="AX213" s="52"/>
      <c r="AY213" s="52"/>
      <c r="AZ213" s="52"/>
      <c r="BA213" s="52"/>
      <c r="BB213" s="52"/>
      <c r="BC213" s="52"/>
      <c r="BD213" s="52"/>
      <c r="BE213" s="52"/>
      <c r="BF213" s="52"/>
      <c r="BG213" s="52"/>
      <c r="BH213" s="52"/>
      <c r="BI213" s="52"/>
      <c r="BJ213" s="52"/>
      <c r="BK213" s="52"/>
      <c r="BL213" s="52"/>
      <c r="BM213" s="52"/>
      <c r="BN213" s="52"/>
      <c r="BO213" s="52"/>
    </row>
    <row r="214" spans="2:67" ht="14.25">
      <c r="B214" s="68"/>
      <c r="C214" s="68"/>
      <c r="D214" s="52"/>
      <c r="E214" s="52"/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52"/>
      <c r="AE214" s="52"/>
      <c r="AF214" s="52"/>
      <c r="AG214" s="52"/>
      <c r="AH214" s="52"/>
      <c r="AI214" s="52"/>
      <c r="AJ214" s="52"/>
      <c r="AK214" s="52"/>
      <c r="AL214" s="52"/>
      <c r="AM214" s="52"/>
      <c r="AN214" s="52"/>
      <c r="AO214" s="52"/>
      <c r="AP214" s="52"/>
      <c r="AQ214" s="52"/>
      <c r="AR214" s="52"/>
      <c r="AS214" s="52"/>
      <c r="AT214" s="52"/>
      <c r="AU214" s="52"/>
      <c r="AV214" s="52"/>
      <c r="AW214" s="52"/>
      <c r="AX214" s="52"/>
      <c r="AY214" s="52"/>
      <c r="AZ214" s="52"/>
      <c r="BA214" s="52"/>
      <c r="BB214" s="52"/>
      <c r="BC214" s="52"/>
      <c r="BD214" s="52"/>
      <c r="BE214" s="52"/>
      <c r="BF214" s="52"/>
      <c r="BG214" s="52"/>
      <c r="BH214" s="52"/>
      <c r="BI214" s="52"/>
      <c r="BJ214" s="52"/>
      <c r="BK214" s="52"/>
      <c r="BL214" s="52"/>
      <c r="BM214" s="52"/>
      <c r="BN214" s="52"/>
      <c r="BO214" s="52"/>
    </row>
    <row r="215" spans="2:67" ht="14.25">
      <c r="B215" s="68"/>
      <c r="C215" s="68"/>
      <c r="D215" s="52"/>
      <c r="E215" s="52"/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52"/>
      <c r="AE215" s="52"/>
      <c r="AF215" s="52"/>
      <c r="AG215" s="52"/>
      <c r="AH215" s="52"/>
      <c r="AI215" s="52"/>
      <c r="AJ215" s="52"/>
      <c r="AK215" s="52"/>
      <c r="AL215" s="52"/>
      <c r="AM215" s="52"/>
      <c r="AN215" s="52"/>
      <c r="AO215" s="52"/>
      <c r="AP215" s="52"/>
      <c r="AQ215" s="52"/>
      <c r="AR215" s="52"/>
      <c r="AS215" s="52"/>
      <c r="AT215" s="52"/>
      <c r="AU215" s="52"/>
      <c r="AV215" s="52"/>
      <c r="AW215" s="52"/>
      <c r="AX215" s="52"/>
      <c r="AY215" s="52"/>
      <c r="AZ215" s="52"/>
      <c r="BA215" s="52"/>
      <c r="BB215" s="52"/>
      <c r="BC215" s="52"/>
      <c r="BD215" s="52"/>
      <c r="BE215" s="52"/>
      <c r="BF215" s="52"/>
      <c r="BG215" s="52"/>
      <c r="BH215" s="52"/>
      <c r="BI215" s="52"/>
      <c r="BJ215" s="52"/>
      <c r="BK215" s="52"/>
      <c r="BL215" s="52"/>
      <c r="BM215" s="52"/>
      <c r="BN215" s="52"/>
      <c r="BO215" s="52"/>
    </row>
    <row r="216" spans="2:67" ht="14.25">
      <c r="B216" s="68"/>
      <c r="C216" s="68"/>
      <c r="D216" s="52"/>
      <c r="E216" s="52"/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I216" s="52"/>
      <c r="AJ216" s="52"/>
      <c r="AK216" s="52"/>
      <c r="AL216" s="52"/>
      <c r="AM216" s="52"/>
      <c r="AN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2"/>
      <c r="BB216" s="52"/>
      <c r="BC216" s="52"/>
      <c r="BD216" s="52"/>
      <c r="BE216" s="52"/>
      <c r="BF216" s="52"/>
      <c r="BG216" s="52"/>
      <c r="BH216" s="52"/>
      <c r="BI216" s="52"/>
      <c r="BJ216" s="52"/>
      <c r="BK216" s="52"/>
      <c r="BL216" s="52"/>
      <c r="BM216" s="52"/>
      <c r="BN216" s="52"/>
      <c r="BO216" s="52"/>
    </row>
    <row r="217" spans="2:67" ht="14.25">
      <c r="B217" s="68"/>
      <c r="C217" s="68"/>
      <c r="D217" s="52"/>
      <c r="E217" s="52"/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52"/>
      <c r="AE217" s="52"/>
      <c r="AF217" s="52"/>
      <c r="AG217" s="52"/>
      <c r="AH217" s="52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2"/>
      <c r="AT217" s="52"/>
      <c r="AU217" s="52"/>
      <c r="AV217" s="52"/>
      <c r="AW217" s="52"/>
      <c r="AX217" s="52"/>
      <c r="AY217" s="52"/>
      <c r="AZ217" s="52"/>
      <c r="BA217" s="52"/>
      <c r="BB217" s="52"/>
      <c r="BC217" s="52"/>
      <c r="BD217" s="52"/>
      <c r="BE217" s="52"/>
      <c r="BF217" s="52"/>
      <c r="BG217" s="52"/>
      <c r="BH217" s="52"/>
      <c r="BI217" s="52"/>
      <c r="BJ217" s="52"/>
      <c r="BK217" s="52"/>
      <c r="BL217" s="52"/>
      <c r="BM217" s="52"/>
      <c r="BN217" s="52"/>
      <c r="BO217" s="52"/>
    </row>
    <row r="218" spans="2:67" ht="14.25">
      <c r="B218" s="68"/>
      <c r="C218" s="68"/>
      <c r="D218" s="52"/>
      <c r="E218" s="52"/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52"/>
      <c r="AE218" s="52"/>
      <c r="AF218" s="52"/>
      <c r="AG218" s="52"/>
      <c r="AH218" s="52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2"/>
      <c r="AT218" s="52"/>
      <c r="AU218" s="52"/>
      <c r="AV218" s="52"/>
      <c r="AW218" s="52"/>
      <c r="AX218" s="52"/>
      <c r="AY218" s="52"/>
      <c r="AZ218" s="52"/>
      <c r="BA218" s="52"/>
      <c r="BB218" s="52"/>
      <c r="BC218" s="52"/>
      <c r="BD218" s="52"/>
      <c r="BE218" s="52"/>
      <c r="BF218" s="52"/>
      <c r="BG218" s="52"/>
      <c r="BH218" s="52"/>
      <c r="BI218" s="52"/>
      <c r="BJ218" s="52"/>
      <c r="BK218" s="52"/>
      <c r="BL218" s="52"/>
      <c r="BM218" s="52"/>
      <c r="BN218" s="52"/>
      <c r="BO218" s="52"/>
    </row>
    <row r="219" spans="2:67" ht="14.25">
      <c r="B219" s="68"/>
      <c r="C219" s="68"/>
      <c r="D219" s="52"/>
      <c r="E219" s="52"/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2"/>
      <c r="AT219" s="52"/>
      <c r="AU219" s="52"/>
      <c r="AV219" s="52"/>
      <c r="AW219" s="52"/>
      <c r="AX219" s="52"/>
      <c r="AY219" s="52"/>
      <c r="AZ219" s="52"/>
      <c r="BA219" s="52"/>
      <c r="BB219" s="52"/>
      <c r="BC219" s="52"/>
      <c r="BD219" s="52"/>
      <c r="BE219" s="52"/>
      <c r="BF219" s="52"/>
      <c r="BG219" s="52"/>
      <c r="BH219" s="52"/>
      <c r="BI219" s="52"/>
      <c r="BJ219" s="52"/>
      <c r="BK219" s="52"/>
      <c r="BL219" s="52"/>
      <c r="BM219" s="52"/>
      <c r="BN219" s="52"/>
      <c r="BO219" s="52"/>
    </row>
    <row r="220" spans="2:67" ht="14.25">
      <c r="B220" s="68"/>
      <c r="C220" s="68"/>
      <c r="D220" s="52"/>
      <c r="E220" s="52"/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52"/>
      <c r="AE220" s="52"/>
      <c r="AF220" s="52"/>
      <c r="AG220" s="52"/>
      <c r="AH220" s="52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2"/>
      <c r="AT220" s="52"/>
      <c r="AU220" s="52"/>
      <c r="AV220" s="52"/>
      <c r="AW220" s="52"/>
      <c r="AX220" s="52"/>
      <c r="AY220" s="52"/>
      <c r="AZ220" s="52"/>
      <c r="BA220" s="52"/>
      <c r="BB220" s="52"/>
      <c r="BC220" s="52"/>
      <c r="BD220" s="52"/>
      <c r="BE220" s="52"/>
      <c r="BF220" s="52"/>
      <c r="BG220" s="52"/>
      <c r="BH220" s="52"/>
      <c r="BI220" s="52"/>
      <c r="BJ220" s="52"/>
      <c r="BK220" s="52"/>
      <c r="BL220" s="52"/>
      <c r="BM220" s="52"/>
      <c r="BN220" s="52"/>
      <c r="BO220" s="52"/>
    </row>
    <row r="221" spans="2:67" ht="14.25">
      <c r="B221" s="68"/>
      <c r="C221" s="68"/>
      <c r="D221" s="52"/>
      <c r="E221" s="52"/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52"/>
      <c r="AE221" s="52"/>
      <c r="AF221" s="52"/>
      <c r="AG221" s="52"/>
      <c r="AH221" s="52"/>
      <c r="AI221" s="52"/>
      <c r="AJ221" s="52"/>
      <c r="AK221" s="52"/>
      <c r="AL221" s="52"/>
      <c r="AM221" s="52"/>
      <c r="AN221" s="52"/>
      <c r="AO221" s="52"/>
      <c r="AP221" s="52"/>
      <c r="AQ221" s="52"/>
      <c r="AR221" s="52"/>
      <c r="AS221" s="52"/>
      <c r="AT221" s="52"/>
      <c r="AU221" s="52"/>
      <c r="AV221" s="52"/>
      <c r="AW221" s="52"/>
      <c r="AX221" s="52"/>
      <c r="AY221" s="52"/>
      <c r="AZ221" s="52"/>
      <c r="BA221" s="52"/>
      <c r="BB221" s="52"/>
      <c r="BC221" s="52"/>
      <c r="BD221" s="52"/>
      <c r="BE221" s="52"/>
      <c r="BF221" s="52"/>
      <c r="BG221" s="52"/>
      <c r="BH221" s="52"/>
      <c r="BI221" s="52"/>
      <c r="BJ221" s="52"/>
      <c r="BK221" s="52"/>
      <c r="BL221" s="52"/>
      <c r="BM221" s="52"/>
      <c r="BN221" s="52"/>
      <c r="BO221" s="52"/>
    </row>
    <row r="222" spans="2:67" ht="14.25">
      <c r="B222" s="68"/>
      <c r="C222" s="68"/>
      <c r="D222" s="52"/>
      <c r="E222" s="52"/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52"/>
      <c r="AE222" s="52"/>
      <c r="AF222" s="52"/>
      <c r="AG222" s="52"/>
      <c r="AH222" s="52"/>
      <c r="AI222" s="52"/>
      <c r="AJ222" s="52"/>
      <c r="AK222" s="52"/>
      <c r="AL222" s="52"/>
      <c r="AM222" s="52"/>
      <c r="AN222" s="52"/>
      <c r="AO222" s="52"/>
      <c r="AP222" s="52"/>
      <c r="AQ222" s="52"/>
      <c r="AR222" s="52"/>
      <c r="AS222" s="52"/>
      <c r="AT222" s="52"/>
      <c r="AU222" s="52"/>
      <c r="AV222" s="52"/>
      <c r="AW222" s="52"/>
      <c r="AX222" s="52"/>
      <c r="AY222" s="52"/>
      <c r="AZ222" s="52"/>
      <c r="BA222" s="52"/>
      <c r="BB222" s="52"/>
      <c r="BC222" s="52"/>
      <c r="BD222" s="52"/>
      <c r="BE222" s="52"/>
      <c r="BF222" s="52"/>
      <c r="BG222" s="52"/>
      <c r="BH222" s="52"/>
      <c r="BI222" s="52"/>
      <c r="BJ222" s="52"/>
      <c r="BK222" s="52"/>
      <c r="BL222" s="52"/>
      <c r="BM222" s="52"/>
      <c r="BN222" s="52"/>
      <c r="BO222" s="52"/>
    </row>
    <row r="223" spans="2:67" ht="14.25">
      <c r="B223" s="68"/>
      <c r="C223" s="68"/>
      <c r="D223" s="52"/>
      <c r="E223" s="52"/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52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52"/>
      <c r="BI223" s="52"/>
      <c r="BJ223" s="52"/>
      <c r="BK223" s="52"/>
      <c r="BL223" s="52"/>
      <c r="BM223" s="52"/>
      <c r="BN223" s="52"/>
      <c r="BO223" s="52"/>
    </row>
    <row r="224" spans="2:67" ht="14.25">
      <c r="B224" s="68"/>
      <c r="C224" s="68"/>
      <c r="D224" s="52"/>
      <c r="E224" s="52"/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52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52"/>
      <c r="BI224" s="52"/>
      <c r="BJ224" s="52"/>
      <c r="BK224" s="52"/>
      <c r="BL224" s="52"/>
      <c r="BM224" s="52"/>
      <c r="BN224" s="52"/>
      <c r="BO224" s="52"/>
    </row>
    <row r="225" spans="2:67" ht="14.25">
      <c r="B225" s="68"/>
      <c r="C225" s="68"/>
      <c r="D225" s="52"/>
      <c r="E225" s="52"/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52"/>
      <c r="AE225" s="52"/>
      <c r="AF225" s="52"/>
      <c r="AG225" s="52"/>
      <c r="AH225" s="52"/>
      <c r="AI225" s="52"/>
      <c r="AJ225" s="52"/>
      <c r="AK225" s="52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2"/>
      <c r="AW225" s="52"/>
      <c r="AX225" s="52"/>
      <c r="AY225" s="52"/>
      <c r="AZ225" s="52"/>
      <c r="BA225" s="52"/>
      <c r="BB225" s="52"/>
      <c r="BC225" s="52"/>
      <c r="BD225" s="52"/>
      <c r="BE225" s="52"/>
      <c r="BF225" s="52"/>
      <c r="BG225" s="52"/>
      <c r="BH225" s="52"/>
      <c r="BI225" s="52"/>
      <c r="BJ225" s="52"/>
      <c r="BK225" s="52"/>
      <c r="BL225" s="52"/>
      <c r="BM225" s="52"/>
      <c r="BN225" s="52"/>
      <c r="BO225" s="52"/>
    </row>
    <row r="226" spans="2:67" ht="14.25">
      <c r="B226" s="68"/>
      <c r="C226" s="68"/>
      <c r="D226" s="52"/>
      <c r="E226" s="52"/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52"/>
      <c r="AS226" s="52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52"/>
      <c r="BI226" s="52"/>
      <c r="BJ226" s="52"/>
      <c r="BK226" s="52"/>
      <c r="BL226" s="52"/>
      <c r="BM226" s="52"/>
      <c r="BN226" s="52"/>
      <c r="BO226" s="52"/>
    </row>
    <row r="227" spans="2:67" ht="14.25">
      <c r="B227" s="68"/>
      <c r="C227" s="68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52"/>
      <c r="AE227" s="52"/>
      <c r="AF227" s="52"/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  <c r="AQ227" s="52"/>
      <c r="AR227" s="52"/>
      <c r="AS227" s="52"/>
      <c r="AT227" s="52"/>
      <c r="AU227" s="52"/>
      <c r="AV227" s="52"/>
      <c r="AW227" s="52"/>
      <c r="AX227" s="52"/>
      <c r="AY227" s="52"/>
      <c r="AZ227" s="52"/>
      <c r="BA227" s="52"/>
      <c r="BB227" s="52"/>
      <c r="BC227" s="52"/>
      <c r="BD227" s="52"/>
      <c r="BE227" s="52"/>
      <c r="BF227" s="52"/>
      <c r="BG227" s="52"/>
      <c r="BH227" s="52"/>
      <c r="BI227" s="52"/>
      <c r="BJ227" s="52"/>
      <c r="BK227" s="52"/>
      <c r="BL227" s="52"/>
      <c r="BM227" s="52"/>
      <c r="BN227" s="52"/>
      <c r="BO227" s="52"/>
    </row>
    <row r="228" spans="2:67" ht="14.25">
      <c r="B228" s="68"/>
      <c r="C228" s="68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52"/>
      <c r="AE228" s="52"/>
      <c r="AF228" s="52"/>
      <c r="AG228" s="52"/>
      <c r="AH228" s="52"/>
      <c r="AI228" s="52"/>
      <c r="AJ228" s="52"/>
      <c r="AK228" s="52"/>
      <c r="AL228" s="52"/>
      <c r="AM228" s="52"/>
      <c r="AN228" s="52"/>
      <c r="AO228" s="52"/>
      <c r="AP228" s="52"/>
      <c r="AQ228" s="52"/>
      <c r="AR228" s="52"/>
      <c r="AS228" s="52"/>
      <c r="AT228" s="52"/>
      <c r="AU228" s="52"/>
      <c r="AV228" s="52"/>
      <c r="AW228" s="52"/>
      <c r="AX228" s="52"/>
      <c r="AY228" s="52"/>
      <c r="AZ228" s="52"/>
      <c r="BA228" s="52"/>
      <c r="BB228" s="52"/>
      <c r="BC228" s="52"/>
      <c r="BD228" s="52"/>
      <c r="BE228" s="52"/>
      <c r="BF228" s="52"/>
      <c r="BG228" s="52"/>
      <c r="BH228" s="52"/>
      <c r="BI228" s="52"/>
      <c r="BJ228" s="52"/>
      <c r="BK228" s="52"/>
      <c r="BL228" s="52"/>
      <c r="BM228" s="52"/>
      <c r="BN228" s="52"/>
      <c r="BO228" s="52"/>
    </row>
    <row r="229" spans="2:67" ht="14.25">
      <c r="B229" s="68"/>
      <c r="C229" s="68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52"/>
      <c r="AE229" s="52"/>
      <c r="AF229" s="52"/>
      <c r="AG229" s="52"/>
      <c r="AH229" s="52"/>
      <c r="AI229" s="52"/>
      <c r="AJ229" s="52"/>
      <c r="AK229" s="52"/>
      <c r="AL229" s="52"/>
      <c r="AM229" s="52"/>
      <c r="AN229" s="52"/>
      <c r="AO229" s="52"/>
      <c r="AP229" s="52"/>
      <c r="AQ229" s="52"/>
      <c r="AR229" s="52"/>
      <c r="AS229" s="52"/>
      <c r="AT229" s="52"/>
      <c r="AU229" s="52"/>
      <c r="AV229" s="52"/>
      <c r="AW229" s="52"/>
      <c r="AX229" s="52"/>
      <c r="AY229" s="52"/>
      <c r="AZ229" s="52"/>
      <c r="BA229" s="52"/>
      <c r="BB229" s="52"/>
      <c r="BC229" s="52"/>
      <c r="BD229" s="52"/>
      <c r="BE229" s="52"/>
      <c r="BF229" s="52"/>
      <c r="BG229" s="52"/>
      <c r="BH229" s="52"/>
      <c r="BI229" s="52"/>
      <c r="BJ229" s="52"/>
      <c r="BK229" s="52"/>
      <c r="BL229" s="52"/>
      <c r="BM229" s="52"/>
      <c r="BN229" s="52"/>
      <c r="BO229" s="52"/>
    </row>
    <row r="230" spans="2:67" ht="14.25">
      <c r="B230" s="68"/>
      <c r="C230" s="68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  <c r="AI230" s="52"/>
      <c r="AJ230" s="52"/>
      <c r="AK230" s="52"/>
      <c r="AL230" s="52"/>
      <c r="AM230" s="52"/>
      <c r="AN230" s="52"/>
      <c r="AO230" s="52"/>
      <c r="AP230" s="52"/>
      <c r="AQ230" s="52"/>
      <c r="AR230" s="52"/>
      <c r="AS230" s="52"/>
      <c r="AT230" s="52"/>
      <c r="AU230" s="52"/>
      <c r="AV230" s="52"/>
      <c r="AW230" s="52"/>
      <c r="AX230" s="52"/>
      <c r="AY230" s="52"/>
      <c r="AZ230" s="52"/>
      <c r="BA230" s="52"/>
      <c r="BB230" s="52"/>
      <c r="BC230" s="52"/>
      <c r="BD230" s="52"/>
      <c r="BE230" s="52"/>
      <c r="BF230" s="52"/>
      <c r="BG230" s="52"/>
      <c r="BH230" s="52"/>
      <c r="BI230" s="52"/>
      <c r="BJ230" s="52"/>
      <c r="BK230" s="52"/>
      <c r="BL230" s="52"/>
      <c r="BM230" s="52"/>
      <c r="BN230" s="52"/>
      <c r="BO230" s="52"/>
    </row>
    <row r="231" spans="2:67" ht="14.25">
      <c r="B231" s="68"/>
      <c r="C231" s="68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52"/>
      <c r="AE231" s="52"/>
      <c r="AF231" s="52"/>
      <c r="AG231" s="52"/>
      <c r="AH231" s="52"/>
      <c r="AI231" s="52"/>
      <c r="AJ231" s="52"/>
      <c r="AK231" s="52"/>
      <c r="AL231" s="52"/>
      <c r="AM231" s="52"/>
      <c r="AN231" s="52"/>
      <c r="AO231" s="52"/>
      <c r="AP231" s="52"/>
      <c r="AQ231" s="52"/>
      <c r="AR231" s="52"/>
      <c r="AS231" s="52"/>
      <c r="AT231" s="52"/>
      <c r="AU231" s="52"/>
      <c r="AV231" s="52"/>
      <c r="AW231" s="52"/>
      <c r="AX231" s="52"/>
      <c r="AY231" s="52"/>
      <c r="AZ231" s="52"/>
      <c r="BA231" s="52"/>
      <c r="BB231" s="52"/>
      <c r="BC231" s="52"/>
      <c r="BD231" s="52"/>
      <c r="BE231" s="52"/>
      <c r="BF231" s="52"/>
      <c r="BG231" s="52"/>
      <c r="BH231" s="52"/>
      <c r="BI231" s="52"/>
      <c r="BJ231" s="52"/>
      <c r="BK231" s="52"/>
      <c r="BL231" s="52"/>
      <c r="BM231" s="52"/>
      <c r="BN231" s="52"/>
      <c r="BO231" s="52"/>
    </row>
    <row r="232" spans="2:67" ht="14.25">
      <c r="B232" s="68"/>
      <c r="C232" s="68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52"/>
      <c r="AE232" s="52"/>
      <c r="AF232" s="52"/>
      <c r="AG232" s="52"/>
      <c r="AH232" s="52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2"/>
      <c r="AT232" s="52"/>
      <c r="AU232" s="52"/>
      <c r="AV232" s="52"/>
      <c r="AW232" s="52"/>
      <c r="AX232" s="52"/>
      <c r="AY232" s="52"/>
      <c r="AZ232" s="52"/>
      <c r="BA232" s="52"/>
      <c r="BB232" s="52"/>
      <c r="BC232" s="52"/>
      <c r="BD232" s="52"/>
      <c r="BE232" s="52"/>
      <c r="BF232" s="52"/>
      <c r="BG232" s="52"/>
      <c r="BH232" s="52"/>
      <c r="BI232" s="52"/>
      <c r="BJ232" s="52"/>
      <c r="BK232" s="52"/>
      <c r="BL232" s="52"/>
      <c r="BM232" s="52"/>
      <c r="BN232" s="52"/>
      <c r="BO232" s="52"/>
    </row>
    <row r="233" spans="2:67" ht="14.25">
      <c r="B233" s="68"/>
      <c r="C233" s="68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52"/>
      <c r="AE233" s="52"/>
      <c r="AF233" s="52"/>
      <c r="AG233" s="52"/>
      <c r="AH233" s="52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2"/>
      <c r="AT233" s="52"/>
      <c r="AU233" s="52"/>
      <c r="AV233" s="52"/>
      <c r="AW233" s="52"/>
      <c r="AX233" s="52"/>
      <c r="AY233" s="52"/>
      <c r="AZ233" s="52"/>
      <c r="BA233" s="52"/>
      <c r="BB233" s="52"/>
      <c r="BC233" s="52"/>
      <c r="BD233" s="52"/>
      <c r="BE233" s="52"/>
      <c r="BF233" s="52"/>
      <c r="BG233" s="52"/>
      <c r="BH233" s="52"/>
      <c r="BI233" s="52"/>
      <c r="BJ233" s="52"/>
      <c r="BK233" s="52"/>
      <c r="BL233" s="52"/>
      <c r="BM233" s="52"/>
      <c r="BN233" s="52"/>
      <c r="BO233" s="52"/>
    </row>
    <row r="234" spans="2:67" ht="14.25">
      <c r="B234" s="68"/>
      <c r="C234" s="68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2"/>
      <c r="AT234" s="52"/>
      <c r="AU234" s="52"/>
      <c r="AV234" s="52"/>
      <c r="AW234" s="52"/>
      <c r="AX234" s="52"/>
      <c r="AY234" s="52"/>
      <c r="AZ234" s="52"/>
      <c r="BA234" s="52"/>
      <c r="BB234" s="52"/>
      <c r="BC234" s="52"/>
      <c r="BD234" s="52"/>
      <c r="BE234" s="52"/>
      <c r="BF234" s="52"/>
      <c r="BG234" s="52"/>
      <c r="BH234" s="52"/>
      <c r="BI234" s="52"/>
      <c r="BJ234" s="52"/>
      <c r="BK234" s="52"/>
      <c r="BL234" s="52"/>
      <c r="BM234" s="52"/>
      <c r="BN234" s="52"/>
      <c r="BO234" s="52"/>
    </row>
    <row r="235" spans="2:67" ht="14.25">
      <c r="B235" s="68"/>
      <c r="C235" s="68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52"/>
      <c r="AE235" s="52"/>
      <c r="AF235" s="52"/>
      <c r="AG235" s="52"/>
      <c r="AH235" s="52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2"/>
      <c r="AT235" s="52"/>
      <c r="AU235" s="52"/>
      <c r="AV235" s="52"/>
      <c r="AW235" s="52"/>
      <c r="AX235" s="52"/>
      <c r="AY235" s="52"/>
      <c r="AZ235" s="52"/>
      <c r="BA235" s="52"/>
      <c r="BB235" s="52"/>
      <c r="BC235" s="52"/>
      <c r="BD235" s="52"/>
      <c r="BE235" s="52"/>
      <c r="BF235" s="52"/>
      <c r="BG235" s="52"/>
      <c r="BH235" s="52"/>
      <c r="BI235" s="52"/>
      <c r="BJ235" s="52"/>
      <c r="BK235" s="52"/>
      <c r="BL235" s="52"/>
      <c r="BM235" s="52"/>
      <c r="BN235" s="52"/>
      <c r="BO235" s="52"/>
    </row>
    <row r="236" spans="2:67" ht="14.25">
      <c r="B236" s="68"/>
      <c r="C236" s="68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52"/>
      <c r="AQ236" s="52"/>
      <c r="AR236" s="52"/>
      <c r="AS236" s="52"/>
      <c r="AT236" s="52"/>
      <c r="AU236" s="52"/>
      <c r="AV236" s="52"/>
      <c r="AW236" s="52"/>
      <c r="AX236" s="52"/>
      <c r="AY236" s="52"/>
      <c r="AZ236" s="52"/>
      <c r="BA236" s="52"/>
      <c r="BB236" s="52"/>
      <c r="BC236" s="52"/>
      <c r="BD236" s="52"/>
      <c r="BE236" s="52"/>
      <c r="BF236" s="52"/>
      <c r="BG236" s="52"/>
      <c r="BH236" s="52"/>
      <c r="BI236" s="52"/>
      <c r="BJ236" s="52"/>
      <c r="BK236" s="52"/>
      <c r="BL236" s="52"/>
      <c r="BM236" s="52"/>
      <c r="BN236" s="52"/>
      <c r="BO236" s="52"/>
    </row>
    <row r="237" spans="2:67" ht="14.25">
      <c r="B237" s="68"/>
      <c r="C237" s="68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52"/>
      <c r="AE237" s="52"/>
      <c r="AF237" s="52"/>
      <c r="AG237" s="52"/>
      <c r="AH237" s="52"/>
      <c r="AI237" s="52"/>
      <c r="AJ237" s="52"/>
      <c r="AK237" s="52"/>
      <c r="AL237" s="52"/>
      <c r="AM237" s="52"/>
      <c r="AN237" s="52"/>
      <c r="AO237" s="52"/>
      <c r="AP237" s="52"/>
      <c r="AQ237" s="52"/>
      <c r="AR237" s="52"/>
      <c r="AS237" s="52"/>
      <c r="AT237" s="52"/>
      <c r="AU237" s="52"/>
      <c r="AV237" s="52"/>
      <c r="AW237" s="52"/>
      <c r="AX237" s="52"/>
      <c r="AY237" s="52"/>
      <c r="AZ237" s="52"/>
      <c r="BA237" s="52"/>
      <c r="BB237" s="52"/>
      <c r="BC237" s="52"/>
      <c r="BD237" s="52"/>
      <c r="BE237" s="52"/>
      <c r="BF237" s="52"/>
      <c r="BG237" s="52"/>
      <c r="BH237" s="52"/>
      <c r="BI237" s="52"/>
      <c r="BJ237" s="52"/>
      <c r="BK237" s="52"/>
      <c r="BL237" s="52"/>
      <c r="BM237" s="52"/>
      <c r="BN237" s="52"/>
      <c r="BO237" s="52"/>
    </row>
    <row r="238" spans="2:67" ht="14.25">
      <c r="B238" s="68"/>
      <c r="C238" s="68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52"/>
      <c r="AE238" s="52"/>
      <c r="AF238" s="52"/>
      <c r="AG238" s="52"/>
      <c r="AH238" s="52"/>
      <c r="AI238" s="52"/>
      <c r="AJ238" s="52"/>
      <c r="AK238" s="52"/>
      <c r="AL238" s="52"/>
      <c r="AM238" s="52"/>
      <c r="AN238" s="52"/>
      <c r="AO238" s="52"/>
      <c r="AP238" s="52"/>
      <c r="AQ238" s="52"/>
      <c r="AR238" s="52"/>
      <c r="AS238" s="52"/>
      <c r="AT238" s="52"/>
      <c r="AU238" s="52"/>
      <c r="AV238" s="52"/>
      <c r="AW238" s="52"/>
      <c r="AX238" s="52"/>
      <c r="AY238" s="52"/>
      <c r="AZ238" s="52"/>
      <c r="BA238" s="52"/>
      <c r="BB238" s="52"/>
      <c r="BC238" s="52"/>
      <c r="BD238" s="52"/>
      <c r="BE238" s="52"/>
      <c r="BF238" s="52"/>
      <c r="BG238" s="52"/>
      <c r="BH238" s="52"/>
      <c r="BI238" s="52"/>
      <c r="BJ238" s="52"/>
      <c r="BK238" s="52"/>
      <c r="BL238" s="52"/>
      <c r="BM238" s="52"/>
      <c r="BN238" s="52"/>
      <c r="BO238" s="52"/>
    </row>
    <row r="239" spans="2:67" ht="14.25">
      <c r="B239" s="68"/>
      <c r="C239" s="68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52"/>
      <c r="AE239" s="52"/>
      <c r="AF239" s="52"/>
      <c r="AG239" s="52"/>
      <c r="AH239" s="52"/>
      <c r="AI239" s="52"/>
      <c r="AJ239" s="52"/>
      <c r="AK239" s="52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2"/>
      <c r="AW239" s="52"/>
      <c r="AX239" s="52"/>
      <c r="AY239" s="52"/>
      <c r="AZ239" s="52"/>
      <c r="BA239" s="52"/>
      <c r="BB239" s="52"/>
      <c r="BC239" s="52"/>
      <c r="BD239" s="52"/>
      <c r="BE239" s="52"/>
      <c r="BF239" s="52"/>
      <c r="BG239" s="52"/>
      <c r="BH239" s="52"/>
      <c r="BI239" s="52"/>
      <c r="BJ239" s="52"/>
      <c r="BK239" s="52"/>
      <c r="BL239" s="52"/>
      <c r="BM239" s="52"/>
      <c r="BN239" s="52"/>
      <c r="BO239" s="52"/>
    </row>
    <row r="240" spans="2:67" ht="14.25">
      <c r="B240" s="68"/>
      <c r="C240" s="68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52"/>
      <c r="AE240" s="52"/>
      <c r="AF240" s="52"/>
      <c r="AG240" s="52"/>
      <c r="AH240" s="52"/>
      <c r="AI240" s="52"/>
      <c r="AJ240" s="52"/>
      <c r="AK240" s="52"/>
      <c r="AL240" s="52"/>
      <c r="AM240" s="52"/>
      <c r="AN240" s="52"/>
      <c r="AO240" s="52"/>
      <c r="AP240" s="52"/>
      <c r="AQ240" s="52"/>
      <c r="AR240" s="52"/>
      <c r="AS240" s="52"/>
      <c r="AT240" s="52"/>
      <c r="AU240" s="52"/>
      <c r="AV240" s="52"/>
      <c r="AW240" s="52"/>
      <c r="AX240" s="52"/>
      <c r="AY240" s="52"/>
      <c r="AZ240" s="52"/>
      <c r="BA240" s="52"/>
      <c r="BB240" s="52"/>
      <c r="BC240" s="52"/>
      <c r="BD240" s="52"/>
      <c r="BE240" s="52"/>
      <c r="BF240" s="52"/>
      <c r="BG240" s="52"/>
      <c r="BH240" s="52"/>
      <c r="BI240" s="52"/>
      <c r="BJ240" s="52"/>
      <c r="BK240" s="52"/>
      <c r="BL240" s="52"/>
      <c r="BM240" s="52"/>
      <c r="BN240" s="52"/>
      <c r="BO240" s="52"/>
    </row>
    <row r="241" spans="2:67" ht="14.25">
      <c r="B241" s="68"/>
      <c r="C241" s="68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52"/>
      <c r="AE241" s="52"/>
      <c r="AF241" s="52"/>
      <c r="AG241" s="52"/>
      <c r="AH241" s="52"/>
      <c r="AI241" s="52"/>
      <c r="AJ241" s="52"/>
      <c r="AK241" s="52"/>
      <c r="AL241" s="52"/>
      <c r="AM241" s="52"/>
      <c r="AN241" s="52"/>
      <c r="AO241" s="52"/>
      <c r="AP241" s="52"/>
      <c r="AQ241" s="52"/>
      <c r="AR241" s="52"/>
      <c r="AS241" s="52"/>
      <c r="AT241" s="52"/>
      <c r="AU241" s="52"/>
      <c r="AV241" s="52"/>
      <c r="AW241" s="52"/>
      <c r="AX241" s="52"/>
      <c r="AY241" s="52"/>
      <c r="AZ241" s="52"/>
      <c r="BA241" s="52"/>
      <c r="BB241" s="52"/>
      <c r="BC241" s="52"/>
      <c r="BD241" s="52"/>
      <c r="BE241" s="52"/>
      <c r="BF241" s="52"/>
      <c r="BG241" s="52"/>
      <c r="BH241" s="52"/>
      <c r="BI241" s="52"/>
      <c r="BJ241" s="52"/>
      <c r="BK241" s="52"/>
      <c r="BL241" s="52"/>
      <c r="BM241" s="52"/>
      <c r="BN241" s="52"/>
      <c r="BO241" s="52"/>
    </row>
    <row r="242" spans="2:67" ht="14.25">
      <c r="B242" s="68"/>
      <c r="C242" s="68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52"/>
      <c r="AE242" s="52"/>
      <c r="AF242" s="52"/>
      <c r="AG242" s="52"/>
      <c r="AH242" s="52"/>
      <c r="AI242" s="52"/>
      <c r="AJ242" s="52"/>
      <c r="AK242" s="52"/>
      <c r="AL242" s="52"/>
      <c r="AM242" s="52"/>
      <c r="AN242" s="52"/>
      <c r="AO242" s="52"/>
      <c r="AP242" s="52"/>
      <c r="AQ242" s="52"/>
      <c r="AR242" s="52"/>
      <c r="AS242" s="52"/>
      <c r="AT242" s="52"/>
      <c r="AU242" s="52"/>
      <c r="AV242" s="52"/>
      <c r="AW242" s="52"/>
      <c r="AX242" s="52"/>
      <c r="AY242" s="52"/>
      <c r="AZ242" s="52"/>
      <c r="BA242" s="52"/>
      <c r="BB242" s="52"/>
      <c r="BC242" s="52"/>
      <c r="BD242" s="52"/>
      <c r="BE242" s="52"/>
      <c r="BF242" s="52"/>
      <c r="BG242" s="52"/>
      <c r="BH242" s="52"/>
      <c r="BI242" s="52"/>
      <c r="BJ242" s="52"/>
      <c r="BK242" s="52"/>
      <c r="BL242" s="52"/>
      <c r="BM242" s="52"/>
      <c r="BN242" s="52"/>
      <c r="BO242" s="52"/>
    </row>
    <row r="243" spans="2:67" ht="14.25">
      <c r="B243" s="68"/>
      <c r="C243" s="68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52"/>
      <c r="AE243" s="52"/>
      <c r="AF243" s="52"/>
      <c r="AG243" s="52"/>
      <c r="AH243" s="52"/>
      <c r="AI243" s="52"/>
      <c r="AJ243" s="52"/>
      <c r="AK243" s="52"/>
      <c r="AL243" s="52"/>
      <c r="AM243" s="52"/>
      <c r="AN243" s="52"/>
      <c r="AO243" s="52"/>
      <c r="AP243" s="52"/>
      <c r="AQ243" s="52"/>
      <c r="AR243" s="52"/>
      <c r="AS243" s="52"/>
      <c r="AT243" s="52"/>
      <c r="AU243" s="52"/>
      <c r="AV243" s="52"/>
      <c r="AW243" s="52"/>
      <c r="AX243" s="52"/>
      <c r="AY243" s="52"/>
      <c r="AZ243" s="52"/>
      <c r="BA243" s="52"/>
      <c r="BB243" s="52"/>
      <c r="BC243" s="52"/>
      <c r="BD243" s="52"/>
      <c r="BE243" s="52"/>
      <c r="BF243" s="52"/>
      <c r="BG243" s="52"/>
      <c r="BH243" s="52"/>
      <c r="BI243" s="52"/>
      <c r="BJ243" s="52"/>
      <c r="BK243" s="52"/>
      <c r="BL243" s="52"/>
      <c r="BM243" s="52"/>
      <c r="BN243" s="52"/>
      <c r="BO243" s="52"/>
    </row>
    <row r="244" spans="2:67" ht="14.25">
      <c r="B244" s="68"/>
      <c r="C244" s="68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  <c r="AO244" s="52"/>
      <c r="AP244" s="52"/>
      <c r="AQ244" s="52"/>
      <c r="AR244" s="52"/>
      <c r="AS244" s="52"/>
      <c r="AT244" s="52"/>
      <c r="AU244" s="52"/>
      <c r="AV244" s="52"/>
      <c r="AW244" s="52"/>
      <c r="AX244" s="52"/>
      <c r="AY244" s="52"/>
      <c r="AZ244" s="52"/>
      <c r="BA244" s="52"/>
      <c r="BB244" s="52"/>
      <c r="BC244" s="52"/>
      <c r="BD244" s="52"/>
      <c r="BE244" s="52"/>
      <c r="BF244" s="52"/>
      <c r="BG244" s="52"/>
      <c r="BH244" s="52"/>
      <c r="BI244" s="52"/>
      <c r="BJ244" s="52"/>
      <c r="BK244" s="52"/>
      <c r="BL244" s="52"/>
      <c r="BM244" s="52"/>
      <c r="BN244" s="52"/>
      <c r="BO244" s="52"/>
    </row>
    <row r="245" spans="2:67" ht="14.25">
      <c r="B245" s="68"/>
      <c r="C245" s="68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52"/>
      <c r="AE245" s="52"/>
      <c r="AF245" s="52"/>
      <c r="AG245" s="52"/>
      <c r="AH245" s="52"/>
      <c r="AI245" s="52"/>
      <c r="AJ245" s="52"/>
      <c r="AK245" s="52"/>
      <c r="AL245" s="52"/>
      <c r="AM245" s="52"/>
      <c r="AN245" s="52"/>
      <c r="AO245" s="52"/>
      <c r="AP245" s="52"/>
      <c r="AQ245" s="52"/>
      <c r="AR245" s="52"/>
      <c r="AS245" s="52"/>
      <c r="AT245" s="52"/>
      <c r="AU245" s="52"/>
      <c r="AV245" s="52"/>
      <c r="AW245" s="52"/>
      <c r="AX245" s="52"/>
      <c r="AY245" s="52"/>
      <c r="AZ245" s="52"/>
      <c r="BA245" s="52"/>
      <c r="BB245" s="52"/>
      <c r="BC245" s="52"/>
      <c r="BD245" s="52"/>
      <c r="BE245" s="52"/>
      <c r="BF245" s="52"/>
      <c r="BG245" s="52"/>
      <c r="BH245" s="52"/>
      <c r="BI245" s="52"/>
      <c r="BJ245" s="52"/>
      <c r="BK245" s="52"/>
      <c r="BL245" s="52"/>
      <c r="BM245" s="52"/>
      <c r="BN245" s="52"/>
      <c r="BO245" s="52"/>
    </row>
    <row r="246" spans="2:67" ht="14.25">
      <c r="B246" s="68"/>
      <c r="C246" s="68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52"/>
      <c r="AE246" s="52"/>
      <c r="AF246" s="52"/>
      <c r="AG246" s="52"/>
      <c r="AH246" s="52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2"/>
      <c r="AT246" s="52"/>
      <c r="AU246" s="52"/>
      <c r="AV246" s="52"/>
      <c r="AW246" s="52"/>
      <c r="AX246" s="52"/>
      <c r="AY246" s="52"/>
      <c r="AZ246" s="52"/>
      <c r="BA246" s="52"/>
      <c r="BB246" s="52"/>
      <c r="BC246" s="52"/>
      <c r="BD246" s="52"/>
      <c r="BE246" s="52"/>
      <c r="BF246" s="52"/>
      <c r="BG246" s="52"/>
      <c r="BH246" s="52"/>
      <c r="BI246" s="52"/>
      <c r="BJ246" s="52"/>
      <c r="BK246" s="52"/>
      <c r="BL246" s="52"/>
      <c r="BM246" s="52"/>
      <c r="BN246" s="52"/>
      <c r="BO246" s="52"/>
    </row>
    <row r="247" spans="2:67" ht="14.25">
      <c r="B247" s="68"/>
      <c r="C247" s="68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52"/>
      <c r="AE247" s="52"/>
      <c r="AF247" s="52"/>
      <c r="AG247" s="52"/>
      <c r="AH247" s="52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2"/>
      <c r="AT247" s="52"/>
      <c r="AU247" s="52"/>
      <c r="AV247" s="52"/>
      <c r="AW247" s="52"/>
      <c r="AX247" s="52"/>
      <c r="AY247" s="52"/>
      <c r="AZ247" s="52"/>
      <c r="BA247" s="52"/>
      <c r="BB247" s="52"/>
      <c r="BC247" s="52"/>
      <c r="BD247" s="52"/>
      <c r="BE247" s="52"/>
      <c r="BF247" s="52"/>
      <c r="BG247" s="52"/>
      <c r="BH247" s="52"/>
      <c r="BI247" s="52"/>
      <c r="BJ247" s="52"/>
      <c r="BK247" s="52"/>
      <c r="BL247" s="52"/>
      <c r="BM247" s="52"/>
      <c r="BN247" s="52"/>
      <c r="BO247" s="52"/>
    </row>
    <row r="248" spans="2:67" ht="14.25">
      <c r="B248" s="68"/>
      <c r="C248" s="68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52"/>
      <c r="AE248" s="52"/>
      <c r="AF248" s="52"/>
      <c r="AG248" s="52"/>
      <c r="AH248" s="52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2"/>
      <c r="AT248" s="52"/>
      <c r="AU248" s="52"/>
      <c r="AV248" s="52"/>
      <c r="AW248" s="52"/>
      <c r="AX248" s="52"/>
      <c r="AY248" s="52"/>
      <c r="AZ248" s="52"/>
      <c r="BA248" s="52"/>
      <c r="BB248" s="52"/>
      <c r="BC248" s="52"/>
      <c r="BD248" s="52"/>
      <c r="BE248" s="52"/>
      <c r="BF248" s="52"/>
      <c r="BG248" s="52"/>
      <c r="BH248" s="52"/>
      <c r="BI248" s="52"/>
      <c r="BJ248" s="52"/>
      <c r="BK248" s="52"/>
      <c r="BL248" s="52"/>
      <c r="BM248" s="52"/>
      <c r="BN248" s="52"/>
      <c r="BO248" s="52"/>
    </row>
    <row r="249" spans="2:67" ht="14.25">
      <c r="B249" s="68"/>
      <c r="C249" s="68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52"/>
      <c r="AE249" s="52"/>
      <c r="AF249" s="52"/>
      <c r="AG249" s="52"/>
      <c r="AH249" s="52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2"/>
      <c r="AT249" s="52"/>
      <c r="AU249" s="52"/>
      <c r="AV249" s="52"/>
      <c r="AW249" s="52"/>
      <c r="AX249" s="52"/>
      <c r="AY249" s="52"/>
      <c r="AZ249" s="52"/>
      <c r="BA249" s="52"/>
      <c r="BB249" s="52"/>
      <c r="BC249" s="52"/>
      <c r="BD249" s="52"/>
      <c r="BE249" s="52"/>
      <c r="BF249" s="52"/>
      <c r="BG249" s="52"/>
      <c r="BH249" s="52"/>
      <c r="BI249" s="52"/>
      <c r="BJ249" s="52"/>
      <c r="BK249" s="52"/>
      <c r="BL249" s="52"/>
      <c r="BM249" s="52"/>
      <c r="BN249" s="52"/>
      <c r="BO249" s="52"/>
    </row>
    <row r="250" spans="2:67" ht="14.25">
      <c r="B250" s="68"/>
      <c r="C250" s="68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52"/>
      <c r="AE250" s="52"/>
      <c r="AF250" s="52"/>
      <c r="AG250" s="52"/>
      <c r="AH250" s="52"/>
      <c r="AI250" s="52"/>
      <c r="AJ250" s="52"/>
      <c r="AK250" s="52"/>
      <c r="AL250" s="52"/>
      <c r="AM250" s="52"/>
      <c r="AN250" s="52"/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Y250" s="52"/>
      <c r="AZ250" s="52"/>
      <c r="BA250" s="52"/>
      <c r="BB250" s="52"/>
      <c r="BC250" s="52"/>
      <c r="BD250" s="52"/>
      <c r="BE250" s="52"/>
      <c r="BF250" s="52"/>
      <c r="BG250" s="52"/>
      <c r="BH250" s="52"/>
      <c r="BI250" s="52"/>
      <c r="BJ250" s="52"/>
      <c r="BK250" s="52"/>
      <c r="BL250" s="52"/>
      <c r="BM250" s="52"/>
      <c r="BN250" s="52"/>
      <c r="BO250" s="52"/>
    </row>
    <row r="251" spans="2:67" ht="14.25">
      <c r="B251" s="68"/>
      <c r="C251" s="68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52"/>
      <c r="AE251" s="52"/>
      <c r="AF251" s="52"/>
      <c r="AG251" s="52"/>
      <c r="AH251" s="52"/>
      <c r="AI251" s="52"/>
      <c r="AJ251" s="52"/>
      <c r="AK251" s="52"/>
      <c r="AL251" s="52"/>
      <c r="AM251" s="52"/>
      <c r="AN251" s="52"/>
      <c r="AO251" s="52"/>
      <c r="AP251" s="52"/>
      <c r="AQ251" s="52"/>
      <c r="AR251" s="52"/>
      <c r="AS251" s="52"/>
      <c r="AT251" s="52"/>
      <c r="AU251" s="52"/>
      <c r="AV251" s="52"/>
      <c r="AW251" s="52"/>
      <c r="AX251" s="52"/>
      <c r="AY251" s="52"/>
      <c r="AZ251" s="52"/>
      <c r="BA251" s="52"/>
      <c r="BB251" s="52"/>
      <c r="BC251" s="52"/>
      <c r="BD251" s="52"/>
      <c r="BE251" s="52"/>
      <c r="BF251" s="52"/>
      <c r="BG251" s="52"/>
      <c r="BH251" s="52"/>
      <c r="BI251" s="52"/>
      <c r="BJ251" s="52"/>
      <c r="BK251" s="52"/>
      <c r="BL251" s="52"/>
      <c r="BM251" s="52"/>
      <c r="BN251" s="52"/>
      <c r="BO251" s="52"/>
    </row>
    <row r="252" spans="2:67" ht="14.25">
      <c r="B252" s="68"/>
      <c r="C252" s="68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52"/>
      <c r="AE252" s="52"/>
      <c r="AF252" s="52"/>
      <c r="AG252" s="52"/>
      <c r="AH252" s="52"/>
      <c r="AI252" s="52"/>
      <c r="AJ252" s="52"/>
      <c r="AK252" s="52"/>
      <c r="AL252" s="52"/>
      <c r="AM252" s="52"/>
      <c r="AN252" s="52"/>
      <c r="AO252" s="52"/>
      <c r="AP252" s="52"/>
      <c r="AQ252" s="52"/>
      <c r="AR252" s="52"/>
      <c r="AS252" s="52"/>
      <c r="AT252" s="52"/>
      <c r="AU252" s="52"/>
      <c r="AV252" s="52"/>
      <c r="AW252" s="52"/>
      <c r="AX252" s="52"/>
      <c r="AY252" s="52"/>
      <c r="AZ252" s="52"/>
      <c r="BA252" s="52"/>
      <c r="BB252" s="52"/>
      <c r="BC252" s="52"/>
      <c r="BD252" s="52"/>
      <c r="BE252" s="52"/>
      <c r="BF252" s="52"/>
      <c r="BG252" s="52"/>
      <c r="BH252" s="52"/>
      <c r="BI252" s="52"/>
      <c r="BJ252" s="52"/>
      <c r="BK252" s="52"/>
      <c r="BL252" s="52"/>
      <c r="BM252" s="52"/>
      <c r="BN252" s="52"/>
      <c r="BO252" s="52"/>
    </row>
    <row r="253" spans="2:67" ht="14.25">
      <c r="B253" s="68"/>
      <c r="C253" s="68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52"/>
      <c r="AE253" s="52"/>
      <c r="AF253" s="52"/>
      <c r="AG253" s="52"/>
      <c r="AH253" s="52"/>
      <c r="AI253" s="52"/>
      <c r="AJ253" s="52"/>
      <c r="AK253" s="52"/>
      <c r="AL253" s="52"/>
      <c r="AM253" s="52"/>
      <c r="AN253" s="52"/>
      <c r="AO253" s="52"/>
      <c r="AP253" s="52"/>
      <c r="AQ253" s="52"/>
      <c r="AR253" s="52"/>
      <c r="AS253" s="52"/>
      <c r="AT253" s="52"/>
      <c r="AU253" s="52"/>
      <c r="AV253" s="52"/>
      <c r="AW253" s="52"/>
      <c r="AX253" s="52"/>
      <c r="AY253" s="52"/>
      <c r="AZ253" s="52"/>
      <c r="BA253" s="52"/>
      <c r="BB253" s="52"/>
      <c r="BC253" s="52"/>
      <c r="BD253" s="52"/>
      <c r="BE253" s="52"/>
      <c r="BF253" s="52"/>
      <c r="BG253" s="52"/>
      <c r="BH253" s="52"/>
      <c r="BI253" s="52"/>
      <c r="BJ253" s="52"/>
      <c r="BK253" s="52"/>
      <c r="BL253" s="52"/>
      <c r="BM253" s="52"/>
      <c r="BN253" s="52"/>
      <c r="BO253" s="52"/>
    </row>
    <row r="254" spans="2:67" ht="14.25">
      <c r="B254" s="68"/>
      <c r="C254" s="68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52"/>
      <c r="AE254" s="52"/>
      <c r="AF254" s="52"/>
      <c r="AG254" s="52"/>
      <c r="AH254" s="52"/>
      <c r="AI254" s="52"/>
      <c r="AJ254" s="52"/>
      <c r="AK254" s="52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2"/>
      <c r="AW254" s="52"/>
      <c r="AX254" s="52"/>
      <c r="AY254" s="52"/>
      <c r="AZ254" s="52"/>
      <c r="BA254" s="52"/>
      <c r="BB254" s="52"/>
      <c r="BC254" s="52"/>
      <c r="BD254" s="52"/>
      <c r="BE254" s="52"/>
      <c r="BF254" s="52"/>
      <c r="BG254" s="52"/>
      <c r="BH254" s="52"/>
      <c r="BI254" s="52"/>
      <c r="BJ254" s="52"/>
      <c r="BK254" s="52"/>
      <c r="BL254" s="52"/>
      <c r="BM254" s="52"/>
      <c r="BN254" s="52"/>
      <c r="BO254" s="52"/>
    </row>
    <row r="255" spans="2:67" ht="14.25">
      <c r="B255" s="68"/>
      <c r="C255" s="68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52"/>
      <c r="AE255" s="52"/>
      <c r="AF255" s="52"/>
      <c r="AG255" s="52"/>
      <c r="AH255" s="52"/>
      <c r="AI255" s="52"/>
      <c r="AJ255" s="52"/>
      <c r="AK255" s="52"/>
      <c r="AL255" s="52"/>
      <c r="AM255" s="52"/>
      <c r="AN255" s="52"/>
      <c r="AO255" s="52"/>
      <c r="AP255" s="52"/>
      <c r="AQ255" s="52"/>
      <c r="AR255" s="52"/>
      <c r="AS255" s="52"/>
      <c r="AT255" s="52"/>
      <c r="AU255" s="52"/>
      <c r="AV255" s="52"/>
      <c r="AW255" s="52"/>
      <c r="AX255" s="52"/>
      <c r="AY255" s="52"/>
      <c r="AZ255" s="52"/>
      <c r="BA255" s="52"/>
      <c r="BB255" s="52"/>
      <c r="BC255" s="52"/>
      <c r="BD255" s="52"/>
      <c r="BE255" s="52"/>
      <c r="BF255" s="52"/>
      <c r="BG255" s="52"/>
      <c r="BH255" s="52"/>
      <c r="BI255" s="52"/>
      <c r="BJ255" s="52"/>
      <c r="BK255" s="52"/>
      <c r="BL255" s="52"/>
      <c r="BM255" s="52"/>
      <c r="BN255" s="52"/>
      <c r="BO255" s="52"/>
    </row>
    <row r="256" spans="2:67" ht="14.25">
      <c r="B256" s="68"/>
      <c r="C256" s="68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52"/>
      <c r="AE256" s="52"/>
      <c r="AF256" s="52"/>
      <c r="AG256" s="52"/>
      <c r="AH256" s="52"/>
      <c r="AI256" s="52"/>
      <c r="AJ256" s="52"/>
      <c r="AK256" s="52"/>
      <c r="AL256" s="52"/>
      <c r="AM256" s="52"/>
      <c r="AN256" s="52"/>
      <c r="AO256" s="52"/>
      <c r="AP256" s="52"/>
      <c r="AQ256" s="52"/>
      <c r="AR256" s="52"/>
      <c r="AS256" s="52"/>
      <c r="AT256" s="52"/>
      <c r="AU256" s="52"/>
      <c r="AV256" s="52"/>
      <c r="AW256" s="52"/>
      <c r="AX256" s="52"/>
      <c r="AY256" s="52"/>
      <c r="AZ256" s="52"/>
      <c r="BA256" s="52"/>
      <c r="BB256" s="52"/>
      <c r="BC256" s="52"/>
      <c r="BD256" s="52"/>
      <c r="BE256" s="52"/>
      <c r="BF256" s="52"/>
      <c r="BG256" s="52"/>
      <c r="BH256" s="52"/>
      <c r="BI256" s="52"/>
      <c r="BJ256" s="52"/>
      <c r="BK256" s="52"/>
      <c r="BL256" s="52"/>
      <c r="BM256" s="52"/>
      <c r="BN256" s="52"/>
      <c r="BO256" s="52"/>
    </row>
    <row r="257" spans="2:67" ht="14.25">
      <c r="B257" s="68"/>
      <c r="C257" s="68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52"/>
      <c r="AE257" s="52"/>
      <c r="AF257" s="52"/>
      <c r="AG257" s="52"/>
      <c r="AH257" s="52"/>
      <c r="AI257" s="52"/>
      <c r="AJ257" s="52"/>
      <c r="AK257" s="52"/>
      <c r="AL257" s="52"/>
      <c r="AM257" s="52"/>
      <c r="AN257" s="52"/>
      <c r="AO257" s="52"/>
      <c r="AP257" s="52"/>
      <c r="AQ257" s="52"/>
      <c r="AR257" s="52"/>
      <c r="AS257" s="52"/>
      <c r="AT257" s="52"/>
      <c r="AU257" s="52"/>
      <c r="AV257" s="52"/>
      <c r="AW257" s="52"/>
      <c r="AX257" s="52"/>
      <c r="AY257" s="52"/>
      <c r="AZ257" s="52"/>
      <c r="BA257" s="52"/>
      <c r="BB257" s="52"/>
      <c r="BC257" s="52"/>
      <c r="BD257" s="52"/>
      <c r="BE257" s="52"/>
      <c r="BF257" s="52"/>
      <c r="BG257" s="52"/>
      <c r="BH257" s="52"/>
      <c r="BI257" s="52"/>
      <c r="BJ257" s="52"/>
      <c r="BK257" s="52"/>
      <c r="BL257" s="52"/>
      <c r="BM257" s="52"/>
      <c r="BN257" s="52"/>
      <c r="BO257" s="52"/>
    </row>
    <row r="258" spans="2:67" ht="14.25">
      <c r="B258" s="68"/>
      <c r="C258" s="68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52"/>
      <c r="AE258" s="52"/>
      <c r="AF258" s="52"/>
      <c r="AG258" s="52"/>
      <c r="AH258" s="52"/>
      <c r="AI258" s="52"/>
      <c r="AJ258" s="52"/>
      <c r="AK258" s="52"/>
      <c r="AL258" s="52"/>
      <c r="AM258" s="52"/>
      <c r="AN258" s="52"/>
      <c r="AO258" s="52"/>
      <c r="AP258" s="52"/>
      <c r="AQ258" s="52"/>
      <c r="AR258" s="52"/>
      <c r="AS258" s="52"/>
      <c r="AT258" s="52"/>
      <c r="AU258" s="52"/>
      <c r="AV258" s="52"/>
      <c r="AW258" s="52"/>
      <c r="AX258" s="52"/>
      <c r="AY258" s="52"/>
      <c r="AZ258" s="52"/>
      <c r="BA258" s="52"/>
      <c r="BB258" s="52"/>
      <c r="BC258" s="52"/>
      <c r="BD258" s="52"/>
      <c r="BE258" s="52"/>
      <c r="BF258" s="52"/>
      <c r="BG258" s="52"/>
      <c r="BH258" s="52"/>
      <c r="BI258" s="52"/>
      <c r="BJ258" s="52"/>
      <c r="BK258" s="52"/>
      <c r="BL258" s="52"/>
      <c r="BM258" s="52"/>
      <c r="BN258" s="52"/>
      <c r="BO258" s="52"/>
    </row>
    <row r="259" spans="2:67" ht="14.25">
      <c r="B259" s="68"/>
      <c r="C259" s="68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52"/>
      <c r="AE259" s="52"/>
      <c r="AF259" s="52"/>
      <c r="AG259" s="52"/>
      <c r="AH259" s="52"/>
      <c r="AI259" s="52"/>
      <c r="AJ259" s="52"/>
      <c r="AK259" s="52"/>
      <c r="AL259" s="52"/>
      <c r="AM259" s="52"/>
      <c r="AN259" s="52"/>
      <c r="AO259" s="52"/>
      <c r="AP259" s="52"/>
      <c r="AQ259" s="52"/>
      <c r="AR259" s="52"/>
      <c r="AS259" s="52"/>
      <c r="AT259" s="52"/>
      <c r="AU259" s="52"/>
      <c r="AV259" s="52"/>
      <c r="AW259" s="52"/>
      <c r="AX259" s="52"/>
      <c r="AY259" s="52"/>
      <c r="AZ259" s="52"/>
      <c r="BA259" s="52"/>
      <c r="BB259" s="52"/>
      <c r="BC259" s="52"/>
      <c r="BD259" s="52"/>
      <c r="BE259" s="52"/>
      <c r="BF259" s="52"/>
      <c r="BG259" s="52"/>
      <c r="BH259" s="52"/>
      <c r="BI259" s="52"/>
      <c r="BJ259" s="52"/>
      <c r="BK259" s="52"/>
      <c r="BL259" s="52"/>
      <c r="BM259" s="52"/>
      <c r="BN259" s="52"/>
      <c r="BO259" s="52"/>
    </row>
    <row r="260" spans="2:67" ht="14.25">
      <c r="B260" s="68"/>
      <c r="C260" s="68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52"/>
      <c r="AE260" s="52"/>
      <c r="AF260" s="52"/>
      <c r="AG260" s="52"/>
      <c r="AH260" s="52"/>
      <c r="AI260" s="52"/>
      <c r="AJ260" s="52"/>
      <c r="AK260" s="52"/>
      <c r="AL260" s="52"/>
      <c r="AM260" s="52"/>
      <c r="AN260" s="52"/>
      <c r="AO260" s="52"/>
      <c r="AP260" s="52"/>
      <c r="AQ260" s="52"/>
      <c r="AR260" s="52"/>
      <c r="AS260" s="52"/>
      <c r="AT260" s="52"/>
      <c r="AU260" s="52"/>
      <c r="AV260" s="52"/>
      <c r="AW260" s="52"/>
      <c r="AX260" s="52"/>
      <c r="AY260" s="52"/>
      <c r="AZ260" s="52"/>
      <c r="BA260" s="52"/>
      <c r="BB260" s="52"/>
      <c r="BC260" s="52"/>
      <c r="BD260" s="52"/>
      <c r="BE260" s="52"/>
      <c r="BF260" s="52"/>
      <c r="BG260" s="52"/>
      <c r="BH260" s="52"/>
      <c r="BI260" s="52"/>
      <c r="BJ260" s="52"/>
      <c r="BK260" s="52"/>
      <c r="BL260" s="52"/>
      <c r="BM260" s="52"/>
      <c r="BN260" s="52"/>
      <c r="BO260" s="52"/>
    </row>
    <row r="261" spans="2:67" ht="14.25">
      <c r="B261" s="68"/>
      <c r="C261" s="68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52"/>
      <c r="AE261" s="52"/>
      <c r="AF261" s="52"/>
      <c r="AG261" s="52"/>
      <c r="AH261" s="52"/>
      <c r="AI261" s="52"/>
      <c r="AJ261" s="52"/>
      <c r="AK261" s="52"/>
      <c r="AL261" s="52"/>
      <c r="AM261" s="52"/>
      <c r="AN261" s="52"/>
      <c r="AO261" s="52"/>
      <c r="AP261" s="52"/>
      <c r="AQ261" s="52"/>
      <c r="AR261" s="52"/>
      <c r="AS261" s="52"/>
      <c r="AT261" s="52"/>
      <c r="AU261" s="52"/>
      <c r="AV261" s="52"/>
      <c r="AW261" s="52"/>
      <c r="AX261" s="52"/>
      <c r="AY261" s="52"/>
      <c r="AZ261" s="52"/>
      <c r="BA261" s="52"/>
      <c r="BB261" s="52"/>
      <c r="BC261" s="52"/>
      <c r="BD261" s="52"/>
      <c r="BE261" s="52"/>
      <c r="BF261" s="52"/>
      <c r="BG261" s="52"/>
      <c r="BH261" s="52"/>
      <c r="BI261" s="52"/>
      <c r="BJ261" s="52"/>
      <c r="BK261" s="52"/>
      <c r="BL261" s="52"/>
      <c r="BM261" s="52"/>
      <c r="BN261" s="52"/>
      <c r="BO261" s="52"/>
    </row>
    <row r="262" spans="2:67" ht="14.25">
      <c r="B262" s="68"/>
      <c r="C262" s="68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52"/>
      <c r="AE262" s="52"/>
      <c r="AF262" s="52"/>
      <c r="AG262" s="52"/>
      <c r="AH262" s="52"/>
      <c r="AI262" s="52"/>
      <c r="AJ262" s="52"/>
      <c r="AK262" s="52"/>
      <c r="AL262" s="52"/>
      <c r="AM262" s="52"/>
      <c r="AN262" s="52"/>
      <c r="AO262" s="52"/>
      <c r="AP262" s="52"/>
      <c r="AQ262" s="52"/>
      <c r="AR262" s="52"/>
      <c r="AS262" s="52"/>
      <c r="AT262" s="52"/>
      <c r="AU262" s="52"/>
      <c r="AV262" s="52"/>
      <c r="AW262" s="52"/>
      <c r="AX262" s="52"/>
      <c r="AY262" s="52"/>
      <c r="AZ262" s="52"/>
      <c r="BA262" s="52"/>
      <c r="BB262" s="52"/>
      <c r="BC262" s="52"/>
      <c r="BD262" s="52"/>
      <c r="BE262" s="52"/>
      <c r="BF262" s="52"/>
      <c r="BG262" s="52"/>
      <c r="BH262" s="52"/>
      <c r="BI262" s="52"/>
      <c r="BJ262" s="52"/>
      <c r="BK262" s="52"/>
      <c r="BL262" s="52"/>
      <c r="BM262" s="52"/>
      <c r="BN262" s="52"/>
      <c r="BO262" s="52"/>
    </row>
    <row r="263" spans="2:67" ht="14.25">
      <c r="B263" s="68"/>
      <c r="C263" s="68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52"/>
      <c r="AE263" s="52"/>
      <c r="AF263" s="52"/>
      <c r="AG263" s="52"/>
      <c r="AH263" s="52"/>
      <c r="AI263" s="52"/>
      <c r="AJ263" s="52"/>
      <c r="AK263" s="52"/>
      <c r="AL263" s="52"/>
      <c r="AM263" s="52"/>
      <c r="AN263" s="52"/>
      <c r="AO263" s="52"/>
      <c r="AP263" s="52"/>
      <c r="AQ263" s="52"/>
      <c r="AR263" s="52"/>
      <c r="AS263" s="52"/>
      <c r="AT263" s="52"/>
      <c r="AU263" s="52"/>
      <c r="AV263" s="52"/>
      <c r="AW263" s="52"/>
      <c r="AX263" s="52"/>
      <c r="AY263" s="52"/>
      <c r="AZ263" s="52"/>
      <c r="BA263" s="52"/>
      <c r="BB263" s="52"/>
      <c r="BC263" s="52"/>
      <c r="BD263" s="52"/>
      <c r="BE263" s="52"/>
      <c r="BF263" s="52"/>
      <c r="BG263" s="52"/>
      <c r="BH263" s="52"/>
      <c r="BI263" s="52"/>
      <c r="BJ263" s="52"/>
      <c r="BK263" s="52"/>
      <c r="BL263" s="52"/>
      <c r="BM263" s="52"/>
      <c r="BN263" s="52"/>
      <c r="BO263" s="52"/>
    </row>
    <row r="264" spans="2:67" ht="14.25">
      <c r="B264" s="68"/>
      <c r="C264" s="68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52"/>
      <c r="AE264" s="52"/>
      <c r="AF264" s="52"/>
      <c r="AG264" s="52"/>
      <c r="AH264" s="52"/>
      <c r="AI264" s="52"/>
      <c r="AJ264" s="52"/>
      <c r="AK264" s="52"/>
      <c r="AL264" s="52"/>
      <c r="AM264" s="52"/>
      <c r="AN264" s="52"/>
      <c r="AO264" s="52"/>
      <c r="AP264" s="52"/>
      <c r="AQ264" s="52"/>
      <c r="AR264" s="52"/>
      <c r="AS264" s="52"/>
      <c r="AT264" s="52"/>
      <c r="AU264" s="52"/>
      <c r="AV264" s="52"/>
      <c r="AW264" s="52"/>
      <c r="AX264" s="52"/>
      <c r="AY264" s="52"/>
      <c r="AZ264" s="52"/>
      <c r="BA264" s="52"/>
      <c r="BB264" s="52"/>
      <c r="BC264" s="52"/>
      <c r="BD264" s="52"/>
      <c r="BE264" s="52"/>
      <c r="BF264" s="52"/>
      <c r="BG264" s="52"/>
      <c r="BH264" s="52"/>
      <c r="BI264" s="52"/>
      <c r="BJ264" s="52"/>
      <c r="BK264" s="52"/>
      <c r="BL264" s="52"/>
      <c r="BM264" s="52"/>
      <c r="BN264" s="52"/>
      <c r="BO264" s="52"/>
    </row>
    <row r="265" spans="2:67" ht="14.25">
      <c r="B265" s="68"/>
      <c r="C265" s="68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52"/>
      <c r="AE265" s="52"/>
      <c r="AF265" s="52"/>
      <c r="AG265" s="52"/>
      <c r="AH265" s="52"/>
      <c r="AI265" s="52"/>
      <c r="AJ265" s="52"/>
      <c r="AK265" s="52"/>
      <c r="AL265" s="52"/>
      <c r="AM265" s="52"/>
      <c r="AN265" s="52"/>
      <c r="AO265" s="52"/>
      <c r="AP265" s="52"/>
      <c r="AQ265" s="52"/>
      <c r="AR265" s="52"/>
      <c r="AS265" s="52"/>
      <c r="AT265" s="52"/>
      <c r="AU265" s="52"/>
      <c r="AV265" s="52"/>
      <c r="AW265" s="52"/>
      <c r="AX265" s="52"/>
      <c r="AY265" s="52"/>
      <c r="AZ265" s="52"/>
      <c r="BA265" s="52"/>
      <c r="BB265" s="52"/>
      <c r="BC265" s="52"/>
      <c r="BD265" s="52"/>
      <c r="BE265" s="52"/>
      <c r="BF265" s="52"/>
      <c r="BG265" s="52"/>
      <c r="BH265" s="52"/>
      <c r="BI265" s="52"/>
      <c r="BJ265" s="52"/>
      <c r="BK265" s="52"/>
      <c r="BL265" s="52"/>
      <c r="BM265" s="52"/>
      <c r="BN265" s="52"/>
      <c r="BO265" s="52"/>
    </row>
    <row r="266" spans="2:67" ht="14.25">
      <c r="B266" s="68"/>
      <c r="C266" s="68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52"/>
      <c r="AE266" s="52"/>
      <c r="AF266" s="52"/>
      <c r="AG266" s="52"/>
      <c r="AH266" s="52"/>
      <c r="AI266" s="52"/>
      <c r="AJ266" s="52"/>
      <c r="AK266" s="52"/>
      <c r="AL266" s="52"/>
      <c r="AM266" s="52"/>
      <c r="AN266" s="52"/>
      <c r="AO266" s="52"/>
      <c r="AP266" s="52"/>
      <c r="AQ266" s="52"/>
      <c r="AR266" s="52"/>
      <c r="AS266" s="52"/>
      <c r="AT266" s="52"/>
      <c r="AU266" s="52"/>
      <c r="AV266" s="52"/>
      <c r="AW266" s="52"/>
      <c r="AX266" s="52"/>
      <c r="AY266" s="52"/>
      <c r="AZ266" s="52"/>
      <c r="BA266" s="52"/>
      <c r="BB266" s="52"/>
      <c r="BC266" s="52"/>
      <c r="BD266" s="52"/>
      <c r="BE266" s="52"/>
      <c r="BF266" s="52"/>
      <c r="BG266" s="52"/>
      <c r="BH266" s="52"/>
      <c r="BI266" s="52"/>
      <c r="BJ266" s="52"/>
      <c r="BK266" s="52"/>
      <c r="BL266" s="52"/>
      <c r="BM266" s="52"/>
      <c r="BN266" s="52"/>
      <c r="BO266" s="52"/>
    </row>
    <row r="267" spans="2:67" ht="14.25">
      <c r="B267" s="68"/>
      <c r="C267" s="68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52"/>
      <c r="AE267" s="52"/>
      <c r="AF267" s="52"/>
      <c r="AG267" s="52"/>
      <c r="AH267" s="52"/>
      <c r="AI267" s="52"/>
      <c r="AJ267" s="52"/>
      <c r="AK267" s="52"/>
      <c r="AL267" s="52"/>
      <c r="AM267" s="52"/>
      <c r="AN267" s="52"/>
      <c r="AO267" s="52"/>
      <c r="AP267" s="52"/>
      <c r="AQ267" s="52"/>
      <c r="AR267" s="52"/>
      <c r="AS267" s="52"/>
      <c r="AT267" s="52"/>
      <c r="AU267" s="52"/>
      <c r="AV267" s="52"/>
      <c r="AW267" s="52"/>
      <c r="AX267" s="52"/>
      <c r="AY267" s="52"/>
      <c r="AZ267" s="52"/>
      <c r="BA267" s="52"/>
      <c r="BB267" s="52"/>
      <c r="BC267" s="52"/>
      <c r="BD267" s="52"/>
      <c r="BE267" s="52"/>
      <c r="BF267" s="52"/>
      <c r="BG267" s="52"/>
      <c r="BH267" s="52"/>
      <c r="BI267" s="52"/>
      <c r="BJ267" s="52"/>
      <c r="BK267" s="52"/>
      <c r="BL267" s="52"/>
      <c r="BM267" s="52"/>
      <c r="BN267" s="52"/>
      <c r="BO267" s="52"/>
    </row>
    <row r="268" spans="2:67" ht="14.25">
      <c r="B268" s="68"/>
      <c r="C268" s="68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52"/>
      <c r="AE268" s="52"/>
      <c r="AF268" s="52"/>
      <c r="AG268" s="52"/>
      <c r="AH268" s="52"/>
      <c r="AI268" s="52"/>
      <c r="AJ268" s="52"/>
      <c r="AK268" s="52"/>
      <c r="AL268" s="52"/>
      <c r="AM268" s="52"/>
      <c r="AN268" s="52"/>
      <c r="AO268" s="52"/>
      <c r="AP268" s="52"/>
      <c r="AQ268" s="52"/>
      <c r="AR268" s="52"/>
      <c r="AS268" s="52"/>
      <c r="AT268" s="52"/>
      <c r="AU268" s="52"/>
      <c r="AV268" s="52"/>
      <c r="AW268" s="52"/>
      <c r="AX268" s="52"/>
      <c r="AY268" s="52"/>
      <c r="AZ268" s="52"/>
      <c r="BA268" s="52"/>
      <c r="BB268" s="52"/>
      <c r="BC268" s="52"/>
      <c r="BD268" s="52"/>
      <c r="BE268" s="52"/>
      <c r="BF268" s="52"/>
      <c r="BG268" s="52"/>
      <c r="BH268" s="52"/>
      <c r="BI268" s="52"/>
      <c r="BJ268" s="52"/>
      <c r="BK268" s="52"/>
      <c r="BL268" s="52"/>
      <c r="BM268" s="52"/>
      <c r="BN268" s="52"/>
      <c r="BO268" s="52"/>
    </row>
    <row r="269" spans="2:67" ht="14.25">
      <c r="B269" s="68"/>
      <c r="C269" s="68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52"/>
      <c r="AE269" s="52"/>
      <c r="AF269" s="52"/>
      <c r="AG269" s="52"/>
      <c r="AH269" s="52"/>
      <c r="AI269" s="52"/>
      <c r="AJ269" s="52"/>
      <c r="AK269" s="52"/>
      <c r="AL269" s="52"/>
      <c r="AM269" s="52"/>
      <c r="AN269" s="52"/>
      <c r="AO269" s="52"/>
      <c r="AP269" s="52"/>
      <c r="AQ269" s="52"/>
      <c r="AR269" s="52"/>
      <c r="AS269" s="52"/>
      <c r="AT269" s="52"/>
      <c r="AU269" s="52"/>
      <c r="AV269" s="52"/>
      <c r="AW269" s="52"/>
      <c r="AX269" s="52"/>
      <c r="AY269" s="52"/>
      <c r="AZ269" s="52"/>
      <c r="BA269" s="52"/>
      <c r="BB269" s="52"/>
      <c r="BC269" s="52"/>
      <c r="BD269" s="52"/>
      <c r="BE269" s="52"/>
      <c r="BF269" s="52"/>
      <c r="BG269" s="52"/>
      <c r="BH269" s="52"/>
      <c r="BI269" s="52"/>
      <c r="BJ269" s="52"/>
      <c r="BK269" s="52"/>
      <c r="BL269" s="52"/>
      <c r="BM269" s="52"/>
      <c r="BN269" s="52"/>
      <c r="BO269" s="52"/>
    </row>
    <row r="270" spans="2:67" ht="14.25">
      <c r="B270" s="68"/>
      <c r="C270" s="68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52"/>
      <c r="AE270" s="52"/>
      <c r="AF270" s="52"/>
      <c r="AG270" s="52"/>
      <c r="AH270" s="52"/>
      <c r="AI270" s="52"/>
      <c r="AJ270" s="52"/>
      <c r="AK270" s="52"/>
      <c r="AL270" s="52"/>
      <c r="AM270" s="52"/>
      <c r="AN270" s="52"/>
      <c r="AO270" s="52"/>
      <c r="AP270" s="52"/>
      <c r="AQ270" s="52"/>
      <c r="AR270" s="52"/>
      <c r="AS270" s="52"/>
      <c r="AT270" s="52"/>
      <c r="AU270" s="52"/>
      <c r="AV270" s="52"/>
      <c r="AW270" s="52"/>
      <c r="AX270" s="52"/>
      <c r="AY270" s="52"/>
      <c r="AZ270" s="52"/>
      <c r="BA270" s="52"/>
      <c r="BB270" s="52"/>
      <c r="BC270" s="52"/>
      <c r="BD270" s="52"/>
      <c r="BE270" s="52"/>
      <c r="BF270" s="52"/>
      <c r="BG270" s="52"/>
      <c r="BH270" s="52"/>
      <c r="BI270" s="52"/>
      <c r="BJ270" s="52"/>
      <c r="BK270" s="52"/>
      <c r="BL270" s="52"/>
      <c r="BM270" s="52"/>
      <c r="BN270" s="52"/>
      <c r="BO270" s="52"/>
    </row>
    <row r="271" spans="2:67" ht="14.25">
      <c r="B271" s="68"/>
      <c r="C271" s="68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52"/>
      <c r="AE271" s="52"/>
      <c r="AF271" s="52"/>
      <c r="AG271" s="52"/>
      <c r="AH271" s="52"/>
      <c r="AI271" s="52"/>
      <c r="AJ271" s="52"/>
      <c r="AK271" s="52"/>
      <c r="AL271" s="52"/>
      <c r="AM271" s="52"/>
      <c r="AN271" s="52"/>
      <c r="AO271" s="52"/>
      <c r="AP271" s="52"/>
      <c r="AQ271" s="52"/>
      <c r="AR271" s="52"/>
      <c r="AS271" s="52"/>
      <c r="AT271" s="52"/>
      <c r="AU271" s="52"/>
      <c r="AV271" s="52"/>
      <c r="AW271" s="52"/>
      <c r="AX271" s="52"/>
      <c r="AY271" s="52"/>
      <c r="AZ271" s="52"/>
      <c r="BA271" s="52"/>
      <c r="BB271" s="52"/>
      <c r="BC271" s="52"/>
      <c r="BD271" s="52"/>
      <c r="BE271" s="52"/>
      <c r="BF271" s="52"/>
      <c r="BG271" s="52"/>
      <c r="BH271" s="52"/>
      <c r="BI271" s="52"/>
      <c r="BJ271" s="52"/>
      <c r="BK271" s="52"/>
      <c r="BL271" s="52"/>
      <c r="BM271" s="52"/>
      <c r="BN271" s="52"/>
      <c r="BO271" s="52"/>
    </row>
    <row r="272" spans="2:67" ht="14.25">
      <c r="B272" s="68"/>
      <c r="C272" s="68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52"/>
      <c r="AE272" s="52"/>
      <c r="AF272" s="52"/>
      <c r="AG272" s="52"/>
      <c r="AH272" s="52"/>
      <c r="AI272" s="52"/>
      <c r="AJ272" s="52"/>
      <c r="AK272" s="52"/>
      <c r="AL272" s="52"/>
      <c r="AM272" s="52"/>
      <c r="AN272" s="52"/>
      <c r="AO272" s="52"/>
      <c r="AP272" s="52"/>
      <c r="AQ272" s="52"/>
      <c r="AR272" s="52"/>
      <c r="AS272" s="52"/>
      <c r="AT272" s="52"/>
      <c r="AU272" s="52"/>
      <c r="AV272" s="52"/>
      <c r="AW272" s="52"/>
      <c r="AX272" s="52"/>
      <c r="AY272" s="52"/>
      <c r="AZ272" s="52"/>
      <c r="BA272" s="52"/>
      <c r="BB272" s="52"/>
      <c r="BC272" s="52"/>
      <c r="BD272" s="52"/>
      <c r="BE272" s="52"/>
      <c r="BF272" s="52"/>
      <c r="BG272" s="52"/>
      <c r="BH272" s="52"/>
      <c r="BI272" s="52"/>
      <c r="BJ272" s="52"/>
      <c r="BK272" s="52"/>
      <c r="BL272" s="52"/>
      <c r="BM272" s="52"/>
      <c r="BN272" s="52"/>
      <c r="BO272" s="52"/>
    </row>
    <row r="273" spans="2:67" ht="14.25">
      <c r="B273" s="68"/>
      <c r="C273" s="68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52"/>
      <c r="AE273" s="52"/>
      <c r="AF273" s="52"/>
      <c r="AG273" s="52"/>
      <c r="AH273" s="52"/>
      <c r="AI273" s="52"/>
      <c r="AJ273" s="52"/>
      <c r="AK273" s="52"/>
      <c r="AL273" s="52"/>
      <c r="AM273" s="52"/>
      <c r="AN273" s="52"/>
      <c r="AO273" s="52"/>
      <c r="AP273" s="52"/>
      <c r="AQ273" s="52"/>
      <c r="AR273" s="52"/>
      <c r="AS273" s="52"/>
      <c r="AT273" s="52"/>
      <c r="AU273" s="52"/>
      <c r="AV273" s="52"/>
      <c r="AW273" s="52"/>
      <c r="AX273" s="52"/>
      <c r="AY273" s="52"/>
      <c r="AZ273" s="52"/>
      <c r="BA273" s="52"/>
      <c r="BB273" s="52"/>
      <c r="BC273" s="52"/>
      <c r="BD273" s="52"/>
      <c r="BE273" s="52"/>
      <c r="BF273" s="52"/>
      <c r="BG273" s="52"/>
      <c r="BH273" s="52"/>
      <c r="BI273" s="52"/>
      <c r="BJ273" s="52"/>
      <c r="BK273" s="52"/>
      <c r="BL273" s="52"/>
      <c r="BM273" s="52"/>
      <c r="BN273" s="52"/>
      <c r="BO273" s="52"/>
    </row>
    <row r="274" spans="2:67" ht="14.25">
      <c r="B274" s="68"/>
      <c r="C274" s="68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52"/>
      <c r="AE274" s="52"/>
      <c r="AF274" s="52"/>
      <c r="AG274" s="52"/>
      <c r="AH274" s="52"/>
      <c r="AI274" s="52"/>
      <c r="AJ274" s="52"/>
      <c r="AK274" s="52"/>
      <c r="AL274" s="52"/>
      <c r="AM274" s="52"/>
      <c r="AN274" s="52"/>
      <c r="AO274" s="52"/>
      <c r="AP274" s="52"/>
      <c r="AQ274" s="52"/>
      <c r="AR274" s="52"/>
      <c r="AS274" s="52"/>
      <c r="AT274" s="52"/>
      <c r="AU274" s="52"/>
      <c r="AV274" s="52"/>
      <c r="AW274" s="52"/>
      <c r="AX274" s="52"/>
      <c r="AY274" s="52"/>
      <c r="AZ274" s="52"/>
      <c r="BA274" s="52"/>
      <c r="BB274" s="52"/>
      <c r="BC274" s="52"/>
      <c r="BD274" s="52"/>
      <c r="BE274" s="52"/>
      <c r="BF274" s="52"/>
      <c r="BG274" s="52"/>
      <c r="BH274" s="52"/>
      <c r="BI274" s="52"/>
      <c r="BJ274" s="52"/>
      <c r="BK274" s="52"/>
      <c r="BL274" s="52"/>
      <c r="BM274" s="52"/>
      <c r="BN274" s="52"/>
      <c r="BO274" s="52"/>
    </row>
    <row r="275" spans="2:67" ht="14.25">
      <c r="B275" s="68"/>
      <c r="C275" s="68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52"/>
      <c r="AE275" s="52"/>
      <c r="AF275" s="52"/>
      <c r="AG275" s="52"/>
      <c r="AH275" s="52"/>
      <c r="AI275" s="52"/>
      <c r="AJ275" s="52"/>
      <c r="AK275" s="52"/>
      <c r="AL275" s="52"/>
      <c r="AM275" s="52"/>
      <c r="AN275" s="52"/>
      <c r="AO275" s="52"/>
      <c r="AP275" s="52"/>
      <c r="AQ275" s="52"/>
      <c r="AR275" s="52"/>
      <c r="AS275" s="52"/>
      <c r="AT275" s="52"/>
      <c r="AU275" s="52"/>
      <c r="AV275" s="52"/>
      <c r="AW275" s="52"/>
      <c r="AX275" s="52"/>
      <c r="AY275" s="52"/>
      <c r="AZ275" s="52"/>
      <c r="BA275" s="52"/>
      <c r="BB275" s="52"/>
      <c r="BC275" s="52"/>
      <c r="BD275" s="52"/>
      <c r="BE275" s="52"/>
      <c r="BF275" s="52"/>
      <c r="BG275" s="52"/>
      <c r="BH275" s="52"/>
      <c r="BI275" s="52"/>
      <c r="BJ275" s="52"/>
      <c r="BK275" s="52"/>
      <c r="BL275" s="52"/>
      <c r="BM275" s="52"/>
      <c r="BN275" s="52"/>
      <c r="BO275" s="52"/>
    </row>
    <row r="276" spans="2:67" ht="14.25">
      <c r="B276" s="68"/>
      <c r="C276" s="68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52"/>
      <c r="AE276" s="52"/>
      <c r="AF276" s="52"/>
      <c r="AG276" s="52"/>
      <c r="AH276" s="52"/>
      <c r="AI276" s="52"/>
      <c r="AJ276" s="52"/>
      <c r="AK276" s="52"/>
      <c r="AL276" s="52"/>
      <c r="AM276" s="52"/>
      <c r="AN276" s="52"/>
      <c r="AO276" s="52"/>
      <c r="AP276" s="52"/>
      <c r="AQ276" s="52"/>
      <c r="AR276" s="52"/>
      <c r="AS276" s="52"/>
      <c r="AT276" s="52"/>
      <c r="AU276" s="52"/>
      <c r="AV276" s="52"/>
      <c r="AW276" s="52"/>
      <c r="AX276" s="52"/>
      <c r="AY276" s="52"/>
      <c r="AZ276" s="52"/>
      <c r="BA276" s="52"/>
      <c r="BB276" s="52"/>
      <c r="BC276" s="52"/>
      <c r="BD276" s="52"/>
      <c r="BE276" s="52"/>
      <c r="BF276" s="52"/>
      <c r="BG276" s="52"/>
      <c r="BH276" s="52"/>
      <c r="BI276" s="52"/>
      <c r="BJ276" s="52"/>
      <c r="BK276" s="52"/>
      <c r="BL276" s="52"/>
      <c r="BM276" s="52"/>
      <c r="BN276" s="52"/>
      <c r="BO276" s="52"/>
    </row>
    <row r="277" spans="2:67" ht="14.25">
      <c r="B277" s="68"/>
      <c r="C277" s="68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52"/>
      <c r="AE277" s="52"/>
      <c r="AF277" s="52"/>
      <c r="AG277" s="52"/>
      <c r="AH277" s="52"/>
      <c r="AI277" s="52"/>
      <c r="AJ277" s="52"/>
      <c r="AK277" s="52"/>
      <c r="AL277" s="52"/>
      <c r="AM277" s="52"/>
      <c r="AN277" s="52"/>
      <c r="AO277" s="52"/>
      <c r="AP277" s="52"/>
      <c r="AQ277" s="52"/>
      <c r="AR277" s="52"/>
      <c r="AS277" s="52"/>
      <c r="AT277" s="52"/>
      <c r="AU277" s="52"/>
      <c r="AV277" s="52"/>
      <c r="AW277" s="52"/>
      <c r="AX277" s="52"/>
      <c r="AY277" s="52"/>
      <c r="AZ277" s="52"/>
      <c r="BA277" s="52"/>
      <c r="BB277" s="52"/>
      <c r="BC277" s="52"/>
      <c r="BD277" s="52"/>
      <c r="BE277" s="52"/>
      <c r="BF277" s="52"/>
      <c r="BG277" s="52"/>
      <c r="BH277" s="52"/>
      <c r="BI277" s="52"/>
      <c r="BJ277" s="52"/>
      <c r="BK277" s="52"/>
      <c r="BL277" s="52"/>
      <c r="BM277" s="52"/>
      <c r="BN277" s="52"/>
      <c r="BO277" s="52"/>
    </row>
    <row r="278" spans="2:67" ht="14.25">
      <c r="B278" s="68"/>
      <c r="C278" s="68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52"/>
      <c r="AE278" s="52"/>
      <c r="AF278" s="52"/>
      <c r="AG278" s="52"/>
      <c r="AH278" s="52"/>
      <c r="AI278" s="52"/>
      <c r="AJ278" s="52"/>
      <c r="AK278" s="52"/>
      <c r="AL278" s="52"/>
      <c r="AM278" s="52"/>
      <c r="AN278" s="52"/>
      <c r="AO278" s="52"/>
      <c r="AP278" s="52"/>
      <c r="AQ278" s="52"/>
      <c r="AR278" s="52"/>
      <c r="AS278" s="52"/>
      <c r="AT278" s="52"/>
      <c r="AU278" s="52"/>
      <c r="AV278" s="52"/>
      <c r="AW278" s="52"/>
      <c r="AX278" s="52"/>
      <c r="AY278" s="52"/>
      <c r="AZ278" s="52"/>
      <c r="BA278" s="52"/>
      <c r="BB278" s="52"/>
      <c r="BC278" s="52"/>
      <c r="BD278" s="52"/>
      <c r="BE278" s="52"/>
      <c r="BF278" s="52"/>
      <c r="BG278" s="52"/>
      <c r="BH278" s="52"/>
      <c r="BI278" s="52"/>
      <c r="BJ278" s="52"/>
      <c r="BK278" s="52"/>
      <c r="BL278" s="52"/>
      <c r="BM278" s="52"/>
      <c r="BN278" s="52"/>
      <c r="BO278" s="52"/>
    </row>
    <row r="279" spans="2:67" ht="14.25">
      <c r="B279" s="68"/>
      <c r="C279" s="68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52"/>
      <c r="AE279" s="52"/>
      <c r="AF279" s="52"/>
      <c r="AG279" s="52"/>
      <c r="AH279" s="52"/>
      <c r="AI279" s="52"/>
      <c r="AJ279" s="52"/>
      <c r="AK279" s="52"/>
      <c r="AL279" s="52"/>
      <c r="AM279" s="52"/>
      <c r="AN279" s="52"/>
      <c r="AO279" s="52"/>
      <c r="AP279" s="52"/>
      <c r="AQ279" s="52"/>
      <c r="AR279" s="52"/>
      <c r="AS279" s="52"/>
      <c r="AT279" s="52"/>
      <c r="AU279" s="52"/>
      <c r="AV279" s="52"/>
      <c r="AW279" s="52"/>
      <c r="AX279" s="52"/>
      <c r="AY279" s="52"/>
      <c r="AZ279" s="52"/>
      <c r="BA279" s="52"/>
      <c r="BB279" s="52"/>
      <c r="BC279" s="52"/>
      <c r="BD279" s="52"/>
      <c r="BE279" s="52"/>
      <c r="BF279" s="52"/>
      <c r="BG279" s="52"/>
      <c r="BH279" s="52"/>
      <c r="BI279" s="52"/>
      <c r="BJ279" s="52"/>
      <c r="BK279" s="52"/>
      <c r="BL279" s="52"/>
      <c r="BM279" s="52"/>
      <c r="BN279" s="52"/>
      <c r="BO279" s="52"/>
    </row>
    <row r="280" spans="2:67" ht="14.25">
      <c r="B280" s="68"/>
      <c r="C280" s="68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52"/>
      <c r="AE280" s="52"/>
      <c r="AF280" s="52"/>
      <c r="AG280" s="52"/>
      <c r="AH280" s="52"/>
      <c r="AI280" s="52"/>
      <c r="AJ280" s="52"/>
      <c r="AK280" s="52"/>
      <c r="AL280" s="52"/>
      <c r="AM280" s="52"/>
      <c r="AN280" s="52"/>
      <c r="AO280" s="52"/>
      <c r="AP280" s="52"/>
      <c r="AQ280" s="52"/>
      <c r="AR280" s="52"/>
      <c r="AS280" s="52"/>
      <c r="AT280" s="52"/>
      <c r="AU280" s="52"/>
      <c r="AV280" s="52"/>
      <c r="AW280" s="52"/>
      <c r="AX280" s="52"/>
      <c r="AY280" s="52"/>
      <c r="AZ280" s="52"/>
      <c r="BA280" s="52"/>
      <c r="BB280" s="52"/>
      <c r="BC280" s="52"/>
      <c r="BD280" s="52"/>
      <c r="BE280" s="52"/>
      <c r="BF280" s="52"/>
      <c r="BG280" s="52"/>
      <c r="BH280" s="52"/>
      <c r="BI280" s="52"/>
      <c r="BJ280" s="52"/>
      <c r="BK280" s="52"/>
      <c r="BL280" s="52"/>
      <c r="BM280" s="52"/>
      <c r="BN280" s="52"/>
      <c r="BO280" s="52"/>
    </row>
    <row r="281" spans="2:67" ht="14.25">
      <c r="B281" s="68"/>
      <c r="C281" s="68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52"/>
      <c r="AE281" s="52"/>
      <c r="AF281" s="52"/>
      <c r="AG281" s="52"/>
      <c r="AH281" s="52"/>
      <c r="AI281" s="52"/>
      <c r="AJ281" s="52"/>
      <c r="AK281" s="52"/>
      <c r="AL281" s="52"/>
      <c r="AM281" s="52"/>
      <c r="AN281" s="52"/>
      <c r="AO281" s="52"/>
      <c r="AP281" s="52"/>
      <c r="AQ281" s="52"/>
      <c r="AR281" s="52"/>
      <c r="AS281" s="52"/>
      <c r="AT281" s="52"/>
      <c r="AU281" s="52"/>
      <c r="AV281" s="52"/>
      <c r="AW281" s="52"/>
      <c r="AX281" s="52"/>
      <c r="AY281" s="52"/>
      <c r="AZ281" s="52"/>
      <c r="BA281" s="52"/>
      <c r="BB281" s="52"/>
      <c r="BC281" s="52"/>
      <c r="BD281" s="52"/>
      <c r="BE281" s="52"/>
      <c r="BF281" s="52"/>
      <c r="BG281" s="52"/>
      <c r="BH281" s="52"/>
      <c r="BI281" s="52"/>
      <c r="BJ281" s="52"/>
      <c r="BK281" s="52"/>
      <c r="BL281" s="52"/>
      <c r="BM281" s="52"/>
      <c r="BN281" s="52"/>
      <c r="BO281" s="52"/>
    </row>
    <row r="282" spans="2:67" ht="14.25">
      <c r="B282" s="68"/>
      <c r="C282" s="68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52"/>
      <c r="AE282" s="52"/>
      <c r="AF282" s="52"/>
      <c r="AG282" s="52"/>
      <c r="AH282" s="52"/>
      <c r="AI282" s="52"/>
      <c r="AJ282" s="52"/>
      <c r="AK282" s="52"/>
      <c r="AL282" s="52"/>
      <c r="AM282" s="52"/>
      <c r="AN282" s="52"/>
      <c r="AO282" s="52"/>
      <c r="AP282" s="52"/>
      <c r="AQ282" s="52"/>
      <c r="AR282" s="52"/>
      <c r="AS282" s="52"/>
      <c r="AT282" s="52"/>
      <c r="AU282" s="52"/>
      <c r="AV282" s="52"/>
      <c r="AW282" s="52"/>
      <c r="AX282" s="52"/>
      <c r="AY282" s="52"/>
      <c r="AZ282" s="52"/>
      <c r="BA282" s="52"/>
      <c r="BB282" s="52"/>
      <c r="BC282" s="52"/>
      <c r="BD282" s="52"/>
      <c r="BE282" s="52"/>
      <c r="BF282" s="52"/>
      <c r="BG282" s="52"/>
      <c r="BH282" s="52"/>
      <c r="BI282" s="52"/>
      <c r="BJ282" s="52"/>
      <c r="BK282" s="52"/>
      <c r="BL282" s="52"/>
      <c r="BM282" s="52"/>
      <c r="BN282" s="52"/>
      <c r="BO282" s="52"/>
    </row>
    <row r="283" spans="2:67" ht="14.25">
      <c r="B283" s="68"/>
      <c r="C283" s="68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52"/>
      <c r="AE283" s="52"/>
      <c r="AF283" s="52"/>
      <c r="AG283" s="52"/>
      <c r="AH283" s="52"/>
      <c r="AI283" s="52"/>
      <c r="AJ283" s="52"/>
      <c r="AK283" s="52"/>
      <c r="AL283" s="52"/>
      <c r="AM283" s="52"/>
      <c r="AN283" s="52"/>
      <c r="AO283" s="52"/>
      <c r="AP283" s="52"/>
      <c r="AQ283" s="52"/>
      <c r="AR283" s="52"/>
      <c r="AS283" s="52"/>
      <c r="AT283" s="52"/>
      <c r="AU283" s="52"/>
      <c r="AV283" s="52"/>
      <c r="AW283" s="52"/>
      <c r="AX283" s="52"/>
      <c r="AY283" s="52"/>
      <c r="AZ283" s="52"/>
      <c r="BA283" s="52"/>
      <c r="BB283" s="52"/>
      <c r="BC283" s="52"/>
      <c r="BD283" s="52"/>
      <c r="BE283" s="52"/>
      <c r="BF283" s="52"/>
      <c r="BG283" s="52"/>
      <c r="BH283" s="52"/>
      <c r="BI283" s="52"/>
      <c r="BJ283" s="52"/>
      <c r="BK283" s="52"/>
      <c r="BL283" s="52"/>
      <c r="BM283" s="52"/>
      <c r="BN283" s="52"/>
      <c r="BO283" s="52"/>
    </row>
    <row r="284" spans="2:67" ht="14.25">
      <c r="B284" s="68"/>
      <c r="C284" s="68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52"/>
      <c r="AE284" s="52"/>
      <c r="AF284" s="52"/>
      <c r="AG284" s="52"/>
      <c r="AH284" s="52"/>
      <c r="AI284" s="52"/>
      <c r="AJ284" s="52"/>
      <c r="AK284" s="52"/>
      <c r="AL284" s="52"/>
      <c r="AM284" s="52"/>
      <c r="AN284" s="52"/>
      <c r="AO284" s="52"/>
      <c r="AP284" s="52"/>
      <c r="AQ284" s="52"/>
      <c r="AR284" s="52"/>
      <c r="AS284" s="52"/>
      <c r="AT284" s="52"/>
      <c r="AU284" s="52"/>
      <c r="AV284" s="52"/>
      <c r="AW284" s="52"/>
      <c r="AX284" s="52"/>
      <c r="AY284" s="52"/>
      <c r="AZ284" s="52"/>
      <c r="BA284" s="52"/>
      <c r="BB284" s="52"/>
      <c r="BC284" s="52"/>
      <c r="BD284" s="52"/>
      <c r="BE284" s="52"/>
      <c r="BF284" s="52"/>
      <c r="BG284" s="52"/>
      <c r="BH284" s="52"/>
      <c r="BI284" s="52"/>
      <c r="BJ284" s="52"/>
      <c r="BK284" s="52"/>
      <c r="BL284" s="52"/>
      <c r="BM284" s="52"/>
      <c r="BN284" s="52"/>
      <c r="BO284" s="52"/>
    </row>
    <row r="285" spans="2:67" ht="14.25">
      <c r="B285" s="68"/>
      <c r="C285" s="68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52"/>
      <c r="AE285" s="52"/>
      <c r="AF285" s="52"/>
      <c r="AG285" s="52"/>
      <c r="AH285" s="52"/>
      <c r="AI285" s="52"/>
      <c r="AJ285" s="52"/>
      <c r="AK285" s="52"/>
      <c r="AL285" s="52"/>
      <c r="AM285" s="52"/>
      <c r="AN285" s="52"/>
      <c r="AO285" s="52"/>
      <c r="AP285" s="52"/>
      <c r="AQ285" s="52"/>
      <c r="AR285" s="52"/>
      <c r="AS285" s="52"/>
      <c r="AT285" s="52"/>
      <c r="AU285" s="52"/>
      <c r="AV285" s="52"/>
      <c r="AW285" s="52"/>
      <c r="AX285" s="52"/>
      <c r="AY285" s="52"/>
      <c r="AZ285" s="52"/>
      <c r="BA285" s="52"/>
      <c r="BB285" s="52"/>
      <c r="BC285" s="52"/>
      <c r="BD285" s="52"/>
      <c r="BE285" s="52"/>
      <c r="BF285" s="52"/>
      <c r="BG285" s="52"/>
      <c r="BH285" s="52"/>
      <c r="BI285" s="52"/>
      <c r="BJ285" s="52"/>
      <c r="BK285" s="52"/>
      <c r="BL285" s="52"/>
      <c r="BM285" s="52"/>
      <c r="BN285" s="52"/>
      <c r="BO285" s="52"/>
    </row>
    <row r="286" spans="2:67" ht="14.25">
      <c r="B286" s="68"/>
      <c r="C286" s="68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52"/>
      <c r="AE286" s="52"/>
      <c r="AF286" s="52"/>
      <c r="AG286" s="52"/>
      <c r="AH286" s="52"/>
      <c r="AI286" s="52"/>
      <c r="AJ286" s="52"/>
      <c r="AK286" s="52"/>
      <c r="AL286" s="52"/>
      <c r="AM286" s="52"/>
      <c r="AN286" s="52"/>
      <c r="AO286" s="52"/>
      <c r="AP286" s="52"/>
      <c r="AQ286" s="52"/>
      <c r="AR286" s="52"/>
      <c r="AS286" s="52"/>
      <c r="AT286" s="52"/>
      <c r="AU286" s="52"/>
      <c r="AV286" s="52"/>
      <c r="AW286" s="52"/>
      <c r="AX286" s="52"/>
      <c r="AY286" s="52"/>
      <c r="AZ286" s="52"/>
      <c r="BA286" s="52"/>
      <c r="BB286" s="52"/>
      <c r="BC286" s="52"/>
      <c r="BD286" s="52"/>
      <c r="BE286" s="52"/>
      <c r="BF286" s="52"/>
      <c r="BG286" s="52"/>
      <c r="BH286" s="52"/>
      <c r="BI286" s="52"/>
      <c r="BJ286" s="52"/>
      <c r="BK286" s="52"/>
      <c r="BL286" s="52"/>
      <c r="BM286" s="52"/>
      <c r="BN286" s="52"/>
      <c r="BO286" s="52"/>
    </row>
    <row r="287" spans="2:67" ht="14.25">
      <c r="B287" s="68"/>
      <c r="C287" s="68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52"/>
      <c r="AE287" s="52"/>
      <c r="AF287" s="52"/>
      <c r="AG287" s="52"/>
      <c r="AH287" s="52"/>
      <c r="AI287" s="52"/>
      <c r="AJ287" s="52"/>
      <c r="AK287" s="52"/>
      <c r="AL287" s="52"/>
      <c r="AM287" s="52"/>
      <c r="AN287" s="52"/>
      <c r="AO287" s="52"/>
      <c r="AP287" s="52"/>
      <c r="AQ287" s="52"/>
      <c r="AR287" s="52"/>
      <c r="AS287" s="52"/>
      <c r="AT287" s="52"/>
      <c r="AU287" s="52"/>
      <c r="AV287" s="52"/>
      <c r="AW287" s="52"/>
      <c r="AX287" s="52"/>
      <c r="AY287" s="52"/>
      <c r="AZ287" s="52"/>
      <c r="BA287" s="52"/>
      <c r="BB287" s="52"/>
      <c r="BC287" s="52"/>
      <c r="BD287" s="52"/>
      <c r="BE287" s="52"/>
      <c r="BF287" s="52"/>
      <c r="BG287" s="52"/>
      <c r="BH287" s="52"/>
      <c r="BI287" s="52"/>
      <c r="BJ287" s="52"/>
      <c r="BK287" s="52"/>
      <c r="BL287" s="52"/>
      <c r="BM287" s="52"/>
      <c r="BN287" s="52"/>
      <c r="BO287" s="52"/>
    </row>
    <row r="288" spans="2:67" ht="14.25">
      <c r="B288" s="68"/>
      <c r="C288" s="68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52"/>
      <c r="AE288" s="52"/>
      <c r="AF288" s="52"/>
      <c r="AG288" s="52"/>
      <c r="AH288" s="52"/>
      <c r="AI288" s="52"/>
      <c r="AJ288" s="52"/>
      <c r="AK288" s="52"/>
      <c r="AL288" s="52"/>
      <c r="AM288" s="52"/>
      <c r="AN288" s="52"/>
      <c r="AO288" s="52"/>
      <c r="AP288" s="52"/>
      <c r="AQ288" s="52"/>
      <c r="AR288" s="52"/>
      <c r="AS288" s="52"/>
      <c r="AT288" s="52"/>
      <c r="AU288" s="52"/>
      <c r="AV288" s="52"/>
      <c r="AW288" s="52"/>
      <c r="AX288" s="52"/>
      <c r="AY288" s="52"/>
      <c r="AZ288" s="52"/>
      <c r="BA288" s="52"/>
      <c r="BB288" s="52"/>
      <c r="BC288" s="52"/>
      <c r="BD288" s="52"/>
      <c r="BE288" s="52"/>
      <c r="BF288" s="52"/>
      <c r="BG288" s="52"/>
      <c r="BH288" s="52"/>
      <c r="BI288" s="52"/>
      <c r="BJ288" s="52"/>
      <c r="BK288" s="52"/>
      <c r="BL288" s="52"/>
      <c r="BM288" s="52"/>
      <c r="BN288" s="52"/>
      <c r="BO288" s="52"/>
    </row>
    <row r="289" spans="2:85" ht="14.25">
      <c r="B289" s="68"/>
      <c r="C289" s="68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52"/>
      <c r="AE289" s="52"/>
      <c r="AF289" s="52"/>
      <c r="AG289" s="52"/>
      <c r="AH289" s="52"/>
      <c r="AI289" s="52"/>
      <c r="AJ289" s="52"/>
      <c r="AK289" s="52"/>
      <c r="AL289" s="52"/>
      <c r="AM289" s="52"/>
      <c r="AN289" s="52"/>
      <c r="AO289" s="52"/>
      <c r="AP289" s="52"/>
      <c r="AQ289" s="52"/>
      <c r="AR289" s="52"/>
      <c r="AS289" s="52"/>
      <c r="AT289" s="52"/>
      <c r="AU289" s="52"/>
      <c r="AV289" s="52"/>
      <c r="AW289" s="52"/>
      <c r="AX289" s="52"/>
      <c r="AY289" s="52"/>
      <c r="AZ289" s="52"/>
      <c r="BA289" s="52"/>
      <c r="BB289" s="52"/>
      <c r="BC289" s="52"/>
      <c r="BD289" s="52"/>
      <c r="BE289" s="52"/>
      <c r="BF289" s="52"/>
      <c r="BG289" s="52"/>
      <c r="BH289" s="52"/>
      <c r="BI289" s="52"/>
      <c r="BJ289" s="52"/>
      <c r="BK289" s="52"/>
      <c r="BL289" s="52"/>
      <c r="BM289" s="52"/>
      <c r="BN289" s="52"/>
      <c r="BO289" s="52"/>
    </row>
    <row r="290" spans="2:85" ht="14.25">
      <c r="B290" s="68"/>
      <c r="C290" s="68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52"/>
      <c r="AE290" s="52"/>
      <c r="AF290" s="52"/>
      <c r="AG290" s="52"/>
      <c r="AH290" s="52"/>
      <c r="AI290" s="52"/>
      <c r="AJ290" s="52"/>
      <c r="AK290" s="52"/>
      <c r="AL290" s="52"/>
      <c r="AM290" s="52"/>
      <c r="AN290" s="52"/>
      <c r="AO290" s="52"/>
      <c r="AP290" s="52"/>
      <c r="AQ290" s="52"/>
      <c r="AR290" s="52"/>
      <c r="AS290" s="52"/>
      <c r="AT290" s="52"/>
      <c r="AU290" s="52"/>
      <c r="AV290" s="52"/>
      <c r="AW290" s="52"/>
      <c r="AX290" s="52"/>
      <c r="AY290" s="52"/>
      <c r="AZ290" s="52"/>
      <c r="BA290" s="52"/>
      <c r="BB290" s="52"/>
      <c r="BC290" s="52"/>
      <c r="BD290" s="52"/>
      <c r="BE290" s="52"/>
      <c r="BF290" s="52"/>
      <c r="BG290" s="52"/>
      <c r="BH290" s="52"/>
      <c r="BI290" s="52"/>
      <c r="BJ290" s="52"/>
      <c r="BK290" s="52"/>
      <c r="BL290" s="52"/>
      <c r="BM290" s="52"/>
      <c r="BN290" s="52"/>
      <c r="BO290" s="52"/>
    </row>
    <row r="291" spans="2:85" ht="14.25">
      <c r="B291" s="68"/>
      <c r="C291" s="68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52"/>
      <c r="AE291" s="52"/>
      <c r="AF291" s="52"/>
      <c r="AG291" s="52"/>
      <c r="AH291" s="52"/>
      <c r="AI291" s="52"/>
      <c r="AJ291" s="52"/>
      <c r="AK291" s="52"/>
      <c r="AL291" s="52"/>
      <c r="AM291" s="52"/>
      <c r="AN291" s="52"/>
      <c r="AO291" s="52"/>
      <c r="AP291" s="52"/>
      <c r="AQ291" s="52"/>
      <c r="AR291" s="52"/>
      <c r="AS291" s="52"/>
      <c r="AT291" s="52"/>
      <c r="AU291" s="52"/>
      <c r="AV291" s="52"/>
      <c r="AW291" s="52"/>
      <c r="AX291" s="52"/>
      <c r="AY291" s="52"/>
      <c r="AZ291" s="52"/>
      <c r="BA291" s="52"/>
      <c r="BB291" s="52"/>
      <c r="BC291" s="52"/>
      <c r="BD291" s="52"/>
      <c r="BE291" s="52"/>
      <c r="BF291" s="52"/>
      <c r="BG291" s="52"/>
      <c r="BH291" s="52"/>
      <c r="BI291" s="52"/>
      <c r="BJ291" s="52"/>
      <c r="BK291" s="52"/>
      <c r="BL291" s="52"/>
      <c r="BM291" s="52"/>
      <c r="BN291" s="52"/>
      <c r="BO291" s="52"/>
    </row>
    <row r="292" spans="2:85" ht="14.25">
      <c r="B292" s="68"/>
      <c r="C292" s="68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52"/>
      <c r="AE292" s="52"/>
      <c r="AF292" s="52"/>
      <c r="AG292" s="52"/>
      <c r="AH292" s="52"/>
      <c r="AI292" s="52"/>
      <c r="AJ292" s="52"/>
      <c r="AK292" s="52"/>
      <c r="AL292" s="52"/>
      <c r="AM292" s="52"/>
      <c r="AN292" s="52"/>
      <c r="AO292" s="52"/>
      <c r="AP292" s="52"/>
      <c r="AQ292" s="52"/>
      <c r="AR292" s="52"/>
      <c r="AS292" s="52"/>
      <c r="AT292" s="52"/>
      <c r="AU292" s="52"/>
      <c r="AV292" s="52"/>
      <c r="AW292" s="52"/>
      <c r="AX292" s="52"/>
      <c r="AY292" s="52"/>
      <c r="AZ292" s="52"/>
      <c r="BA292" s="52"/>
      <c r="BB292" s="52"/>
      <c r="BC292" s="52"/>
      <c r="BD292" s="52"/>
      <c r="BE292" s="52"/>
      <c r="BF292" s="52"/>
      <c r="BG292" s="52"/>
      <c r="BH292" s="52"/>
      <c r="BI292" s="52"/>
      <c r="BJ292" s="52"/>
      <c r="BK292" s="52"/>
      <c r="BL292" s="52"/>
      <c r="BM292" s="52"/>
      <c r="BN292" s="52"/>
      <c r="BO292" s="52"/>
    </row>
    <row r="293" spans="2:85" ht="14.25">
      <c r="B293" s="68"/>
      <c r="C293" s="68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52"/>
      <c r="AE293" s="52"/>
      <c r="AF293" s="52"/>
      <c r="AG293" s="52"/>
      <c r="AH293" s="52"/>
      <c r="AI293" s="52"/>
      <c r="AJ293" s="52"/>
      <c r="AK293" s="52"/>
      <c r="AL293" s="52"/>
      <c r="AM293" s="52"/>
      <c r="AN293" s="52"/>
      <c r="AO293" s="52"/>
      <c r="AP293" s="52"/>
      <c r="AQ293" s="52"/>
      <c r="AR293" s="52"/>
      <c r="AS293" s="52"/>
      <c r="AT293" s="52"/>
      <c r="AU293" s="52"/>
      <c r="AV293" s="52"/>
      <c r="AW293" s="52"/>
      <c r="AX293" s="52"/>
      <c r="AY293" s="52"/>
      <c r="AZ293" s="52"/>
      <c r="BA293" s="52"/>
      <c r="BB293" s="52"/>
      <c r="BC293" s="52"/>
      <c r="BD293" s="52"/>
      <c r="BE293" s="52"/>
      <c r="BF293" s="52"/>
      <c r="BG293" s="52"/>
      <c r="BH293" s="52"/>
      <c r="BI293" s="52"/>
      <c r="BJ293" s="52"/>
      <c r="BK293" s="52"/>
      <c r="BL293" s="52"/>
      <c r="BM293" s="52"/>
      <c r="BN293" s="52"/>
      <c r="BO293" s="52"/>
    </row>
    <row r="294" spans="2:85" ht="14.25">
      <c r="B294" s="68"/>
      <c r="C294" s="68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52"/>
      <c r="AE294" s="52"/>
      <c r="AF294" s="52"/>
      <c r="AG294" s="52"/>
      <c r="AH294" s="52"/>
      <c r="AI294" s="52"/>
      <c r="AJ294" s="52"/>
      <c r="AK294" s="52"/>
      <c r="AL294" s="52"/>
      <c r="AM294" s="52"/>
      <c r="AN294" s="52"/>
      <c r="AO294" s="52"/>
      <c r="AP294" s="52"/>
      <c r="AQ294" s="52"/>
      <c r="AR294" s="52"/>
      <c r="AS294" s="52"/>
      <c r="AT294" s="52"/>
      <c r="AU294" s="52"/>
      <c r="AV294" s="52"/>
      <c r="AW294" s="52"/>
      <c r="AX294" s="52"/>
      <c r="AY294" s="52"/>
      <c r="AZ294" s="52"/>
      <c r="BA294" s="52"/>
      <c r="BB294" s="52"/>
      <c r="BC294" s="52"/>
      <c r="BD294" s="52"/>
      <c r="BE294" s="52"/>
      <c r="BF294" s="52"/>
      <c r="BG294" s="52"/>
      <c r="BH294" s="52"/>
      <c r="BI294" s="52"/>
      <c r="BJ294" s="52"/>
      <c r="BK294" s="52"/>
      <c r="BL294" s="52"/>
      <c r="BM294" s="52"/>
      <c r="BN294" s="52"/>
      <c r="BO294" s="52"/>
    </row>
    <row r="295" spans="2:85" ht="14.25">
      <c r="B295" s="68"/>
      <c r="C295" s="68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52"/>
      <c r="AE295" s="52"/>
      <c r="AF295" s="52"/>
      <c r="AG295" s="52"/>
      <c r="AH295" s="52"/>
      <c r="AI295" s="52"/>
      <c r="AJ295" s="52"/>
      <c r="AK295" s="52"/>
      <c r="AL295" s="52"/>
      <c r="AM295" s="52"/>
      <c r="AN295" s="52"/>
      <c r="AO295" s="52"/>
      <c r="AP295" s="52"/>
      <c r="AQ295" s="52"/>
      <c r="AR295" s="52"/>
      <c r="AS295" s="52"/>
      <c r="AT295" s="52"/>
      <c r="AU295" s="52"/>
      <c r="AV295" s="52"/>
      <c r="AW295" s="52"/>
      <c r="AX295" s="52"/>
      <c r="AY295" s="52"/>
      <c r="AZ295" s="52"/>
      <c r="BA295" s="52"/>
      <c r="BB295" s="52"/>
      <c r="BC295" s="52"/>
      <c r="BD295" s="52"/>
      <c r="BE295" s="52"/>
      <c r="BF295" s="52"/>
      <c r="BG295" s="52"/>
      <c r="BH295" s="52"/>
      <c r="BI295" s="52"/>
      <c r="BJ295" s="52"/>
      <c r="BK295" s="52"/>
      <c r="BL295" s="52"/>
      <c r="BM295" s="52"/>
      <c r="BN295" s="52"/>
      <c r="BO295" s="52"/>
    </row>
    <row r="296" spans="2:85" ht="14.25">
      <c r="B296" s="68"/>
      <c r="C296" s="68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52"/>
      <c r="AE296" s="52"/>
      <c r="AF296" s="52"/>
      <c r="AG296" s="52"/>
      <c r="AH296" s="52"/>
      <c r="AI296" s="52"/>
      <c r="AJ296" s="52"/>
      <c r="AK296" s="52"/>
      <c r="AL296" s="52"/>
      <c r="AM296" s="52"/>
      <c r="AN296" s="52"/>
      <c r="AO296" s="52"/>
      <c r="AP296" s="52"/>
      <c r="AQ296" s="52"/>
      <c r="AR296" s="52"/>
      <c r="AS296" s="52"/>
      <c r="AT296" s="52"/>
      <c r="AU296" s="52"/>
      <c r="AV296" s="52"/>
      <c r="AW296" s="52"/>
      <c r="AX296" s="52"/>
      <c r="AY296" s="52"/>
      <c r="AZ296" s="52"/>
      <c r="BA296" s="52"/>
      <c r="BB296" s="52"/>
      <c r="BC296" s="52"/>
      <c r="BD296" s="52"/>
      <c r="BE296" s="52"/>
      <c r="BF296" s="52"/>
      <c r="BG296" s="52"/>
      <c r="BH296" s="52"/>
      <c r="BI296" s="52"/>
      <c r="BJ296" s="52"/>
      <c r="BK296" s="52"/>
      <c r="BL296" s="52"/>
      <c r="BM296" s="52"/>
      <c r="BN296" s="52"/>
      <c r="BO296" s="52"/>
    </row>
    <row r="297" spans="2:85" ht="14.25">
      <c r="B297" s="90"/>
      <c r="C297" s="90"/>
      <c r="D297" s="91"/>
      <c r="E297" s="91"/>
      <c r="F297" s="91"/>
      <c r="G297" s="91"/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  <c r="X297" s="91"/>
      <c r="Y297" s="91"/>
      <c r="Z297" s="91"/>
      <c r="AA297" s="91"/>
      <c r="AB297" s="91"/>
      <c r="AC297" s="91"/>
      <c r="AD297" s="91"/>
      <c r="AE297" s="91"/>
      <c r="AF297" s="91"/>
      <c r="AG297" s="91"/>
      <c r="AH297" s="91"/>
      <c r="AI297" s="91"/>
      <c r="AJ297" s="91"/>
      <c r="AK297" s="91"/>
      <c r="AL297" s="91"/>
      <c r="AM297" s="91"/>
      <c r="AN297" s="91"/>
      <c r="AO297" s="91"/>
      <c r="AP297" s="91"/>
      <c r="AQ297" s="91"/>
      <c r="AR297" s="91"/>
      <c r="AS297" s="91"/>
      <c r="AT297" s="91"/>
      <c r="AU297" s="91"/>
      <c r="AV297" s="91"/>
      <c r="AW297" s="91"/>
      <c r="AX297" s="91"/>
      <c r="AY297" s="91"/>
      <c r="AZ297" s="91"/>
      <c r="BA297" s="91"/>
      <c r="BB297" s="91"/>
      <c r="BC297" s="91"/>
      <c r="BD297" s="91"/>
      <c r="BE297" s="91"/>
      <c r="BF297" s="91"/>
      <c r="BG297" s="91"/>
      <c r="BH297" s="91"/>
      <c r="BI297" s="91"/>
      <c r="BJ297" s="91"/>
      <c r="BK297" s="91"/>
      <c r="BL297" s="91"/>
      <c r="BM297" s="91"/>
      <c r="BN297" s="91"/>
      <c r="BO297" s="91"/>
    </row>
    <row r="298" spans="2:85" ht="14.25">
      <c r="B298" s="90"/>
      <c r="C298" s="90"/>
      <c r="D298" s="91"/>
      <c r="E298" s="91"/>
      <c r="F298" s="91"/>
      <c r="G298" s="91"/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  <c r="X298" s="91"/>
      <c r="Y298" s="91"/>
      <c r="Z298" s="91"/>
      <c r="AA298" s="91"/>
      <c r="AB298" s="91"/>
      <c r="AC298" s="91"/>
      <c r="AD298" s="91"/>
      <c r="AE298" s="91"/>
      <c r="AF298" s="91"/>
      <c r="AG298" s="91"/>
      <c r="AH298" s="91"/>
      <c r="AI298" s="91"/>
      <c r="AJ298" s="91"/>
      <c r="AK298" s="91"/>
      <c r="AL298" s="91"/>
      <c r="AM298" s="91"/>
      <c r="AN298" s="91"/>
      <c r="AO298" s="91"/>
      <c r="AP298" s="91"/>
      <c r="AQ298" s="91"/>
      <c r="AR298" s="91"/>
      <c r="AS298" s="91"/>
      <c r="AT298" s="91"/>
      <c r="AU298" s="91"/>
      <c r="AV298" s="91"/>
      <c r="AW298" s="91"/>
      <c r="AX298" s="91"/>
      <c r="AY298" s="91"/>
      <c r="AZ298" s="91"/>
      <c r="BA298" s="91"/>
      <c r="BB298" s="91"/>
      <c r="BC298" s="91"/>
      <c r="BD298" s="91"/>
      <c r="BE298" s="91"/>
      <c r="BF298" s="91"/>
      <c r="BG298" s="91"/>
      <c r="BH298" s="91"/>
      <c r="BI298" s="91"/>
      <c r="BJ298" s="91"/>
      <c r="BK298" s="91"/>
      <c r="BL298" s="91"/>
      <c r="BM298" s="91"/>
      <c r="BN298" s="91"/>
      <c r="BO298" s="91"/>
    </row>
    <row r="300" spans="2:85" ht="14.25">
      <c r="B300" s="90" t="s">
        <v>72</v>
      </c>
      <c r="C300" s="90"/>
      <c r="D300" s="92" t="e">
        <f t="shared" ref="D300:AU300" si="791">VLOOKUP(D299,ValidDateTable,4,FALSE)</f>
        <v>#NAME?</v>
      </c>
      <c r="E300" s="92" t="e">
        <f t="shared" si="791"/>
        <v>#NAME?</v>
      </c>
      <c r="F300" s="92" t="e">
        <f t="shared" si="791"/>
        <v>#NAME?</v>
      </c>
      <c r="G300" s="92" t="e">
        <f t="shared" si="791"/>
        <v>#NAME?</v>
      </c>
      <c r="H300" s="92" t="e">
        <f t="shared" si="791"/>
        <v>#NAME?</v>
      </c>
      <c r="I300" s="92" t="e">
        <f t="shared" si="791"/>
        <v>#NAME?</v>
      </c>
      <c r="J300" s="92" t="e">
        <f t="shared" si="791"/>
        <v>#NAME?</v>
      </c>
      <c r="K300" s="92" t="e">
        <f t="shared" si="791"/>
        <v>#NAME?</v>
      </c>
      <c r="L300" s="92" t="e">
        <f t="shared" si="791"/>
        <v>#NAME?</v>
      </c>
      <c r="M300" s="92" t="e">
        <f t="shared" si="791"/>
        <v>#NAME?</v>
      </c>
      <c r="N300" s="92" t="e">
        <f t="shared" si="791"/>
        <v>#NAME?</v>
      </c>
      <c r="O300" s="92" t="e">
        <f t="shared" si="791"/>
        <v>#NAME?</v>
      </c>
      <c r="P300" s="92" t="e">
        <f t="shared" si="791"/>
        <v>#NAME?</v>
      </c>
      <c r="Q300" s="92" t="e">
        <f t="shared" si="791"/>
        <v>#NAME?</v>
      </c>
      <c r="R300" s="92" t="e">
        <f t="shared" si="791"/>
        <v>#NAME?</v>
      </c>
      <c r="S300" s="92" t="e">
        <f t="shared" si="791"/>
        <v>#NAME?</v>
      </c>
      <c r="T300" s="92" t="e">
        <f t="shared" si="791"/>
        <v>#NAME?</v>
      </c>
      <c r="U300" s="92" t="e">
        <f t="shared" si="791"/>
        <v>#NAME?</v>
      </c>
      <c r="V300" s="92" t="e">
        <f t="shared" si="791"/>
        <v>#NAME?</v>
      </c>
      <c r="W300" s="92" t="e">
        <f t="shared" si="791"/>
        <v>#NAME?</v>
      </c>
      <c r="X300" s="92" t="e">
        <f t="shared" si="791"/>
        <v>#NAME?</v>
      </c>
      <c r="Y300" s="92" t="e">
        <f t="shared" si="791"/>
        <v>#NAME?</v>
      </c>
      <c r="Z300" s="92" t="e">
        <f t="shared" si="791"/>
        <v>#NAME?</v>
      </c>
      <c r="AA300" s="92" t="e">
        <f t="shared" si="791"/>
        <v>#NAME?</v>
      </c>
      <c r="AB300" s="92" t="e">
        <f t="shared" si="791"/>
        <v>#NAME?</v>
      </c>
      <c r="AC300" s="92" t="e">
        <f t="shared" si="791"/>
        <v>#NAME?</v>
      </c>
      <c r="AD300" s="92" t="e">
        <f t="shared" si="791"/>
        <v>#NAME?</v>
      </c>
      <c r="AE300" s="94" t="e">
        <f t="shared" si="791"/>
        <v>#NAME?</v>
      </c>
      <c r="AF300" s="92" t="e">
        <f t="shared" si="791"/>
        <v>#NAME?</v>
      </c>
      <c r="AG300" s="92" t="e">
        <f t="shared" si="791"/>
        <v>#NAME?</v>
      </c>
      <c r="AH300" s="92" t="e">
        <f t="shared" si="791"/>
        <v>#NAME?</v>
      </c>
      <c r="AI300" s="94" t="e">
        <f t="shared" si="791"/>
        <v>#NAME?</v>
      </c>
      <c r="AJ300" s="92" t="e">
        <f t="shared" si="791"/>
        <v>#NAME?</v>
      </c>
      <c r="AK300" s="92" t="e">
        <f t="shared" si="791"/>
        <v>#NAME?</v>
      </c>
      <c r="AL300" s="92" t="e">
        <f t="shared" si="791"/>
        <v>#NAME?</v>
      </c>
      <c r="AM300" s="94" t="e">
        <f t="shared" si="791"/>
        <v>#NAME?</v>
      </c>
      <c r="AN300" s="92" t="e">
        <f t="shared" si="791"/>
        <v>#NAME?</v>
      </c>
      <c r="AO300" s="92" t="e">
        <f t="shared" si="791"/>
        <v>#NAME?</v>
      </c>
      <c r="AP300" s="92" t="s">
        <v>205</v>
      </c>
      <c r="AQ300" s="94" t="e">
        <f t="shared" si="791"/>
        <v>#NAME?</v>
      </c>
      <c r="AR300" s="92" t="e">
        <f t="shared" si="791"/>
        <v>#NAME?</v>
      </c>
      <c r="AS300" s="92" t="e">
        <f t="shared" si="791"/>
        <v>#NAME?</v>
      </c>
      <c r="AT300" s="92" t="e">
        <f t="shared" si="791"/>
        <v>#NAME?</v>
      </c>
      <c r="AU300" s="94" t="e">
        <f t="shared" si="791"/>
        <v>#NAME?</v>
      </c>
      <c r="AV300" s="92" t="e">
        <f t="shared" ref="AV300:BC300" si="792">VLOOKUP(AV299,ValidDateTable,4,FALSE)</f>
        <v>#NAME?</v>
      </c>
      <c r="AW300" s="92" t="e">
        <f t="shared" si="792"/>
        <v>#NAME?</v>
      </c>
      <c r="AX300" s="92" t="e">
        <f t="shared" si="792"/>
        <v>#NAME?</v>
      </c>
      <c r="AY300" s="94" t="e">
        <f t="shared" si="792"/>
        <v>#NAME?</v>
      </c>
      <c r="AZ300" s="92" t="e">
        <f t="shared" si="792"/>
        <v>#NAME?</v>
      </c>
      <c r="BA300" s="92" t="e">
        <f t="shared" si="792"/>
        <v>#NAME?</v>
      </c>
      <c r="BB300" s="92" t="e">
        <f t="shared" si="792"/>
        <v>#NAME?</v>
      </c>
      <c r="BC300" s="94" t="e">
        <f t="shared" si="792"/>
        <v>#NAME?</v>
      </c>
      <c r="BD300" s="92" t="e">
        <f t="shared" ref="BD300:BG300" si="793">VLOOKUP(BD299,ValidDateTable,4,FALSE)</f>
        <v>#NAME?</v>
      </c>
      <c r="BE300" s="92" t="e">
        <f t="shared" si="793"/>
        <v>#NAME?</v>
      </c>
      <c r="BF300" s="92" t="e">
        <f t="shared" si="793"/>
        <v>#NAME?</v>
      </c>
      <c r="BG300" s="94" t="e">
        <f t="shared" si="793"/>
        <v>#NAME?</v>
      </c>
      <c r="BH300" s="92" t="e">
        <f t="shared" ref="BH300:BK300" si="794">VLOOKUP(BH299,ValidDateTable,4,FALSE)</f>
        <v>#NAME?</v>
      </c>
      <c r="BI300" s="92" t="e">
        <f t="shared" si="794"/>
        <v>#NAME?</v>
      </c>
      <c r="BJ300" s="92" t="e">
        <f t="shared" si="794"/>
        <v>#NAME?</v>
      </c>
      <c r="BK300" s="94" t="e">
        <f t="shared" si="794"/>
        <v>#NAME?</v>
      </c>
      <c r="BL300" s="92" t="e">
        <f t="shared" ref="BL300:BO300" si="795">VLOOKUP(BL299,ValidDateTable,4,FALSE)</f>
        <v>#NAME?</v>
      </c>
      <c r="BM300" s="92" t="e">
        <f t="shared" si="795"/>
        <v>#NAME?</v>
      </c>
      <c r="BN300" s="92" t="e">
        <f t="shared" si="795"/>
        <v>#NAME?</v>
      </c>
      <c r="BO300" s="94" t="e">
        <f t="shared" si="795"/>
        <v>#NAME?</v>
      </c>
      <c r="BP300" s="94"/>
      <c r="BQ300" s="94" t="e">
        <f t="shared" ref="BQ300:CF300" si="796">VLOOKUP(BQ299,ValidDateTable,4,FALSE)</f>
        <v>#NAME?</v>
      </c>
      <c r="BR300" s="94" t="e">
        <f t="shared" si="796"/>
        <v>#NAME?</v>
      </c>
      <c r="BS300" s="94" t="e">
        <f t="shared" si="796"/>
        <v>#NAME?</v>
      </c>
      <c r="BT300" s="94" t="e">
        <f t="shared" si="796"/>
        <v>#NAME?</v>
      </c>
      <c r="BU300" s="94" t="e">
        <f t="shared" si="796"/>
        <v>#NAME?</v>
      </c>
      <c r="BV300" s="94" t="e">
        <f t="shared" si="796"/>
        <v>#NAME?</v>
      </c>
      <c r="BW300" s="94" t="e">
        <f t="shared" si="796"/>
        <v>#NAME?</v>
      </c>
      <c r="BX300" s="94" t="e">
        <f t="shared" si="796"/>
        <v>#NAME?</v>
      </c>
      <c r="BY300" s="94" t="e">
        <f t="shared" si="796"/>
        <v>#NAME?</v>
      </c>
      <c r="BZ300" s="94" t="e">
        <f t="shared" si="796"/>
        <v>#NAME?</v>
      </c>
      <c r="CA300" s="94" t="e">
        <f t="shared" si="796"/>
        <v>#NAME?</v>
      </c>
      <c r="CB300" s="94" t="e">
        <f>VLOOKUP(CB299,ValidDateTable,4,FALSE)</f>
        <v>#NAME?</v>
      </c>
      <c r="CC300" s="94" t="e">
        <f t="shared" si="796"/>
        <v>#NAME?</v>
      </c>
      <c r="CD300" s="94" t="e">
        <f t="shared" si="796"/>
        <v>#NAME?</v>
      </c>
      <c r="CE300" s="94" t="e">
        <f t="shared" ref="CE300" si="797">VLOOKUP(CE299,ValidDateTable,4,FALSE)</f>
        <v>#NAME?</v>
      </c>
      <c r="CF300" s="94" t="e">
        <f t="shared" si="796"/>
        <v>#NAME?</v>
      </c>
      <c r="CG300" s="94" t="e">
        <f t="shared" ref="CG300" si="798">VLOOKUP(CG299,ValidDateTable,4,FALSE)</f>
        <v>#NAME?</v>
      </c>
    </row>
    <row r="301" spans="2:85" ht="14.25">
      <c r="B301" s="90" t="s">
        <v>73</v>
      </c>
      <c r="C301" s="90"/>
      <c r="D301" s="93">
        <v>2005</v>
      </c>
      <c r="E301" s="93">
        <v>2005</v>
      </c>
      <c r="F301" s="93">
        <v>2005</v>
      </c>
      <c r="G301" s="93">
        <v>2005</v>
      </c>
      <c r="H301" s="93">
        <v>2006</v>
      </c>
      <c r="I301" s="93">
        <v>2006</v>
      </c>
      <c r="J301" s="93">
        <v>2006</v>
      </c>
      <c r="K301" s="93">
        <v>2006</v>
      </c>
      <c r="L301" s="93">
        <v>2007</v>
      </c>
      <c r="M301" s="93">
        <v>2007</v>
      </c>
      <c r="N301" s="93">
        <v>2007</v>
      </c>
      <c r="O301" s="93">
        <v>2007</v>
      </c>
      <c r="P301" s="93">
        <v>2008</v>
      </c>
      <c r="Q301" s="93">
        <v>2008</v>
      </c>
      <c r="R301" s="93">
        <v>2008</v>
      </c>
      <c r="S301" s="93">
        <v>2008</v>
      </c>
      <c r="T301" s="93">
        <v>2009</v>
      </c>
      <c r="U301" s="93">
        <v>2009</v>
      </c>
      <c r="V301" s="93">
        <v>2009</v>
      </c>
      <c r="W301" s="93">
        <v>2009</v>
      </c>
      <c r="X301" s="93">
        <v>2010</v>
      </c>
      <c r="Y301" s="93">
        <v>2010</v>
      </c>
      <c r="Z301" s="93">
        <v>2010</v>
      </c>
      <c r="AA301" s="93">
        <v>2010</v>
      </c>
      <c r="AB301" s="93">
        <v>2011</v>
      </c>
      <c r="AC301" s="93">
        <v>2011</v>
      </c>
      <c r="AD301" s="93">
        <v>2011</v>
      </c>
      <c r="AE301" s="93">
        <v>2011</v>
      </c>
      <c r="AF301" s="93">
        <v>2012</v>
      </c>
      <c r="AG301" s="93">
        <v>2012</v>
      </c>
      <c r="AH301" s="93">
        <v>2012</v>
      </c>
      <c r="AI301" s="93">
        <v>2012</v>
      </c>
      <c r="AJ301" s="93">
        <v>2013</v>
      </c>
      <c r="AK301" s="93">
        <v>2013</v>
      </c>
      <c r="AL301" s="93">
        <v>2013</v>
      </c>
      <c r="AM301" s="93">
        <v>2013</v>
      </c>
      <c r="AN301" s="93">
        <v>2014</v>
      </c>
      <c r="AO301" s="93">
        <v>2014</v>
      </c>
      <c r="AP301" s="93">
        <v>2014</v>
      </c>
      <c r="AQ301" s="93">
        <v>2014</v>
      </c>
      <c r="AR301" s="93">
        <v>2015</v>
      </c>
      <c r="AS301" s="93">
        <v>2015</v>
      </c>
      <c r="AT301" s="93">
        <v>2015</v>
      </c>
      <c r="AU301" s="93">
        <v>2015</v>
      </c>
      <c r="AV301" s="93">
        <v>2016</v>
      </c>
      <c r="AW301" s="93">
        <v>2016</v>
      </c>
      <c r="AX301" s="93">
        <v>2016</v>
      </c>
      <c r="AY301" s="93">
        <v>2016</v>
      </c>
      <c r="AZ301" s="93">
        <v>2017</v>
      </c>
      <c r="BA301" s="93">
        <v>2017</v>
      </c>
      <c r="BB301" s="93">
        <v>2017</v>
      </c>
      <c r="BC301" s="93">
        <v>2017</v>
      </c>
      <c r="BD301" s="93">
        <v>2018</v>
      </c>
      <c r="BE301" s="93">
        <v>2018</v>
      </c>
      <c r="BF301" s="93">
        <v>2018</v>
      </c>
      <c r="BG301" s="93">
        <v>2018</v>
      </c>
      <c r="BH301" s="93">
        <v>2019</v>
      </c>
      <c r="BI301" s="93">
        <v>2019</v>
      </c>
      <c r="BJ301" s="93">
        <v>2019</v>
      </c>
      <c r="BK301" s="93">
        <v>2019</v>
      </c>
      <c r="BL301" s="93">
        <v>2020</v>
      </c>
      <c r="BM301" s="93">
        <v>2020</v>
      </c>
      <c r="BN301" s="93">
        <v>2020</v>
      </c>
      <c r="BO301" s="93">
        <v>2020</v>
      </c>
      <c r="BP301" s="93"/>
      <c r="BQ301" s="93"/>
      <c r="BR301" s="93"/>
      <c r="BS301" s="93"/>
      <c r="BT301" s="93"/>
      <c r="BU301" s="93"/>
      <c r="BV301" s="93"/>
      <c r="BW301" s="93"/>
      <c r="BX301" s="93"/>
      <c r="BY301" s="93"/>
      <c r="BZ301" s="93"/>
      <c r="CA301" s="93"/>
      <c r="CB301" s="93"/>
      <c r="CC301" s="93"/>
      <c r="CD301" s="93"/>
      <c r="CE301" s="93"/>
      <c r="CF301" s="93"/>
      <c r="CG301" s="93"/>
    </row>
    <row r="302" spans="2:85" ht="14.25">
      <c r="B302" s="90" t="s">
        <v>74</v>
      </c>
      <c r="C302" s="90"/>
      <c r="D302" s="94" t="e">
        <f>VALUE(RIGHT(D299,1))</f>
        <v>#VALUE!</v>
      </c>
      <c r="E302" s="94" t="str">
        <f>RIGHT(E299,1)</f>
        <v/>
      </c>
      <c r="F302" s="92" t="str">
        <f>RIGHT(F299,1)</f>
        <v/>
      </c>
      <c r="G302" s="92" t="str">
        <f>RIGHT(G299,1)</f>
        <v/>
      </c>
      <c r="H302" s="94" t="e">
        <f>VALUE(RIGHT(H299,1))</f>
        <v>#VALUE!</v>
      </c>
      <c r="I302" s="94" t="str">
        <f>RIGHT(I299,1)</f>
        <v/>
      </c>
      <c r="J302" s="92" t="str">
        <f>RIGHT(J299,1)</f>
        <v/>
      </c>
      <c r="K302" s="92" t="str">
        <f>RIGHT(K299,1)</f>
        <v/>
      </c>
      <c r="L302" s="94" t="e">
        <f>VALUE(RIGHT(L299,1))</f>
        <v>#VALUE!</v>
      </c>
      <c r="M302" s="94" t="str">
        <f>RIGHT(M299,1)</f>
        <v/>
      </c>
      <c r="N302" s="92" t="str">
        <f>RIGHT(N299,1)</f>
        <v/>
      </c>
      <c r="O302" s="92" t="str">
        <f>RIGHT(O299,1)</f>
        <v/>
      </c>
      <c r="P302" s="94" t="e">
        <f>VALUE(RIGHT(P299,1))</f>
        <v>#VALUE!</v>
      </c>
      <c r="Q302" s="94" t="str">
        <f>RIGHT(Q299,1)</f>
        <v/>
      </c>
      <c r="R302" s="92" t="str">
        <f>RIGHT(R299,1)</f>
        <v/>
      </c>
      <c r="S302" s="92" t="str">
        <f>RIGHT(S299,1)</f>
        <v/>
      </c>
      <c r="T302" s="94" t="e">
        <f>VALUE(RIGHT(T299,1))</f>
        <v>#VALUE!</v>
      </c>
      <c r="U302" s="94" t="str">
        <f>RIGHT(U299,1)</f>
        <v/>
      </c>
      <c r="V302" s="92" t="str">
        <f>RIGHT(V299,1)</f>
        <v/>
      </c>
      <c r="W302" s="92" t="str">
        <f>RIGHT(W299,1)</f>
        <v/>
      </c>
      <c r="X302" s="94" t="e">
        <f>VALUE(RIGHT(X299,1))</f>
        <v>#VALUE!</v>
      </c>
      <c r="Y302" s="94" t="str">
        <f>RIGHT(Y299,1)</f>
        <v/>
      </c>
      <c r="Z302" s="92" t="str">
        <f>RIGHT(Z299,1)</f>
        <v/>
      </c>
      <c r="AA302" s="92" t="str">
        <f>RIGHT(AA299,1)</f>
        <v/>
      </c>
      <c r="AB302" s="94" t="e">
        <f>VALUE(RIGHT(AB299,1))</f>
        <v>#VALUE!</v>
      </c>
      <c r="AC302" s="94" t="str">
        <f>RIGHT(AC299,1)</f>
        <v/>
      </c>
      <c r="AD302" s="92" t="str">
        <f>RIGHT(AD299,1)</f>
        <v/>
      </c>
      <c r="AE302" s="94" t="str">
        <f>RIGHT(AE299,1)</f>
        <v/>
      </c>
      <c r="AF302" s="94" t="e">
        <f>VALUE(RIGHT(AF299,1))</f>
        <v>#VALUE!</v>
      </c>
      <c r="AG302" s="94" t="str">
        <f>RIGHT(AG299,1)</f>
        <v/>
      </c>
      <c r="AH302" s="92" t="str">
        <f>RIGHT(AH299,1)</f>
        <v/>
      </c>
      <c r="AI302" s="94" t="str">
        <f>RIGHT(AI299,1)</f>
        <v/>
      </c>
      <c r="AJ302" s="94" t="e">
        <f>VALUE(RIGHT(AJ299,1))</f>
        <v>#VALUE!</v>
      </c>
      <c r="AK302" s="94" t="str">
        <f>RIGHT(AK299,1)</f>
        <v/>
      </c>
      <c r="AL302" s="92" t="str">
        <f>RIGHT(AL299,1)</f>
        <v/>
      </c>
      <c r="AM302" s="94" t="str">
        <f>RIGHT(AM299,1)</f>
        <v/>
      </c>
      <c r="AN302" s="94" t="e">
        <f>VALUE(RIGHT(AN299,1))</f>
        <v>#VALUE!</v>
      </c>
      <c r="AO302" s="94" t="str">
        <f>RIGHT(AO299,1)</f>
        <v/>
      </c>
      <c r="AP302" s="92" t="str">
        <f>RIGHT(AP299,1)</f>
        <v/>
      </c>
      <c r="AQ302" s="94" t="str">
        <f>RIGHT(AQ299,1)</f>
        <v/>
      </c>
      <c r="AR302" s="94" t="e">
        <f>VALUE(RIGHT(AR299,1))</f>
        <v>#VALUE!</v>
      </c>
      <c r="AS302" s="94" t="str">
        <f>RIGHT(AS299,1)</f>
        <v/>
      </c>
      <c r="AT302" s="92" t="str">
        <f>RIGHT(AT299,1)</f>
        <v/>
      </c>
      <c r="AU302" s="94" t="str">
        <f>RIGHT(AU299,1)</f>
        <v/>
      </c>
      <c r="AV302" s="94" t="e">
        <f>VALUE(RIGHT(AV299,1))</f>
        <v>#VALUE!</v>
      </c>
      <c r="AW302" s="94" t="str">
        <f>RIGHT(AW299,1)</f>
        <v/>
      </c>
      <c r="AX302" s="94" t="str">
        <f>RIGHT(AX299,1)</f>
        <v/>
      </c>
      <c r="AY302" s="94" t="str">
        <f>RIGHT(AY299,1)</f>
        <v/>
      </c>
      <c r="AZ302" s="94" t="e">
        <f>VALUE(RIGHT(AZ299,1))</f>
        <v>#VALUE!</v>
      </c>
      <c r="BA302" s="94" t="str">
        <f>RIGHT(BA299,1)</f>
        <v/>
      </c>
      <c r="BB302" s="92" t="str">
        <f>RIGHT(BB299,1)</f>
        <v/>
      </c>
      <c r="BC302" s="94" t="str">
        <f>RIGHT(BC299,1)</f>
        <v/>
      </c>
      <c r="BD302" s="94" t="e">
        <f>VALUE(RIGHT(BD299,1))</f>
        <v>#VALUE!</v>
      </c>
      <c r="BE302" s="94" t="str">
        <f>RIGHT(BE299,1)</f>
        <v/>
      </c>
      <c r="BF302" s="92" t="str">
        <f>RIGHT(BF299,1)</f>
        <v/>
      </c>
      <c r="BG302" s="94" t="str">
        <f>RIGHT(BG299,1)</f>
        <v/>
      </c>
      <c r="BH302" s="94" t="e">
        <f>VALUE(RIGHT(BH299,1))</f>
        <v>#VALUE!</v>
      </c>
      <c r="BI302" s="94" t="str">
        <f>RIGHT(BI299,1)</f>
        <v/>
      </c>
      <c r="BJ302" s="92" t="str">
        <f>RIGHT(BJ299,1)</f>
        <v/>
      </c>
      <c r="BK302" s="94" t="str">
        <f>RIGHT(BK299,1)</f>
        <v/>
      </c>
      <c r="BL302" s="94" t="e">
        <f>VALUE(RIGHT(BL299,1))</f>
        <v>#VALUE!</v>
      </c>
      <c r="BM302" s="94" t="str">
        <f>RIGHT(BM299,1)</f>
        <v/>
      </c>
      <c r="BN302" s="92" t="str">
        <f>RIGHT(BN299,1)</f>
        <v/>
      </c>
      <c r="BO302" s="94" t="str">
        <f>RIGHT(BO299,1)</f>
        <v/>
      </c>
      <c r="BP302" s="94"/>
      <c r="BQ302" s="94"/>
      <c r="BR302" s="94"/>
      <c r="BS302" s="94"/>
      <c r="BT302" s="94"/>
      <c r="BU302" s="94"/>
      <c r="BV302" s="94"/>
      <c r="BW302" s="94"/>
      <c r="BX302" s="94"/>
      <c r="BY302" s="94"/>
      <c r="BZ302" s="94"/>
      <c r="CA302" s="94"/>
      <c r="CB302" s="94"/>
      <c r="CC302" s="94"/>
      <c r="CD302" s="94"/>
      <c r="CE302" s="94"/>
      <c r="CF302" s="94"/>
      <c r="CG302" s="94"/>
    </row>
    <row r="303" spans="2:85" ht="14.25">
      <c r="B303" s="90" t="s">
        <v>75</v>
      </c>
      <c r="C303" s="90"/>
      <c r="D303" s="93">
        <v>2004</v>
      </c>
      <c r="E303" s="93">
        <v>2004</v>
      </c>
      <c r="F303" s="93">
        <v>2004</v>
      </c>
      <c r="G303" s="93">
        <v>2004</v>
      </c>
      <c r="H303" s="93">
        <v>2005</v>
      </c>
      <c r="I303" s="93">
        <v>2005</v>
      </c>
      <c r="J303" s="93">
        <v>2005</v>
      </c>
      <c r="K303" s="93">
        <v>2005</v>
      </c>
      <c r="L303" s="93">
        <v>2006</v>
      </c>
      <c r="M303" s="93">
        <v>2006</v>
      </c>
      <c r="N303" s="93">
        <v>2006</v>
      </c>
      <c r="O303" s="93">
        <v>2006</v>
      </c>
      <c r="P303" s="93">
        <v>2007</v>
      </c>
      <c r="Q303" s="93">
        <v>2007</v>
      </c>
      <c r="R303" s="93">
        <v>2007</v>
      </c>
      <c r="S303" s="93">
        <v>2007</v>
      </c>
      <c r="T303" s="93">
        <v>2008</v>
      </c>
      <c r="U303" s="93">
        <v>2008</v>
      </c>
      <c r="V303" s="93">
        <v>2008</v>
      </c>
      <c r="W303" s="93">
        <v>2008</v>
      </c>
      <c r="X303" s="93">
        <v>2009</v>
      </c>
      <c r="Y303" s="93">
        <v>2009</v>
      </c>
      <c r="Z303" s="93">
        <v>2009</v>
      </c>
      <c r="AA303" s="93">
        <v>2009</v>
      </c>
      <c r="AB303" s="93">
        <v>2010</v>
      </c>
      <c r="AC303" s="93">
        <v>2010</v>
      </c>
      <c r="AD303" s="93">
        <v>2010</v>
      </c>
      <c r="AE303" s="93">
        <v>2010</v>
      </c>
      <c r="AF303" s="93">
        <v>2011</v>
      </c>
      <c r="AG303" s="93">
        <v>2011</v>
      </c>
      <c r="AH303" s="93">
        <v>2011</v>
      </c>
      <c r="AI303" s="93">
        <v>2011</v>
      </c>
      <c r="AJ303" s="93">
        <v>2012</v>
      </c>
      <c r="AK303" s="93">
        <v>2012</v>
      </c>
      <c r="AL303" s="93">
        <v>2012</v>
      </c>
      <c r="AM303" s="93">
        <v>2012</v>
      </c>
      <c r="AN303" s="93">
        <v>2013</v>
      </c>
      <c r="AO303" s="93">
        <v>2013</v>
      </c>
      <c r="AP303" s="93">
        <v>2013</v>
      </c>
      <c r="AQ303" s="93">
        <v>2013</v>
      </c>
      <c r="AR303" s="93">
        <v>2014</v>
      </c>
      <c r="AS303" s="93">
        <v>2014</v>
      </c>
      <c r="AT303" s="93">
        <v>2014</v>
      </c>
      <c r="AU303" s="93">
        <v>2014</v>
      </c>
      <c r="AV303" s="93">
        <v>2015</v>
      </c>
      <c r="AW303" s="93">
        <v>2015</v>
      </c>
      <c r="AX303" s="93">
        <v>2015</v>
      </c>
      <c r="AY303" s="93">
        <v>2015</v>
      </c>
      <c r="AZ303" s="93">
        <v>2016</v>
      </c>
      <c r="BA303" s="93">
        <v>2016</v>
      </c>
      <c r="BB303" s="93">
        <v>2016</v>
      </c>
      <c r="BC303" s="93">
        <v>2016</v>
      </c>
      <c r="BD303" s="93">
        <v>2017</v>
      </c>
      <c r="BE303" s="93">
        <v>2017</v>
      </c>
      <c r="BF303" s="93">
        <v>2017</v>
      </c>
      <c r="BG303" s="93">
        <v>2017</v>
      </c>
      <c r="BH303" s="93">
        <v>2018</v>
      </c>
      <c r="BI303" s="93">
        <v>2018</v>
      </c>
      <c r="BJ303" s="93">
        <v>2018</v>
      </c>
      <c r="BK303" s="93">
        <v>2018</v>
      </c>
      <c r="BL303" s="93">
        <v>2019</v>
      </c>
      <c r="BM303" s="93">
        <v>2019</v>
      </c>
      <c r="BN303" s="93">
        <v>2019</v>
      </c>
      <c r="BO303" s="93">
        <v>2019</v>
      </c>
      <c r="BP303" s="93"/>
      <c r="BQ303" s="93">
        <v>2004</v>
      </c>
      <c r="BR303" s="93">
        <v>2005</v>
      </c>
      <c r="BS303" s="93">
        <v>2006</v>
      </c>
      <c r="BT303" s="93">
        <v>2007</v>
      </c>
      <c r="BU303" s="93">
        <v>2008</v>
      </c>
      <c r="BV303" s="93">
        <v>2009</v>
      </c>
      <c r="BW303" s="93">
        <v>2010</v>
      </c>
      <c r="BX303" s="93">
        <v>2011</v>
      </c>
      <c r="BY303" s="93">
        <v>2012</v>
      </c>
      <c r="BZ303" s="93">
        <v>2013</v>
      </c>
      <c r="CA303" s="93">
        <v>2014</v>
      </c>
      <c r="CB303" s="93">
        <v>2015</v>
      </c>
      <c r="CC303" s="93">
        <v>2016</v>
      </c>
      <c r="CD303" s="93">
        <v>2017</v>
      </c>
      <c r="CE303" s="93">
        <v>2018</v>
      </c>
      <c r="CF303" s="93">
        <v>2019</v>
      </c>
      <c r="CG303" s="93">
        <v>2020</v>
      </c>
    </row>
    <row r="304" spans="2:85" ht="14.25">
      <c r="B304" s="90" t="s">
        <v>76</v>
      </c>
      <c r="C304" s="90"/>
      <c r="D304" s="94">
        <v>1</v>
      </c>
      <c r="E304" s="94">
        <v>2</v>
      </c>
      <c r="F304" s="92">
        <v>3</v>
      </c>
      <c r="G304" s="92">
        <v>4</v>
      </c>
      <c r="H304" s="94">
        <v>1</v>
      </c>
      <c r="I304" s="94">
        <v>2</v>
      </c>
      <c r="J304" s="92">
        <v>3</v>
      </c>
      <c r="K304" s="92">
        <v>4</v>
      </c>
      <c r="L304" s="94">
        <v>1</v>
      </c>
      <c r="M304" s="94">
        <v>2</v>
      </c>
      <c r="N304" s="92">
        <v>3</v>
      </c>
      <c r="O304" s="92">
        <v>4</v>
      </c>
      <c r="P304" s="94">
        <v>1</v>
      </c>
      <c r="Q304" s="94">
        <v>2</v>
      </c>
      <c r="R304" s="92">
        <v>3</v>
      </c>
      <c r="S304" s="92">
        <v>4</v>
      </c>
      <c r="T304" s="94">
        <v>1</v>
      </c>
      <c r="U304" s="94">
        <v>2</v>
      </c>
      <c r="V304" s="92">
        <v>3</v>
      </c>
      <c r="W304" s="92">
        <v>4</v>
      </c>
      <c r="X304" s="94">
        <v>1</v>
      </c>
      <c r="Y304" s="94">
        <v>2</v>
      </c>
      <c r="Z304" s="92">
        <v>3</v>
      </c>
      <c r="AA304" s="92">
        <v>4</v>
      </c>
      <c r="AB304" s="94">
        <v>1</v>
      </c>
      <c r="AC304" s="94">
        <v>2</v>
      </c>
      <c r="AD304" s="92">
        <v>3</v>
      </c>
      <c r="AE304" s="94">
        <v>4</v>
      </c>
      <c r="AF304" s="94">
        <v>1</v>
      </c>
      <c r="AG304" s="94">
        <v>2</v>
      </c>
      <c r="AH304" s="92">
        <v>3</v>
      </c>
      <c r="AI304" s="94">
        <v>4</v>
      </c>
      <c r="AJ304" s="94">
        <v>1</v>
      </c>
      <c r="AK304" s="94">
        <v>2</v>
      </c>
      <c r="AL304" s="92">
        <v>3</v>
      </c>
      <c r="AM304" s="94">
        <v>4</v>
      </c>
      <c r="AN304" s="94">
        <v>1</v>
      </c>
      <c r="AO304" s="94">
        <v>2</v>
      </c>
      <c r="AP304" s="92">
        <v>3</v>
      </c>
      <c r="AQ304" s="94">
        <v>4</v>
      </c>
      <c r="AR304" s="94">
        <v>1</v>
      </c>
      <c r="AS304" s="94">
        <v>2</v>
      </c>
      <c r="AT304" s="92">
        <v>3</v>
      </c>
      <c r="AU304" s="94">
        <v>4</v>
      </c>
      <c r="AV304" s="94">
        <v>1</v>
      </c>
      <c r="AW304" s="94">
        <v>2</v>
      </c>
      <c r="AX304" s="94">
        <v>3</v>
      </c>
      <c r="AY304" s="94">
        <v>4</v>
      </c>
      <c r="AZ304" s="94">
        <v>1</v>
      </c>
      <c r="BA304" s="94">
        <v>2</v>
      </c>
      <c r="BB304" s="92">
        <v>3</v>
      </c>
      <c r="BC304" s="94">
        <v>4</v>
      </c>
      <c r="BD304" s="94">
        <v>1</v>
      </c>
      <c r="BE304" s="94">
        <v>2</v>
      </c>
      <c r="BF304" s="92">
        <v>3</v>
      </c>
      <c r="BG304" s="94">
        <v>4</v>
      </c>
      <c r="BH304" s="94">
        <v>1</v>
      </c>
      <c r="BI304" s="94">
        <v>2</v>
      </c>
      <c r="BJ304" s="92">
        <v>3</v>
      </c>
      <c r="BK304" s="94">
        <v>4</v>
      </c>
      <c r="BL304" s="94">
        <v>1</v>
      </c>
      <c r="BM304" s="94">
        <v>2</v>
      </c>
      <c r="BN304" s="92">
        <v>3</v>
      </c>
      <c r="BO304" s="94">
        <v>4</v>
      </c>
      <c r="BP304" s="94"/>
      <c r="BQ304" s="94"/>
      <c r="BR304" s="94"/>
      <c r="BS304" s="94"/>
      <c r="BT304" s="94"/>
      <c r="BU304" s="94"/>
      <c r="BV304" s="94"/>
      <c r="BW304" s="94"/>
      <c r="BX304" s="94"/>
      <c r="BY304" s="94"/>
      <c r="BZ304" s="94"/>
      <c r="CA304" s="94"/>
      <c r="CB304" s="94"/>
      <c r="CC304" s="94"/>
      <c r="CD304" s="94"/>
      <c r="CE304" s="94"/>
      <c r="CF304" s="94"/>
      <c r="CG304" s="94"/>
    </row>
  </sheetData>
  <phoneticPr fontId="17" type="noConversion"/>
  <conditionalFormatting sqref="D9 D7 BQ9 BQ7 E7:AP9 AR7:AR9 AT7:AT9 CB7:CB9 CD7:CD9">
    <cfRule type="expression" dxfId="291" priority="83" stopIfTrue="1">
      <formula>D$300="A"</formula>
    </cfRule>
    <cfRule type="expression" dxfId="290" priority="84" stopIfTrue="1">
      <formula>D$300="E"</formula>
    </cfRule>
  </conditionalFormatting>
  <conditionalFormatting sqref="AQ7:AQ9">
    <cfRule type="expression" dxfId="289" priority="81" stopIfTrue="1">
      <formula>AQ$300="A"</formula>
    </cfRule>
    <cfRule type="expression" dxfId="288" priority="82" stopIfTrue="1">
      <formula>AQ$300="E"</formula>
    </cfRule>
  </conditionalFormatting>
  <conditionalFormatting sqref="AV7:AV9 AY7:AY9">
    <cfRule type="expression" dxfId="287" priority="79" stopIfTrue="1">
      <formula>AV$300="A"</formula>
    </cfRule>
    <cfRule type="expression" dxfId="286" priority="80" stopIfTrue="1">
      <formula>AV$300="E"</formula>
    </cfRule>
  </conditionalFormatting>
  <conditionalFormatting sqref="CA7:CA9">
    <cfRule type="expression" dxfId="285" priority="77" stopIfTrue="1">
      <formula>CA$300="A"</formula>
    </cfRule>
    <cfRule type="expression" dxfId="284" priority="78" stopIfTrue="1">
      <formula>CA$300="E"</formula>
    </cfRule>
  </conditionalFormatting>
  <conditionalFormatting sqref="AZ7:AZ9 BB7:BB9">
    <cfRule type="expression" dxfId="283" priority="75" stopIfTrue="1">
      <formula>AZ$300="A"</formula>
    </cfRule>
    <cfRule type="expression" dxfId="282" priority="76" stopIfTrue="1">
      <formula>AZ$300="E"</formula>
    </cfRule>
  </conditionalFormatting>
  <conditionalFormatting sqref="AS7:AS9">
    <cfRule type="expression" dxfId="281" priority="73" stopIfTrue="1">
      <formula>AS$300="A"</formula>
    </cfRule>
    <cfRule type="expression" dxfId="280" priority="74" stopIfTrue="1">
      <formula>AS$300="E"</formula>
    </cfRule>
  </conditionalFormatting>
  <conditionalFormatting sqref="AU7:AU9">
    <cfRule type="expression" dxfId="279" priority="71" stopIfTrue="1">
      <formula>AU$300="A"</formula>
    </cfRule>
    <cfRule type="expression" dxfId="278" priority="72" stopIfTrue="1">
      <formula>AU$300="E"</formula>
    </cfRule>
  </conditionalFormatting>
  <conditionalFormatting sqref="CB7:CB9">
    <cfRule type="expression" dxfId="277" priority="69" stopIfTrue="1">
      <formula>CB$300="A"</formula>
    </cfRule>
    <cfRule type="expression" dxfId="276" priority="70" stopIfTrue="1">
      <formula>CB$300="E"</formula>
    </cfRule>
  </conditionalFormatting>
  <conditionalFormatting sqref="AW7:AW9">
    <cfRule type="expression" dxfId="275" priority="67" stopIfTrue="1">
      <formula>AW$300="A"</formula>
    </cfRule>
    <cfRule type="expression" dxfId="274" priority="68" stopIfTrue="1">
      <formula>AW$300="E"</formula>
    </cfRule>
  </conditionalFormatting>
  <conditionalFormatting sqref="AX7:AX9">
    <cfRule type="expression" dxfId="273" priority="65" stopIfTrue="1">
      <formula>AX$300="A"</formula>
    </cfRule>
    <cfRule type="expression" dxfId="272" priority="66" stopIfTrue="1">
      <formula>AX$300="E"</formula>
    </cfRule>
  </conditionalFormatting>
  <conditionalFormatting sqref="CC7:CC9">
    <cfRule type="expression" dxfId="271" priority="63" stopIfTrue="1">
      <formula>CC$300="A"</formula>
    </cfRule>
    <cfRule type="expression" dxfId="270" priority="64" stopIfTrue="1">
      <formula>CC$300="E"</formula>
    </cfRule>
  </conditionalFormatting>
  <conditionalFormatting sqref="CC7:CC9">
    <cfRule type="expression" dxfId="269" priority="61" stopIfTrue="1">
      <formula>CC$300="A"</formula>
    </cfRule>
    <cfRule type="expression" dxfId="268" priority="62" stopIfTrue="1">
      <formula>CC$300="E"</formula>
    </cfRule>
  </conditionalFormatting>
  <conditionalFormatting sqref="BA7:BA9">
    <cfRule type="expression" dxfId="267" priority="59" stopIfTrue="1">
      <formula>BA$300="A"</formula>
    </cfRule>
    <cfRule type="expression" dxfId="266" priority="60" stopIfTrue="1">
      <formula>BA$300="E"</formula>
    </cfRule>
  </conditionalFormatting>
  <conditionalFormatting sqref="BD8:BD9 BG8:BG9">
    <cfRule type="expression" dxfId="265" priority="57" stopIfTrue="1">
      <formula>BD$300="A"</formula>
    </cfRule>
    <cfRule type="expression" dxfId="264" priority="58" stopIfTrue="1">
      <formula>BD$300="E"</formula>
    </cfRule>
  </conditionalFormatting>
  <conditionalFormatting sqref="BE8:BE9">
    <cfRule type="expression" dxfId="263" priority="55" stopIfTrue="1">
      <formula>BE$300="A"</formula>
    </cfRule>
    <cfRule type="expression" dxfId="262" priority="56" stopIfTrue="1">
      <formula>BE$300="E"</formula>
    </cfRule>
  </conditionalFormatting>
  <conditionalFormatting sqref="BD7:BE7 BG7">
    <cfRule type="expression" dxfId="261" priority="53" stopIfTrue="1">
      <formula>BD$300="A"</formula>
    </cfRule>
    <cfRule type="expression" dxfId="260" priority="54" stopIfTrue="1">
      <formula>BD$300="E"</formula>
    </cfRule>
  </conditionalFormatting>
  <conditionalFormatting sqref="BC8:BC9">
    <cfRule type="expression" dxfId="259" priority="51" stopIfTrue="1">
      <formula>BC$300="A"</formula>
    </cfRule>
    <cfRule type="expression" dxfId="258" priority="52" stopIfTrue="1">
      <formula>BC$300="E"</formula>
    </cfRule>
  </conditionalFormatting>
  <conditionalFormatting sqref="BC7">
    <cfRule type="expression" dxfId="257" priority="49" stopIfTrue="1">
      <formula>BC$300="A"</formula>
    </cfRule>
    <cfRule type="expression" dxfId="256" priority="50" stopIfTrue="1">
      <formula>BC$300="E"</formula>
    </cfRule>
  </conditionalFormatting>
  <conditionalFormatting sqref="BH8:BH9 BJ8:BK9">
    <cfRule type="expression" dxfId="255" priority="47" stopIfTrue="1">
      <formula>BH$300="A"</formula>
    </cfRule>
    <cfRule type="expression" dxfId="254" priority="48" stopIfTrue="1">
      <formula>BH$300="E"</formula>
    </cfRule>
  </conditionalFormatting>
  <conditionalFormatting sqref="BI8:BI9">
    <cfRule type="expression" dxfId="253" priority="45" stopIfTrue="1">
      <formula>BI$300="A"</formula>
    </cfRule>
    <cfRule type="expression" dxfId="252" priority="46" stopIfTrue="1">
      <formula>BI$300="E"</formula>
    </cfRule>
  </conditionalFormatting>
  <conditionalFormatting sqref="BH7:BK7">
    <cfRule type="expression" dxfId="251" priority="43" stopIfTrue="1">
      <formula>BH$300="A"</formula>
    </cfRule>
    <cfRule type="expression" dxfId="250" priority="44" stopIfTrue="1">
      <formula>BH$300="E"</formula>
    </cfRule>
  </conditionalFormatting>
  <conditionalFormatting sqref="BL8:BL9 BN8:BO9">
    <cfRule type="expression" dxfId="249" priority="31" stopIfTrue="1">
      <formula>BL$300="A"</formula>
    </cfRule>
    <cfRule type="expression" dxfId="248" priority="32" stopIfTrue="1">
      <formula>BL$300="E"</formula>
    </cfRule>
  </conditionalFormatting>
  <conditionalFormatting sqref="BM8:BM9">
    <cfRule type="expression" dxfId="247" priority="29" stopIfTrue="1">
      <formula>BM$300="A"</formula>
    </cfRule>
    <cfRule type="expression" dxfId="246" priority="30" stopIfTrue="1">
      <formula>BM$300="E"</formula>
    </cfRule>
  </conditionalFormatting>
  <conditionalFormatting sqref="BL7:BO7">
    <cfRule type="expression" dxfId="245" priority="27" stopIfTrue="1">
      <formula>BL$300="A"</formula>
    </cfRule>
    <cfRule type="expression" dxfId="244" priority="28" stopIfTrue="1">
      <formula>BL$300="E"</formula>
    </cfRule>
  </conditionalFormatting>
  <conditionalFormatting sqref="CE7:CE9">
    <cfRule type="expression" dxfId="243" priority="21" stopIfTrue="1">
      <formula>CE$300="A"</formula>
    </cfRule>
    <cfRule type="expression" dxfId="242" priority="22" stopIfTrue="1">
      <formula>CE$300="E"</formula>
    </cfRule>
  </conditionalFormatting>
  <conditionalFormatting sqref="BF8:BF9">
    <cfRule type="expression" dxfId="241" priority="15" stopIfTrue="1">
      <formula>BF$300="A"</formula>
    </cfRule>
    <cfRule type="expression" dxfId="240" priority="16" stopIfTrue="1">
      <formula>BF$300="E"</formula>
    </cfRule>
  </conditionalFormatting>
  <conditionalFormatting sqref="BF7">
    <cfRule type="expression" dxfId="239" priority="13" stopIfTrue="1">
      <formula>BF$300="A"</formula>
    </cfRule>
    <cfRule type="expression" dxfId="238" priority="14" stopIfTrue="1">
      <formula>BF$300="E"</formula>
    </cfRule>
  </conditionalFormatting>
  <conditionalFormatting sqref="BS7:BZ9">
    <cfRule type="expression" dxfId="237" priority="11" stopIfTrue="1">
      <formula>BS$300="A"</formula>
    </cfRule>
    <cfRule type="expression" dxfId="236" priority="12" stopIfTrue="1">
      <formula>BS$300="E"</formula>
    </cfRule>
  </conditionalFormatting>
  <conditionalFormatting sqref="BR7:BR9">
    <cfRule type="expression" dxfId="235" priority="9" stopIfTrue="1">
      <formula>BR$300="A"</formula>
    </cfRule>
    <cfRule type="expression" dxfId="234" priority="10" stopIfTrue="1">
      <formula>BR$300="E"</formula>
    </cfRule>
  </conditionalFormatting>
  <conditionalFormatting sqref="CF7:CF9">
    <cfRule type="expression" dxfId="233" priority="1" stopIfTrue="1">
      <formula>CF$300="A"</formula>
    </cfRule>
    <cfRule type="expression" dxfId="232" priority="2" stopIfTrue="1">
      <formula>CF$300="E"</formula>
    </cfRule>
  </conditionalFormatting>
  <conditionalFormatting sqref="CG7:CG9">
    <cfRule type="expression" dxfId="231" priority="7" stopIfTrue="1">
      <formula>CG$300="A"</formula>
    </cfRule>
    <cfRule type="expression" dxfId="230" priority="8" stopIfTrue="1">
      <formula>CG$300="E"</formula>
    </cfRule>
  </conditionalFormatting>
  <conditionalFormatting sqref="CG7:CG9">
    <cfRule type="expression" dxfId="229" priority="5" stopIfTrue="1">
      <formula>CG$300="A"</formula>
    </cfRule>
    <cfRule type="expression" dxfId="228" priority="6" stopIfTrue="1">
      <formula>CG$300="E"</formula>
    </cfRule>
  </conditionalFormatting>
  <pageMargins left="0" right="0" top="0" bottom="0" header="0" footer="0"/>
  <pageSetup paperSize="5" scale="89" orientation="landscape" r:id="rId1"/>
  <headerFooter alignWithMargins="0"/>
  <rowBreaks count="1" manualBreakCount="1">
    <brk id="136" max="16383" man="1"/>
  </rowBreaks>
  <colBreaks count="1" manualBreakCount="1">
    <brk id="84" max="1048575" man="1"/>
  </colBreaks>
  <ignoredErrors>
    <ignoredError sqref="AE134 AE128:AE130 G133:G134 L109 D116:D148 D111:L111 L113:AB148 D28:AD28 AE137:AE148 AP107 G136:G148 G113:G131 H113:J148 K136:K148 K113:K131 K133:K134 E113:F148 L84 AP77:AP82 AR142:AR148 D107:AD107 L77:L82 D87:AD87 M77:AD86 D77:K86 AP101:AP105 AM140 G88:G95 AP28 AO139:AO140 AC132:AD148 AP86:AP95 AC113:AD130 L86 D113:D114 D88:F105 AO128:AO129 G97:G105 AL142:AM148 AG141:AG148 AP137:AP140 H88:AD105 AP129:AU129 AU101:AU105 AR128 AU86:AU95 AU107 AU77:AU82 AU28 AU113:AU123 AP113:AP128 AQ142:AQ148 AQ137:AQ140 AT128:AU128 AU137:AU140 AP134:AQ134 AU134 AU125:AU127 AP142:AP148 AO142:AO148 AU142:AU148 AU131 AU130" formula="1"/>
    <ignoredError sqref="BQ11:CA11 BR10:BY10 BQ16:BZ16 BQ13:CA15" formulaRange="1"/>
    <ignoredError sqref="BQ107 BY75:BY83 BQ64:BQ65 BQ67 BR64:CA65 BQ70:BQ83 BQ17:BQ62 BR17:CA62 BR67:CA67 BR88:CA105 BR84:CA84 BQ84 BQ85:BQ86 BR85:CA86 BR87:CA87 BQ87 BQ88:BQ105 BR107:CA107 BR70:BW83 BX75:BX83 BX70:BX73 BZ70:CA83 BY70:BY73 BQ113:BY117 CA113:CA117 CA131:CA148 BZ130:BZ148 BZ113:BZ117 BZ126:BZ128 BQ119:BY148 CA119:CA128 BZ119:BZ124" formula="1" formulaRange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/>
  </sheetViews>
  <sheetFormatPr defaultRowHeight="12.75"/>
  <sheetData>
    <row r="1" spans="1:14">
      <c r="A1" t="s">
        <v>313</v>
      </c>
    </row>
    <row r="2" spans="1:14">
      <c r="A2" s="263" t="s">
        <v>284</v>
      </c>
      <c r="B2" s="263" t="s">
        <v>0</v>
      </c>
      <c r="C2" s="263" t="s">
        <v>311</v>
      </c>
      <c r="D2" s="263" t="s">
        <v>310</v>
      </c>
      <c r="E2" s="263" t="s">
        <v>286</v>
      </c>
      <c r="F2" s="263" t="s">
        <v>502</v>
      </c>
      <c r="G2" s="263" t="s">
        <v>309</v>
      </c>
      <c r="H2" s="263" t="s">
        <v>310</v>
      </c>
      <c r="I2" s="263" t="s">
        <v>308</v>
      </c>
      <c r="J2" s="263" t="s">
        <v>307</v>
      </c>
      <c r="K2" s="263" t="s">
        <v>285</v>
      </c>
      <c r="L2" s="263" t="s">
        <v>202</v>
      </c>
      <c r="M2" s="263" t="s">
        <v>312</v>
      </c>
      <c r="N2" s="263" t="s">
        <v>310</v>
      </c>
    </row>
  </sheetData>
  <phoneticPr fontId="17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indexed="17"/>
    <pageSetUpPr fitToPage="1"/>
  </sheetPr>
  <dimension ref="B1:CH372"/>
  <sheetViews>
    <sheetView showGridLines="0" zoomScale="85" zoomScaleNormal="85" workbookViewId="0">
      <pane xSplit="3" ySplit="9" topLeftCell="BD10" activePane="bottomRight" state="frozen"/>
      <selection activeCell="AV1" sqref="AV1:AV65536"/>
      <selection pane="topRight" activeCell="AV1" sqref="AV1:AV65536"/>
      <selection pane="bottomLeft" activeCell="AV1" sqref="AV1:AV65536"/>
      <selection pane="bottomRight" activeCell="B5" sqref="B5"/>
    </sheetView>
  </sheetViews>
  <sheetFormatPr defaultRowHeight="12.75" outlineLevelRow="1" outlineLevelCol="1"/>
  <cols>
    <col min="1" max="1" width="1.85546875" customWidth="1"/>
    <col min="2" max="2" width="45.42578125" customWidth="1"/>
    <col min="3" max="3" width="1.85546875" customWidth="1"/>
    <col min="4" max="27" width="12.5703125" hidden="1" customWidth="1" outlineLevel="1"/>
    <col min="28" max="28" width="12.5703125" hidden="1" customWidth="1" outlineLevel="1" collapsed="1"/>
    <col min="29" max="39" width="12.5703125" hidden="1" customWidth="1" outlineLevel="1"/>
    <col min="40" max="40" width="9.42578125" hidden="1" customWidth="1" outlineLevel="1" collapsed="1"/>
    <col min="41" max="43" width="9.42578125" hidden="1" customWidth="1" outlineLevel="1"/>
    <col min="44" max="44" width="10.5703125" hidden="1" customWidth="1" outlineLevel="1" collapsed="1"/>
    <col min="45" max="47" width="10.5703125" hidden="1" customWidth="1" outlineLevel="1"/>
    <col min="48" max="48" width="10.5703125" hidden="1" customWidth="1" outlineLevel="1" collapsed="1"/>
    <col min="49" max="55" width="10.5703125" hidden="1" customWidth="1" outlineLevel="1"/>
    <col min="56" max="56" width="10.5703125" customWidth="1" collapsed="1"/>
    <col min="57" max="63" width="10.5703125" customWidth="1"/>
    <col min="64" max="67" width="10.5703125" customWidth="1" outlineLevel="1"/>
    <col min="68" max="68" width="1.7109375" customWidth="1"/>
    <col min="69" max="73" width="9.85546875" hidden="1" customWidth="1" outlineLevel="1"/>
    <col min="74" max="75" width="10.5703125" hidden="1" customWidth="1" outlineLevel="1"/>
    <col min="76" max="78" width="9.85546875" hidden="1" customWidth="1" outlineLevel="1"/>
    <col min="79" max="80" width="10.5703125" hidden="1" customWidth="1" outlineLevel="1"/>
    <col min="81" max="81" width="10.5703125" bestFit="1" customWidth="1" collapsed="1"/>
    <col min="82" max="83" width="10.5703125" bestFit="1" customWidth="1"/>
    <col min="84" max="85" width="11.28515625" customWidth="1" outlineLevel="1"/>
  </cols>
  <sheetData>
    <row r="1" spans="2:86" ht="77.25" customHeight="1">
      <c r="D1" s="165" t="str">
        <f>IF(SUM(BS)&lt;&gt;0,"BS BREAK"," ")</f>
        <v xml:space="preserve"> </v>
      </c>
      <c r="F1" s="165" t="str">
        <f>IF(SUM(BS)&lt;&gt;0,"BS BREAK"," ")</f>
        <v xml:space="preserve"> </v>
      </c>
      <c r="H1" s="165" t="str">
        <f>IF(SUM(BS)&lt;&gt;0,"BS BREAK"," ")</f>
        <v xml:space="preserve"> </v>
      </c>
      <c r="J1" s="165" t="str">
        <f>IF(SUM(BS)&lt;&gt;0,"BS BREAK"," ")</f>
        <v xml:space="preserve"> </v>
      </c>
      <c r="L1" s="165" t="str">
        <f>IF(SUM(BS)&lt;&gt;0,"BS BREAK"," ")</f>
        <v xml:space="preserve"> </v>
      </c>
      <c r="N1" s="165" t="str">
        <f>IF(SUM(BS)&lt;&gt;0,"BS BREAK"," ")</f>
        <v xml:space="preserve"> </v>
      </c>
      <c r="P1" s="165" t="str">
        <f>IF(SUM(BS)&lt;&gt;0,"BS BREAK"," ")</f>
        <v xml:space="preserve"> </v>
      </c>
      <c r="R1" s="165" t="str">
        <f>IF(SUM(BS)&lt;&gt;0,"BS BREAK"," ")</f>
        <v xml:space="preserve"> </v>
      </c>
      <c r="T1" s="165" t="str">
        <f>IF(SUM(BS)&lt;&gt;0,"BS BREAK"," ")</f>
        <v xml:space="preserve"> </v>
      </c>
      <c r="V1" s="165" t="str">
        <f>IF(SUM(BS)&lt;&gt;0,"BS BREAK"," ")</f>
        <v xml:space="preserve"> </v>
      </c>
      <c r="X1" s="165" t="str">
        <f>IF(SUM(BS)&lt;&gt;0,"BS BREAK"," ")</f>
        <v xml:space="preserve"> </v>
      </c>
      <c r="Z1" s="165" t="str">
        <f>IF(SUM(BS)&lt;&gt;0,"BS BREAK"," ")</f>
        <v xml:space="preserve"> </v>
      </c>
      <c r="AB1" s="165" t="str">
        <f>IF(SUM(BS)&lt;&gt;0,"BS BREAK"," ")</f>
        <v xml:space="preserve"> </v>
      </c>
      <c r="AD1" s="165" t="str">
        <f>IF(SUM(BS)&lt;&gt;0,"BS BREAK"," ")</f>
        <v xml:space="preserve"> </v>
      </c>
      <c r="AF1" s="165" t="str">
        <f>IF(SUM(BS)&lt;&gt;0,"BS BREAK"," ")</f>
        <v xml:space="preserve"> </v>
      </c>
      <c r="AH1" s="165" t="str">
        <f>IF(SUM(BS)&lt;&gt;0,"BS BREAK"," ")</f>
        <v xml:space="preserve"> </v>
      </c>
      <c r="AJ1" s="165" t="str">
        <f>IF(SUM(BS)&lt;&gt;0,"BS BREAK"," ")</f>
        <v xml:space="preserve"> </v>
      </c>
      <c r="AL1" s="165" t="str">
        <f>IF(SUM(BS)&lt;&gt;0,"BS BREAK"," ")</f>
        <v xml:space="preserve"> </v>
      </c>
      <c r="AN1" s="165" t="str">
        <f>IF(SUM(BS)&lt;&gt;0,"BS BREAK"," ")</f>
        <v xml:space="preserve"> </v>
      </c>
      <c r="AP1" s="165" t="str">
        <f>IF(SUM(BS)&lt;&gt;0,"BS BREAK"," ")</f>
        <v xml:space="preserve"> </v>
      </c>
      <c r="AR1" s="165" t="str">
        <f>IF(SUM(BS)&lt;&gt;0,"BS BREAK"," ")</f>
        <v xml:space="preserve"> </v>
      </c>
      <c r="AT1" s="165" t="str">
        <f>IF(SUM(BS)&lt;&gt;0,"BS BREAK"," ")</f>
        <v xml:space="preserve"> </v>
      </c>
      <c r="AV1" s="165" t="str">
        <f>IF(SUM(BS)&lt;&gt;0,"BS BREAK"," ")</f>
        <v xml:space="preserve"> </v>
      </c>
      <c r="AX1" s="165" t="str">
        <f>IF(SUM(BS)&lt;&gt;0,"BS BREAK"," ")</f>
        <v xml:space="preserve"> </v>
      </c>
      <c r="BQ1" s="165" t="str">
        <f>IF(SUM(BS)&lt;&gt;0,"BS BREAK"," ")</f>
        <v xml:space="preserve"> </v>
      </c>
      <c r="BS1" t="str">
        <f>IF(SUM(BS)&lt;&gt;0,"BS BREAK"," ")</f>
        <v xml:space="preserve"> </v>
      </c>
      <c r="BU1" t="str">
        <f>IF(SUM(BS)&lt;&gt;0,"BS BREAK"," ")</f>
        <v xml:space="preserve"> </v>
      </c>
      <c r="BW1" t="str">
        <f>IF(SUM(BS)&lt;&gt;0,"BS BREAK"," ")</f>
        <v xml:space="preserve"> </v>
      </c>
      <c r="BY1" t="str">
        <f>IF(SUM(BS)&lt;&gt;0,"BS BREAK"," ")</f>
        <v xml:space="preserve"> </v>
      </c>
      <c r="CA1" s="165" t="str">
        <f>IF(SUM(BS)&lt;&gt;0,"BS BREAK"," ")</f>
        <v xml:space="preserve"> </v>
      </c>
      <c r="CB1" s="165" t="str">
        <f>IF(SUM(BS)&lt;&gt;0,"BS BREAK"," ")</f>
        <v xml:space="preserve"> </v>
      </c>
      <c r="CC1" s="165" t="str">
        <f>IF(SUM(BS)&lt;&gt;0,"BS BREAK"," ")</f>
        <v xml:space="preserve"> </v>
      </c>
      <c r="CD1" s="165"/>
      <c r="CE1" s="165"/>
      <c r="CF1" s="165" t="str">
        <f>IF(SUM(BS)&lt;&gt;0,"BS BREAK"," ")</f>
        <v xml:space="preserve"> </v>
      </c>
      <c r="CG1" s="165"/>
    </row>
    <row r="2" spans="2:86" ht="18">
      <c r="B2" s="95" t="s">
        <v>77</v>
      </c>
    </row>
    <row r="4" spans="2:86">
      <c r="AG4" s="360"/>
      <c r="AU4" s="442"/>
    </row>
    <row r="5" spans="2:86">
      <c r="AK5" s="360"/>
      <c r="AO5" s="360"/>
      <c r="AX5" s="370"/>
      <c r="BA5" s="467"/>
    </row>
    <row r="6" spans="2:86">
      <c r="B6" s="254"/>
      <c r="AX6" s="370"/>
      <c r="BD6" s="254"/>
      <c r="BE6" s="254"/>
      <c r="BF6" s="254"/>
      <c r="BG6" s="254"/>
      <c r="BH6" s="338"/>
      <c r="BI6" s="338"/>
      <c r="BJ6" s="338"/>
      <c r="BK6" s="338"/>
      <c r="BL6" s="338"/>
      <c r="BM6" s="338"/>
      <c r="BN6" s="338"/>
      <c r="BO6" s="338"/>
    </row>
    <row r="7" spans="2:86" ht="15">
      <c r="B7" s="268" t="s">
        <v>149</v>
      </c>
      <c r="C7" s="3"/>
      <c r="D7" s="4" t="str">
        <f>IS!D7</f>
        <v>C1Q04A</v>
      </c>
      <c r="E7" s="5" t="str">
        <f>IS!E7</f>
        <v>C2Q04A</v>
      </c>
      <c r="F7" s="5" t="str">
        <f>IS!F7</f>
        <v>C3Q04A</v>
      </c>
      <c r="G7" s="6" t="str">
        <f>IS!G7</f>
        <v>C4Q04A</v>
      </c>
      <c r="H7" s="4" t="str">
        <f>IS!H7</f>
        <v>C1Q05A</v>
      </c>
      <c r="I7" s="5" t="str">
        <f>IS!I7</f>
        <v>C2Q05A</v>
      </c>
      <c r="J7" s="5" t="str">
        <f>IS!J7</f>
        <v>C3Q05A</v>
      </c>
      <c r="K7" s="6" t="str">
        <f>IS!K7</f>
        <v>C4Q05A</v>
      </c>
      <c r="L7" s="4" t="str">
        <f>IS!L7</f>
        <v>C1Q06A</v>
      </c>
      <c r="M7" s="5" t="str">
        <f>IS!M7</f>
        <v>C2Q06A</v>
      </c>
      <c r="N7" s="5" t="str">
        <f>IS!N7</f>
        <v>C3Q06A</v>
      </c>
      <c r="O7" s="6" t="str">
        <f>IS!O7</f>
        <v>C4Q06A</v>
      </c>
      <c r="P7" s="4" t="str">
        <f>IS!P7</f>
        <v>C1Q07A</v>
      </c>
      <c r="Q7" s="5" t="str">
        <f>IS!Q7</f>
        <v>C2Q07A</v>
      </c>
      <c r="R7" s="5" t="str">
        <f>IS!R7</f>
        <v>C3Q07A</v>
      </c>
      <c r="S7" s="6" t="str">
        <f>IS!S7</f>
        <v>C4Q07A</v>
      </c>
      <c r="T7" s="4" t="str">
        <f>IS!T7</f>
        <v>C1Q08A</v>
      </c>
      <c r="U7" s="5" t="str">
        <f>IS!U7</f>
        <v>C2Q08A</v>
      </c>
      <c r="V7" s="5" t="str">
        <f>IS!V7</f>
        <v>C3Q08A</v>
      </c>
      <c r="W7" s="6" t="str">
        <f>IS!W7</f>
        <v>C4Q08A</v>
      </c>
      <c r="X7" s="4" t="str">
        <f>IS!X7</f>
        <v>C1Q09A</v>
      </c>
      <c r="Y7" s="5" t="str">
        <f>IS!Y7</f>
        <v>C2Q09A</v>
      </c>
      <c r="Z7" s="5" t="str">
        <f>IS!Z7</f>
        <v>C3Q09A</v>
      </c>
      <c r="AA7" s="6" t="str">
        <f>IS!AA7</f>
        <v>C4Q09A</v>
      </c>
      <c r="AB7" s="4" t="str">
        <f>IS!AB7</f>
        <v>C1Q10A</v>
      </c>
      <c r="AC7" s="5" t="str">
        <f>IS!AC7</f>
        <v>C2Q10A</v>
      </c>
      <c r="AD7" s="5" t="str">
        <f>IS!AD7</f>
        <v>C3Q10A</v>
      </c>
      <c r="AE7" s="6" t="str">
        <f>IS!AE7</f>
        <v>C4Q10A</v>
      </c>
      <c r="AF7" s="4" t="str">
        <f>IS!AF7</f>
        <v>C1Q11A</v>
      </c>
      <c r="AG7" s="5" t="str">
        <f>IS!AG7</f>
        <v>C2Q11A</v>
      </c>
      <c r="AH7" s="5" t="str">
        <f>IS!AH7</f>
        <v>C3Q11A</v>
      </c>
      <c r="AI7" s="6" t="str">
        <f>IS!AI7</f>
        <v>C4Q11A</v>
      </c>
      <c r="AJ7" s="4" t="str">
        <f>IS!AJ7</f>
        <v>C1Q12A</v>
      </c>
      <c r="AK7" s="5" t="str">
        <f>IS!AK7</f>
        <v>C2Q12A</v>
      </c>
      <c r="AL7" s="5" t="str">
        <f>IS!AL7</f>
        <v>C3Q12A</v>
      </c>
      <c r="AM7" s="6" t="str">
        <f>IS!AM7</f>
        <v>C4Q12A</v>
      </c>
      <c r="AN7" s="4" t="str">
        <f>IS!AN7</f>
        <v>C1Q13A</v>
      </c>
      <c r="AO7" s="5" t="str">
        <f>IS!AO7</f>
        <v>C2Q13A</v>
      </c>
      <c r="AP7" s="5" t="str">
        <f>IS!AP7</f>
        <v>C3Q13A</v>
      </c>
      <c r="AQ7" s="6" t="str">
        <f>IS!AQ7</f>
        <v>C4Q13A</v>
      </c>
      <c r="AR7" s="4" t="str">
        <f>IS!AR7</f>
        <v>C1Q14A</v>
      </c>
      <c r="AS7" s="5" t="str">
        <f>IS!AS7</f>
        <v>C2Q14A</v>
      </c>
      <c r="AT7" s="5" t="str">
        <f>IS!AT7</f>
        <v>C3Q14A</v>
      </c>
      <c r="AU7" s="6" t="str">
        <f>IS!AU7</f>
        <v>C4Q14A</v>
      </c>
      <c r="AV7" s="4" t="str">
        <f>IS!AV7</f>
        <v>C1Q15A</v>
      </c>
      <c r="AW7" s="5" t="str">
        <f>IS!AW7</f>
        <v>C2Q15A</v>
      </c>
      <c r="AX7" s="5" t="str">
        <f>IS!AX7</f>
        <v>C3Q15A</v>
      </c>
      <c r="AY7" s="5" t="str">
        <f>IS!AY7</f>
        <v>C4Q15A</v>
      </c>
      <c r="AZ7" s="397" t="str">
        <f>IS!AZ7</f>
        <v>C1Q16A</v>
      </c>
      <c r="BA7" s="5" t="str">
        <f>IS!BA7</f>
        <v>C2Q16A</v>
      </c>
      <c r="BB7" s="512" t="str">
        <f>IS!BB7</f>
        <v>C3Q16A</v>
      </c>
      <c r="BC7" s="512" t="str">
        <f>IS!BC7</f>
        <v>C4Q16A</v>
      </c>
      <c r="BD7" s="397" t="str">
        <f>IS!BD7</f>
        <v>C1Q17A</v>
      </c>
      <c r="BE7" s="398" t="str">
        <f>IS!BE7</f>
        <v>C2Q17A</v>
      </c>
      <c r="BF7" s="512" t="str">
        <f>IS!BF7</f>
        <v>C3Q17A</v>
      </c>
      <c r="BG7" s="399" t="str">
        <f>IS!BG7</f>
        <v>C4Q17A</v>
      </c>
      <c r="BH7" s="511" t="str">
        <f>IS!BH7</f>
        <v>C1Q18A</v>
      </c>
      <c r="BI7" s="512" t="str">
        <f>IS!BI7</f>
        <v>C2Q18A</v>
      </c>
      <c r="BJ7" s="512" t="str">
        <f>IS!BJ7</f>
        <v>C3Q18E</v>
      </c>
      <c r="BK7" s="513" t="str">
        <f>IS!BK7</f>
        <v>C4Q18E</v>
      </c>
      <c r="BL7" s="511" t="str">
        <f>IS!BL7</f>
        <v>C1Q19A</v>
      </c>
      <c r="BM7" s="512" t="str">
        <f>IS!BM7</f>
        <v>C2Q19A</v>
      </c>
      <c r="BN7" s="512" t="str">
        <f>IS!BN7</f>
        <v>C3Q19E</v>
      </c>
      <c r="BO7" s="513" t="str">
        <f>IS!BO7</f>
        <v>C4Q19E</v>
      </c>
      <c r="BP7" s="347"/>
      <c r="BQ7" s="4" t="str">
        <f>IS!BQ7</f>
        <v>CY2004A</v>
      </c>
      <c r="BR7" s="5" t="str">
        <f>IS!BR7</f>
        <v>CY2005A</v>
      </c>
      <c r="BS7" s="5" t="str">
        <f>IS!BS7</f>
        <v>CY2006A</v>
      </c>
      <c r="BT7" s="5" t="str">
        <f>IS!BT7</f>
        <v>CY2007A</v>
      </c>
      <c r="BU7" s="5" t="str">
        <f>IS!BU7</f>
        <v>CY2008A</v>
      </c>
      <c r="BV7" s="5" t="str">
        <f>IS!BV7</f>
        <v>CY2009A</v>
      </c>
      <c r="BW7" s="5" t="str">
        <f>IS!BW7</f>
        <v>CY2010A</v>
      </c>
      <c r="BX7" s="5" t="str">
        <f>IS!BX7</f>
        <v>CY2011A</v>
      </c>
      <c r="BY7" s="5" t="str">
        <f>IS!BY7</f>
        <v>CY2012A</v>
      </c>
      <c r="BZ7" s="5" t="str">
        <f>IS!BZ7</f>
        <v>CY2013A</v>
      </c>
      <c r="CA7" s="5" t="str">
        <f>IS!CA7</f>
        <v>CY2014A</v>
      </c>
      <c r="CB7" s="5" t="str">
        <f>IS!CB7</f>
        <v>CY2015A</v>
      </c>
      <c r="CC7" s="5" t="str">
        <f>IS!CC7</f>
        <v>CY2016A</v>
      </c>
      <c r="CD7" s="5" t="str">
        <f>IS!CD7</f>
        <v>CY2017A</v>
      </c>
      <c r="CE7" s="5" t="str">
        <f>IS!CE7</f>
        <v>CY2018E</v>
      </c>
      <c r="CF7" s="5" t="str">
        <f>IS!CF7</f>
        <v>CY2019E</v>
      </c>
      <c r="CG7" s="5" t="str">
        <f>IS!CG7</f>
        <v>CY2020E</v>
      </c>
      <c r="CH7" s="336"/>
    </row>
    <row r="8" spans="2:86" ht="15">
      <c r="B8" s="269" t="s">
        <v>344</v>
      </c>
      <c r="C8" s="103"/>
      <c r="D8" s="104">
        <f>IS!D8</f>
        <v>38107</v>
      </c>
      <c r="E8" s="9">
        <f>IS!E8</f>
        <v>38199</v>
      </c>
      <c r="F8" s="9">
        <f>IS!F8</f>
        <v>38291</v>
      </c>
      <c r="G8" s="9">
        <f>IS!G8</f>
        <v>38383</v>
      </c>
      <c r="H8" s="104">
        <f>IS!H8</f>
        <v>38472</v>
      </c>
      <c r="I8" s="9">
        <f>IS!I8</f>
        <v>38564</v>
      </c>
      <c r="J8" s="9">
        <f>IS!J8</f>
        <v>38656</v>
      </c>
      <c r="K8" s="9">
        <f>IS!K8</f>
        <v>38748</v>
      </c>
      <c r="L8" s="104">
        <f>IS!L8</f>
        <v>38837</v>
      </c>
      <c r="M8" s="9">
        <f>IS!M8</f>
        <v>38929</v>
      </c>
      <c r="N8" s="9">
        <f>IS!N8</f>
        <v>39021</v>
      </c>
      <c r="O8" s="9">
        <f>IS!O8</f>
        <v>39113</v>
      </c>
      <c r="P8" s="104">
        <f>IS!P8</f>
        <v>39202</v>
      </c>
      <c r="Q8" s="9">
        <f>IS!Q8</f>
        <v>39294</v>
      </c>
      <c r="R8" s="9">
        <f>IS!R8</f>
        <v>39386</v>
      </c>
      <c r="S8" s="9">
        <f>IS!S8</f>
        <v>39478</v>
      </c>
      <c r="T8" s="104">
        <f>IS!T8</f>
        <v>39568</v>
      </c>
      <c r="U8" s="9">
        <f>IS!U8</f>
        <v>39660</v>
      </c>
      <c r="V8" s="9">
        <f>IS!V8</f>
        <v>39752</v>
      </c>
      <c r="W8" s="9">
        <f>IS!W8</f>
        <v>39844</v>
      </c>
      <c r="X8" s="104">
        <f>IS!X8</f>
        <v>39933</v>
      </c>
      <c r="Y8" s="9">
        <f>IS!Y8</f>
        <v>40025</v>
      </c>
      <c r="Z8" s="9">
        <f>IS!Z8</f>
        <v>40117</v>
      </c>
      <c r="AA8" s="9">
        <f>IS!AA8</f>
        <v>40209</v>
      </c>
      <c r="AB8" s="104">
        <f>IS!AB8</f>
        <v>40298</v>
      </c>
      <c r="AC8" s="9">
        <f>IS!AC8</f>
        <v>40390</v>
      </c>
      <c r="AD8" s="9">
        <f>IS!AD8</f>
        <v>40482</v>
      </c>
      <c r="AE8" s="10">
        <f>IS!AE8</f>
        <v>40574</v>
      </c>
      <c r="AF8" s="104">
        <f>IS!AF8</f>
        <v>40663</v>
      </c>
      <c r="AG8" s="9">
        <f>IS!AG8</f>
        <v>40755</v>
      </c>
      <c r="AH8" s="9">
        <f>IS!AH8</f>
        <v>40847</v>
      </c>
      <c r="AI8" s="10">
        <f>IS!AI8</f>
        <v>40939</v>
      </c>
      <c r="AJ8" s="104">
        <f>IS!AJ8</f>
        <v>41029</v>
      </c>
      <c r="AK8" s="9">
        <f>IS!AK8</f>
        <v>41121</v>
      </c>
      <c r="AL8" s="9">
        <f>IS!AL8</f>
        <v>41213</v>
      </c>
      <c r="AM8" s="10">
        <f>IS!AM8</f>
        <v>41305</v>
      </c>
      <c r="AN8" s="104">
        <f>IS!AN8</f>
        <v>41394</v>
      </c>
      <c r="AO8" s="9">
        <f>IS!AO8</f>
        <v>41486</v>
      </c>
      <c r="AP8" s="9">
        <f>IS!AP8</f>
        <v>41578</v>
      </c>
      <c r="AQ8" s="10">
        <f>IS!AQ8</f>
        <v>41670</v>
      </c>
      <c r="AR8" s="104">
        <f>IS!AR8</f>
        <v>41759</v>
      </c>
      <c r="AS8" s="9">
        <f>IS!AS8</f>
        <v>41851</v>
      </c>
      <c r="AT8" s="9">
        <f>IS!AT8</f>
        <v>41943</v>
      </c>
      <c r="AU8" s="10">
        <f>IS!AU8</f>
        <v>42035</v>
      </c>
      <c r="AV8" s="104">
        <f>IS!AV8</f>
        <v>42124</v>
      </c>
      <c r="AW8" s="9">
        <f>IS!AW8</f>
        <v>42216</v>
      </c>
      <c r="AX8" s="9">
        <f>IS!AX8</f>
        <v>42308</v>
      </c>
      <c r="AY8" s="9">
        <f>IS!AY8</f>
        <v>42400</v>
      </c>
      <c r="AZ8" s="400">
        <f>IS!AZ8</f>
        <v>42490</v>
      </c>
      <c r="BA8" s="9">
        <f>IS!BA8</f>
        <v>42582</v>
      </c>
      <c r="BB8" s="515">
        <f>IS!BB8</f>
        <v>42674</v>
      </c>
      <c r="BC8" s="515">
        <f>IS!BC8</f>
        <v>42766</v>
      </c>
      <c r="BD8" s="400">
        <f>IS!BD8</f>
        <v>42855</v>
      </c>
      <c r="BE8" s="401">
        <f>IS!BE8</f>
        <v>42947</v>
      </c>
      <c r="BF8" s="515">
        <f>IS!BF8</f>
        <v>43039</v>
      </c>
      <c r="BG8" s="402">
        <f>IS!BG8</f>
        <v>43131</v>
      </c>
      <c r="BH8" s="514">
        <f>IS!BH8</f>
        <v>43220</v>
      </c>
      <c r="BI8" s="515">
        <f>IS!BI8</f>
        <v>43312</v>
      </c>
      <c r="BJ8" s="515">
        <f>IS!BJ8</f>
        <v>43404</v>
      </c>
      <c r="BK8" s="516">
        <f>IS!BK8</f>
        <v>43496</v>
      </c>
      <c r="BL8" s="514">
        <f>IS!BL8</f>
        <v>43585</v>
      </c>
      <c r="BM8" s="515">
        <f>IS!BM8</f>
        <v>43677</v>
      </c>
      <c r="BN8" s="515">
        <f>IS!BN8</f>
        <v>43769</v>
      </c>
      <c r="BO8" s="516">
        <f>IS!BO8</f>
        <v>43861</v>
      </c>
      <c r="BP8" s="347"/>
      <c r="BQ8" s="567">
        <f>IS!BQ8</f>
        <v>38383</v>
      </c>
      <c r="BR8" s="559">
        <f>IS!BR8</f>
        <v>38748</v>
      </c>
      <c r="BS8" s="559">
        <f>IS!BS8</f>
        <v>39113</v>
      </c>
      <c r="BT8" s="559">
        <f>IS!BT8</f>
        <v>39478</v>
      </c>
      <c r="BU8" s="559">
        <f>IS!BU8</f>
        <v>39844</v>
      </c>
      <c r="BV8" s="559">
        <f>IS!BV8</f>
        <v>40209</v>
      </c>
      <c r="BW8" s="559">
        <f>IS!BW8</f>
        <v>40574</v>
      </c>
      <c r="BX8" s="559">
        <f>IS!BX8</f>
        <v>40939</v>
      </c>
      <c r="BY8" s="559">
        <f>IS!BY8</f>
        <v>41305</v>
      </c>
      <c r="BZ8" s="9">
        <f>IS!BZ8</f>
        <v>41670</v>
      </c>
      <c r="CA8" s="9">
        <f>IS!CA8</f>
        <v>42035</v>
      </c>
      <c r="CB8" s="9">
        <f>IS!CB8</f>
        <v>42400</v>
      </c>
      <c r="CC8" s="9">
        <f>IS!CC8</f>
        <v>42766</v>
      </c>
      <c r="CD8" s="9">
        <f>IS!CD8</f>
        <v>43131</v>
      </c>
      <c r="CE8" s="559">
        <f>IS!CE8</f>
        <v>43496</v>
      </c>
      <c r="CF8" s="559">
        <f>IS!CF8</f>
        <v>43861</v>
      </c>
      <c r="CG8" s="559">
        <f>IS!CG8</f>
        <v>43861</v>
      </c>
      <c r="CH8" s="336"/>
    </row>
    <row r="9" spans="2:86" ht="15">
      <c r="B9" s="11"/>
      <c r="C9" s="12"/>
      <c r="D9" s="13" t="str">
        <f>IS!D9</f>
        <v>F1Q05A</v>
      </c>
      <c r="E9" s="14" t="str">
        <f>IS!E9</f>
        <v>F2Q05A</v>
      </c>
      <c r="F9" s="14" t="str">
        <f>IS!F9</f>
        <v>F3Q05A</v>
      </c>
      <c r="G9" s="15" t="str">
        <f>IS!G9</f>
        <v>F4Q05A</v>
      </c>
      <c r="H9" s="13" t="str">
        <f>IS!H9</f>
        <v>F1Q06A</v>
      </c>
      <c r="I9" s="14" t="str">
        <f>IS!I9</f>
        <v>F2Q06A</v>
      </c>
      <c r="J9" s="14" t="str">
        <f>IS!J9</f>
        <v>F3Q06A</v>
      </c>
      <c r="K9" s="15" t="str">
        <f>IS!K9</f>
        <v>F4Q06A</v>
      </c>
      <c r="L9" s="13" t="str">
        <f>IS!L9</f>
        <v>F1Q07A</v>
      </c>
      <c r="M9" s="14" t="str">
        <f>IS!M9</f>
        <v>F2Q07A</v>
      </c>
      <c r="N9" s="14" t="str">
        <f>IS!N9</f>
        <v>F3Q07A</v>
      </c>
      <c r="O9" s="15" t="str">
        <f>IS!O9</f>
        <v>F4Q07A</v>
      </c>
      <c r="P9" s="13" t="str">
        <f>IS!P9</f>
        <v>F1Q08A</v>
      </c>
      <c r="Q9" s="14" t="str">
        <f>IS!Q9</f>
        <v>F2Q08A</v>
      </c>
      <c r="R9" s="14" t="str">
        <f>IS!R9</f>
        <v>F3Q08A</v>
      </c>
      <c r="S9" s="15" t="str">
        <f>IS!S9</f>
        <v>F4Q08A</v>
      </c>
      <c r="T9" s="13" t="str">
        <f>IS!T9</f>
        <v>F1Q09A</v>
      </c>
      <c r="U9" s="14" t="str">
        <f>IS!U9</f>
        <v>F2Q09A</v>
      </c>
      <c r="V9" s="14" t="str">
        <f>IS!V9</f>
        <v>F3Q09A</v>
      </c>
      <c r="W9" s="15" t="str">
        <f>IS!W9</f>
        <v>F4Q09A</v>
      </c>
      <c r="X9" s="13" t="str">
        <f>IS!X9</f>
        <v>F1Q10A</v>
      </c>
      <c r="Y9" s="14" t="str">
        <f>IS!Y9</f>
        <v>F2Q10A</v>
      </c>
      <c r="Z9" s="14" t="str">
        <f>IS!Z9</f>
        <v>F3Q10A</v>
      </c>
      <c r="AA9" s="15" t="str">
        <f>IS!AA9</f>
        <v>F4Q10A</v>
      </c>
      <c r="AB9" s="13" t="str">
        <f>IS!AB9</f>
        <v>F1Q11A</v>
      </c>
      <c r="AC9" s="14" t="str">
        <f>IS!AC9</f>
        <v>F2Q11A</v>
      </c>
      <c r="AD9" s="14" t="str">
        <f>IS!AD9</f>
        <v>F3Q11A</v>
      </c>
      <c r="AE9" s="15" t="str">
        <f>IS!AE9</f>
        <v>F4Q11A</v>
      </c>
      <c r="AF9" s="13" t="str">
        <f>IS!AF9</f>
        <v>F1Q12A</v>
      </c>
      <c r="AG9" s="14" t="str">
        <f>IS!AG9</f>
        <v>F2Q12A</v>
      </c>
      <c r="AH9" s="14" t="str">
        <f>IS!AH9</f>
        <v>F3Q12A</v>
      </c>
      <c r="AI9" s="15" t="str">
        <f>IS!AI9</f>
        <v>F4Q12A</v>
      </c>
      <c r="AJ9" s="13" t="str">
        <f>IS!AJ9</f>
        <v>F1Q13A</v>
      </c>
      <c r="AK9" s="14" t="str">
        <f>IS!AK9</f>
        <v>F2Q13A</v>
      </c>
      <c r="AL9" s="14" t="str">
        <f>IS!AL9</f>
        <v>F3Q13A</v>
      </c>
      <c r="AM9" s="15" t="str">
        <f>IS!AM9</f>
        <v>F4Q13A</v>
      </c>
      <c r="AN9" s="13" t="str">
        <f>IS!AN9</f>
        <v>F1Q14A</v>
      </c>
      <c r="AO9" s="14" t="str">
        <f>IS!AO9</f>
        <v>F2Q14A</v>
      </c>
      <c r="AP9" s="14" t="str">
        <f>IS!AP9</f>
        <v>F3Q14A</v>
      </c>
      <c r="AQ9" s="15" t="str">
        <f>IS!AQ9</f>
        <v>F4Q14A</v>
      </c>
      <c r="AR9" s="13" t="str">
        <f>IS!AR9</f>
        <v>F1Q15A</v>
      </c>
      <c r="AS9" s="14" t="str">
        <f>IS!AS9</f>
        <v>F2Q15A</v>
      </c>
      <c r="AT9" s="14" t="str">
        <f>IS!AT9</f>
        <v>F3Q15A</v>
      </c>
      <c r="AU9" s="15" t="str">
        <f>IS!AU9</f>
        <v>F4Q15A</v>
      </c>
      <c r="AV9" s="13" t="str">
        <f>IS!AV9</f>
        <v>F1Q16A</v>
      </c>
      <c r="AW9" s="14" t="str">
        <f>IS!AW9</f>
        <v>F2Q16A</v>
      </c>
      <c r="AX9" s="14" t="str">
        <f>IS!AX9</f>
        <v>F3Q16A</v>
      </c>
      <c r="AY9" s="14" t="str">
        <f>IS!AY9</f>
        <v>F4Q16A</v>
      </c>
      <c r="AZ9" s="403" t="str">
        <f>IS!AZ9</f>
        <v>F1Q17A</v>
      </c>
      <c r="BA9" s="14" t="str">
        <f>IS!BA9</f>
        <v>F2Q17A</v>
      </c>
      <c r="BB9" s="537" t="str">
        <f>IS!BB9</f>
        <v>F3Q17A</v>
      </c>
      <c r="BC9" s="482" t="str">
        <f>IS!BC9</f>
        <v>F4Q17A</v>
      </c>
      <c r="BD9" s="481" t="str">
        <f>IS!BD9</f>
        <v>F1Q18A</v>
      </c>
      <c r="BE9" s="482" t="str">
        <f>IS!BE9</f>
        <v>F2Q18A</v>
      </c>
      <c r="BF9" s="482" t="str">
        <f>IS!BF9</f>
        <v>F3Q18A</v>
      </c>
      <c r="BG9" s="480" t="str">
        <f>IS!BG9</f>
        <v>F4Q18A</v>
      </c>
      <c r="BH9" s="481" t="str">
        <f>IS!BH9</f>
        <v>F1Q19E</v>
      </c>
      <c r="BI9" s="482" t="str">
        <f>IS!BI9</f>
        <v>F2Q19E</v>
      </c>
      <c r="BJ9" s="482" t="str">
        <f>IS!BJ9</f>
        <v>F3Q19E</v>
      </c>
      <c r="BK9" s="480" t="str">
        <f>IS!BK9</f>
        <v>F4Q19E</v>
      </c>
      <c r="BL9" s="481" t="str">
        <f>IS!BL9</f>
        <v>F1Q20E</v>
      </c>
      <c r="BM9" s="482" t="str">
        <f>IS!BM9</f>
        <v>F2Q20E</v>
      </c>
      <c r="BN9" s="482" t="str">
        <f>IS!BN9</f>
        <v>F3Q20E</v>
      </c>
      <c r="BO9" s="480" t="str">
        <f>IS!BO9</f>
        <v>F4Q20E</v>
      </c>
      <c r="BP9" s="347"/>
      <c r="BQ9" s="13" t="str">
        <f>IS!BQ9</f>
        <v>FY2005A</v>
      </c>
      <c r="BR9" s="560" t="str">
        <f>IS!BR9</f>
        <v>FY2006A</v>
      </c>
      <c r="BS9" s="560" t="str">
        <f>IS!BS9</f>
        <v>FY2007A</v>
      </c>
      <c r="BT9" s="560" t="str">
        <f>IS!BT9</f>
        <v>FY2008A</v>
      </c>
      <c r="BU9" s="560" t="str">
        <f>IS!BU9</f>
        <v>FY2009A</v>
      </c>
      <c r="BV9" s="560" t="str">
        <f>IS!BV9</f>
        <v>FY2010A</v>
      </c>
      <c r="BW9" s="560" t="str">
        <f>IS!BW9</f>
        <v>FY2011A</v>
      </c>
      <c r="BX9" s="560" t="str">
        <f>IS!BX9</f>
        <v>FY2012A</v>
      </c>
      <c r="BY9" s="560" t="str">
        <f>IS!BY9</f>
        <v>FY2013A</v>
      </c>
      <c r="BZ9" s="14" t="str">
        <f>IS!BZ9</f>
        <v>FY2014A</v>
      </c>
      <c r="CA9" s="14" t="str">
        <f>IS!CA9</f>
        <v>FY2015A</v>
      </c>
      <c r="CB9" s="14" t="str">
        <f>IS!CB9</f>
        <v>FY2016A</v>
      </c>
      <c r="CC9" s="14" t="str">
        <f>IS!CC9</f>
        <v>FY2017A</v>
      </c>
      <c r="CD9" s="14" t="str">
        <f>IS!CD9</f>
        <v>FY2018A</v>
      </c>
      <c r="CE9" s="560" t="str">
        <f>IS!CE9</f>
        <v>FY2019E</v>
      </c>
      <c r="CF9" s="560" t="str">
        <f>IS!CF9</f>
        <v>FY2020E</v>
      </c>
      <c r="CG9" s="718" t="str">
        <f>IS!CG9</f>
        <v>FY2021E</v>
      </c>
      <c r="CH9" s="336"/>
    </row>
    <row r="10" spans="2:86" ht="15">
      <c r="B10" s="105" t="s">
        <v>108</v>
      </c>
      <c r="C10" s="106"/>
      <c r="D10" s="107"/>
      <c r="E10" s="107"/>
      <c r="F10" s="107"/>
      <c r="G10" s="108"/>
      <c r="H10" s="107"/>
      <c r="I10" s="107"/>
      <c r="J10" s="107"/>
      <c r="K10" s="108"/>
      <c r="L10" s="107"/>
      <c r="M10" s="107"/>
      <c r="N10" s="107"/>
      <c r="O10" s="108"/>
      <c r="P10" s="107"/>
      <c r="Q10" s="107"/>
      <c r="R10" s="107"/>
      <c r="S10" s="108"/>
      <c r="T10" s="107"/>
      <c r="U10" s="107"/>
      <c r="V10" s="107"/>
      <c r="W10" s="108"/>
      <c r="X10" s="107"/>
      <c r="Y10" s="107"/>
      <c r="Z10" s="107"/>
      <c r="AA10" s="108"/>
      <c r="AB10" s="107"/>
      <c r="AC10" s="107"/>
      <c r="AD10" s="107"/>
      <c r="AE10" s="108"/>
      <c r="AF10" s="107"/>
      <c r="AG10" s="107"/>
      <c r="AH10" s="107"/>
      <c r="AI10" s="108"/>
      <c r="AJ10" s="107"/>
      <c r="AK10" s="107"/>
      <c r="AL10" s="107"/>
      <c r="AM10" s="108"/>
      <c r="AN10" s="107"/>
      <c r="AO10" s="107"/>
      <c r="AP10" s="107"/>
      <c r="AQ10" s="108"/>
      <c r="AR10" s="107"/>
      <c r="AS10" s="107"/>
      <c r="AT10" s="107"/>
      <c r="AU10" s="108"/>
      <c r="AV10" s="107"/>
      <c r="AW10" s="107"/>
      <c r="AX10" s="107"/>
      <c r="AY10" s="108"/>
      <c r="AZ10" s="107"/>
      <c r="BA10" s="107"/>
      <c r="BB10" s="126"/>
      <c r="BC10" s="108"/>
      <c r="BD10" s="483"/>
      <c r="BE10" s="126"/>
      <c r="BF10" s="126"/>
      <c r="BG10" s="108"/>
      <c r="BH10" s="483"/>
      <c r="BI10" s="126"/>
      <c r="BJ10" s="126"/>
      <c r="BK10" s="108"/>
      <c r="BL10" s="483"/>
      <c r="BM10" s="126"/>
      <c r="BN10" s="126"/>
      <c r="BO10" s="108"/>
      <c r="BP10" s="347"/>
      <c r="BQ10" s="336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  <c r="CC10" s="67"/>
      <c r="CD10" s="366"/>
      <c r="CE10" s="366"/>
      <c r="CF10" s="338"/>
      <c r="CG10" s="701"/>
      <c r="CH10" s="336"/>
    </row>
    <row r="11" spans="2:86" ht="14.25">
      <c r="B11" s="20" t="s">
        <v>109</v>
      </c>
      <c r="C11" s="21"/>
      <c r="D11" s="109">
        <v>245.875</v>
      </c>
      <c r="E11" s="109">
        <v>298.14100000000002</v>
      </c>
      <c r="F11" s="109">
        <v>391.83</v>
      </c>
      <c r="G11" s="101">
        <v>166.471</v>
      </c>
      <c r="H11" s="109">
        <v>182.976</v>
      </c>
      <c r="I11" s="109">
        <v>251.98699999999999</v>
      </c>
      <c r="J11" s="109">
        <v>464.85899999999998</v>
      </c>
      <c r="K11" s="101">
        <v>348.43099999999998</v>
      </c>
      <c r="L11" s="109">
        <v>529.38900000000001</v>
      </c>
      <c r="M11" s="109">
        <v>348.315</v>
      </c>
      <c r="N11" s="109">
        <v>839.44100000000003</v>
      </c>
      <c r="O11" s="101">
        <v>568.00800000000004</v>
      </c>
      <c r="P11" s="109">
        <v>464.49799999999999</v>
      </c>
      <c r="Q11" s="109">
        <v>404.17899999999997</v>
      </c>
      <c r="R11" s="109">
        <v>455.30099999999999</v>
      </c>
      <c r="S11" s="101">
        <v>615.64800000000002</v>
      </c>
      <c r="T11" s="109">
        <v>744.08399999999995</v>
      </c>
      <c r="U11" s="109">
        <v>859.30899999999997</v>
      </c>
      <c r="V11" s="109">
        <v>1020.0069999999999</v>
      </c>
      <c r="W11" s="101">
        <v>927.40899999999999</v>
      </c>
      <c r="X11" s="109">
        <v>1059.2049999999999</v>
      </c>
      <c r="Y11" s="109">
        <v>1254.807</v>
      </c>
      <c r="Z11" s="109">
        <v>1047.395</v>
      </c>
      <c r="AA11" s="101">
        <v>1105.4280000000001</v>
      </c>
      <c r="AB11" s="109">
        <v>1352.3389999999999</v>
      </c>
      <c r="AC11" s="109">
        <v>1330.152</v>
      </c>
      <c r="AD11" s="109">
        <v>1642.894</v>
      </c>
      <c r="AE11" s="101">
        <v>1847.0739999999996</v>
      </c>
      <c r="AF11" s="109">
        <v>782.40099999999995</v>
      </c>
      <c r="AG11" s="52">
        <v>862.96500000000003</v>
      </c>
      <c r="AH11" s="52">
        <v>850.94399999999996</v>
      </c>
      <c r="AI11" s="101">
        <v>784.90200000000004</v>
      </c>
      <c r="AJ11" s="109">
        <v>880.55899999999997</v>
      </c>
      <c r="AK11" s="52">
        <v>906.10799999999995</v>
      </c>
      <c r="AL11" s="52">
        <v>668.18399999999997</v>
      </c>
      <c r="AM11" s="101">
        <v>751.95299999999997</v>
      </c>
      <c r="AN11" s="109">
        <v>594.41999999999996</v>
      </c>
      <c r="AO11" s="52">
        <v>591.65499999999997</v>
      </c>
      <c r="AP11" s="52">
        <v>796.33</v>
      </c>
      <c r="AQ11" s="101">
        <v>965.75</v>
      </c>
      <c r="AR11" s="109">
        <v>1141.3040000000001</v>
      </c>
      <c r="AS11" s="52">
        <v>1332.5350000000001</v>
      </c>
      <c r="AT11" s="52">
        <v>1183.9929999999999</v>
      </c>
      <c r="AU11" s="101">
        <v>1210.9770000000001</v>
      </c>
      <c r="AV11" s="109">
        <v>1038.731</v>
      </c>
      <c r="AW11" s="52">
        <v>927.53</v>
      </c>
      <c r="AX11" s="52">
        <v>897.05299999999977</v>
      </c>
      <c r="AY11" s="101">
        <v>1278.1799999999998</v>
      </c>
      <c r="AZ11" s="109">
        <v>780.22199999999998</v>
      </c>
      <c r="BA11" s="52">
        <v>718.75199999999973</v>
      </c>
      <c r="BB11" s="52">
        <v>751.58799999999997</v>
      </c>
      <c r="BC11" s="101">
        <v>814.09199999999998</v>
      </c>
      <c r="BD11" s="109">
        <v>725.96199999999999</v>
      </c>
      <c r="BE11" s="52">
        <v>630.50099999999998</v>
      </c>
      <c r="BF11" s="52">
        <v>800.09900000000005</v>
      </c>
      <c r="BG11" s="101">
        <v>888.48199999999997</v>
      </c>
      <c r="BH11" s="85">
        <f>BG11+CFS!BH49</f>
        <v>1034.6594098336179</v>
      </c>
      <c r="BI11" s="85">
        <f>BH11+CFS!BI49</f>
        <v>1168.7632190306811</v>
      </c>
      <c r="BJ11" s="85">
        <f>BI11+CFS!BJ49</f>
        <v>1310.2485446007843</v>
      </c>
      <c r="BK11" s="86">
        <f>BJ11+CFS!BK49</f>
        <v>1465.6130188752918</v>
      </c>
      <c r="BL11" s="85">
        <f>BK11+CFS!BL49</f>
        <v>1636.1043862720903</v>
      </c>
      <c r="BM11" s="85">
        <f>BL11+CFS!BM49</f>
        <v>1770.2452454128666</v>
      </c>
      <c r="BN11" s="85">
        <f>BM11+CFS!BN49</f>
        <v>1918.1578997478464</v>
      </c>
      <c r="BO11" s="86">
        <f>BN11+CFS!BO49</f>
        <v>2081.4434188942</v>
      </c>
      <c r="BP11" s="347"/>
      <c r="BQ11" s="425">
        <f t="shared" ref="BQ11:BQ17" si="0">G11</f>
        <v>166.471</v>
      </c>
      <c r="BR11" s="426">
        <f t="shared" ref="BR11:BR17" si="1">K11</f>
        <v>348.43099999999998</v>
      </c>
      <c r="BS11" s="426">
        <f t="shared" ref="BS11:BS17" si="2">O11</f>
        <v>568.00800000000004</v>
      </c>
      <c r="BT11" s="426">
        <f t="shared" ref="BT11:BT17" si="3">S11</f>
        <v>615.64800000000002</v>
      </c>
      <c r="BU11" s="426">
        <f t="shared" ref="BU11:BU17" si="4">W11</f>
        <v>927.40899999999999</v>
      </c>
      <c r="BV11" s="426">
        <f t="shared" ref="BV11:BV17" si="5">AA11</f>
        <v>1105.4280000000001</v>
      </c>
      <c r="BW11" s="426">
        <f t="shared" ref="BW11:BW17" si="6">AE11</f>
        <v>1847.0739999999996</v>
      </c>
      <c r="BX11" s="426">
        <f t="shared" ref="BX11:BX17" si="7">AI11</f>
        <v>784.90200000000004</v>
      </c>
      <c r="BY11" s="426">
        <f t="shared" ref="BY11:BY17" si="8">AM11</f>
        <v>751.95299999999997</v>
      </c>
      <c r="BZ11" s="426">
        <f t="shared" ref="BZ11:BZ17" si="9">AQ11</f>
        <v>965.75</v>
      </c>
      <c r="CA11" s="426">
        <f t="shared" ref="CA11:CA17" si="10">AU11</f>
        <v>1210.9770000000001</v>
      </c>
      <c r="CB11" s="426">
        <f>AY11</f>
        <v>1278.1799999999998</v>
      </c>
      <c r="CC11" s="426">
        <f>BC11</f>
        <v>814.09199999999998</v>
      </c>
      <c r="CD11" s="545">
        <f t="shared" ref="CD11:CD17" si="11">BG11</f>
        <v>888.48199999999997</v>
      </c>
      <c r="CE11" s="545">
        <f t="shared" ref="CE11:CE17" si="12">BK11</f>
        <v>1465.6130188752918</v>
      </c>
      <c r="CF11" s="545">
        <f>BO11</f>
        <v>2081.4434188942</v>
      </c>
      <c r="CG11" s="545">
        <f>CF11+CFS!CG49</f>
        <v>2820.6273023480735</v>
      </c>
      <c r="CH11" s="336"/>
    </row>
    <row r="12" spans="2:86" ht="14.25" outlineLevel="1">
      <c r="B12" s="20" t="s">
        <v>198</v>
      </c>
      <c r="C12" s="21"/>
      <c r="D12" s="110">
        <v>0</v>
      </c>
      <c r="E12" s="110">
        <v>0</v>
      </c>
      <c r="F12" s="110">
        <v>0</v>
      </c>
      <c r="G12" s="111">
        <v>0</v>
      </c>
      <c r="H12" s="110">
        <v>0</v>
      </c>
      <c r="I12" s="110">
        <v>0</v>
      </c>
      <c r="J12" s="110">
        <v>0</v>
      </c>
      <c r="K12" s="111">
        <v>0</v>
      </c>
      <c r="L12" s="110">
        <v>0</v>
      </c>
      <c r="M12" s="110">
        <v>0</v>
      </c>
      <c r="N12" s="110">
        <v>0</v>
      </c>
      <c r="O12" s="111">
        <v>0</v>
      </c>
      <c r="P12" s="110">
        <v>0</v>
      </c>
      <c r="Q12" s="110">
        <v>0</v>
      </c>
      <c r="R12" s="110">
        <v>0</v>
      </c>
      <c r="S12" s="111">
        <v>0</v>
      </c>
      <c r="T12" s="110">
        <v>24.5</v>
      </c>
      <c r="U12" s="110">
        <v>24.5</v>
      </c>
      <c r="V12" s="110">
        <v>24.5</v>
      </c>
      <c r="W12" s="111">
        <v>24.5</v>
      </c>
      <c r="X12" s="110">
        <v>24.5</v>
      </c>
      <c r="Y12" s="110">
        <v>24.5</v>
      </c>
      <c r="Z12" s="110">
        <v>0</v>
      </c>
      <c r="AA12" s="111">
        <v>0</v>
      </c>
      <c r="AB12" s="110">
        <v>0</v>
      </c>
      <c r="AC12" s="110">
        <v>0</v>
      </c>
      <c r="AD12" s="110">
        <v>0</v>
      </c>
      <c r="AE12" s="111"/>
      <c r="AF12" s="110">
        <v>0</v>
      </c>
      <c r="AG12" s="321">
        <v>0</v>
      </c>
      <c r="AH12" s="321">
        <v>0</v>
      </c>
      <c r="AI12" s="111"/>
      <c r="AJ12" s="110">
        <v>0</v>
      </c>
      <c r="AK12" s="321">
        <v>0</v>
      </c>
      <c r="AL12" s="321">
        <v>0</v>
      </c>
      <c r="AM12" s="111"/>
      <c r="AN12" s="110">
        <v>0</v>
      </c>
      <c r="AO12" s="321">
        <v>0</v>
      </c>
      <c r="AP12" s="321">
        <v>0</v>
      </c>
      <c r="AQ12" s="111">
        <v>0</v>
      </c>
      <c r="AR12" s="110">
        <v>0</v>
      </c>
      <c r="AS12" s="321">
        <v>0</v>
      </c>
      <c r="AT12" s="321">
        <v>0</v>
      </c>
      <c r="AU12" s="111">
        <v>0</v>
      </c>
      <c r="AV12" s="110">
        <v>0</v>
      </c>
      <c r="AW12" s="321">
        <v>0</v>
      </c>
      <c r="AX12" s="321">
        <v>0</v>
      </c>
      <c r="AY12" s="111">
        <v>0</v>
      </c>
      <c r="AZ12" s="110">
        <v>0</v>
      </c>
      <c r="BA12" s="321">
        <v>0</v>
      </c>
      <c r="BB12" s="321">
        <v>0</v>
      </c>
      <c r="BC12" s="111">
        <v>0</v>
      </c>
      <c r="BD12" s="110">
        <v>0</v>
      </c>
      <c r="BE12" s="321">
        <v>0</v>
      </c>
      <c r="BF12" s="321">
        <v>0</v>
      </c>
      <c r="BG12" s="111">
        <v>0</v>
      </c>
      <c r="BH12" s="320">
        <f t="shared" ref="BH12:BH13" si="13">BG12</f>
        <v>0</v>
      </c>
      <c r="BI12" s="320">
        <f t="shared" ref="BI12:BI13" si="14">BH12</f>
        <v>0</v>
      </c>
      <c r="BJ12" s="320">
        <f t="shared" ref="BJ12:BJ13" si="15">BI12</f>
        <v>0</v>
      </c>
      <c r="BK12" s="314">
        <f t="shared" ref="BK12:BK13" si="16">BJ12</f>
        <v>0</v>
      </c>
      <c r="BL12" s="320">
        <f t="shared" ref="BL12:BL13" si="17">BK12</f>
        <v>0</v>
      </c>
      <c r="BM12" s="320">
        <f t="shared" ref="BM12:BM13" si="18">BL12</f>
        <v>0</v>
      </c>
      <c r="BN12" s="320">
        <f t="shared" ref="BN12:BN13" si="19">BM12</f>
        <v>0</v>
      </c>
      <c r="BO12" s="314">
        <f t="shared" ref="BO12:BO13" si="20">BN12</f>
        <v>0</v>
      </c>
      <c r="BP12" s="347"/>
      <c r="BQ12" s="319">
        <f t="shared" si="0"/>
        <v>0</v>
      </c>
      <c r="BR12" s="320">
        <f t="shared" si="1"/>
        <v>0</v>
      </c>
      <c r="BS12" s="320">
        <f t="shared" si="2"/>
        <v>0</v>
      </c>
      <c r="BT12" s="320">
        <f t="shared" si="3"/>
        <v>0</v>
      </c>
      <c r="BU12" s="320">
        <f t="shared" si="4"/>
        <v>24.5</v>
      </c>
      <c r="BV12" s="320">
        <f t="shared" si="5"/>
        <v>0</v>
      </c>
      <c r="BW12" s="320">
        <f t="shared" si="6"/>
        <v>0</v>
      </c>
      <c r="BX12" s="320">
        <f t="shared" si="7"/>
        <v>0</v>
      </c>
      <c r="BY12" s="320">
        <f t="shared" si="8"/>
        <v>0</v>
      </c>
      <c r="BZ12" s="320">
        <f t="shared" si="9"/>
        <v>0</v>
      </c>
      <c r="CA12" s="320">
        <f t="shared" si="10"/>
        <v>0</v>
      </c>
      <c r="CB12" s="320">
        <f t="shared" ref="CB12:CB17" si="21">AY12</f>
        <v>0</v>
      </c>
      <c r="CC12" s="320">
        <f t="shared" ref="CC12:CC17" si="22">BC12</f>
        <v>0</v>
      </c>
      <c r="CD12" s="320">
        <f t="shared" si="11"/>
        <v>0</v>
      </c>
      <c r="CE12" s="320">
        <f t="shared" si="12"/>
        <v>0</v>
      </c>
      <c r="CF12" s="320">
        <f t="shared" ref="CF12:CF17" si="23">BO12</f>
        <v>0</v>
      </c>
      <c r="CG12" s="320">
        <f>CF12</f>
        <v>0</v>
      </c>
      <c r="CH12" s="336"/>
    </row>
    <row r="13" spans="2:86" ht="14.25">
      <c r="B13" s="20" t="s">
        <v>150</v>
      </c>
      <c r="C13" s="21"/>
      <c r="D13" s="110">
        <v>175.53700000000001</v>
      </c>
      <c r="E13" s="110">
        <v>184.27699999999999</v>
      </c>
      <c r="F13" s="110">
        <v>185.46100000000001</v>
      </c>
      <c r="G13" s="111">
        <v>493.54300000000001</v>
      </c>
      <c r="H13" s="110">
        <v>543.79499999999996</v>
      </c>
      <c r="I13" s="110">
        <v>595.077</v>
      </c>
      <c r="J13" s="110">
        <v>450.00700000000001</v>
      </c>
      <c r="K13" s="111">
        <v>572.59100000000001</v>
      </c>
      <c r="L13" s="110">
        <v>392.02100000000002</v>
      </c>
      <c r="M13" s="110">
        <v>449.411</v>
      </c>
      <c r="N13" s="110">
        <v>36.231000000000002</v>
      </c>
      <c r="O13" s="111">
        <v>28.372</v>
      </c>
      <c r="P13" s="110">
        <v>128.44499999999999</v>
      </c>
      <c r="Q13" s="110">
        <v>92.269000000000005</v>
      </c>
      <c r="R13" s="110">
        <v>74.173000000000002</v>
      </c>
      <c r="S13" s="111">
        <v>15.254</v>
      </c>
      <c r="T13" s="110">
        <v>5.0579999999999998</v>
      </c>
      <c r="U13" s="110">
        <v>5.0890000000000004</v>
      </c>
      <c r="V13" s="110">
        <v>0</v>
      </c>
      <c r="W13" s="111">
        <v>0</v>
      </c>
      <c r="X13" s="110">
        <v>0</v>
      </c>
      <c r="Y13" s="110">
        <v>0</v>
      </c>
      <c r="Z13" s="110">
        <v>416.79199999999997</v>
      </c>
      <c r="AA13" s="111">
        <v>691.28899999999999</v>
      </c>
      <c r="AB13" s="110">
        <v>726.86400000000003</v>
      </c>
      <c r="AC13" s="110">
        <v>1049.799</v>
      </c>
      <c r="AD13" s="110">
        <v>1032.3789999999999</v>
      </c>
      <c r="AE13" s="111">
        <v>1082.9560000000006</v>
      </c>
      <c r="AF13" s="110">
        <v>1485.4380000000001</v>
      </c>
      <c r="AG13" s="321">
        <v>1536.8219999999997</v>
      </c>
      <c r="AH13" s="321">
        <v>1573.7539999999999</v>
      </c>
      <c r="AI13" s="111">
        <v>1461.596</v>
      </c>
      <c r="AJ13" s="110">
        <v>1322.1220000000001</v>
      </c>
      <c r="AK13" s="321">
        <v>1228.085</v>
      </c>
      <c r="AL13" s="321">
        <v>1348.615</v>
      </c>
      <c r="AM13" s="111">
        <v>1167.037</v>
      </c>
      <c r="AN13" s="110">
        <v>1138.223</v>
      </c>
      <c r="AO13" s="321">
        <v>1134.5429999999999</v>
      </c>
      <c r="AP13" s="321">
        <v>1007.7380000000001</v>
      </c>
      <c r="AQ13" s="111">
        <v>1003.655</v>
      </c>
      <c r="AR13" s="110">
        <v>1005.141</v>
      </c>
      <c r="AS13" s="321">
        <v>967.46900000000005</v>
      </c>
      <c r="AT13" s="321">
        <v>1218.7850000000001</v>
      </c>
      <c r="AU13" s="111">
        <v>1318.578</v>
      </c>
      <c r="AV13" s="110">
        <f>2500.915-AV11</f>
        <v>1462.184</v>
      </c>
      <c r="AW13" s="321">
        <v>1410.117</v>
      </c>
      <c r="AX13" s="321">
        <v>1406.6990000000001</v>
      </c>
      <c r="AY13" s="111">
        <v>1004.569</v>
      </c>
      <c r="AZ13" s="110">
        <f>1615.24-AZ11</f>
        <v>835.01800000000003</v>
      </c>
      <c r="BA13" s="321">
        <f>1624.009-BA11</f>
        <v>905.25700000000029</v>
      </c>
      <c r="BB13" s="321">
        <v>898.78399999999999</v>
      </c>
      <c r="BC13" s="111">
        <f>1668.36-BC11</f>
        <v>854.26799999999992</v>
      </c>
      <c r="BD13" s="110">
        <v>923.44899999999996</v>
      </c>
      <c r="BE13" s="321">
        <v>943.00599999999997</v>
      </c>
      <c r="BF13" s="321">
        <v>931.976</v>
      </c>
      <c r="BG13" s="111">
        <v>952.79</v>
      </c>
      <c r="BH13" s="320">
        <f t="shared" si="13"/>
        <v>952.79</v>
      </c>
      <c r="BI13" s="320">
        <f t="shared" si="14"/>
        <v>952.79</v>
      </c>
      <c r="BJ13" s="320">
        <f t="shared" si="15"/>
        <v>952.79</v>
      </c>
      <c r="BK13" s="314">
        <f t="shared" si="16"/>
        <v>952.79</v>
      </c>
      <c r="BL13" s="320">
        <f t="shared" si="17"/>
        <v>952.79</v>
      </c>
      <c r="BM13" s="320">
        <f t="shared" si="18"/>
        <v>952.79</v>
      </c>
      <c r="BN13" s="320">
        <f t="shared" si="19"/>
        <v>952.79</v>
      </c>
      <c r="BO13" s="314">
        <f t="shared" si="20"/>
        <v>952.79</v>
      </c>
      <c r="BP13" s="347"/>
      <c r="BQ13" s="319">
        <f t="shared" si="0"/>
        <v>493.54300000000001</v>
      </c>
      <c r="BR13" s="320">
        <f t="shared" si="1"/>
        <v>572.59100000000001</v>
      </c>
      <c r="BS13" s="320">
        <f t="shared" si="2"/>
        <v>28.372</v>
      </c>
      <c r="BT13" s="320">
        <f t="shared" si="3"/>
        <v>15.254</v>
      </c>
      <c r="BU13" s="320">
        <f t="shared" si="4"/>
        <v>0</v>
      </c>
      <c r="BV13" s="320">
        <f t="shared" si="5"/>
        <v>691.28899999999999</v>
      </c>
      <c r="BW13" s="320">
        <f t="shared" si="6"/>
        <v>1082.9560000000006</v>
      </c>
      <c r="BX13" s="320">
        <f t="shared" si="7"/>
        <v>1461.596</v>
      </c>
      <c r="BY13" s="320">
        <f t="shared" si="8"/>
        <v>1167.037</v>
      </c>
      <c r="BZ13" s="320">
        <f t="shared" si="9"/>
        <v>1003.655</v>
      </c>
      <c r="CA13" s="320">
        <f t="shared" si="10"/>
        <v>1318.578</v>
      </c>
      <c r="CB13" s="320">
        <f t="shared" si="21"/>
        <v>1004.569</v>
      </c>
      <c r="CC13" s="320">
        <f t="shared" si="22"/>
        <v>854.26799999999992</v>
      </c>
      <c r="CD13" s="320">
        <f t="shared" si="11"/>
        <v>952.79</v>
      </c>
      <c r="CE13" s="320">
        <f t="shared" si="12"/>
        <v>952.79</v>
      </c>
      <c r="CF13" s="320">
        <f t="shared" si="23"/>
        <v>952.79</v>
      </c>
      <c r="CG13" s="320">
        <f>CF13</f>
        <v>952.79</v>
      </c>
      <c r="CH13" s="336"/>
    </row>
    <row r="14" spans="2:86" ht="14.25">
      <c r="B14" s="20" t="s">
        <v>110</v>
      </c>
      <c r="C14" s="21"/>
      <c r="D14" s="110">
        <v>151.453</v>
      </c>
      <c r="E14" s="110">
        <v>161.107</v>
      </c>
      <c r="F14" s="110">
        <v>190.89400000000001</v>
      </c>
      <c r="G14" s="111">
        <v>200.95400000000001</v>
      </c>
      <c r="H14" s="110">
        <v>205.143</v>
      </c>
      <c r="I14" s="110">
        <v>210.209</v>
      </c>
      <c r="J14" s="110">
        <v>253.33699999999999</v>
      </c>
      <c r="K14" s="111">
        <v>245.16399999999999</v>
      </c>
      <c r="L14" s="110">
        <v>293.536</v>
      </c>
      <c r="M14" s="110">
        <v>342.78</v>
      </c>
      <c r="N14" s="110">
        <v>294.21600000000001</v>
      </c>
      <c r="O14" s="111">
        <v>328.28300000000002</v>
      </c>
      <c r="P14" s="110">
        <v>282.86500000000001</v>
      </c>
      <c r="Q14" s="110">
        <v>358.31200000000001</v>
      </c>
      <c r="R14" s="110">
        <v>386.54199999999997</v>
      </c>
      <c r="S14" s="111">
        <v>332.02</v>
      </c>
      <c r="T14" s="110">
        <v>370.17200000000003</v>
      </c>
      <c r="U14" s="110">
        <v>470.64600000000002</v>
      </c>
      <c r="V14" s="110">
        <v>397.83600000000001</v>
      </c>
      <c r="W14" s="111">
        <v>222.101</v>
      </c>
      <c r="X14" s="110">
        <v>285.36700000000002</v>
      </c>
      <c r="Y14" s="110">
        <v>328.46199999999999</v>
      </c>
      <c r="Z14" s="110">
        <v>394.31900000000002</v>
      </c>
      <c r="AA14" s="111">
        <v>356.79599999999999</v>
      </c>
      <c r="AB14" s="110">
        <v>448.69299999999998</v>
      </c>
      <c r="AC14" s="110">
        <v>490.755</v>
      </c>
      <c r="AD14" s="110">
        <v>467.97500000000002</v>
      </c>
      <c r="AE14" s="111">
        <v>459.40600000000001</v>
      </c>
      <c r="AF14" s="110">
        <v>425.46800000000002</v>
      </c>
      <c r="AG14" s="321">
        <v>405.75700000000001</v>
      </c>
      <c r="AH14" s="321">
        <v>451.108</v>
      </c>
      <c r="AI14" s="111">
        <v>407.26299999999998</v>
      </c>
      <c r="AJ14" s="110">
        <v>417.38200000000001</v>
      </c>
      <c r="AK14" s="321">
        <v>390.77199999999999</v>
      </c>
      <c r="AL14" s="321">
        <v>374.77</v>
      </c>
      <c r="AM14" s="111">
        <v>330.238</v>
      </c>
      <c r="AN14" s="110">
        <v>370.35</v>
      </c>
      <c r="AO14" s="321">
        <v>430.87400000000002</v>
      </c>
      <c r="AP14" s="321">
        <v>466.72899999999998</v>
      </c>
      <c r="AQ14" s="111">
        <v>453.49599999999998</v>
      </c>
      <c r="AR14" s="110">
        <v>517.07399999999996</v>
      </c>
      <c r="AS14" s="321">
        <v>498.48399999999998</v>
      </c>
      <c r="AT14" s="321">
        <v>445.05</v>
      </c>
      <c r="AU14" s="111">
        <v>420.95499999999998</v>
      </c>
      <c r="AV14" s="110">
        <v>393.81400000000002</v>
      </c>
      <c r="AW14" s="321">
        <v>417.721</v>
      </c>
      <c r="AX14" s="321">
        <v>380.928</v>
      </c>
      <c r="AY14" s="111">
        <v>323.3</v>
      </c>
      <c r="AZ14" s="110">
        <v>280.65800000000002</v>
      </c>
      <c r="BA14" s="321">
        <v>348.68299999999999</v>
      </c>
      <c r="BB14" s="321">
        <v>362.19499999999999</v>
      </c>
      <c r="BC14" s="111">
        <v>335.38400000000001</v>
      </c>
      <c r="BD14" s="110">
        <v>357.14699999999999</v>
      </c>
      <c r="BE14" s="321">
        <v>371.697</v>
      </c>
      <c r="BF14" s="321">
        <v>366.11399999999998</v>
      </c>
      <c r="BG14" s="111">
        <v>280.39499999999998</v>
      </c>
      <c r="BH14" s="320">
        <f t="shared" ref="BH14:BK14" si="24">BH56*BH49/91.25</f>
        <v>289.64362915068494</v>
      </c>
      <c r="BI14" s="320">
        <f t="shared" si="24"/>
        <v>298.79787746630137</v>
      </c>
      <c r="BJ14" s="320">
        <f t="shared" si="24"/>
        <v>307.62736729505752</v>
      </c>
      <c r="BK14" s="314">
        <f t="shared" si="24"/>
        <v>304.75596639116708</v>
      </c>
      <c r="BL14" s="320">
        <f t="shared" ref="BL14:BO14" si="25">BL56*BL49/91.25</f>
        <v>281.5552429309642</v>
      </c>
      <c r="BM14" s="320">
        <f t="shared" si="25"/>
        <v>299.50298719606246</v>
      </c>
      <c r="BN14" s="320">
        <f t="shared" si="25"/>
        <v>309.58608560496776</v>
      </c>
      <c r="BO14" s="314">
        <f t="shared" si="25"/>
        <v>305.98906804310911</v>
      </c>
      <c r="BP14" s="347"/>
      <c r="BQ14" s="319">
        <f t="shared" si="0"/>
        <v>200.95400000000001</v>
      </c>
      <c r="BR14" s="320">
        <f t="shared" si="1"/>
        <v>245.16399999999999</v>
      </c>
      <c r="BS14" s="320">
        <f t="shared" si="2"/>
        <v>328.28300000000002</v>
      </c>
      <c r="BT14" s="320">
        <f t="shared" si="3"/>
        <v>332.02</v>
      </c>
      <c r="BU14" s="320">
        <f t="shared" si="4"/>
        <v>222.101</v>
      </c>
      <c r="BV14" s="320">
        <f t="shared" si="5"/>
        <v>356.79599999999999</v>
      </c>
      <c r="BW14" s="320">
        <f t="shared" si="6"/>
        <v>459.40600000000001</v>
      </c>
      <c r="BX14" s="320">
        <f t="shared" si="7"/>
        <v>407.26299999999998</v>
      </c>
      <c r="BY14" s="320">
        <f t="shared" si="8"/>
        <v>330.238</v>
      </c>
      <c r="BZ14" s="320">
        <f t="shared" si="9"/>
        <v>453.49599999999998</v>
      </c>
      <c r="CA14" s="320">
        <f t="shared" si="10"/>
        <v>420.95499999999998</v>
      </c>
      <c r="CB14" s="320">
        <f t="shared" si="21"/>
        <v>323.3</v>
      </c>
      <c r="CC14" s="320">
        <f t="shared" si="22"/>
        <v>335.38400000000001</v>
      </c>
      <c r="CD14" s="320">
        <f t="shared" si="11"/>
        <v>280.39499999999998</v>
      </c>
      <c r="CE14" s="320">
        <f t="shared" si="12"/>
        <v>304.75596639116708</v>
      </c>
      <c r="CF14" s="320">
        <f t="shared" si="23"/>
        <v>305.98906804310911</v>
      </c>
      <c r="CG14" s="320">
        <f>CG56*CG49/365</f>
        <v>299.15834594377588</v>
      </c>
      <c r="CH14" s="336"/>
    </row>
    <row r="15" spans="2:86" ht="14.25">
      <c r="B15" s="20" t="s">
        <v>151</v>
      </c>
      <c r="C15" s="21"/>
      <c r="D15" s="110">
        <v>108.018</v>
      </c>
      <c r="E15" s="110">
        <v>97.106999999999999</v>
      </c>
      <c r="F15" s="110">
        <v>107.97799999999999</v>
      </c>
      <c r="G15" s="111">
        <v>128.88900000000001</v>
      </c>
      <c r="H15" s="110">
        <v>113.22499999999999</v>
      </c>
      <c r="I15" s="110">
        <v>114.187</v>
      </c>
      <c r="J15" s="110">
        <v>149.929</v>
      </c>
      <c r="K15" s="111">
        <v>211.374</v>
      </c>
      <c r="L15" s="110">
        <v>205.554</v>
      </c>
      <c r="M15" s="110">
        <v>231.096</v>
      </c>
      <c r="N15" s="110">
        <v>227.87200000000001</v>
      </c>
      <c r="O15" s="111">
        <v>247.40299999999999</v>
      </c>
      <c r="P15" s="110">
        <v>268.024</v>
      </c>
      <c r="Q15" s="110">
        <v>295.29199999999997</v>
      </c>
      <c r="R15" s="110">
        <v>381.50799999999998</v>
      </c>
      <c r="S15" s="111">
        <v>419.49400000000003</v>
      </c>
      <c r="T15" s="110">
        <v>369.959</v>
      </c>
      <c r="U15" s="110">
        <v>326.92399999999998</v>
      </c>
      <c r="V15" s="110">
        <v>339.53300000000002</v>
      </c>
      <c r="W15" s="111">
        <v>310.654</v>
      </c>
      <c r="X15" s="110">
        <v>203.59</v>
      </c>
      <c r="Y15" s="110">
        <v>211.38300000000001</v>
      </c>
      <c r="Z15" s="110">
        <v>239.209</v>
      </c>
      <c r="AA15" s="111">
        <v>241.541</v>
      </c>
      <c r="AB15" s="110">
        <v>206.643</v>
      </c>
      <c r="AC15" s="110">
        <v>239.32</v>
      </c>
      <c r="AD15" s="110">
        <v>227.93600000000001</v>
      </c>
      <c r="AE15" s="111">
        <v>245.44800000000001</v>
      </c>
      <c r="AF15" s="110">
        <v>299.108</v>
      </c>
      <c r="AG15" s="321">
        <v>322.005</v>
      </c>
      <c r="AH15" s="321">
        <v>309.96800000000002</v>
      </c>
      <c r="AI15" s="111">
        <v>354.11900000000003</v>
      </c>
      <c r="AJ15" s="110">
        <v>353.387</v>
      </c>
      <c r="AK15" s="321">
        <v>345.71199999999999</v>
      </c>
      <c r="AL15" s="321">
        <v>323.99700000000001</v>
      </c>
      <c r="AM15" s="111">
        <v>250.42</v>
      </c>
      <c r="AN15" s="110">
        <v>270.65199999999999</v>
      </c>
      <c r="AO15" s="321">
        <v>335.32</v>
      </c>
      <c r="AP15" s="321">
        <v>380.41199999999998</v>
      </c>
      <c r="AQ15" s="111">
        <v>347.86099999999999</v>
      </c>
      <c r="AR15" s="110">
        <v>350.649</v>
      </c>
      <c r="AS15" s="321">
        <v>393.95699999999999</v>
      </c>
      <c r="AT15" s="321">
        <v>356.41699999999997</v>
      </c>
      <c r="AU15" s="111">
        <v>308.16199999999998</v>
      </c>
      <c r="AV15" s="110">
        <v>339.85899999999998</v>
      </c>
      <c r="AW15" s="321">
        <v>327.10300000000001</v>
      </c>
      <c r="AX15" s="321">
        <v>279.35899999999998</v>
      </c>
      <c r="AY15" s="111">
        <v>210.017</v>
      </c>
      <c r="AZ15" s="110">
        <v>196.739</v>
      </c>
      <c r="BA15" s="321">
        <v>202.71700000000001</v>
      </c>
      <c r="BB15" s="321">
        <v>198.84299999999999</v>
      </c>
      <c r="BC15" s="111">
        <v>171.96899999999999</v>
      </c>
      <c r="BD15" s="110">
        <v>178.14500000000001</v>
      </c>
      <c r="BE15" s="321">
        <v>175.35499999999999</v>
      </c>
      <c r="BF15" s="321">
        <v>173.74100000000001</v>
      </c>
      <c r="BG15" s="111">
        <v>170.03899999999999</v>
      </c>
      <c r="BH15" s="320">
        <f t="shared" ref="BH15:BK15" si="26">BH57*BH51/91.25</f>
        <v>158.72971945066061</v>
      </c>
      <c r="BI15" s="320">
        <f t="shared" si="26"/>
        <v>162.66055439314701</v>
      </c>
      <c r="BJ15" s="320">
        <f t="shared" si="26"/>
        <v>166.34924215194877</v>
      </c>
      <c r="BK15" s="314">
        <f t="shared" si="26"/>
        <v>163.68903091720111</v>
      </c>
      <c r="BL15" s="320">
        <f t="shared" ref="BL15:BO15" si="27">BL57*BL51/91.25</f>
        <v>153.69750659031195</v>
      </c>
      <c r="BM15" s="320">
        <f t="shared" si="27"/>
        <v>162.82672152430078</v>
      </c>
      <c r="BN15" s="320">
        <f t="shared" si="27"/>
        <v>167.6177302935132</v>
      </c>
      <c r="BO15" s="314">
        <f t="shared" si="27"/>
        <v>164.98750715915102</v>
      </c>
      <c r="BP15" s="347"/>
      <c r="BQ15" s="319">
        <f t="shared" si="0"/>
        <v>128.88900000000001</v>
      </c>
      <c r="BR15" s="320">
        <f t="shared" si="1"/>
        <v>211.374</v>
      </c>
      <c r="BS15" s="320">
        <f t="shared" si="2"/>
        <v>247.40299999999999</v>
      </c>
      <c r="BT15" s="320">
        <f t="shared" si="3"/>
        <v>419.49400000000003</v>
      </c>
      <c r="BU15" s="320">
        <f t="shared" si="4"/>
        <v>310.654</v>
      </c>
      <c r="BV15" s="320">
        <f t="shared" si="5"/>
        <v>241.541</v>
      </c>
      <c r="BW15" s="320">
        <f t="shared" si="6"/>
        <v>245.44800000000001</v>
      </c>
      <c r="BX15" s="320">
        <f t="shared" si="7"/>
        <v>354.11900000000003</v>
      </c>
      <c r="BY15" s="320">
        <f t="shared" si="8"/>
        <v>250.42</v>
      </c>
      <c r="BZ15" s="320">
        <f t="shared" si="9"/>
        <v>347.86099999999999</v>
      </c>
      <c r="CA15" s="320">
        <f t="shared" si="10"/>
        <v>308.16199999999998</v>
      </c>
      <c r="CB15" s="320">
        <f t="shared" si="21"/>
        <v>210.017</v>
      </c>
      <c r="CC15" s="320">
        <f t="shared" si="22"/>
        <v>171.96899999999999</v>
      </c>
      <c r="CD15" s="320">
        <f t="shared" si="11"/>
        <v>170.03899999999999</v>
      </c>
      <c r="CE15" s="320">
        <f t="shared" si="12"/>
        <v>163.68903091720111</v>
      </c>
      <c r="CF15" s="320">
        <f t="shared" si="23"/>
        <v>164.98750715915102</v>
      </c>
      <c r="CG15" s="320">
        <f>CG57*CG51/365</f>
        <v>163.56554203355682</v>
      </c>
      <c r="CH15" s="336"/>
    </row>
    <row r="16" spans="2:86" ht="14.25">
      <c r="B16" s="20" t="s">
        <v>152</v>
      </c>
      <c r="C16" s="21"/>
      <c r="D16" s="110">
        <v>11.856</v>
      </c>
      <c r="E16" s="110">
        <v>11.144</v>
      </c>
      <c r="F16" s="110">
        <v>11.927</v>
      </c>
      <c r="G16" s="111">
        <v>15.144</v>
      </c>
      <c r="H16" s="110">
        <v>51.706000000000003</v>
      </c>
      <c r="I16" s="110">
        <v>72.456999999999994</v>
      </c>
      <c r="J16" s="110">
        <v>91.45</v>
      </c>
      <c r="K16" s="111">
        <v>104.307</v>
      </c>
      <c r="L16" s="110">
        <v>116.854</v>
      </c>
      <c r="M16" s="110">
        <v>107.05</v>
      </c>
      <c r="N16" s="110">
        <v>103.479</v>
      </c>
      <c r="O16" s="111">
        <v>170.12299999999999</v>
      </c>
      <c r="P16" s="110">
        <v>179.626</v>
      </c>
      <c r="Q16" s="110">
        <v>154.57599999999999</v>
      </c>
      <c r="R16" s="110">
        <v>113.339</v>
      </c>
      <c r="S16" s="111">
        <v>105.809</v>
      </c>
      <c r="T16" s="110">
        <v>81.25</v>
      </c>
      <c r="U16" s="110">
        <v>78.587000000000003</v>
      </c>
      <c r="V16" s="110">
        <v>63.835999999999999</v>
      </c>
      <c r="W16" s="111">
        <v>61.268000000000001</v>
      </c>
      <c r="X16" s="110">
        <v>52.655000000000001</v>
      </c>
      <c r="Y16" s="110">
        <v>56.387</v>
      </c>
      <c r="Z16" s="110">
        <v>58.412999999999997</v>
      </c>
      <c r="AA16" s="111">
        <v>62.527000000000001</v>
      </c>
      <c r="AB16" s="110">
        <v>54.676000000000002</v>
      </c>
      <c r="AC16" s="110">
        <v>64.081000000000003</v>
      </c>
      <c r="AD16" s="110">
        <v>70.394999999999996</v>
      </c>
      <c r="AE16" s="111">
        <v>77.763000000000005</v>
      </c>
      <c r="AF16" s="110">
        <v>80.153999999999996</v>
      </c>
      <c r="AG16" s="321">
        <v>60.024000000000001</v>
      </c>
      <c r="AH16" s="321">
        <v>61.741</v>
      </c>
      <c r="AI16" s="111">
        <v>71.081000000000003</v>
      </c>
      <c r="AJ16" s="110">
        <v>57.540999999999997</v>
      </c>
      <c r="AK16" s="321">
        <v>48.268999999999998</v>
      </c>
      <c r="AL16" s="321">
        <v>52.055</v>
      </c>
      <c r="AM16" s="111">
        <v>77.281999999999996</v>
      </c>
      <c r="AN16" s="110">
        <v>70.852999999999994</v>
      </c>
      <c r="AO16" s="321">
        <v>57.823999999999998</v>
      </c>
      <c r="AP16" s="321">
        <v>57.887999999999998</v>
      </c>
      <c r="AQ16" s="111">
        <v>56.951999999999998</v>
      </c>
      <c r="AR16" s="110">
        <v>56.938000000000002</v>
      </c>
      <c r="AS16" s="321">
        <v>79.275999999999996</v>
      </c>
      <c r="AT16" s="321">
        <v>64.790000000000006</v>
      </c>
      <c r="AU16" s="111">
        <v>68.14</v>
      </c>
      <c r="AV16" s="110">
        <f>AU16</f>
        <v>68.14</v>
      </c>
      <c r="AW16" s="321">
        <v>68.882999999999996</v>
      </c>
      <c r="AX16" s="321">
        <v>54.122999999999998</v>
      </c>
      <c r="AY16" s="111">
        <v>102.56</v>
      </c>
      <c r="AZ16" s="110">
        <v>57.139000000000003</v>
      </c>
      <c r="BA16" s="321">
        <v>54.87</v>
      </c>
      <c r="BB16" s="321">
        <v>49.731000000000002</v>
      </c>
      <c r="BC16" s="111">
        <f>45.846+58.771</f>
        <v>104.61699999999999</v>
      </c>
      <c r="BD16" s="110">
        <f>44.577+39.708</f>
        <v>84.284999999999997</v>
      </c>
      <c r="BE16" s="321">
        <f>46.491+41.896</f>
        <v>88.387</v>
      </c>
      <c r="BF16" s="321">
        <f>49.92+36.571</f>
        <v>86.491</v>
      </c>
      <c r="BG16" s="111">
        <f>41.482+30.767</f>
        <v>72.248999999999995</v>
      </c>
      <c r="BH16" s="320">
        <f t="shared" ref="BH16" si="28">BG58*BH53</f>
        <v>62.284905999999999</v>
      </c>
      <c r="BI16" s="320">
        <f t="shared" ref="BI16" si="29">BH58*BI53</f>
        <v>61.962728208082886</v>
      </c>
      <c r="BJ16" s="320">
        <f t="shared" ref="BJ16" si="30">BI58*BJ53</f>
        <v>62.06409833824091</v>
      </c>
      <c r="BK16" s="314">
        <f t="shared" ref="BK16" si="31">BJ58*BK53</f>
        <v>62.164781147441772</v>
      </c>
      <c r="BL16" s="320">
        <f t="shared" ref="BL16" si="32">BK58*BL53</f>
        <v>61.951129440026264</v>
      </c>
      <c r="BM16" s="320">
        <f t="shared" ref="BM16" si="33">BL58*BM53</f>
        <v>61.24378653359107</v>
      </c>
      <c r="BN16" s="320">
        <f t="shared" ref="BN16" si="34">BM58*BN53</f>
        <v>61.561955734101261</v>
      </c>
      <c r="BO16" s="314">
        <f t="shared" ref="BO16" si="35">BN58*BO53</f>
        <v>61.692883239809056</v>
      </c>
      <c r="BP16" s="347"/>
      <c r="BQ16" s="319">
        <f t="shared" si="0"/>
        <v>15.144</v>
      </c>
      <c r="BR16" s="320">
        <f t="shared" si="1"/>
        <v>104.307</v>
      </c>
      <c r="BS16" s="320">
        <f t="shared" si="2"/>
        <v>170.12299999999999</v>
      </c>
      <c r="BT16" s="320">
        <f t="shared" si="3"/>
        <v>105.809</v>
      </c>
      <c r="BU16" s="320">
        <f t="shared" si="4"/>
        <v>61.268000000000001</v>
      </c>
      <c r="BV16" s="320">
        <f t="shared" si="5"/>
        <v>62.527000000000001</v>
      </c>
      <c r="BW16" s="320">
        <f t="shared" si="6"/>
        <v>77.763000000000005</v>
      </c>
      <c r="BX16" s="320">
        <f t="shared" si="7"/>
        <v>71.081000000000003</v>
      </c>
      <c r="BY16" s="320">
        <f t="shared" si="8"/>
        <v>77.281999999999996</v>
      </c>
      <c r="BZ16" s="320">
        <f t="shared" si="9"/>
        <v>56.951999999999998</v>
      </c>
      <c r="CA16" s="320">
        <f t="shared" si="10"/>
        <v>68.14</v>
      </c>
      <c r="CB16" s="320">
        <f t="shared" si="21"/>
        <v>102.56</v>
      </c>
      <c r="CC16" s="320">
        <f t="shared" si="22"/>
        <v>104.61699999999999</v>
      </c>
      <c r="CD16" s="320">
        <f t="shared" si="11"/>
        <v>72.248999999999995</v>
      </c>
      <c r="CE16" s="320">
        <f t="shared" si="12"/>
        <v>62.164781147441772</v>
      </c>
      <c r="CF16" s="320">
        <f t="shared" si="23"/>
        <v>61.692883239809056</v>
      </c>
      <c r="CG16" s="320">
        <f>CF58*CG53</f>
        <v>61.453644350798534</v>
      </c>
      <c r="CH16" s="336"/>
    </row>
    <row r="17" spans="2:86" ht="14.25">
      <c r="B17" s="168" t="s">
        <v>153</v>
      </c>
      <c r="C17" s="169"/>
      <c r="D17" s="171">
        <v>6.5469999999999997</v>
      </c>
      <c r="E17" s="110">
        <v>6.5469999999999997</v>
      </c>
      <c r="F17" s="110">
        <v>6.5469999999999997</v>
      </c>
      <c r="G17" s="111">
        <v>12.792999999999999</v>
      </c>
      <c r="H17" s="171">
        <v>12.792999999999999</v>
      </c>
      <c r="I17" s="110">
        <v>12.792999999999999</v>
      </c>
      <c r="J17" s="110">
        <v>12.792999999999999</v>
      </c>
      <c r="K17" s="111">
        <v>3.9449999999999998</v>
      </c>
      <c r="L17" s="171">
        <v>3.9449999999999998</v>
      </c>
      <c r="M17" s="110">
        <v>3.9449999999999998</v>
      </c>
      <c r="N17" s="110">
        <v>3.9449999999999998</v>
      </c>
      <c r="O17" s="111">
        <v>5.8460000000000001</v>
      </c>
      <c r="P17" s="171">
        <v>5.8460000000000001</v>
      </c>
      <c r="Q17" s="110">
        <v>6.0490000000000004</v>
      </c>
      <c r="R17" s="110">
        <v>6.0490000000000004</v>
      </c>
      <c r="S17" s="111">
        <v>15.516</v>
      </c>
      <c r="T17" s="171">
        <v>15.516</v>
      </c>
      <c r="U17" s="110">
        <v>15.516</v>
      </c>
      <c r="V17" s="110">
        <v>15.516</v>
      </c>
      <c r="W17" s="111">
        <v>14.382999999999999</v>
      </c>
      <c r="X17" s="110">
        <v>14.382999999999999</v>
      </c>
      <c r="Y17" s="110">
        <v>14.382999999999999</v>
      </c>
      <c r="Z17" s="110">
        <v>14.382999999999999</v>
      </c>
      <c r="AA17" s="111">
        <v>7.9640000000000004</v>
      </c>
      <c r="AB17" s="110">
        <v>7.9640000000000004</v>
      </c>
      <c r="AC17" s="110">
        <v>7.9640000000000004</v>
      </c>
      <c r="AD17" s="110">
        <v>8.1809999999999992</v>
      </c>
      <c r="AE17" s="111">
        <v>0</v>
      </c>
      <c r="AF17" s="110">
        <v>0</v>
      </c>
      <c r="AG17" s="321">
        <v>10.818</v>
      </c>
      <c r="AH17" s="321">
        <v>0</v>
      </c>
      <c r="AI17" s="111">
        <v>0</v>
      </c>
      <c r="AJ17" s="110">
        <v>10.635</v>
      </c>
      <c r="AK17" s="321">
        <v>10.635</v>
      </c>
      <c r="AL17" s="321">
        <v>10.209</v>
      </c>
      <c r="AM17" s="111">
        <v>8.4160000000000004</v>
      </c>
      <c r="AN17" s="110">
        <v>8.4160000000000004</v>
      </c>
      <c r="AO17" s="321">
        <v>8.4139999999999997</v>
      </c>
      <c r="AP17" s="321">
        <v>8.5619999999999994</v>
      </c>
      <c r="AQ17" s="111">
        <v>11.506</v>
      </c>
      <c r="AR17" s="110">
        <v>15.877000000000001</v>
      </c>
      <c r="AS17" s="321">
        <v>17.285</v>
      </c>
      <c r="AT17" s="321">
        <v>17.327000000000002</v>
      </c>
      <c r="AU17" s="111">
        <v>17.228000000000002</v>
      </c>
      <c r="AV17" s="110">
        <f>91.151-AV16</f>
        <v>23.010999999999996</v>
      </c>
      <c r="AW17" s="321">
        <v>17.222999999999999</v>
      </c>
      <c r="AX17" s="321">
        <v>17.327000000000002</v>
      </c>
      <c r="AY17" s="111">
        <v>0</v>
      </c>
      <c r="AZ17" s="110">
        <v>0</v>
      </c>
      <c r="BA17" s="321">
        <v>0</v>
      </c>
      <c r="BB17" s="321">
        <v>0</v>
      </c>
      <c r="BC17" s="111">
        <v>0</v>
      </c>
      <c r="BD17" s="110">
        <v>0</v>
      </c>
      <c r="BE17" s="321">
        <v>0</v>
      </c>
      <c r="BF17" s="321">
        <v>0</v>
      </c>
      <c r="BG17" s="111">
        <v>0</v>
      </c>
      <c r="BH17" s="320">
        <f t="shared" ref="BH17" si="36">BG17</f>
        <v>0</v>
      </c>
      <c r="BI17" s="320">
        <f t="shared" ref="BI17" si="37">BH17</f>
        <v>0</v>
      </c>
      <c r="BJ17" s="320">
        <f t="shared" ref="BJ17" si="38">BI17</f>
        <v>0</v>
      </c>
      <c r="BK17" s="314">
        <f t="shared" ref="BK17" si="39">BJ17</f>
        <v>0</v>
      </c>
      <c r="BL17" s="320">
        <f t="shared" ref="BL17" si="40">BK17</f>
        <v>0</v>
      </c>
      <c r="BM17" s="320">
        <f t="shared" ref="BM17" si="41">BL17</f>
        <v>0</v>
      </c>
      <c r="BN17" s="320">
        <f t="shared" ref="BN17" si="42">BM17</f>
        <v>0</v>
      </c>
      <c r="BO17" s="314">
        <f t="shared" ref="BO17" si="43">BN17</f>
        <v>0</v>
      </c>
      <c r="BP17" s="347"/>
      <c r="BQ17" s="319">
        <f t="shared" si="0"/>
        <v>12.792999999999999</v>
      </c>
      <c r="BR17" s="320">
        <f t="shared" si="1"/>
        <v>3.9449999999999998</v>
      </c>
      <c r="BS17" s="320">
        <f t="shared" si="2"/>
        <v>5.8460000000000001</v>
      </c>
      <c r="BT17" s="320">
        <f t="shared" si="3"/>
        <v>15.516</v>
      </c>
      <c r="BU17" s="320">
        <f t="shared" si="4"/>
        <v>14.382999999999999</v>
      </c>
      <c r="BV17" s="320">
        <f t="shared" si="5"/>
        <v>7.9640000000000004</v>
      </c>
      <c r="BW17" s="320">
        <f t="shared" si="6"/>
        <v>0</v>
      </c>
      <c r="BX17" s="320">
        <f t="shared" si="7"/>
        <v>0</v>
      </c>
      <c r="BY17" s="320">
        <f t="shared" si="8"/>
        <v>8.4160000000000004</v>
      </c>
      <c r="BZ17" s="320">
        <f t="shared" si="9"/>
        <v>11.506</v>
      </c>
      <c r="CA17" s="320">
        <f t="shared" si="10"/>
        <v>17.228000000000002</v>
      </c>
      <c r="CB17" s="320">
        <f t="shared" si="21"/>
        <v>0</v>
      </c>
      <c r="CC17" s="320">
        <f t="shared" si="22"/>
        <v>0</v>
      </c>
      <c r="CD17" s="320">
        <f t="shared" si="11"/>
        <v>0</v>
      </c>
      <c r="CE17" s="320">
        <f t="shared" si="12"/>
        <v>0</v>
      </c>
      <c r="CF17" s="320">
        <f t="shared" si="23"/>
        <v>0</v>
      </c>
      <c r="CG17" s="320">
        <f>CF17</f>
        <v>0</v>
      </c>
      <c r="CH17" s="336"/>
    </row>
    <row r="18" spans="2:86" ht="15">
      <c r="B18" s="112" t="s">
        <v>111</v>
      </c>
      <c r="C18" s="113"/>
      <c r="D18" s="170">
        <f t="shared" ref="D18:AE18" si="44">SUM(D11:D17)</f>
        <v>699.28600000000006</v>
      </c>
      <c r="E18" s="115">
        <f t="shared" si="44"/>
        <v>758.32299999999998</v>
      </c>
      <c r="F18" s="115">
        <f t="shared" si="44"/>
        <v>894.63699999999994</v>
      </c>
      <c r="G18" s="116">
        <f t="shared" si="44"/>
        <v>1017.7940000000001</v>
      </c>
      <c r="H18" s="170">
        <f t="shared" si="44"/>
        <v>1109.6379999999997</v>
      </c>
      <c r="I18" s="115">
        <f t="shared" si="44"/>
        <v>1256.7099999999998</v>
      </c>
      <c r="J18" s="115">
        <f t="shared" si="44"/>
        <v>1422.375</v>
      </c>
      <c r="K18" s="116">
        <f t="shared" si="44"/>
        <v>1485.8119999999999</v>
      </c>
      <c r="L18" s="170">
        <f t="shared" si="44"/>
        <v>1541.2990000000002</v>
      </c>
      <c r="M18" s="115">
        <f t="shared" si="44"/>
        <v>1482.5969999999998</v>
      </c>
      <c r="N18" s="115">
        <f t="shared" si="44"/>
        <v>1505.184</v>
      </c>
      <c r="O18" s="116">
        <f t="shared" si="44"/>
        <v>1348.0350000000001</v>
      </c>
      <c r="P18" s="170">
        <f t="shared" si="44"/>
        <v>1329.3039999999999</v>
      </c>
      <c r="Q18" s="115">
        <f t="shared" si="44"/>
        <v>1310.6769999999999</v>
      </c>
      <c r="R18" s="115">
        <f t="shared" si="44"/>
        <v>1416.9119999999998</v>
      </c>
      <c r="S18" s="116">
        <f t="shared" si="44"/>
        <v>1503.7410000000002</v>
      </c>
      <c r="T18" s="170">
        <f t="shared" si="44"/>
        <v>1610.539</v>
      </c>
      <c r="U18" s="115">
        <f t="shared" si="44"/>
        <v>1780.5710000000001</v>
      </c>
      <c r="V18" s="115">
        <f t="shared" si="44"/>
        <v>1861.2280000000003</v>
      </c>
      <c r="W18" s="116">
        <f t="shared" si="44"/>
        <v>1560.3150000000001</v>
      </c>
      <c r="X18" s="114">
        <f t="shared" si="44"/>
        <v>1639.6999999999998</v>
      </c>
      <c r="Y18" s="115">
        <f t="shared" si="44"/>
        <v>1889.922</v>
      </c>
      <c r="Z18" s="115">
        <f t="shared" si="44"/>
        <v>2170.5109999999995</v>
      </c>
      <c r="AA18" s="116">
        <f t="shared" si="44"/>
        <v>2465.5450000000001</v>
      </c>
      <c r="AB18" s="115">
        <f t="shared" si="44"/>
        <v>2797.1789999999996</v>
      </c>
      <c r="AC18" s="115">
        <f t="shared" si="44"/>
        <v>3182.0710000000004</v>
      </c>
      <c r="AD18" s="115">
        <f t="shared" si="44"/>
        <v>3449.76</v>
      </c>
      <c r="AE18" s="116">
        <f t="shared" si="44"/>
        <v>3712.6469999999999</v>
      </c>
      <c r="AF18" s="115">
        <f t="shared" ref="AF18:AU18" si="45">SUM(AF11:AF17)</f>
        <v>3072.569</v>
      </c>
      <c r="AG18" s="115">
        <f t="shared" si="45"/>
        <v>3198.3910000000001</v>
      </c>
      <c r="AH18" s="115">
        <f t="shared" si="45"/>
        <v>3247.5149999999999</v>
      </c>
      <c r="AI18" s="116">
        <f t="shared" si="45"/>
        <v>3078.9610000000002</v>
      </c>
      <c r="AJ18" s="115">
        <f t="shared" si="45"/>
        <v>3041.6260000000007</v>
      </c>
      <c r="AK18" s="115">
        <f t="shared" si="45"/>
        <v>2929.5810000000001</v>
      </c>
      <c r="AL18" s="115">
        <f t="shared" si="45"/>
        <v>2777.8299999999995</v>
      </c>
      <c r="AM18" s="116">
        <f t="shared" si="45"/>
        <v>2585.3460000000005</v>
      </c>
      <c r="AN18" s="115">
        <f t="shared" si="45"/>
        <v>2452.9140000000002</v>
      </c>
      <c r="AO18" s="115">
        <f t="shared" si="45"/>
        <v>2558.6300000000006</v>
      </c>
      <c r="AP18" s="115">
        <f t="shared" si="45"/>
        <v>2717.6589999999997</v>
      </c>
      <c r="AQ18" s="116">
        <f>SUM(AQ11:AQ17)</f>
        <v>2839.22</v>
      </c>
      <c r="AR18" s="115">
        <f t="shared" si="45"/>
        <v>3086.9830000000002</v>
      </c>
      <c r="AS18" s="115">
        <f>SUM(AS11:AS17)</f>
        <v>3289.0059999999994</v>
      </c>
      <c r="AT18" s="115">
        <f>SUM(AT11:AT17)</f>
        <v>3286.3620000000005</v>
      </c>
      <c r="AU18" s="116">
        <f t="shared" si="45"/>
        <v>3344.04</v>
      </c>
      <c r="AV18" s="115">
        <f>SUM(AV11:AV17)</f>
        <v>3325.7389999999996</v>
      </c>
      <c r="AW18" s="115">
        <f>SUM(AW11:AW17)</f>
        <v>3168.5769999999998</v>
      </c>
      <c r="AX18" s="115">
        <f t="shared" ref="AX18:AY18" si="46">SUM(AX11:AX17)</f>
        <v>3035.489</v>
      </c>
      <c r="AY18" s="116">
        <f t="shared" si="46"/>
        <v>2918.6259999999997</v>
      </c>
      <c r="AZ18" s="115">
        <f>SUM(AZ11:AZ17)</f>
        <v>2149.7760000000003</v>
      </c>
      <c r="BA18" s="115">
        <f>SUM(BA11:BA17)</f>
        <v>2230.279</v>
      </c>
      <c r="BB18" s="115">
        <f t="shared" ref="BB18:BC18" si="47">SUM(BB11:BB17)</f>
        <v>2261.1410000000001</v>
      </c>
      <c r="BC18" s="116">
        <f t="shared" si="47"/>
        <v>2280.33</v>
      </c>
      <c r="BD18" s="115">
        <f>SUM(BD11:BD17)</f>
        <v>2268.9879999999998</v>
      </c>
      <c r="BE18" s="115">
        <f>SUM(BE11:BE17)</f>
        <v>2208.9460000000004</v>
      </c>
      <c r="BF18" s="115">
        <f t="shared" ref="BF18:BG18" si="48">SUM(BF11:BF17)</f>
        <v>2358.4209999999998</v>
      </c>
      <c r="BG18" s="116">
        <f t="shared" si="48"/>
        <v>2363.9549999999999</v>
      </c>
      <c r="BH18" s="115">
        <f t="shared" ref="BH18:BK18" si="49">SUM(BH11:BH17)</f>
        <v>2498.1076644349632</v>
      </c>
      <c r="BI18" s="115">
        <f t="shared" si="49"/>
        <v>2644.9743790982125</v>
      </c>
      <c r="BJ18" s="115">
        <f t="shared" si="49"/>
        <v>2799.0792523860309</v>
      </c>
      <c r="BK18" s="116">
        <f t="shared" si="49"/>
        <v>2949.0127973311019</v>
      </c>
      <c r="BL18" s="115">
        <f t="shared" ref="BL18:BO18" si="50">SUM(BL11:BL17)</f>
        <v>3086.0982652333928</v>
      </c>
      <c r="BM18" s="115">
        <f t="shared" si="50"/>
        <v>3246.6087406668207</v>
      </c>
      <c r="BN18" s="115">
        <f t="shared" si="50"/>
        <v>3409.713671380428</v>
      </c>
      <c r="BO18" s="116">
        <f t="shared" si="50"/>
        <v>3566.9028773362688</v>
      </c>
      <c r="BP18" s="347"/>
      <c r="BQ18" s="114">
        <f>SUM(BQ11:BQ17)</f>
        <v>1017.7940000000001</v>
      </c>
      <c r="BR18" s="115">
        <f t="shared" ref="BR18:BW18" si="51">SUM(BR11:BR17)</f>
        <v>1485.8119999999999</v>
      </c>
      <c r="BS18" s="115">
        <f t="shared" si="51"/>
        <v>1348.0350000000001</v>
      </c>
      <c r="BT18" s="115">
        <f t="shared" si="51"/>
        <v>1503.7410000000002</v>
      </c>
      <c r="BU18" s="115">
        <f t="shared" si="51"/>
        <v>1560.3150000000001</v>
      </c>
      <c r="BV18" s="115">
        <f t="shared" si="51"/>
        <v>2465.5450000000001</v>
      </c>
      <c r="BW18" s="115">
        <f t="shared" si="51"/>
        <v>3712.6469999999999</v>
      </c>
      <c r="BX18" s="115">
        <f t="shared" ref="BX18:CA18" si="52">SUM(BX11:BX17)</f>
        <v>3078.9610000000002</v>
      </c>
      <c r="BY18" s="115">
        <f t="shared" si="52"/>
        <v>2585.3460000000005</v>
      </c>
      <c r="BZ18" s="115">
        <f t="shared" si="52"/>
        <v>2839.22</v>
      </c>
      <c r="CA18" s="115">
        <f t="shared" si="52"/>
        <v>3344.04</v>
      </c>
      <c r="CB18" s="115">
        <f>SUM(CB11:CB17)</f>
        <v>2918.6259999999997</v>
      </c>
      <c r="CC18" s="115">
        <f>SUM(CC11:CC17)</f>
        <v>2280.33</v>
      </c>
      <c r="CD18" s="115">
        <f>SUM(CD11:CD17)</f>
        <v>2363.9549999999999</v>
      </c>
      <c r="CE18" s="115">
        <f>SUM(CE11:CE17)</f>
        <v>2949.0127973311019</v>
      </c>
      <c r="CF18" s="115">
        <f>SUM(CF11:CF17)</f>
        <v>3566.9028773362688</v>
      </c>
      <c r="CG18" s="115">
        <f t="shared" ref="CG18" si="53">SUM(CG11:CG17)</f>
        <v>4297.5948346762052</v>
      </c>
      <c r="CH18" s="336"/>
    </row>
    <row r="19" spans="2:86" ht="14.25">
      <c r="B19" s="16"/>
      <c r="C19" s="17"/>
      <c r="D19" s="110"/>
      <c r="E19" s="110"/>
      <c r="F19" s="110"/>
      <c r="G19" s="111"/>
      <c r="H19" s="110"/>
      <c r="I19" s="110"/>
      <c r="J19" s="110"/>
      <c r="K19" s="111"/>
      <c r="L19" s="110"/>
      <c r="M19" s="110"/>
      <c r="N19" s="110"/>
      <c r="O19" s="111"/>
      <c r="P19" s="110"/>
      <c r="Q19" s="110"/>
      <c r="R19" s="110"/>
      <c r="S19" s="111"/>
      <c r="T19" s="110"/>
      <c r="U19" s="110"/>
      <c r="V19" s="110"/>
      <c r="W19" s="111"/>
      <c r="X19" s="110"/>
      <c r="Y19" s="110"/>
      <c r="Z19" s="110"/>
      <c r="AA19" s="111"/>
      <c r="AB19" s="110"/>
      <c r="AC19" s="110"/>
      <c r="AD19" s="110"/>
      <c r="AE19" s="111"/>
      <c r="AF19" s="110"/>
      <c r="AG19" s="321"/>
      <c r="AH19" s="321"/>
      <c r="AI19" s="111"/>
      <c r="AJ19" s="110"/>
      <c r="AK19" s="321"/>
      <c r="AL19" s="321"/>
      <c r="AM19" s="111"/>
      <c r="AN19" s="110"/>
      <c r="AO19" s="321"/>
      <c r="AP19" s="321"/>
      <c r="AQ19" s="111"/>
      <c r="AR19" s="110"/>
      <c r="AS19" s="321"/>
      <c r="AT19" s="321"/>
      <c r="AU19" s="111"/>
      <c r="AV19" s="110"/>
      <c r="AW19" s="321"/>
      <c r="AX19" s="321"/>
      <c r="AY19" s="111"/>
      <c r="AZ19" s="110"/>
      <c r="BA19" s="321"/>
      <c r="BB19" s="321"/>
      <c r="BC19" s="111"/>
      <c r="BD19" s="110"/>
      <c r="BE19" s="321"/>
      <c r="BF19" s="321"/>
      <c r="BG19" s="111"/>
      <c r="BH19" s="321"/>
      <c r="BI19" s="321"/>
      <c r="BJ19" s="321"/>
      <c r="BK19" s="111"/>
      <c r="BL19" s="321"/>
      <c r="BM19" s="321"/>
      <c r="BN19" s="321"/>
      <c r="BO19" s="111"/>
      <c r="BP19" s="347"/>
      <c r="BQ19" s="336"/>
      <c r="BR19" s="67"/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338"/>
      <c r="CE19" s="338"/>
      <c r="CF19" s="338"/>
      <c r="CG19" s="338"/>
      <c r="CH19" s="336"/>
    </row>
    <row r="20" spans="2:86" ht="14.25">
      <c r="B20" s="20" t="s">
        <v>112</v>
      </c>
      <c r="C20" s="21"/>
      <c r="D20" s="110">
        <v>148.29499999999999</v>
      </c>
      <c r="E20" s="110">
        <v>148.49799999999999</v>
      </c>
      <c r="F20" s="110">
        <v>149.43899999999999</v>
      </c>
      <c r="G20" s="111">
        <v>161.77000000000001</v>
      </c>
      <c r="H20" s="110">
        <v>188.548</v>
      </c>
      <c r="I20" s="110">
        <v>210.42699999999999</v>
      </c>
      <c r="J20" s="110">
        <v>222.315</v>
      </c>
      <c r="K20" s="111">
        <v>260.92099999999999</v>
      </c>
      <c r="L20" s="110">
        <v>279.39800000000002</v>
      </c>
      <c r="M20" s="110">
        <v>329.29599999999999</v>
      </c>
      <c r="N20" s="110">
        <v>366.73099999999999</v>
      </c>
      <c r="O20" s="111">
        <v>440.94299999999998</v>
      </c>
      <c r="P20" s="110">
        <v>434.077</v>
      </c>
      <c r="Q20" s="110">
        <v>426.17700000000002</v>
      </c>
      <c r="R20" s="110">
        <v>418.9</v>
      </c>
      <c r="S20" s="111">
        <v>416.24099999999999</v>
      </c>
      <c r="T20" s="110">
        <v>421.26400000000001</v>
      </c>
      <c r="U20" s="110">
        <v>412.988</v>
      </c>
      <c r="V20" s="110">
        <v>401.52100000000002</v>
      </c>
      <c r="W20" s="111">
        <v>390.85300000000001</v>
      </c>
      <c r="X20" s="110">
        <v>371.22899999999998</v>
      </c>
      <c r="Y20" s="110">
        <v>352.71899999999999</v>
      </c>
      <c r="Z20" s="110">
        <v>349.27600000000001</v>
      </c>
      <c r="AA20" s="111">
        <v>342.49700000000001</v>
      </c>
      <c r="AB20" s="110">
        <v>340.64100000000002</v>
      </c>
      <c r="AC20" s="110">
        <v>343.44499999999999</v>
      </c>
      <c r="AD20" s="110">
        <v>347.58800000000002</v>
      </c>
      <c r="AE20" s="111">
        <v>358.44</v>
      </c>
      <c r="AF20" s="110">
        <v>354.483</v>
      </c>
      <c r="AG20" s="321">
        <v>363.76400000000001</v>
      </c>
      <c r="AH20" s="321">
        <v>373.62799999999999</v>
      </c>
      <c r="AI20" s="111">
        <v>383.80099999999999</v>
      </c>
      <c r="AJ20" s="110">
        <v>382.37400000000002</v>
      </c>
      <c r="AK20" s="321">
        <v>381.154</v>
      </c>
      <c r="AL20" s="321">
        <v>376.43700000000001</v>
      </c>
      <c r="AM20" s="111">
        <v>387.02699999999999</v>
      </c>
      <c r="AN20" s="110">
        <v>384.61200000000002</v>
      </c>
      <c r="AO20" s="321">
        <v>363.48599999999999</v>
      </c>
      <c r="AP20" s="321">
        <v>358.15</v>
      </c>
      <c r="AQ20" s="111">
        <v>356.16500000000002</v>
      </c>
      <c r="AR20" s="110">
        <v>349.32100000000003</v>
      </c>
      <c r="AS20" s="321">
        <v>344.83600000000001</v>
      </c>
      <c r="AT20" s="321">
        <v>343.101</v>
      </c>
      <c r="AU20" s="111">
        <v>340.63900000000001</v>
      </c>
      <c r="AV20" s="110">
        <v>325.75400000000002</v>
      </c>
      <c r="AW20" s="321">
        <v>322.262</v>
      </c>
      <c r="AX20" s="321">
        <v>309.64699999999999</v>
      </c>
      <c r="AY20" s="111">
        <v>299.54000000000002</v>
      </c>
      <c r="AZ20" s="110">
        <v>283.584</v>
      </c>
      <c r="BA20" s="321">
        <v>274.774</v>
      </c>
      <c r="BB20" s="321">
        <v>265.98399999999998</v>
      </c>
      <c r="BC20" s="111">
        <v>243.39699999999999</v>
      </c>
      <c r="BD20" s="110">
        <v>239.358</v>
      </c>
      <c r="BE20" s="321">
        <v>235.35400000000001</v>
      </c>
      <c r="BF20" s="321">
        <v>198.173</v>
      </c>
      <c r="BG20" s="111">
        <v>202.22200000000001</v>
      </c>
      <c r="BH20" s="320">
        <f>CFS!BH65</f>
        <v>195.29511057999991</v>
      </c>
      <c r="BI20" s="320">
        <f>CFS!BI65</f>
        <v>188.4951539466399</v>
      </c>
      <c r="BJ20" s="320">
        <f>CFS!BJ65</f>
        <v>181.79812441721003</v>
      </c>
      <c r="BK20" s="314">
        <f>CFS!BK65</f>
        <v>174.66130625161782</v>
      </c>
      <c r="BL20" s="320">
        <f>CFS!BL65</f>
        <v>166.45879948523111</v>
      </c>
      <c r="BM20" s="320">
        <f>CFS!BM65</f>
        <v>158.80501851670817</v>
      </c>
      <c r="BN20" s="320">
        <f>CFS!BN65</f>
        <v>151.31436012089137</v>
      </c>
      <c r="BO20" s="314">
        <f>CFS!BO65</f>
        <v>143.33779748725647</v>
      </c>
      <c r="BP20" s="347"/>
      <c r="BQ20" s="319">
        <f>G20</f>
        <v>161.77000000000001</v>
      </c>
      <c r="BR20" s="320">
        <f>K20</f>
        <v>260.92099999999999</v>
      </c>
      <c r="BS20" s="320">
        <f>O20</f>
        <v>440.94299999999998</v>
      </c>
      <c r="BT20" s="320">
        <f>S20</f>
        <v>416.24099999999999</v>
      </c>
      <c r="BU20" s="320">
        <f>W20</f>
        <v>390.85300000000001</v>
      </c>
      <c r="BV20" s="320">
        <f>AA20</f>
        <v>342.49700000000001</v>
      </c>
      <c r="BW20" s="320">
        <f>AE20</f>
        <v>358.44</v>
      </c>
      <c r="BX20" s="320">
        <f>AI20</f>
        <v>383.80099999999999</v>
      </c>
      <c r="BY20" s="320">
        <f>AM20</f>
        <v>387.02699999999999</v>
      </c>
      <c r="BZ20" s="320">
        <f>AQ20</f>
        <v>356.16500000000002</v>
      </c>
      <c r="CA20" s="320">
        <f>AU20</f>
        <v>340.63900000000001</v>
      </c>
      <c r="CB20" s="320">
        <f>AY20</f>
        <v>299.54000000000002</v>
      </c>
      <c r="CC20" s="320">
        <f>BC20</f>
        <v>243.39699999999999</v>
      </c>
      <c r="CD20" s="320">
        <f>BG20</f>
        <v>202.22200000000001</v>
      </c>
      <c r="CE20" s="320">
        <f>BK20</f>
        <v>174.66130625161782</v>
      </c>
      <c r="CF20" s="320">
        <f t="shared" ref="CF20:CF24" si="54">BO20</f>
        <v>143.33779748725647</v>
      </c>
      <c r="CG20" s="320">
        <f>CFS!CG65</f>
        <v>117.1083820874577</v>
      </c>
      <c r="CH20" s="336"/>
    </row>
    <row r="21" spans="2:86" ht="14.25">
      <c r="B21" s="20" t="s">
        <v>154</v>
      </c>
      <c r="C21" s="21"/>
      <c r="D21" s="110">
        <v>0</v>
      </c>
      <c r="E21" s="110">
        <v>0</v>
      </c>
      <c r="F21" s="110">
        <v>0</v>
      </c>
      <c r="G21" s="111">
        <v>0</v>
      </c>
      <c r="H21" s="110">
        <v>0</v>
      </c>
      <c r="I21" s="110">
        <v>0</v>
      </c>
      <c r="J21" s="110">
        <v>0</v>
      </c>
      <c r="K21" s="111">
        <v>0</v>
      </c>
      <c r="L21" s="110">
        <v>0</v>
      </c>
      <c r="M21" s="110">
        <v>0</v>
      </c>
      <c r="N21" s="110">
        <v>0</v>
      </c>
      <c r="O21" s="111">
        <v>0</v>
      </c>
      <c r="P21" s="110">
        <v>0</v>
      </c>
      <c r="Q21" s="110">
        <v>0</v>
      </c>
      <c r="R21" s="110">
        <v>0</v>
      </c>
      <c r="S21" s="111">
        <v>45.628</v>
      </c>
      <c r="T21" s="110">
        <v>40.459000000000003</v>
      </c>
      <c r="U21" s="110">
        <v>40.292999999999999</v>
      </c>
      <c r="V21" s="110">
        <v>40.31</v>
      </c>
      <c r="W21" s="111">
        <v>40.540999999999997</v>
      </c>
      <c r="X21" s="110">
        <v>39.655000000000001</v>
      </c>
      <c r="Y21" s="110">
        <v>39.332999999999998</v>
      </c>
      <c r="Z21" s="110">
        <v>39.274000000000001</v>
      </c>
      <c r="AA21" s="111">
        <v>34.280999999999999</v>
      </c>
      <c r="AB21" s="110">
        <v>34.234999999999999</v>
      </c>
      <c r="AC21" s="110">
        <v>34.183999999999997</v>
      </c>
      <c r="AD21" s="110">
        <v>30.864999999999998</v>
      </c>
      <c r="AE21" s="111">
        <v>26.225999999999999</v>
      </c>
      <c r="AF21" s="110">
        <v>26.07</v>
      </c>
      <c r="AG21" s="321">
        <v>26.07</v>
      </c>
      <c r="AH21" s="321">
        <v>23.218</v>
      </c>
      <c r="AI21" s="111">
        <v>23.215</v>
      </c>
      <c r="AJ21" s="110">
        <v>23.215</v>
      </c>
      <c r="AK21" s="321">
        <v>18.103000000000002</v>
      </c>
      <c r="AL21" s="321">
        <v>18.103000000000002</v>
      </c>
      <c r="AM21" s="111">
        <v>16.768999999999998</v>
      </c>
      <c r="AN21" s="110">
        <v>16.55</v>
      </c>
      <c r="AO21" s="321">
        <v>16.298999999999999</v>
      </c>
      <c r="AP21" s="321">
        <v>16.158000000000001</v>
      </c>
      <c r="AQ21" s="111">
        <v>16.279</v>
      </c>
      <c r="AR21" s="110">
        <v>13.456</v>
      </c>
      <c r="AS21" s="321">
        <v>13.422000000000001</v>
      </c>
      <c r="AT21" s="321">
        <v>10.077</v>
      </c>
      <c r="AU21" s="111">
        <v>10.226000000000001</v>
      </c>
      <c r="AV21" s="110">
        <v>10.111000000000001</v>
      </c>
      <c r="AW21" s="321">
        <v>10.122999999999999</v>
      </c>
      <c r="AX21" s="321">
        <v>10.182</v>
      </c>
      <c r="AY21" s="111">
        <v>11.295999999999999</v>
      </c>
      <c r="AZ21" s="110">
        <v>8.9740000000000002</v>
      </c>
      <c r="BA21" s="321">
        <v>8.9740000000000002</v>
      </c>
      <c r="BB21" s="321">
        <v>8.9740000000000002</v>
      </c>
      <c r="BC21" s="111">
        <v>4.6150000000000002</v>
      </c>
      <c r="BD21" s="110">
        <v>0</v>
      </c>
      <c r="BE21" s="321">
        <v>0</v>
      </c>
      <c r="BF21" s="321">
        <v>0</v>
      </c>
      <c r="BG21" s="111">
        <v>0</v>
      </c>
      <c r="BH21" s="320">
        <f t="shared" ref="BH21:BH23" si="55">BG21</f>
        <v>0</v>
      </c>
      <c r="BI21" s="320">
        <f t="shared" ref="BI21:BI23" si="56">BH21</f>
        <v>0</v>
      </c>
      <c r="BJ21" s="320">
        <f t="shared" ref="BJ21:BJ23" si="57">BI21</f>
        <v>0</v>
      </c>
      <c r="BK21" s="314">
        <f t="shared" ref="BK21:BK23" si="58">BJ21</f>
        <v>0</v>
      </c>
      <c r="BL21" s="320">
        <f t="shared" ref="BL21:BL23" si="59">BK21</f>
        <v>0</v>
      </c>
      <c r="BM21" s="320">
        <f t="shared" ref="BM21:BM23" si="60">BL21</f>
        <v>0</v>
      </c>
      <c r="BN21" s="320">
        <f t="shared" ref="BN21:BN23" si="61">BM21</f>
        <v>0</v>
      </c>
      <c r="BO21" s="314">
        <f t="shared" ref="BO21:BO23" si="62">BN21</f>
        <v>0</v>
      </c>
      <c r="BP21" s="347"/>
      <c r="BQ21" s="319">
        <f>G21</f>
        <v>0</v>
      </c>
      <c r="BR21" s="320">
        <f>K21</f>
        <v>0</v>
      </c>
      <c r="BS21" s="320">
        <f>O21</f>
        <v>0</v>
      </c>
      <c r="BT21" s="320">
        <f>S21</f>
        <v>45.628</v>
      </c>
      <c r="BU21" s="320">
        <f>W21</f>
        <v>40.540999999999997</v>
      </c>
      <c r="BV21" s="320">
        <f>AA21</f>
        <v>34.280999999999999</v>
      </c>
      <c r="BW21" s="320">
        <f>AE21</f>
        <v>26.225999999999999</v>
      </c>
      <c r="BX21" s="320">
        <f>AI21</f>
        <v>23.215</v>
      </c>
      <c r="BY21" s="320">
        <f>AM21</f>
        <v>16.768999999999998</v>
      </c>
      <c r="BZ21" s="320">
        <f>AQ21</f>
        <v>16.279</v>
      </c>
      <c r="CA21" s="320">
        <f>AU21</f>
        <v>10.226000000000001</v>
      </c>
      <c r="CB21" s="320">
        <f>AY21</f>
        <v>11.295999999999999</v>
      </c>
      <c r="CC21" s="320">
        <f>BC21</f>
        <v>4.6150000000000002</v>
      </c>
      <c r="CD21" s="320">
        <f>BG21</f>
        <v>0</v>
      </c>
      <c r="CE21" s="320">
        <f>BK21</f>
        <v>0</v>
      </c>
      <c r="CF21" s="320">
        <f t="shared" si="54"/>
        <v>0</v>
      </c>
      <c r="CG21" s="320">
        <f>CF21</f>
        <v>0</v>
      </c>
      <c r="CH21" s="336"/>
    </row>
    <row r="22" spans="2:86" ht="14.25">
      <c r="B22" s="20" t="s">
        <v>113</v>
      </c>
      <c r="C22" s="21"/>
      <c r="D22" s="110">
        <v>1461.346</v>
      </c>
      <c r="E22" s="110">
        <v>1468.807</v>
      </c>
      <c r="F22" s="110">
        <v>1477.91</v>
      </c>
      <c r="G22" s="111">
        <v>1480.2249999999999</v>
      </c>
      <c r="H22" s="110">
        <v>1480.2249999999999</v>
      </c>
      <c r="I22" s="110">
        <v>1480.2249999999999</v>
      </c>
      <c r="J22" s="110">
        <v>1480.2249999999999</v>
      </c>
      <c r="K22" s="111">
        <v>1558.2090000000001</v>
      </c>
      <c r="L22" s="110">
        <v>1558.2090000000001</v>
      </c>
      <c r="M22" s="110">
        <v>1639.184</v>
      </c>
      <c r="N22" s="110">
        <v>1654.376</v>
      </c>
      <c r="O22" s="111">
        <v>1977.8050000000001</v>
      </c>
      <c r="P22" s="110">
        <v>1976.2190000000001</v>
      </c>
      <c r="Q22" s="110">
        <v>1981.5170000000001</v>
      </c>
      <c r="R22" s="110">
        <v>2006.5309999999999</v>
      </c>
      <c r="S22" s="111">
        <v>1994.068</v>
      </c>
      <c r="T22" s="110">
        <v>1994.068</v>
      </c>
      <c r="U22" s="110">
        <v>1994.068</v>
      </c>
      <c r="V22" s="110">
        <v>1995.1510000000001</v>
      </c>
      <c r="W22" s="111">
        <v>1997.63</v>
      </c>
      <c r="X22" s="110">
        <v>1997.652</v>
      </c>
      <c r="Y22" s="110">
        <v>1997.662</v>
      </c>
      <c r="Z22" s="110">
        <v>1997.662</v>
      </c>
      <c r="AA22" s="111">
        <v>1997.662</v>
      </c>
      <c r="AB22" s="110">
        <v>1997.662</v>
      </c>
      <c r="AC22" s="110">
        <v>2000.5440000000001</v>
      </c>
      <c r="AD22" s="110">
        <v>2000.5440000000001</v>
      </c>
      <c r="AE22" s="111">
        <v>2129.4639999999999</v>
      </c>
      <c r="AF22" s="110">
        <v>2006.473</v>
      </c>
      <c r="AG22" s="321">
        <v>2006.903</v>
      </c>
      <c r="AH22" s="321">
        <v>2009.662</v>
      </c>
      <c r="AI22" s="111">
        <v>2031.991</v>
      </c>
      <c r="AJ22" s="110">
        <v>2031.991</v>
      </c>
      <c r="AK22" s="321">
        <v>2031.991</v>
      </c>
      <c r="AL22" s="321">
        <v>2032.1379999999999</v>
      </c>
      <c r="AM22" s="111">
        <v>2032.1379999999999</v>
      </c>
      <c r="AN22" s="110">
        <v>2032.538</v>
      </c>
      <c r="AO22" s="321">
        <v>2032.538</v>
      </c>
      <c r="AP22" s="321">
        <v>2032.538</v>
      </c>
      <c r="AQ22" s="111">
        <v>2029.9449999999999</v>
      </c>
      <c r="AR22" s="110">
        <v>2029.9449999999999</v>
      </c>
      <c r="AS22" s="321">
        <v>2029.9449999999999</v>
      </c>
      <c r="AT22" s="321">
        <v>2029.9449999999999</v>
      </c>
      <c r="AU22" s="111">
        <v>2029.9449999999999</v>
      </c>
      <c r="AV22" s="110">
        <v>2057.59</v>
      </c>
      <c r="AW22" s="321">
        <v>2029.9449999999999</v>
      </c>
      <c r="AX22" s="321">
        <v>2029.9449999999999</v>
      </c>
      <c r="AY22" s="111">
        <v>2029.9449999999999</v>
      </c>
      <c r="AZ22" s="110">
        <v>2045.009</v>
      </c>
      <c r="BA22" s="321">
        <v>2042.0630000000001</v>
      </c>
      <c r="BB22" s="321">
        <v>2029.9449999999999</v>
      </c>
      <c r="BC22" s="111">
        <f>2006.984-BC23</f>
        <v>1997.6499999999999</v>
      </c>
      <c r="BD22" s="110">
        <f>BC22</f>
        <v>1997.6499999999999</v>
      </c>
      <c r="BE22" s="321">
        <f>1994.743-BE23</f>
        <v>1986.4809999999998</v>
      </c>
      <c r="BF22" s="321">
        <f>BE22</f>
        <v>1986.4809999999998</v>
      </c>
      <c r="BG22" s="111">
        <f>1993.31-BG23</f>
        <v>1986.1229999999998</v>
      </c>
      <c r="BH22" s="320">
        <f t="shared" si="55"/>
        <v>1986.1229999999998</v>
      </c>
      <c r="BI22" s="320">
        <f t="shared" si="56"/>
        <v>1986.1229999999998</v>
      </c>
      <c r="BJ22" s="320">
        <f t="shared" si="57"/>
        <v>1986.1229999999998</v>
      </c>
      <c r="BK22" s="314">
        <f t="shared" si="58"/>
        <v>1986.1229999999998</v>
      </c>
      <c r="BL22" s="320">
        <f t="shared" si="59"/>
        <v>1986.1229999999998</v>
      </c>
      <c r="BM22" s="320">
        <f t="shared" si="60"/>
        <v>1986.1229999999998</v>
      </c>
      <c r="BN22" s="320">
        <f t="shared" si="61"/>
        <v>1986.1229999999998</v>
      </c>
      <c r="BO22" s="314">
        <f t="shared" si="62"/>
        <v>1986.1229999999998</v>
      </c>
      <c r="BP22" s="347"/>
      <c r="BQ22" s="319">
        <f>G22</f>
        <v>1480.2249999999999</v>
      </c>
      <c r="BR22" s="320">
        <f>K22</f>
        <v>1558.2090000000001</v>
      </c>
      <c r="BS22" s="320">
        <f>O22</f>
        <v>1977.8050000000001</v>
      </c>
      <c r="BT22" s="320">
        <f>S22</f>
        <v>1994.068</v>
      </c>
      <c r="BU22" s="320">
        <f>W22</f>
        <v>1997.63</v>
      </c>
      <c r="BV22" s="320">
        <f>AA22</f>
        <v>1997.662</v>
      </c>
      <c r="BW22" s="320">
        <f>AE22</f>
        <v>2129.4639999999999</v>
      </c>
      <c r="BX22" s="320">
        <f>AI22</f>
        <v>2031.991</v>
      </c>
      <c r="BY22" s="320">
        <f>AM22</f>
        <v>2032.1379999999999</v>
      </c>
      <c r="BZ22" s="320">
        <f>AQ22</f>
        <v>2029.9449999999999</v>
      </c>
      <c r="CA22" s="320">
        <f>AU22</f>
        <v>2029.9449999999999</v>
      </c>
      <c r="CB22" s="320">
        <f>AY22</f>
        <v>2029.9449999999999</v>
      </c>
      <c r="CC22" s="320">
        <f>BC22</f>
        <v>1997.6499999999999</v>
      </c>
      <c r="CD22" s="320">
        <f>BG22</f>
        <v>1986.1229999999998</v>
      </c>
      <c r="CE22" s="320">
        <f>BK22</f>
        <v>1986.1229999999998</v>
      </c>
      <c r="CF22" s="320">
        <f t="shared" si="54"/>
        <v>1986.1229999999998</v>
      </c>
      <c r="CG22" s="320">
        <f>CF22</f>
        <v>1986.1229999999998</v>
      </c>
      <c r="CH22" s="336"/>
    </row>
    <row r="23" spans="2:86" ht="14.25">
      <c r="B23" s="20" t="s">
        <v>155</v>
      </c>
      <c r="C23" s="21"/>
      <c r="D23" s="110">
        <v>139.68700000000001</v>
      </c>
      <c r="E23" s="110">
        <v>119.929</v>
      </c>
      <c r="F23" s="110">
        <v>100.17</v>
      </c>
      <c r="G23" s="111">
        <v>80.411000000000001</v>
      </c>
      <c r="H23" s="110">
        <v>60.652000000000001</v>
      </c>
      <c r="I23" s="110">
        <v>40.899000000000001</v>
      </c>
      <c r="J23" s="110">
        <v>21.152999999999999</v>
      </c>
      <c r="K23" s="111">
        <v>111.973</v>
      </c>
      <c r="L23" s="110">
        <v>125.379</v>
      </c>
      <c r="M23" s="110">
        <v>251.803</v>
      </c>
      <c r="N23" s="110">
        <v>224.34200000000001</v>
      </c>
      <c r="O23" s="111">
        <v>580.55799999999999</v>
      </c>
      <c r="P23" s="110">
        <v>543.18200000000002</v>
      </c>
      <c r="Q23" s="110">
        <v>507.13299999999998</v>
      </c>
      <c r="R23" s="110">
        <v>469.76799999999997</v>
      </c>
      <c r="S23" s="111">
        <v>433.80900000000003</v>
      </c>
      <c r="T23" s="110">
        <v>398.54500000000002</v>
      </c>
      <c r="U23" s="110">
        <v>363.53800000000001</v>
      </c>
      <c r="V23" s="110">
        <v>328.70400000000001</v>
      </c>
      <c r="W23" s="111">
        <v>286.53399999999999</v>
      </c>
      <c r="X23" s="110">
        <v>256.202</v>
      </c>
      <c r="Y23" s="110">
        <v>229.77799999999999</v>
      </c>
      <c r="Z23" s="110">
        <v>203.35400000000001</v>
      </c>
      <c r="AA23" s="111">
        <v>179.101</v>
      </c>
      <c r="AB23" s="110">
        <v>156.58199999999999</v>
      </c>
      <c r="AC23" s="110">
        <v>152.88</v>
      </c>
      <c r="AD23" s="110">
        <v>131.12200000000001</v>
      </c>
      <c r="AE23" s="111"/>
      <c r="AF23" s="110">
        <v>123.869</v>
      </c>
      <c r="AG23" s="321">
        <v>112.746</v>
      </c>
      <c r="AH23" s="321">
        <v>102.432</v>
      </c>
      <c r="AI23" s="111">
        <v>141.505</v>
      </c>
      <c r="AJ23" s="110">
        <v>127.15</v>
      </c>
      <c r="AK23" s="321">
        <v>114.127</v>
      </c>
      <c r="AL23" s="321">
        <v>101.923</v>
      </c>
      <c r="AM23" s="111">
        <v>89.655000000000001</v>
      </c>
      <c r="AN23" s="110">
        <v>82.355000000000004</v>
      </c>
      <c r="AO23" s="321">
        <v>71.716999999999999</v>
      </c>
      <c r="AP23" s="321">
        <v>61.072000000000003</v>
      </c>
      <c r="AQ23" s="111">
        <v>49.034999999999997</v>
      </c>
      <c r="AR23" s="110">
        <v>41.860999999999997</v>
      </c>
      <c r="AS23" s="321">
        <v>38.072000000000003</v>
      </c>
      <c r="AT23" s="321">
        <v>34.283000000000001</v>
      </c>
      <c r="AU23" s="111">
        <v>30.698</v>
      </c>
      <c r="AV23" s="110">
        <f>AU23</f>
        <v>30.698</v>
      </c>
      <c r="AW23" s="321">
        <v>24.591999999999999</v>
      </c>
      <c r="AX23" s="321">
        <v>20.957000000000001</v>
      </c>
      <c r="AY23" s="111">
        <v>18.010000000000002</v>
      </c>
      <c r="AZ23" s="110">
        <f>AY23</f>
        <v>18.010000000000002</v>
      </c>
      <c r="BA23" s="321">
        <f>AZ23</f>
        <v>18.010000000000002</v>
      </c>
      <c r="BB23" s="321">
        <v>9.3339999999999996</v>
      </c>
      <c r="BC23" s="111">
        <f>+BB23</f>
        <v>9.3339999999999996</v>
      </c>
      <c r="BD23" s="110">
        <f>2005.912-BD22</f>
        <v>8.262000000000171</v>
      </c>
      <c r="BE23" s="321">
        <f>BD23</f>
        <v>8.262000000000171</v>
      </c>
      <c r="BF23" s="321">
        <f>1993.668-BF22</f>
        <v>7.1870000000001255</v>
      </c>
      <c r="BG23" s="111">
        <f>BF23</f>
        <v>7.1870000000001255</v>
      </c>
      <c r="BH23" s="320">
        <f t="shared" si="55"/>
        <v>7.1870000000001255</v>
      </c>
      <c r="BI23" s="320">
        <f t="shared" si="56"/>
        <v>7.1870000000001255</v>
      </c>
      <c r="BJ23" s="320">
        <f t="shared" si="57"/>
        <v>7.1870000000001255</v>
      </c>
      <c r="BK23" s="314">
        <f t="shared" si="58"/>
        <v>7.1870000000001255</v>
      </c>
      <c r="BL23" s="320">
        <f t="shared" si="59"/>
        <v>7.1870000000001255</v>
      </c>
      <c r="BM23" s="320">
        <f t="shared" si="60"/>
        <v>7.1870000000001255</v>
      </c>
      <c r="BN23" s="320">
        <f t="shared" si="61"/>
        <v>7.1870000000001255</v>
      </c>
      <c r="BO23" s="314">
        <f t="shared" si="62"/>
        <v>7.1870000000001255</v>
      </c>
      <c r="BP23" s="347"/>
      <c r="BQ23" s="319">
        <f>G23</f>
        <v>80.411000000000001</v>
      </c>
      <c r="BR23" s="320">
        <f>K23</f>
        <v>111.973</v>
      </c>
      <c r="BS23" s="320">
        <f>O23</f>
        <v>580.55799999999999</v>
      </c>
      <c r="BT23" s="320">
        <f>S23</f>
        <v>433.80900000000003</v>
      </c>
      <c r="BU23" s="320">
        <f>W23</f>
        <v>286.53399999999999</v>
      </c>
      <c r="BV23" s="320">
        <f>AA23</f>
        <v>179.101</v>
      </c>
      <c r="BW23" s="320">
        <f>AE23</f>
        <v>0</v>
      </c>
      <c r="BX23" s="320">
        <f>AI23</f>
        <v>141.505</v>
      </c>
      <c r="BY23" s="320">
        <f>AM23</f>
        <v>89.655000000000001</v>
      </c>
      <c r="BZ23" s="320">
        <f>AQ23</f>
        <v>49.034999999999997</v>
      </c>
      <c r="CA23" s="320">
        <f>AU23</f>
        <v>30.698</v>
      </c>
      <c r="CB23" s="320">
        <f>AY23</f>
        <v>18.010000000000002</v>
      </c>
      <c r="CC23" s="320">
        <f>BC23</f>
        <v>9.3339999999999996</v>
      </c>
      <c r="CD23" s="320">
        <f>BG23</f>
        <v>7.1870000000001255</v>
      </c>
      <c r="CE23" s="320">
        <f>BK23</f>
        <v>7.1870000000001255</v>
      </c>
      <c r="CF23" s="320">
        <f t="shared" si="54"/>
        <v>7.1870000000001255</v>
      </c>
      <c r="CG23" s="320">
        <f>CF23</f>
        <v>7.1870000000001255</v>
      </c>
      <c r="CH23" s="336"/>
    </row>
    <row r="24" spans="2:86" ht="14.25">
      <c r="B24" s="20" t="s">
        <v>114</v>
      </c>
      <c r="C24" s="21"/>
      <c r="D24" s="110">
        <v>37.027999999999999</v>
      </c>
      <c r="E24" s="110">
        <v>49.89</v>
      </c>
      <c r="F24" s="110">
        <v>51.4</v>
      </c>
      <c r="G24" s="111">
        <v>48.762</v>
      </c>
      <c r="H24" s="110">
        <v>53.679000000000002</v>
      </c>
      <c r="I24" s="110">
        <v>52.7</v>
      </c>
      <c r="J24" s="110">
        <v>71.753</v>
      </c>
      <c r="K24" s="111">
        <v>87.590999999999994</v>
      </c>
      <c r="L24" s="110">
        <v>99.822999999999993</v>
      </c>
      <c r="M24" s="110">
        <v>123.032</v>
      </c>
      <c r="N24" s="110">
        <v>151.809</v>
      </c>
      <c r="O24" s="111">
        <v>180.35900000000001</v>
      </c>
      <c r="P24" s="110">
        <v>173.39099999999999</v>
      </c>
      <c r="Q24" s="110">
        <v>154.99799999999999</v>
      </c>
      <c r="R24" s="110">
        <v>157.03299999999999</v>
      </c>
      <c r="S24" s="111">
        <v>157.107</v>
      </c>
      <c r="T24" s="110">
        <v>144.73099999999999</v>
      </c>
      <c r="U24" s="110">
        <v>132.62700000000001</v>
      </c>
      <c r="V24" s="110">
        <v>123.59099999999999</v>
      </c>
      <c r="W24" s="111">
        <v>138.327</v>
      </c>
      <c r="X24" s="110">
        <v>136.773</v>
      </c>
      <c r="Y24" s="110">
        <v>132.11699999999999</v>
      </c>
      <c r="Z24" s="110">
        <v>127.643</v>
      </c>
      <c r="AA24" s="111">
        <v>151.85400000000001</v>
      </c>
      <c r="AB24" s="110">
        <v>154.28299999999999</v>
      </c>
      <c r="AC24" s="110">
        <v>154.15299999999999</v>
      </c>
      <c r="AD24" s="110">
        <v>161.79300000000001</v>
      </c>
      <c r="AE24" s="111">
        <v>111.38</v>
      </c>
      <c r="AF24" s="110">
        <v>109.143</v>
      </c>
      <c r="AG24" s="321">
        <v>120.68899999999999</v>
      </c>
      <c r="AH24" s="321">
        <v>110.92</v>
      </c>
      <c r="AI24" s="111">
        <v>108.146</v>
      </c>
      <c r="AJ24" s="110">
        <v>112.169</v>
      </c>
      <c r="AK24" s="321">
        <v>109.596</v>
      </c>
      <c r="AL24" s="321">
        <v>119.523</v>
      </c>
      <c r="AM24" s="111">
        <v>150.82900000000001</v>
      </c>
      <c r="AN24" s="110">
        <v>152.19800000000001</v>
      </c>
      <c r="AO24" s="321">
        <v>161.57400000000001</v>
      </c>
      <c r="AP24" s="321">
        <v>162.37899999999999</v>
      </c>
      <c r="AQ24" s="111">
        <v>160.36600000000001</v>
      </c>
      <c r="AR24" s="110">
        <v>161.40600000000001</v>
      </c>
      <c r="AS24" s="321">
        <v>150.41300000000001</v>
      </c>
      <c r="AT24" s="321">
        <v>145.03899999999999</v>
      </c>
      <c r="AU24" s="111">
        <v>128.839</v>
      </c>
      <c r="AV24" s="110">
        <f>122.855-AV23</f>
        <v>92.157000000000011</v>
      </c>
      <c r="AW24" s="321">
        <v>110.45699999999999</v>
      </c>
      <c r="AX24" s="321">
        <v>100.304</v>
      </c>
      <c r="AY24" s="111">
        <v>164.71</v>
      </c>
      <c r="AZ24" s="110">
        <f>169.778-AZ23</f>
        <v>151.768</v>
      </c>
      <c r="BA24" s="321">
        <f>160.586-BA23</f>
        <v>142.57600000000002</v>
      </c>
      <c r="BB24" s="321">
        <v>179.06800000000001</v>
      </c>
      <c r="BC24" s="111">
        <v>113.324</v>
      </c>
      <c r="BD24" s="110">
        <v>121.979</v>
      </c>
      <c r="BE24" s="321">
        <v>148.40700000000001</v>
      </c>
      <c r="BF24" s="321">
        <v>131.94200000000001</v>
      </c>
      <c r="BG24" s="111">
        <v>148.80000000000001</v>
      </c>
      <c r="BH24" s="320">
        <f t="shared" ref="BH24:BK24" si="63">BH58*BH54</f>
        <v>138.50492187689113</v>
      </c>
      <c r="BI24" s="320">
        <f t="shared" si="63"/>
        <v>138.73151393253849</v>
      </c>
      <c r="BJ24" s="320">
        <f t="shared" si="63"/>
        <v>138.95656962369335</v>
      </c>
      <c r="BK24" s="314">
        <f t="shared" si="63"/>
        <v>138.47899521888223</v>
      </c>
      <c r="BL24" s="320">
        <f t="shared" ref="BL24:BO24" si="64">BL58*BL54</f>
        <v>136.89787578096826</v>
      </c>
      <c r="BM24" s="320">
        <f t="shared" si="64"/>
        <v>137.60907752328515</v>
      </c>
      <c r="BN24" s="320">
        <f t="shared" si="64"/>
        <v>137.901739006632</v>
      </c>
      <c r="BO24" s="314">
        <f t="shared" si="64"/>
        <v>137.36696972531436</v>
      </c>
      <c r="BP24" s="347"/>
      <c r="BQ24" s="319">
        <f>G24</f>
        <v>48.762</v>
      </c>
      <c r="BR24" s="320">
        <f>K24</f>
        <v>87.590999999999994</v>
      </c>
      <c r="BS24" s="320">
        <f>O24</f>
        <v>180.35900000000001</v>
      </c>
      <c r="BT24" s="320">
        <f>S24</f>
        <v>157.107</v>
      </c>
      <c r="BU24" s="320">
        <f>W24</f>
        <v>138.327</v>
      </c>
      <c r="BV24" s="320">
        <f>AA24</f>
        <v>151.85400000000001</v>
      </c>
      <c r="BW24" s="320">
        <f>AE24</f>
        <v>111.38</v>
      </c>
      <c r="BX24" s="320">
        <f>AI24</f>
        <v>108.146</v>
      </c>
      <c r="BY24" s="320">
        <f>AM24</f>
        <v>150.82900000000001</v>
      </c>
      <c r="BZ24" s="320">
        <f>AQ24</f>
        <v>160.36600000000001</v>
      </c>
      <c r="CA24" s="320">
        <f>AU24</f>
        <v>128.839</v>
      </c>
      <c r="CB24" s="320">
        <f>AY24</f>
        <v>164.71</v>
      </c>
      <c r="CC24" s="320">
        <f>BC24</f>
        <v>113.324</v>
      </c>
      <c r="CD24" s="320">
        <f>BG24</f>
        <v>148.80000000000001</v>
      </c>
      <c r="CE24" s="320">
        <f>BK24</f>
        <v>138.47899521888223</v>
      </c>
      <c r="CF24" s="320">
        <f t="shared" si="54"/>
        <v>137.36696972531436</v>
      </c>
      <c r="CG24" s="320">
        <f>CG58*CG54</f>
        <v>143.20795657662356</v>
      </c>
      <c r="CH24" s="336"/>
    </row>
    <row r="25" spans="2:86" ht="15">
      <c r="B25" s="166" t="s">
        <v>115</v>
      </c>
      <c r="C25" s="167"/>
      <c r="D25" s="117">
        <f t="shared" ref="D25:AE25" si="65">SUM(D20:D24)+D18</f>
        <v>2485.6419999999998</v>
      </c>
      <c r="E25" s="118">
        <f t="shared" si="65"/>
        <v>2545.4470000000001</v>
      </c>
      <c r="F25" s="118">
        <f t="shared" si="65"/>
        <v>2673.5560000000005</v>
      </c>
      <c r="G25" s="119">
        <f t="shared" si="65"/>
        <v>2788.962</v>
      </c>
      <c r="H25" s="117">
        <f t="shared" si="65"/>
        <v>2892.7419999999997</v>
      </c>
      <c r="I25" s="118">
        <f t="shared" si="65"/>
        <v>3040.9609999999998</v>
      </c>
      <c r="J25" s="118">
        <f t="shared" si="65"/>
        <v>3217.8209999999999</v>
      </c>
      <c r="K25" s="119">
        <f t="shared" si="65"/>
        <v>3504.5059999999999</v>
      </c>
      <c r="L25" s="117">
        <f t="shared" si="65"/>
        <v>3604.1080000000002</v>
      </c>
      <c r="M25" s="118">
        <f t="shared" si="65"/>
        <v>3825.9119999999998</v>
      </c>
      <c r="N25" s="118">
        <f t="shared" si="65"/>
        <v>3902.442</v>
      </c>
      <c r="O25" s="119">
        <f t="shared" si="65"/>
        <v>4527.7</v>
      </c>
      <c r="P25" s="117">
        <f t="shared" si="65"/>
        <v>4456.1729999999998</v>
      </c>
      <c r="Q25" s="118">
        <f t="shared" si="65"/>
        <v>4380.5019999999995</v>
      </c>
      <c r="R25" s="118">
        <f t="shared" si="65"/>
        <v>4469.1440000000002</v>
      </c>
      <c r="S25" s="119">
        <f t="shared" si="65"/>
        <v>4550.5940000000001</v>
      </c>
      <c r="T25" s="117">
        <f t="shared" si="65"/>
        <v>4609.6059999999998</v>
      </c>
      <c r="U25" s="118">
        <f t="shared" si="65"/>
        <v>4724.085</v>
      </c>
      <c r="V25" s="118">
        <f t="shared" si="65"/>
        <v>4750.5050000000001</v>
      </c>
      <c r="W25" s="119">
        <f t="shared" si="65"/>
        <v>4414.2000000000007</v>
      </c>
      <c r="X25" s="117">
        <f t="shared" si="65"/>
        <v>4441.2110000000002</v>
      </c>
      <c r="Y25" s="118">
        <f t="shared" si="65"/>
        <v>4641.5309999999999</v>
      </c>
      <c r="Z25" s="118">
        <f t="shared" si="65"/>
        <v>4887.7199999999993</v>
      </c>
      <c r="AA25" s="119">
        <f t="shared" si="65"/>
        <v>5170.9400000000005</v>
      </c>
      <c r="AB25" s="118">
        <f t="shared" si="65"/>
        <v>5480.5819999999994</v>
      </c>
      <c r="AC25" s="118">
        <f t="shared" si="65"/>
        <v>5867.277</v>
      </c>
      <c r="AD25" s="118">
        <f t="shared" si="65"/>
        <v>6121.6720000000005</v>
      </c>
      <c r="AE25" s="119">
        <f t="shared" si="65"/>
        <v>6338.1570000000002</v>
      </c>
      <c r="AF25" s="118">
        <f t="shared" ref="AF25:AU25" si="66">SUM(AF20:AF24)+AF18</f>
        <v>5692.607</v>
      </c>
      <c r="AG25" s="118">
        <f t="shared" si="66"/>
        <v>5828.5630000000001</v>
      </c>
      <c r="AH25" s="118">
        <f t="shared" si="66"/>
        <v>5867.375</v>
      </c>
      <c r="AI25" s="119">
        <f t="shared" si="66"/>
        <v>5767.6190000000006</v>
      </c>
      <c r="AJ25" s="118">
        <f t="shared" si="66"/>
        <v>5718.5250000000005</v>
      </c>
      <c r="AK25" s="118">
        <f t="shared" si="66"/>
        <v>5584.5519999999997</v>
      </c>
      <c r="AL25" s="118">
        <f t="shared" si="66"/>
        <v>5425.9539999999997</v>
      </c>
      <c r="AM25" s="119">
        <f t="shared" si="66"/>
        <v>5261.764000000001</v>
      </c>
      <c r="AN25" s="118">
        <f t="shared" si="66"/>
        <v>5121.1669999999995</v>
      </c>
      <c r="AO25" s="118">
        <f t="shared" si="66"/>
        <v>5204.2440000000006</v>
      </c>
      <c r="AP25" s="118">
        <f t="shared" si="66"/>
        <v>5347.9560000000001</v>
      </c>
      <c r="AQ25" s="119">
        <f>SUM(AQ20:AQ24)+AQ18</f>
        <v>5451.01</v>
      </c>
      <c r="AR25" s="118">
        <f t="shared" si="66"/>
        <v>5682.9719999999998</v>
      </c>
      <c r="AS25" s="118">
        <f>SUM(AS20:AS24)+AS18</f>
        <v>5865.6939999999995</v>
      </c>
      <c r="AT25" s="118">
        <f>SUM(AT20:AT24)+AT18</f>
        <v>5848.8070000000007</v>
      </c>
      <c r="AU25" s="119">
        <f t="shared" si="66"/>
        <v>5884.3869999999997</v>
      </c>
      <c r="AV25" s="118">
        <f>SUM(AV20:AV24)+AV18</f>
        <v>5842.0489999999991</v>
      </c>
      <c r="AW25" s="118">
        <f>SUM(AW20:AW24)+AW18</f>
        <v>5665.9560000000001</v>
      </c>
      <c r="AX25" s="118">
        <f t="shared" ref="AX25" si="67">SUM(AX20:AX24)+AX18</f>
        <v>5506.5239999999994</v>
      </c>
      <c r="AY25" s="119">
        <f t="shared" ref="AY25" si="68">SUM(AY20:AY24)+AY18</f>
        <v>5442.1270000000004</v>
      </c>
      <c r="AZ25" s="118">
        <f>SUM(AZ20:AZ24)+AZ18</f>
        <v>4657.121000000001</v>
      </c>
      <c r="BA25" s="118">
        <f>SUM(BA20:BA24)+BA18</f>
        <v>4716.6760000000004</v>
      </c>
      <c r="BB25" s="118">
        <f t="shared" ref="BB25" si="69">SUM(BB20:BB24)+BB18</f>
        <v>4754.4459999999999</v>
      </c>
      <c r="BC25" s="119">
        <f t="shared" ref="BC25" si="70">SUM(BC20:BC24)+BC18</f>
        <v>4648.6499999999996</v>
      </c>
      <c r="BD25" s="118">
        <f>SUM(BD20:BD24)+BD18</f>
        <v>4636.2369999999992</v>
      </c>
      <c r="BE25" s="118">
        <f>SUM(BE20:BE24)+BE18</f>
        <v>4587.4500000000007</v>
      </c>
      <c r="BF25" s="118">
        <f t="shared" ref="BF25" si="71">SUM(BF20:BF24)+BF18</f>
        <v>4682.2039999999997</v>
      </c>
      <c r="BG25" s="119">
        <f t="shared" ref="BG25" si="72">SUM(BG20:BG24)+BG18</f>
        <v>4708.2870000000003</v>
      </c>
      <c r="BH25" s="118">
        <f t="shared" ref="BH25:BK25" si="73">SUM(BH20:BH24)+BH18</f>
        <v>4825.2176968918538</v>
      </c>
      <c r="BI25" s="118">
        <f t="shared" si="73"/>
        <v>4965.5110469773899</v>
      </c>
      <c r="BJ25" s="118">
        <f t="shared" si="73"/>
        <v>5113.1439464269342</v>
      </c>
      <c r="BK25" s="119">
        <f t="shared" si="73"/>
        <v>5255.4630988016015</v>
      </c>
      <c r="BL25" s="118">
        <f t="shared" ref="BL25:BO25" si="74">SUM(BL20:BL24)+BL18</f>
        <v>5382.7649404995918</v>
      </c>
      <c r="BM25" s="118">
        <f t="shared" si="74"/>
        <v>5536.3328367068134</v>
      </c>
      <c r="BN25" s="118">
        <f t="shared" si="74"/>
        <v>5692.2397705079511</v>
      </c>
      <c r="BO25" s="119">
        <f t="shared" si="74"/>
        <v>5840.9176445488392</v>
      </c>
      <c r="BP25" s="347"/>
      <c r="BQ25" s="117">
        <f>SUM(BQ20:BQ24)+BQ18</f>
        <v>2788.962</v>
      </c>
      <c r="BR25" s="118">
        <f t="shared" ref="BR25:BW25" si="75">SUM(BR20:BR24)+BR18</f>
        <v>3504.5059999999999</v>
      </c>
      <c r="BS25" s="118">
        <f t="shared" si="75"/>
        <v>4527.7</v>
      </c>
      <c r="BT25" s="118">
        <f t="shared" si="75"/>
        <v>4550.5940000000001</v>
      </c>
      <c r="BU25" s="118">
        <f t="shared" si="75"/>
        <v>4414.2000000000007</v>
      </c>
      <c r="BV25" s="118">
        <f t="shared" si="75"/>
        <v>5170.9400000000005</v>
      </c>
      <c r="BW25" s="118">
        <f t="shared" si="75"/>
        <v>6338.1570000000002</v>
      </c>
      <c r="BX25" s="118">
        <f t="shared" ref="BX25:CA25" si="76">SUM(BX20:BX24)+BX18</f>
        <v>5767.6190000000006</v>
      </c>
      <c r="BY25" s="118">
        <f t="shared" si="76"/>
        <v>5261.764000000001</v>
      </c>
      <c r="BZ25" s="118">
        <f t="shared" si="76"/>
        <v>5451.01</v>
      </c>
      <c r="CA25" s="118">
        <f t="shared" si="76"/>
        <v>5884.3869999999997</v>
      </c>
      <c r="CB25" s="118">
        <f>SUM(CB20:CB24)+CB18</f>
        <v>5442.1270000000004</v>
      </c>
      <c r="CC25" s="118">
        <f>SUM(CC20:CC24)+CC18</f>
        <v>4648.6499999999996</v>
      </c>
      <c r="CD25" s="118">
        <f>SUM(CD20:CD24)+CD18</f>
        <v>4708.2870000000003</v>
      </c>
      <c r="CE25" s="118">
        <f>SUM(CE20:CE24)+CE18</f>
        <v>5255.4630988016015</v>
      </c>
      <c r="CF25" s="118">
        <f>SUM(CF20:CF24)+CF18</f>
        <v>5840.9176445488392</v>
      </c>
      <c r="CG25" s="118">
        <f t="shared" ref="CG25" si="77">SUM(CG20:CG24)+CG18</f>
        <v>6551.2211733402864</v>
      </c>
      <c r="CH25" s="336"/>
    </row>
    <row r="26" spans="2:86" ht="14.25">
      <c r="B26" s="16"/>
      <c r="C26" s="17"/>
      <c r="D26" s="110"/>
      <c r="E26" s="110"/>
      <c r="F26" s="110"/>
      <c r="G26" s="111"/>
      <c r="H26" s="110"/>
      <c r="I26" s="110"/>
      <c r="J26" s="110"/>
      <c r="K26" s="111"/>
      <c r="L26" s="110"/>
      <c r="M26" s="110"/>
      <c r="N26" s="110"/>
      <c r="O26" s="111"/>
      <c r="P26" s="110"/>
      <c r="Q26" s="110"/>
      <c r="R26" s="110"/>
      <c r="S26" s="111"/>
      <c r="T26" s="110"/>
      <c r="U26" s="110"/>
      <c r="V26" s="110"/>
      <c r="W26" s="111"/>
      <c r="X26" s="110"/>
      <c r="Y26" s="110"/>
      <c r="Z26" s="110"/>
      <c r="AA26" s="111"/>
      <c r="AB26" s="110"/>
      <c r="AC26" s="110"/>
      <c r="AD26" s="110"/>
      <c r="AE26" s="111"/>
      <c r="AF26" s="110"/>
      <c r="AG26" s="321"/>
      <c r="AH26" s="321"/>
      <c r="AI26" s="111"/>
      <c r="AJ26" s="110"/>
      <c r="AK26" s="321"/>
      <c r="AL26" s="321"/>
      <c r="AM26" s="111"/>
      <c r="AN26" s="110"/>
      <c r="AO26" s="321"/>
      <c r="AP26" s="321"/>
      <c r="AQ26" s="111"/>
      <c r="AR26" s="110"/>
      <c r="AS26" s="321"/>
      <c r="AT26" s="321"/>
      <c r="AU26" s="111"/>
      <c r="AV26" s="110"/>
      <c r="AW26" s="321"/>
      <c r="AX26" s="321"/>
      <c r="AY26" s="111"/>
      <c r="AZ26" s="110"/>
      <c r="BA26" s="321"/>
      <c r="BB26" s="321"/>
      <c r="BC26" s="111"/>
      <c r="BD26" s="110"/>
      <c r="BE26" s="321"/>
      <c r="BF26" s="321"/>
      <c r="BG26" s="111"/>
      <c r="BH26" s="321"/>
      <c r="BI26" s="321"/>
      <c r="BJ26" s="321"/>
      <c r="BK26" s="111"/>
      <c r="BL26" s="321"/>
      <c r="BM26" s="321"/>
      <c r="BN26" s="321"/>
      <c r="BO26" s="111"/>
      <c r="BP26" s="347"/>
      <c r="BQ26" s="336"/>
      <c r="BR26" s="67"/>
      <c r="BS26" s="67"/>
      <c r="BT26" s="67"/>
      <c r="BU26" s="67"/>
      <c r="BV26" s="67"/>
      <c r="BW26" s="67"/>
      <c r="BX26" s="67"/>
      <c r="BY26" s="67"/>
      <c r="BZ26" s="67"/>
      <c r="CA26" s="67"/>
      <c r="CB26" s="67"/>
      <c r="CC26" s="67"/>
      <c r="CD26" s="338"/>
      <c r="CE26" s="338"/>
      <c r="CF26" s="338"/>
      <c r="CG26" s="338"/>
      <c r="CH26" s="336"/>
    </row>
    <row r="27" spans="2:86" ht="15">
      <c r="B27" s="105" t="s">
        <v>116</v>
      </c>
      <c r="C27" s="106"/>
      <c r="D27" s="110"/>
      <c r="E27" s="110"/>
      <c r="F27" s="110"/>
      <c r="G27" s="111"/>
      <c r="H27" s="110"/>
      <c r="I27" s="110"/>
      <c r="J27" s="110"/>
      <c r="K27" s="111"/>
      <c r="L27" s="110"/>
      <c r="M27" s="110"/>
      <c r="N27" s="110"/>
      <c r="O27" s="111"/>
      <c r="P27" s="110"/>
      <c r="Q27" s="110"/>
      <c r="R27" s="110"/>
      <c r="S27" s="111"/>
      <c r="T27" s="110"/>
      <c r="U27" s="110"/>
      <c r="V27" s="110"/>
      <c r="W27" s="111"/>
      <c r="X27" s="110"/>
      <c r="Y27" s="110"/>
      <c r="Z27" s="110"/>
      <c r="AA27" s="111"/>
      <c r="AB27" s="110"/>
      <c r="AC27" s="110"/>
      <c r="AD27" s="110"/>
      <c r="AE27" s="111"/>
      <c r="AF27" s="110"/>
      <c r="AG27" s="321"/>
      <c r="AH27" s="321"/>
      <c r="AI27" s="111"/>
      <c r="AJ27" s="110"/>
      <c r="AK27" s="321"/>
      <c r="AL27" s="321"/>
      <c r="AM27" s="111"/>
      <c r="AN27" s="110"/>
      <c r="AO27" s="321"/>
      <c r="AP27" s="321"/>
      <c r="AQ27" s="111"/>
      <c r="AR27" s="110"/>
      <c r="AS27" s="321"/>
      <c r="AT27" s="321"/>
      <c r="AU27" s="111"/>
      <c r="AV27" s="110"/>
      <c r="AW27" s="321"/>
      <c r="AX27" s="321"/>
      <c r="AY27" s="111"/>
      <c r="AZ27" s="110"/>
      <c r="BA27" s="321"/>
      <c r="BB27" s="321"/>
      <c r="BC27" s="111"/>
      <c r="BD27" s="110"/>
      <c r="BE27" s="321"/>
      <c r="BF27" s="321"/>
      <c r="BG27" s="111"/>
      <c r="BH27" s="321"/>
      <c r="BI27" s="321"/>
      <c r="BJ27" s="321"/>
      <c r="BK27" s="111"/>
      <c r="BL27" s="321"/>
      <c r="BM27" s="321"/>
      <c r="BN27" s="321"/>
      <c r="BO27" s="111"/>
      <c r="BP27" s="347"/>
      <c r="BQ27" s="336"/>
      <c r="BR27" s="67"/>
      <c r="BS27" s="67"/>
      <c r="BT27" s="67"/>
      <c r="BU27" s="67"/>
      <c r="BV27" s="67"/>
      <c r="BW27" s="67"/>
      <c r="BX27" s="67"/>
      <c r="BY27" s="67"/>
      <c r="BZ27" s="67"/>
      <c r="CA27" s="67"/>
      <c r="CB27" s="67"/>
      <c r="CC27" s="67"/>
      <c r="CD27" s="338"/>
      <c r="CE27" s="338"/>
      <c r="CF27" s="338"/>
      <c r="CG27" s="338"/>
      <c r="CH27" s="336"/>
    </row>
    <row r="28" spans="2:86" ht="14.25">
      <c r="B28" s="20" t="s">
        <v>117</v>
      </c>
      <c r="C28" s="21"/>
      <c r="D28" s="110">
        <v>106.431</v>
      </c>
      <c r="E28" s="110">
        <v>97.658000000000001</v>
      </c>
      <c r="F28" s="110">
        <v>126.657</v>
      </c>
      <c r="G28" s="111">
        <v>129.72800000000001</v>
      </c>
      <c r="H28" s="110">
        <v>122.3</v>
      </c>
      <c r="I28" s="110">
        <v>139.67400000000001</v>
      </c>
      <c r="J28" s="110">
        <v>190.16900000000001</v>
      </c>
      <c r="K28" s="111">
        <v>196.60599999999999</v>
      </c>
      <c r="L28" s="110">
        <v>150.738</v>
      </c>
      <c r="M28" s="110">
        <v>212.12700000000001</v>
      </c>
      <c r="N28" s="110">
        <v>199.67699999999999</v>
      </c>
      <c r="O28" s="111">
        <v>240.49700000000001</v>
      </c>
      <c r="P28" s="110">
        <v>255.524</v>
      </c>
      <c r="Q28" s="110">
        <v>261.20800000000003</v>
      </c>
      <c r="R28" s="110">
        <v>209.417</v>
      </c>
      <c r="S28" s="111">
        <v>231.13499999999999</v>
      </c>
      <c r="T28" s="110">
        <v>168.07300000000001</v>
      </c>
      <c r="U28" s="110">
        <v>237.03899999999999</v>
      </c>
      <c r="V28" s="110">
        <v>224.119</v>
      </c>
      <c r="W28" s="111">
        <v>139.02799999999999</v>
      </c>
      <c r="X28" s="110">
        <v>166.988</v>
      </c>
      <c r="Y28" s="110">
        <v>268.541</v>
      </c>
      <c r="Z28" s="110">
        <v>317.233</v>
      </c>
      <c r="AA28" s="111">
        <v>283.36200000000002</v>
      </c>
      <c r="AB28" s="110">
        <v>288.56799999999998</v>
      </c>
      <c r="AC28" s="110">
        <v>385.50900000000001</v>
      </c>
      <c r="AD28" s="110">
        <v>352.21600000000001</v>
      </c>
      <c r="AE28" s="111">
        <v>332.00700000000001</v>
      </c>
      <c r="AF28" s="110">
        <v>321.68700000000001</v>
      </c>
      <c r="AG28" s="321">
        <v>353.99200000000002</v>
      </c>
      <c r="AH28" s="321">
        <v>355.404</v>
      </c>
      <c r="AI28" s="111">
        <v>304.69499999999999</v>
      </c>
      <c r="AJ28" s="110">
        <v>323.392</v>
      </c>
      <c r="AK28" s="321">
        <v>335.1</v>
      </c>
      <c r="AL28" s="321">
        <v>291.36599999999999</v>
      </c>
      <c r="AM28" s="111">
        <v>286.55200000000002</v>
      </c>
      <c r="AN28" s="110">
        <v>307.39299999999997</v>
      </c>
      <c r="AO28" s="321">
        <v>355.16399999999999</v>
      </c>
      <c r="AP28" s="321">
        <v>400.40300000000002</v>
      </c>
      <c r="AQ28" s="111">
        <v>316.38900000000001</v>
      </c>
      <c r="AR28" s="110">
        <v>409.005</v>
      </c>
      <c r="AS28" s="321">
        <v>415.71800000000002</v>
      </c>
      <c r="AT28" s="321">
        <v>341.43099999999998</v>
      </c>
      <c r="AU28" s="111">
        <v>282.899</v>
      </c>
      <c r="AV28" s="110">
        <v>297.05</v>
      </c>
      <c r="AW28" s="321">
        <v>289.02300000000002</v>
      </c>
      <c r="AX28" s="321">
        <v>236.67500000000001</v>
      </c>
      <c r="AY28" s="111">
        <v>180.37200000000001</v>
      </c>
      <c r="AZ28" s="110">
        <v>193.697</v>
      </c>
      <c r="BA28" s="321">
        <v>212.95</v>
      </c>
      <c r="BB28" s="321">
        <v>183.25200000000001</v>
      </c>
      <c r="BC28" s="111">
        <v>143.48400000000001</v>
      </c>
      <c r="BD28" s="110">
        <v>179.017</v>
      </c>
      <c r="BE28" s="321">
        <v>153.86199999999999</v>
      </c>
      <c r="BF28" s="321">
        <v>166.096</v>
      </c>
      <c r="BG28" s="111">
        <v>145.23599999999999</v>
      </c>
      <c r="BH28" s="320">
        <f t="shared" ref="BH28:BK28" si="78">BH57*BH52/91.25</f>
        <v>135.57636503470468</v>
      </c>
      <c r="BI28" s="320">
        <f t="shared" si="78"/>
        <v>138.93382269857563</v>
      </c>
      <c r="BJ28" s="320">
        <f t="shared" si="78"/>
        <v>142.08445434976937</v>
      </c>
      <c r="BK28" s="314">
        <f t="shared" si="78"/>
        <v>139.81227891419394</v>
      </c>
      <c r="BL28" s="320">
        <f t="shared" ref="BL28:BO28" si="79">BL57*BL52/91.25</f>
        <v>131.27818363522809</v>
      </c>
      <c r="BM28" s="320">
        <f t="shared" si="79"/>
        <v>139.07575160582778</v>
      </c>
      <c r="BN28" s="320">
        <f t="shared" si="79"/>
        <v>143.16791251953191</v>
      </c>
      <c r="BO28" s="314">
        <f t="shared" si="79"/>
        <v>140.9213509240025</v>
      </c>
      <c r="BP28" s="347"/>
      <c r="BQ28" s="319">
        <f t="shared" ref="BQ28:BQ33" si="80">G28</f>
        <v>129.72800000000001</v>
      </c>
      <c r="BR28" s="320">
        <f t="shared" ref="BR28:BR33" si="81">K28</f>
        <v>196.60599999999999</v>
      </c>
      <c r="BS28" s="320">
        <f t="shared" ref="BS28:BS33" si="82">O28</f>
        <v>240.49700000000001</v>
      </c>
      <c r="BT28" s="320">
        <f t="shared" ref="BT28:BT33" si="83">S28</f>
        <v>231.13499999999999</v>
      </c>
      <c r="BU28" s="320">
        <f t="shared" ref="BU28:BU33" si="84">W28</f>
        <v>139.02799999999999</v>
      </c>
      <c r="BV28" s="320">
        <f t="shared" ref="BV28:BV33" si="85">AA28</f>
        <v>283.36200000000002</v>
      </c>
      <c r="BW28" s="320">
        <f t="shared" ref="BW28:BW33" si="86">AE28</f>
        <v>332.00700000000001</v>
      </c>
      <c r="BX28" s="320">
        <f t="shared" ref="BX28:BX33" si="87">AI28</f>
        <v>304.69499999999999</v>
      </c>
      <c r="BY28" s="320">
        <f t="shared" ref="BY28:BY33" si="88">AM28</f>
        <v>286.55200000000002</v>
      </c>
      <c r="BZ28" s="320">
        <f t="shared" ref="BZ28:BZ33" si="89">AQ28</f>
        <v>316.38900000000001</v>
      </c>
      <c r="CA28" s="320">
        <f t="shared" ref="CA28:CA33" si="90">AU28</f>
        <v>282.899</v>
      </c>
      <c r="CB28" s="320">
        <f t="shared" ref="CB28:CB33" si="91">AY28</f>
        <v>180.37200000000001</v>
      </c>
      <c r="CC28" s="320">
        <f t="shared" ref="CC28:CC33" si="92">BC28</f>
        <v>143.48400000000001</v>
      </c>
      <c r="CD28" s="320">
        <f t="shared" ref="CD28:CD33" si="93">BG28</f>
        <v>145.23599999999999</v>
      </c>
      <c r="CE28" s="320">
        <f t="shared" ref="CE28:CE33" si="94">BK28</f>
        <v>139.81227891419394</v>
      </c>
      <c r="CF28" s="320">
        <f t="shared" ref="CF28:CF33" si="95">BO28</f>
        <v>140.9213509240025</v>
      </c>
      <c r="CG28" s="320">
        <f>CG57*CG52/365</f>
        <v>138.40161248993269</v>
      </c>
      <c r="CH28" s="336"/>
    </row>
    <row r="29" spans="2:86" ht="14.25">
      <c r="B29" s="20" t="s">
        <v>156</v>
      </c>
      <c r="C29" s="21"/>
      <c r="D29" s="110">
        <v>25.725000000000001</v>
      </c>
      <c r="E29" s="110">
        <v>23.946999999999999</v>
      </c>
      <c r="F29" s="110">
        <v>21.795999999999999</v>
      </c>
      <c r="G29" s="111">
        <v>20.603999999999999</v>
      </c>
      <c r="H29" s="110">
        <v>20.731999999999999</v>
      </c>
      <c r="I29" s="110">
        <v>21.216000000000001</v>
      </c>
      <c r="J29" s="110">
        <v>23.821999999999999</v>
      </c>
      <c r="K29" s="111">
        <v>34.905000000000001</v>
      </c>
      <c r="L29" s="110">
        <v>44.481999999999999</v>
      </c>
      <c r="M29" s="110">
        <v>54.106999999999999</v>
      </c>
      <c r="N29" s="110">
        <v>78.186000000000007</v>
      </c>
      <c r="O29" s="111">
        <v>268.84899999999999</v>
      </c>
      <c r="P29" s="110">
        <v>193.96100000000001</v>
      </c>
      <c r="Q29" s="110">
        <v>128.46199999999999</v>
      </c>
      <c r="R29" s="110">
        <v>164.59899999999999</v>
      </c>
      <c r="S29" s="111">
        <v>122.961</v>
      </c>
      <c r="T29" s="110">
        <v>101.33</v>
      </c>
      <c r="U29" s="110">
        <v>84.77</v>
      </c>
      <c r="V29" s="110">
        <v>98.710999999999999</v>
      </c>
      <c r="W29" s="111">
        <v>83.113</v>
      </c>
      <c r="X29" s="110">
        <v>163.27099999999999</v>
      </c>
      <c r="Y29" s="110">
        <v>157.07400000000001</v>
      </c>
      <c r="Z29" s="110">
        <v>73.861999999999995</v>
      </c>
      <c r="AA29" s="111">
        <v>76.11</v>
      </c>
      <c r="AB29" s="110">
        <v>82.59</v>
      </c>
      <c r="AC29" s="110">
        <v>82.572999999999993</v>
      </c>
      <c r="AD29" s="110">
        <v>82.430999999999997</v>
      </c>
      <c r="AE29" s="111">
        <v>232.00700000000001</v>
      </c>
      <c r="AF29" s="110">
        <v>79.192999999999998</v>
      </c>
      <c r="AG29" s="321">
        <v>89.899000000000001</v>
      </c>
      <c r="AH29" s="321">
        <v>82.671000000000006</v>
      </c>
      <c r="AI29" s="111">
        <v>87.655000000000001</v>
      </c>
      <c r="AJ29" s="110">
        <v>108.142</v>
      </c>
      <c r="AK29" s="321">
        <v>110.944</v>
      </c>
      <c r="AL29" s="321">
        <v>107.572</v>
      </c>
      <c r="AM29" s="111">
        <v>143.99100000000001</v>
      </c>
      <c r="AN29" s="110">
        <v>124.81399999999999</v>
      </c>
      <c r="AO29" s="321">
        <v>121.806</v>
      </c>
      <c r="AP29" s="321">
        <v>139.03899999999999</v>
      </c>
      <c r="AQ29" s="111">
        <v>161.762</v>
      </c>
      <c r="AR29" s="110">
        <v>146.667</v>
      </c>
      <c r="AS29" s="321">
        <v>159.41999999999999</v>
      </c>
      <c r="AT29" s="321">
        <v>140.084</v>
      </c>
      <c r="AU29" s="111">
        <v>154.96899999999999</v>
      </c>
      <c r="AV29" s="110">
        <v>258.34500000000003</v>
      </c>
      <c r="AW29" s="321">
        <f>160.969+733.557</f>
        <v>894.52600000000007</v>
      </c>
      <c r="AX29" s="321">
        <f>145.139+734.715+140.333</f>
        <v>1020.187</v>
      </c>
      <c r="AY29" s="111">
        <f>253.691+736</f>
        <v>989.69100000000003</v>
      </c>
      <c r="AZ29" s="110">
        <v>236.51400000000001</v>
      </c>
      <c r="BA29" s="321">
        <v>219.489</v>
      </c>
      <c r="BB29" s="321">
        <v>256.339</v>
      </c>
      <c r="BC29" s="111">
        <f>283.138+1.67</f>
        <v>284.80799999999999</v>
      </c>
      <c r="BD29" s="110">
        <f>154.315+0.746</f>
        <v>155.06100000000001</v>
      </c>
      <c r="BE29" s="321">
        <v>106.351</v>
      </c>
      <c r="BF29" s="321">
        <v>108.00700000000001</v>
      </c>
      <c r="BG29" s="111">
        <v>86.957999999999998</v>
      </c>
      <c r="BH29" s="320">
        <f t="shared" ref="BH29:BH33" si="96">BG29</f>
        <v>86.957999999999998</v>
      </c>
      <c r="BI29" s="320">
        <f t="shared" ref="BI29:BI33" si="97">BH29</f>
        <v>86.957999999999998</v>
      </c>
      <c r="BJ29" s="320">
        <f t="shared" ref="BJ29:BJ33" si="98">BI29</f>
        <v>86.957999999999998</v>
      </c>
      <c r="BK29" s="314">
        <f t="shared" ref="BK29:BK33" si="99">BJ29</f>
        <v>86.957999999999998</v>
      </c>
      <c r="BL29" s="320">
        <f t="shared" ref="BL29:BL33" si="100">BK29</f>
        <v>86.957999999999998</v>
      </c>
      <c r="BM29" s="320">
        <f t="shared" ref="BM29:BM33" si="101">BL29</f>
        <v>86.957999999999998</v>
      </c>
      <c r="BN29" s="320">
        <f t="shared" ref="BN29:BN33" si="102">BM29</f>
        <v>86.957999999999998</v>
      </c>
      <c r="BO29" s="314">
        <f t="shared" ref="BO29:BO33" si="103">BN29</f>
        <v>86.957999999999998</v>
      </c>
      <c r="BP29" s="347"/>
      <c r="BQ29" s="319">
        <f t="shared" si="80"/>
        <v>20.603999999999999</v>
      </c>
      <c r="BR29" s="320">
        <f t="shared" si="81"/>
        <v>34.905000000000001</v>
      </c>
      <c r="BS29" s="320">
        <f t="shared" si="82"/>
        <v>268.84899999999999</v>
      </c>
      <c r="BT29" s="320">
        <f t="shared" si="83"/>
        <v>122.961</v>
      </c>
      <c r="BU29" s="320">
        <f t="shared" si="84"/>
        <v>83.113</v>
      </c>
      <c r="BV29" s="320">
        <f t="shared" si="85"/>
        <v>76.11</v>
      </c>
      <c r="BW29" s="320">
        <f t="shared" si="86"/>
        <v>232.00700000000001</v>
      </c>
      <c r="BX29" s="320">
        <f t="shared" si="87"/>
        <v>87.655000000000001</v>
      </c>
      <c r="BY29" s="320">
        <f t="shared" si="88"/>
        <v>143.99100000000001</v>
      </c>
      <c r="BZ29" s="320">
        <f t="shared" si="89"/>
        <v>161.762</v>
      </c>
      <c r="CA29" s="320">
        <f t="shared" si="90"/>
        <v>154.96899999999999</v>
      </c>
      <c r="CB29" s="320">
        <f t="shared" si="91"/>
        <v>989.69100000000003</v>
      </c>
      <c r="CC29" s="320">
        <f t="shared" si="92"/>
        <v>284.80799999999999</v>
      </c>
      <c r="CD29" s="320">
        <f t="shared" si="93"/>
        <v>86.957999999999998</v>
      </c>
      <c r="CE29" s="320">
        <f t="shared" si="94"/>
        <v>86.957999999999998</v>
      </c>
      <c r="CF29" s="320">
        <f t="shared" si="95"/>
        <v>86.957999999999998</v>
      </c>
      <c r="CG29" s="320">
        <f>CF29</f>
        <v>86.957999999999998</v>
      </c>
      <c r="CH29" s="336"/>
    </row>
    <row r="30" spans="2:86" ht="14.25">
      <c r="B30" s="20" t="s">
        <v>157</v>
      </c>
      <c r="C30" s="21"/>
      <c r="D30" s="110">
        <v>25.859000000000002</v>
      </c>
      <c r="E30" s="110">
        <v>27.922999999999998</v>
      </c>
      <c r="F30" s="110">
        <v>34.201999999999998</v>
      </c>
      <c r="G30" s="111">
        <v>32.136000000000003</v>
      </c>
      <c r="H30" s="110">
        <v>31.776</v>
      </c>
      <c r="I30" s="110">
        <v>32.844000000000001</v>
      </c>
      <c r="J30" s="110">
        <v>34.499000000000002</v>
      </c>
      <c r="K30" s="111">
        <v>59.177</v>
      </c>
      <c r="L30" s="110">
        <v>50.956000000000003</v>
      </c>
      <c r="M30" s="110">
        <v>57.048000000000002</v>
      </c>
      <c r="N30" s="110">
        <v>62.408000000000001</v>
      </c>
      <c r="O30" s="111">
        <v>108.895</v>
      </c>
      <c r="P30" s="110">
        <v>110.17700000000001</v>
      </c>
      <c r="Q30" s="110">
        <v>110.104</v>
      </c>
      <c r="R30" s="110">
        <v>119.746</v>
      </c>
      <c r="S30" s="111">
        <v>118.101</v>
      </c>
      <c r="T30" s="110">
        <v>139.37100000000001</v>
      </c>
      <c r="U30" s="110">
        <v>132.85900000000001</v>
      </c>
      <c r="V30" s="110">
        <v>141.49100000000001</v>
      </c>
      <c r="W30" s="111">
        <v>92.022000000000006</v>
      </c>
      <c r="X30" s="110">
        <v>105.05500000000001</v>
      </c>
      <c r="Y30" s="110">
        <v>91.048000000000002</v>
      </c>
      <c r="Z30" s="110">
        <v>127.17100000000001</v>
      </c>
      <c r="AA30" s="111">
        <v>125.81</v>
      </c>
      <c r="AB30" s="110">
        <v>114.80800000000001</v>
      </c>
      <c r="AC30" s="110">
        <v>119.214</v>
      </c>
      <c r="AD30" s="110">
        <v>152.279</v>
      </c>
      <c r="AE30" s="111">
        <v>0</v>
      </c>
      <c r="AF30" s="110">
        <v>131.64400000000001</v>
      </c>
      <c r="AG30" s="321">
        <v>117.25700000000001</v>
      </c>
      <c r="AH30" s="321">
        <v>154.44800000000001</v>
      </c>
      <c r="AI30" s="111">
        <v>137.245</v>
      </c>
      <c r="AJ30" s="110">
        <v>136.59700000000001</v>
      </c>
      <c r="AK30" s="321">
        <v>112.56399999999999</v>
      </c>
      <c r="AL30" s="321">
        <v>142.07300000000001</v>
      </c>
      <c r="AM30" s="111">
        <v>117.19499999999999</v>
      </c>
      <c r="AN30" s="110">
        <v>121.61799999999999</v>
      </c>
      <c r="AO30" s="321">
        <v>121.14700000000001</v>
      </c>
      <c r="AP30" s="321">
        <v>131.16</v>
      </c>
      <c r="AQ30" s="111">
        <v>111.408</v>
      </c>
      <c r="AR30" s="110">
        <v>141.40899999999999</v>
      </c>
      <c r="AS30" s="321">
        <v>133.958</v>
      </c>
      <c r="AT30" s="321">
        <v>153.059</v>
      </c>
      <c r="AU30" s="111">
        <v>131.38800000000001</v>
      </c>
      <c r="AV30" s="110"/>
      <c r="AW30" s="321">
        <v>126.038</v>
      </c>
      <c r="AX30" s="321">
        <v>0</v>
      </c>
      <c r="AY30" s="111">
        <v>0</v>
      </c>
      <c r="AZ30" s="110"/>
      <c r="BA30" s="321">
        <v>0</v>
      </c>
      <c r="BB30" s="321">
        <v>0</v>
      </c>
      <c r="BC30" s="111">
        <v>0</v>
      </c>
      <c r="BD30" s="110">
        <v>132.11799999999999</v>
      </c>
      <c r="BE30" s="321">
        <v>131.27199999999999</v>
      </c>
      <c r="BF30" s="321">
        <v>129.035</v>
      </c>
      <c r="BG30" s="111">
        <v>127.711</v>
      </c>
      <c r="BH30" s="320">
        <f t="shared" si="96"/>
        <v>127.711</v>
      </c>
      <c r="BI30" s="320">
        <f t="shared" si="97"/>
        <v>127.711</v>
      </c>
      <c r="BJ30" s="320">
        <f t="shared" si="98"/>
        <v>127.711</v>
      </c>
      <c r="BK30" s="314">
        <f t="shared" si="99"/>
        <v>127.711</v>
      </c>
      <c r="BL30" s="320">
        <f t="shared" si="100"/>
        <v>127.711</v>
      </c>
      <c r="BM30" s="320">
        <f t="shared" si="101"/>
        <v>127.711</v>
      </c>
      <c r="BN30" s="320">
        <f t="shared" si="102"/>
        <v>127.711</v>
      </c>
      <c r="BO30" s="314">
        <f t="shared" si="103"/>
        <v>127.711</v>
      </c>
      <c r="BP30" s="347"/>
      <c r="BQ30" s="319">
        <f t="shared" si="80"/>
        <v>32.136000000000003</v>
      </c>
      <c r="BR30" s="320">
        <f t="shared" si="81"/>
        <v>59.177</v>
      </c>
      <c r="BS30" s="320">
        <f t="shared" si="82"/>
        <v>108.895</v>
      </c>
      <c r="BT30" s="320">
        <f t="shared" si="83"/>
        <v>118.101</v>
      </c>
      <c r="BU30" s="320">
        <f t="shared" si="84"/>
        <v>92.022000000000006</v>
      </c>
      <c r="BV30" s="320">
        <f t="shared" si="85"/>
        <v>125.81</v>
      </c>
      <c r="BW30" s="320">
        <f t="shared" si="86"/>
        <v>0</v>
      </c>
      <c r="BX30" s="320">
        <f t="shared" si="87"/>
        <v>137.245</v>
      </c>
      <c r="BY30" s="320">
        <f t="shared" si="88"/>
        <v>117.19499999999999</v>
      </c>
      <c r="BZ30" s="320">
        <f t="shared" si="89"/>
        <v>111.408</v>
      </c>
      <c r="CA30" s="320">
        <f t="shared" si="90"/>
        <v>131.38800000000001</v>
      </c>
      <c r="CB30" s="320">
        <f t="shared" si="91"/>
        <v>0</v>
      </c>
      <c r="CC30" s="320">
        <f t="shared" si="92"/>
        <v>0</v>
      </c>
      <c r="CD30" s="320">
        <f t="shared" si="93"/>
        <v>127.711</v>
      </c>
      <c r="CE30" s="320">
        <f t="shared" si="94"/>
        <v>127.711</v>
      </c>
      <c r="CF30" s="320">
        <f t="shared" si="95"/>
        <v>127.711</v>
      </c>
      <c r="CG30" s="320">
        <f>CF30</f>
        <v>127.711</v>
      </c>
      <c r="CH30" s="336"/>
    </row>
    <row r="31" spans="2:86" ht="14.25">
      <c r="B31" s="20" t="s">
        <v>158</v>
      </c>
      <c r="C31" s="21"/>
      <c r="D31" s="110">
        <v>6.9809999999999999</v>
      </c>
      <c r="E31" s="110">
        <v>6.18</v>
      </c>
      <c r="F31" s="110">
        <v>5.3010000000000002</v>
      </c>
      <c r="G31" s="111">
        <v>3.1949999999999998</v>
      </c>
      <c r="H31" s="110">
        <v>2.4180000000000001</v>
      </c>
      <c r="I31" s="110">
        <v>4.1500000000000004</v>
      </c>
      <c r="J31" s="110">
        <v>3.198</v>
      </c>
      <c r="K31" s="111">
        <v>24.393999999999998</v>
      </c>
      <c r="L31" s="110">
        <v>27.847000000000001</v>
      </c>
      <c r="M31" s="110">
        <v>27.756</v>
      </c>
      <c r="N31" s="110">
        <v>28.006</v>
      </c>
      <c r="O31" s="111">
        <v>29.077999999999999</v>
      </c>
      <c r="P31" s="110">
        <v>26.42</v>
      </c>
      <c r="Q31" s="110">
        <v>21.138000000000002</v>
      </c>
      <c r="R31" s="110">
        <v>25.187000000000001</v>
      </c>
      <c r="S31" s="111">
        <v>39.131999999999998</v>
      </c>
      <c r="T31" s="110">
        <v>41.521999999999998</v>
      </c>
      <c r="U31" s="110">
        <v>37.008000000000003</v>
      </c>
      <c r="V31" s="110">
        <v>37.512999999999998</v>
      </c>
      <c r="W31" s="111">
        <v>35.802999999999997</v>
      </c>
      <c r="X31" s="110">
        <v>47.256999999999998</v>
      </c>
      <c r="Y31" s="110">
        <v>48.554000000000002</v>
      </c>
      <c r="Z31" s="110">
        <v>14.670999999999999</v>
      </c>
      <c r="AA31" s="111">
        <v>19.992000000000001</v>
      </c>
      <c r="AB31" s="110">
        <v>18.274999999999999</v>
      </c>
      <c r="AC31" s="110">
        <v>19.204000000000001</v>
      </c>
      <c r="AD31" s="110">
        <v>22.54</v>
      </c>
      <c r="AE31" s="111">
        <v>0</v>
      </c>
      <c r="AF31" s="110">
        <v>0</v>
      </c>
      <c r="AG31" s="321">
        <v>0</v>
      </c>
      <c r="AH31" s="321">
        <v>0</v>
      </c>
      <c r="AI31" s="111">
        <v>0</v>
      </c>
      <c r="AJ31" s="110">
        <v>0</v>
      </c>
      <c r="AK31" s="321">
        <v>0</v>
      </c>
      <c r="AL31" s="321">
        <v>0</v>
      </c>
      <c r="AM31" s="111">
        <v>0</v>
      </c>
      <c r="AN31" s="110">
        <v>0</v>
      </c>
      <c r="AO31" s="321">
        <v>0</v>
      </c>
      <c r="AP31" s="321">
        <v>0</v>
      </c>
      <c r="AQ31" s="111">
        <v>0</v>
      </c>
      <c r="AR31" s="110">
        <v>0</v>
      </c>
      <c r="AS31" s="321">
        <v>0</v>
      </c>
      <c r="AT31" s="321">
        <v>0</v>
      </c>
      <c r="AU31" s="111">
        <v>0</v>
      </c>
      <c r="AV31" s="110">
        <v>0</v>
      </c>
      <c r="AW31" s="321">
        <v>0</v>
      </c>
      <c r="AX31" s="321">
        <v>0</v>
      </c>
      <c r="AY31" s="111">
        <v>0</v>
      </c>
      <c r="AZ31" s="110">
        <v>0</v>
      </c>
      <c r="BA31" s="321">
        <v>0</v>
      </c>
      <c r="BB31" s="321">
        <v>0</v>
      </c>
      <c r="BC31" s="111">
        <v>0</v>
      </c>
      <c r="BD31" s="110">
        <v>0</v>
      </c>
      <c r="BE31" s="321">
        <v>0</v>
      </c>
      <c r="BF31" s="321">
        <v>0</v>
      </c>
      <c r="BG31" s="111">
        <v>0</v>
      </c>
      <c r="BH31" s="320">
        <f t="shared" si="96"/>
        <v>0</v>
      </c>
      <c r="BI31" s="320">
        <f t="shared" si="97"/>
        <v>0</v>
      </c>
      <c r="BJ31" s="320">
        <f t="shared" si="98"/>
        <v>0</v>
      </c>
      <c r="BK31" s="314">
        <f t="shared" si="99"/>
        <v>0</v>
      </c>
      <c r="BL31" s="320">
        <f t="shared" si="100"/>
        <v>0</v>
      </c>
      <c r="BM31" s="320">
        <f t="shared" si="101"/>
        <v>0</v>
      </c>
      <c r="BN31" s="320">
        <f t="shared" si="102"/>
        <v>0</v>
      </c>
      <c r="BO31" s="314">
        <f t="shared" si="103"/>
        <v>0</v>
      </c>
      <c r="BP31" s="347"/>
      <c r="BQ31" s="319">
        <f t="shared" si="80"/>
        <v>3.1949999999999998</v>
      </c>
      <c r="BR31" s="320">
        <f t="shared" si="81"/>
        <v>24.393999999999998</v>
      </c>
      <c r="BS31" s="320">
        <f t="shared" si="82"/>
        <v>29.077999999999999</v>
      </c>
      <c r="BT31" s="320">
        <f t="shared" si="83"/>
        <v>39.131999999999998</v>
      </c>
      <c r="BU31" s="320">
        <f t="shared" si="84"/>
        <v>35.802999999999997</v>
      </c>
      <c r="BV31" s="320">
        <f t="shared" si="85"/>
        <v>19.992000000000001</v>
      </c>
      <c r="BW31" s="320">
        <f t="shared" si="86"/>
        <v>0</v>
      </c>
      <c r="BX31" s="320">
        <f t="shared" si="87"/>
        <v>0</v>
      </c>
      <c r="BY31" s="320">
        <f t="shared" si="88"/>
        <v>0</v>
      </c>
      <c r="BZ31" s="320">
        <f t="shared" si="89"/>
        <v>0</v>
      </c>
      <c r="CA31" s="320">
        <f t="shared" si="90"/>
        <v>0</v>
      </c>
      <c r="CB31" s="320">
        <f t="shared" si="91"/>
        <v>0</v>
      </c>
      <c r="CC31" s="320">
        <f t="shared" si="92"/>
        <v>0</v>
      </c>
      <c r="CD31" s="320">
        <f t="shared" si="93"/>
        <v>0</v>
      </c>
      <c r="CE31" s="320">
        <f t="shared" si="94"/>
        <v>0</v>
      </c>
      <c r="CF31" s="320">
        <f t="shared" si="95"/>
        <v>0</v>
      </c>
      <c r="CG31" s="320">
        <f>CF31</f>
        <v>0</v>
      </c>
      <c r="CH31" s="336"/>
    </row>
    <row r="32" spans="2:86" ht="14.25">
      <c r="B32" s="20" t="s">
        <v>159</v>
      </c>
      <c r="C32" s="21"/>
      <c r="D32" s="110">
        <v>21.422999999999998</v>
      </c>
      <c r="E32" s="110">
        <v>14.618</v>
      </c>
      <c r="F32" s="110">
        <v>11.936</v>
      </c>
      <c r="G32" s="111">
        <v>15.938000000000001</v>
      </c>
      <c r="H32" s="110">
        <v>18.513000000000002</v>
      </c>
      <c r="I32" s="110">
        <v>17.66</v>
      </c>
      <c r="J32" s="110">
        <v>25.792000000000002</v>
      </c>
      <c r="K32" s="111">
        <v>29.773</v>
      </c>
      <c r="L32" s="110">
        <v>28.64</v>
      </c>
      <c r="M32" s="110">
        <v>29.495000000000001</v>
      </c>
      <c r="N32" s="110">
        <v>31.672000000000001</v>
      </c>
      <c r="O32" s="111">
        <v>46.459000000000003</v>
      </c>
      <c r="P32" s="110">
        <v>52.061</v>
      </c>
      <c r="Q32" s="110">
        <v>54.777000000000001</v>
      </c>
      <c r="R32" s="110">
        <v>76.292000000000002</v>
      </c>
      <c r="S32" s="111">
        <v>69.42</v>
      </c>
      <c r="T32" s="110">
        <v>59.667000000000002</v>
      </c>
      <c r="U32" s="110">
        <v>62.005000000000003</v>
      </c>
      <c r="V32" s="110">
        <v>64.72</v>
      </c>
      <c r="W32" s="111">
        <v>57.895000000000003</v>
      </c>
      <c r="X32" s="110">
        <v>47.8</v>
      </c>
      <c r="Y32" s="110">
        <v>42.027000000000001</v>
      </c>
      <c r="Z32" s="110">
        <v>71.272999999999996</v>
      </c>
      <c r="AA32" s="111">
        <v>59.396000000000001</v>
      </c>
      <c r="AB32" s="110">
        <v>83.328999999999994</v>
      </c>
      <c r="AC32" s="110">
        <v>86.019000000000005</v>
      </c>
      <c r="AD32" s="110">
        <v>88.215999999999994</v>
      </c>
      <c r="AE32" s="111">
        <v>76.161000000000001</v>
      </c>
      <c r="AF32" s="110">
        <v>80.89</v>
      </c>
      <c r="AG32" s="321">
        <v>67.826999999999998</v>
      </c>
      <c r="AH32" s="321">
        <v>69.244</v>
      </c>
      <c r="AI32" s="111">
        <v>59.959000000000003</v>
      </c>
      <c r="AJ32" s="110">
        <v>65.412999999999997</v>
      </c>
      <c r="AK32" s="321">
        <v>67.84</v>
      </c>
      <c r="AL32" s="321">
        <v>59.457999999999998</v>
      </c>
      <c r="AM32" s="111">
        <v>60.15</v>
      </c>
      <c r="AN32" s="110">
        <v>59.27</v>
      </c>
      <c r="AO32" s="321">
        <v>75.465000000000003</v>
      </c>
      <c r="AP32" s="321">
        <v>86.37</v>
      </c>
      <c r="AQ32" s="111">
        <v>61.747</v>
      </c>
      <c r="AR32" s="110">
        <v>92.679000000000002</v>
      </c>
      <c r="AS32" s="321">
        <v>82.887</v>
      </c>
      <c r="AT32" s="321">
        <v>70.834000000000003</v>
      </c>
      <c r="AU32" s="111">
        <v>68.12</v>
      </c>
      <c r="AV32" s="110">
        <v>61.093000000000004</v>
      </c>
      <c r="AW32" s="321">
        <v>59.652000000000001</v>
      </c>
      <c r="AX32" s="321">
        <v>58.085999999999999</v>
      </c>
      <c r="AY32" s="111">
        <v>55.722000000000001</v>
      </c>
      <c r="AZ32" s="110">
        <v>54.488</v>
      </c>
      <c r="BA32" s="321">
        <v>72.049000000000007</v>
      </c>
      <c r="BB32" s="321">
        <v>63.655999999999999</v>
      </c>
      <c r="BC32" s="111">
        <v>68.123999999999995</v>
      </c>
      <c r="BD32" s="110">
        <v>74.063999999999993</v>
      </c>
      <c r="BE32" s="321">
        <f>70.063+1.015</f>
        <v>71.078000000000003</v>
      </c>
      <c r="BF32" s="321">
        <v>74.942999999999998</v>
      </c>
      <c r="BG32" s="111">
        <v>61.237000000000002</v>
      </c>
      <c r="BH32" s="320">
        <f t="shared" si="96"/>
        <v>61.237000000000002</v>
      </c>
      <c r="BI32" s="320">
        <f t="shared" si="97"/>
        <v>61.237000000000002</v>
      </c>
      <c r="BJ32" s="320">
        <f t="shared" si="98"/>
        <v>61.237000000000002</v>
      </c>
      <c r="BK32" s="314">
        <f t="shared" si="99"/>
        <v>61.237000000000002</v>
      </c>
      <c r="BL32" s="320">
        <f t="shared" si="100"/>
        <v>61.237000000000002</v>
      </c>
      <c r="BM32" s="320">
        <f t="shared" si="101"/>
        <v>61.237000000000002</v>
      </c>
      <c r="BN32" s="320">
        <f t="shared" si="102"/>
        <v>61.237000000000002</v>
      </c>
      <c r="BO32" s="314">
        <f t="shared" si="103"/>
        <v>61.237000000000002</v>
      </c>
      <c r="BP32" s="347"/>
      <c r="BQ32" s="319">
        <f t="shared" si="80"/>
        <v>15.938000000000001</v>
      </c>
      <c r="BR32" s="320">
        <f t="shared" si="81"/>
        <v>29.773</v>
      </c>
      <c r="BS32" s="320">
        <f t="shared" si="82"/>
        <v>46.459000000000003</v>
      </c>
      <c r="BT32" s="320">
        <f t="shared" si="83"/>
        <v>69.42</v>
      </c>
      <c r="BU32" s="320">
        <f t="shared" si="84"/>
        <v>57.895000000000003</v>
      </c>
      <c r="BV32" s="320">
        <f t="shared" si="85"/>
        <v>59.396000000000001</v>
      </c>
      <c r="BW32" s="320">
        <f t="shared" si="86"/>
        <v>76.161000000000001</v>
      </c>
      <c r="BX32" s="320">
        <f t="shared" si="87"/>
        <v>59.959000000000003</v>
      </c>
      <c r="BY32" s="320">
        <f t="shared" si="88"/>
        <v>60.15</v>
      </c>
      <c r="BZ32" s="320">
        <f t="shared" si="89"/>
        <v>61.747</v>
      </c>
      <c r="CA32" s="320">
        <f t="shared" si="90"/>
        <v>68.12</v>
      </c>
      <c r="CB32" s="320">
        <f t="shared" si="91"/>
        <v>55.722000000000001</v>
      </c>
      <c r="CC32" s="320">
        <f t="shared" si="92"/>
        <v>68.123999999999995</v>
      </c>
      <c r="CD32" s="320">
        <f t="shared" si="93"/>
        <v>61.237000000000002</v>
      </c>
      <c r="CE32" s="320">
        <f t="shared" si="94"/>
        <v>61.237000000000002</v>
      </c>
      <c r="CF32" s="320">
        <f t="shared" si="95"/>
        <v>61.237000000000002</v>
      </c>
      <c r="CG32" s="320">
        <f>CF32</f>
        <v>61.237000000000002</v>
      </c>
      <c r="CH32" s="336"/>
    </row>
    <row r="33" spans="2:86" ht="14.25">
      <c r="B33" s="168" t="s">
        <v>160</v>
      </c>
      <c r="C33" s="169"/>
      <c r="D33" s="110">
        <v>10.821</v>
      </c>
      <c r="E33" s="110">
        <v>11.795</v>
      </c>
      <c r="F33" s="110">
        <v>12.170999999999999</v>
      </c>
      <c r="G33" s="111">
        <v>13.204000000000001</v>
      </c>
      <c r="H33" s="110">
        <v>16.309000000000001</v>
      </c>
      <c r="I33" s="110">
        <v>15.84</v>
      </c>
      <c r="J33" s="110">
        <v>13.946</v>
      </c>
      <c r="K33" s="111">
        <v>16.562999999999999</v>
      </c>
      <c r="L33" s="110">
        <v>17.032</v>
      </c>
      <c r="M33" s="110">
        <v>17.983000000000001</v>
      </c>
      <c r="N33" s="110">
        <v>19.443000000000001</v>
      </c>
      <c r="O33" s="111">
        <v>17.408000000000001</v>
      </c>
      <c r="P33" s="110">
        <v>4.5449999999999999</v>
      </c>
      <c r="Q33" s="110">
        <v>4.4710000000000001</v>
      </c>
      <c r="R33" s="110">
        <v>4.6559999999999997</v>
      </c>
      <c r="S33" s="111">
        <v>2.4630000000000001</v>
      </c>
      <c r="T33" s="110">
        <v>1.7709999999999999</v>
      </c>
      <c r="U33" s="110">
        <v>1.9330000000000001</v>
      </c>
      <c r="V33" s="110">
        <v>1.7509999999999999</v>
      </c>
      <c r="W33" s="111">
        <v>1.7869999999999999</v>
      </c>
      <c r="X33" s="110">
        <v>1.8240000000000001</v>
      </c>
      <c r="Y33" s="110">
        <v>1.8620000000000001</v>
      </c>
      <c r="Z33" s="110">
        <v>1.901</v>
      </c>
      <c r="AA33" s="111">
        <v>1.94</v>
      </c>
      <c r="AB33" s="110">
        <v>1.9810000000000001</v>
      </c>
      <c r="AC33" s="110">
        <v>1.5009999999999999</v>
      </c>
      <c r="AD33" s="110">
        <v>1.0109999999999999</v>
      </c>
      <c r="AE33" s="111">
        <v>0.51100000000000001</v>
      </c>
      <c r="AF33" s="110">
        <v>0</v>
      </c>
      <c r="AG33" s="321">
        <v>0</v>
      </c>
      <c r="AH33" s="321">
        <v>0</v>
      </c>
      <c r="AI33" s="111">
        <v>0</v>
      </c>
      <c r="AJ33" s="110">
        <v>0</v>
      </c>
      <c r="AK33" s="321">
        <v>0</v>
      </c>
      <c r="AL33" s="321">
        <v>0</v>
      </c>
      <c r="AM33" s="111">
        <v>0</v>
      </c>
      <c r="AN33" s="110">
        <v>0</v>
      </c>
      <c r="AO33" s="321">
        <v>0</v>
      </c>
      <c r="AP33" s="321">
        <v>0</v>
      </c>
      <c r="AQ33" s="111">
        <v>0</v>
      </c>
      <c r="AR33" s="110">
        <v>0</v>
      </c>
      <c r="AS33" s="321">
        <v>0</v>
      </c>
      <c r="AT33" s="321">
        <v>0</v>
      </c>
      <c r="AU33" s="111">
        <v>0</v>
      </c>
      <c r="AV33" s="110">
        <v>0</v>
      </c>
      <c r="AW33" s="321">
        <v>0</v>
      </c>
      <c r="AX33" s="321">
        <v>0</v>
      </c>
      <c r="AY33" s="111">
        <v>0</v>
      </c>
      <c r="AZ33" s="110">
        <v>0</v>
      </c>
      <c r="BA33" s="321">
        <v>0</v>
      </c>
      <c r="BB33" s="321">
        <v>0</v>
      </c>
      <c r="BC33" s="111">
        <v>0</v>
      </c>
      <c r="BD33" s="110">
        <v>0</v>
      </c>
      <c r="BE33" s="321">
        <v>0</v>
      </c>
      <c r="BF33" s="321">
        <v>0</v>
      </c>
      <c r="BG33" s="111">
        <v>0</v>
      </c>
      <c r="BH33" s="320">
        <f t="shared" si="96"/>
        <v>0</v>
      </c>
      <c r="BI33" s="320">
        <f t="shared" si="97"/>
        <v>0</v>
      </c>
      <c r="BJ33" s="320">
        <f t="shared" si="98"/>
        <v>0</v>
      </c>
      <c r="BK33" s="314">
        <f t="shared" si="99"/>
        <v>0</v>
      </c>
      <c r="BL33" s="320">
        <f t="shared" si="100"/>
        <v>0</v>
      </c>
      <c r="BM33" s="320">
        <f t="shared" si="101"/>
        <v>0</v>
      </c>
      <c r="BN33" s="320">
        <f t="shared" si="102"/>
        <v>0</v>
      </c>
      <c r="BO33" s="314">
        <f t="shared" si="103"/>
        <v>0</v>
      </c>
      <c r="BP33" s="347"/>
      <c r="BQ33" s="319">
        <f t="shared" si="80"/>
        <v>13.204000000000001</v>
      </c>
      <c r="BR33" s="320">
        <f t="shared" si="81"/>
        <v>16.562999999999999</v>
      </c>
      <c r="BS33" s="320">
        <f t="shared" si="82"/>
        <v>17.408000000000001</v>
      </c>
      <c r="BT33" s="320">
        <f t="shared" si="83"/>
        <v>2.4630000000000001</v>
      </c>
      <c r="BU33" s="320">
        <f t="shared" si="84"/>
        <v>1.7869999999999999</v>
      </c>
      <c r="BV33" s="320">
        <f t="shared" si="85"/>
        <v>1.94</v>
      </c>
      <c r="BW33" s="320">
        <f t="shared" si="86"/>
        <v>0.51100000000000001</v>
      </c>
      <c r="BX33" s="320">
        <f t="shared" si="87"/>
        <v>0</v>
      </c>
      <c r="BY33" s="320">
        <f t="shared" si="88"/>
        <v>0</v>
      </c>
      <c r="BZ33" s="320">
        <f t="shared" si="89"/>
        <v>0</v>
      </c>
      <c r="CA33" s="320">
        <f t="shared" si="90"/>
        <v>0</v>
      </c>
      <c r="CB33" s="320">
        <f t="shared" si="91"/>
        <v>0</v>
      </c>
      <c r="CC33" s="320">
        <f t="shared" si="92"/>
        <v>0</v>
      </c>
      <c r="CD33" s="320">
        <f t="shared" si="93"/>
        <v>0</v>
      </c>
      <c r="CE33" s="320">
        <f t="shared" si="94"/>
        <v>0</v>
      </c>
      <c r="CF33" s="320">
        <f t="shared" si="95"/>
        <v>0</v>
      </c>
      <c r="CG33" s="320">
        <f>CF33</f>
        <v>0</v>
      </c>
      <c r="CH33" s="336"/>
    </row>
    <row r="34" spans="2:86" ht="15">
      <c r="B34" s="120" t="s">
        <v>118</v>
      </c>
      <c r="C34" s="121"/>
      <c r="D34" s="114">
        <f t="shared" ref="D34:AE34" si="104">SUM(D28:D33)</f>
        <v>197.24</v>
      </c>
      <c r="E34" s="115">
        <f t="shared" si="104"/>
        <v>182.12099999999998</v>
      </c>
      <c r="F34" s="115">
        <f t="shared" si="104"/>
        <v>212.06299999999999</v>
      </c>
      <c r="G34" s="116">
        <f t="shared" si="104"/>
        <v>214.80499999999998</v>
      </c>
      <c r="H34" s="114">
        <f t="shared" si="104"/>
        <v>212.048</v>
      </c>
      <c r="I34" s="115">
        <f t="shared" si="104"/>
        <v>231.38400000000001</v>
      </c>
      <c r="J34" s="115">
        <f t="shared" si="104"/>
        <v>291.42600000000004</v>
      </c>
      <c r="K34" s="116">
        <f t="shared" si="104"/>
        <v>361.41800000000001</v>
      </c>
      <c r="L34" s="114">
        <f t="shared" si="104"/>
        <v>319.69499999999994</v>
      </c>
      <c r="M34" s="115">
        <f t="shared" si="104"/>
        <v>398.51600000000002</v>
      </c>
      <c r="N34" s="115">
        <f t="shared" si="104"/>
        <v>419.39200000000005</v>
      </c>
      <c r="O34" s="116">
        <f t="shared" si="104"/>
        <v>711.18600000000004</v>
      </c>
      <c r="P34" s="114">
        <f t="shared" si="104"/>
        <v>642.68799999999999</v>
      </c>
      <c r="Q34" s="115">
        <f t="shared" si="104"/>
        <v>580.16000000000008</v>
      </c>
      <c r="R34" s="115">
        <f t="shared" si="104"/>
        <v>599.89699999999993</v>
      </c>
      <c r="S34" s="116">
        <f t="shared" si="104"/>
        <v>583.21199999999999</v>
      </c>
      <c r="T34" s="114">
        <f t="shared" si="104"/>
        <v>511.73399999999998</v>
      </c>
      <c r="U34" s="115">
        <f t="shared" si="104"/>
        <v>555.61400000000003</v>
      </c>
      <c r="V34" s="115">
        <f t="shared" si="104"/>
        <v>568.30499999999995</v>
      </c>
      <c r="W34" s="116">
        <f t="shared" si="104"/>
        <v>409.64799999999997</v>
      </c>
      <c r="X34" s="114">
        <f t="shared" si="104"/>
        <v>532.19499999999994</v>
      </c>
      <c r="Y34" s="115">
        <f t="shared" si="104"/>
        <v>609.10599999999999</v>
      </c>
      <c r="Z34" s="115">
        <f t="shared" si="104"/>
        <v>606.1110000000001</v>
      </c>
      <c r="AA34" s="116">
        <f t="shared" si="104"/>
        <v>566.61000000000013</v>
      </c>
      <c r="AB34" s="115">
        <f t="shared" si="104"/>
        <v>589.55099999999993</v>
      </c>
      <c r="AC34" s="115">
        <f t="shared" si="104"/>
        <v>694.02</v>
      </c>
      <c r="AD34" s="115">
        <f t="shared" si="104"/>
        <v>698.69299999999987</v>
      </c>
      <c r="AE34" s="116">
        <f t="shared" si="104"/>
        <v>640.68599999999992</v>
      </c>
      <c r="AF34" s="115">
        <f t="shared" ref="AF34:AU34" si="105">SUM(AF28:AF33)</f>
        <v>613.41399999999999</v>
      </c>
      <c r="AG34" s="115">
        <f t="shared" si="105"/>
        <v>628.97500000000002</v>
      </c>
      <c r="AH34" s="115">
        <f t="shared" si="105"/>
        <v>661.76700000000005</v>
      </c>
      <c r="AI34" s="116">
        <f t="shared" si="105"/>
        <v>589.55400000000009</v>
      </c>
      <c r="AJ34" s="115">
        <f t="shared" si="105"/>
        <v>633.54399999999998</v>
      </c>
      <c r="AK34" s="115">
        <f t="shared" si="105"/>
        <v>626.44800000000009</v>
      </c>
      <c r="AL34" s="115">
        <f t="shared" si="105"/>
        <v>600.46899999999994</v>
      </c>
      <c r="AM34" s="116">
        <f t="shared" si="105"/>
        <v>607.88800000000003</v>
      </c>
      <c r="AN34" s="115">
        <f t="shared" si="105"/>
        <v>613.09500000000003</v>
      </c>
      <c r="AO34" s="115">
        <f t="shared" si="105"/>
        <v>673.58199999999999</v>
      </c>
      <c r="AP34" s="115">
        <f t="shared" si="105"/>
        <v>756.97199999999998</v>
      </c>
      <c r="AQ34" s="116">
        <f>SUM(AQ28:AQ33)</f>
        <v>651.30599999999993</v>
      </c>
      <c r="AR34" s="115">
        <f t="shared" si="105"/>
        <v>789.76</v>
      </c>
      <c r="AS34" s="115">
        <f>SUM(AS28:AS33)</f>
        <v>791.98299999999995</v>
      </c>
      <c r="AT34" s="115">
        <f>SUM(AT28:AT33)</f>
        <v>705.4079999999999</v>
      </c>
      <c r="AU34" s="116">
        <f t="shared" si="105"/>
        <v>637.37599999999998</v>
      </c>
      <c r="AV34" s="115">
        <f>SUM(AV28:AV33)</f>
        <v>616.48799999999994</v>
      </c>
      <c r="AW34" s="115">
        <f>SUM(AW28:AW33)</f>
        <v>1369.239</v>
      </c>
      <c r="AX34" s="115">
        <f t="shared" ref="AX34:AY34" si="106">SUM(AX28:AX33)</f>
        <v>1314.9480000000001</v>
      </c>
      <c r="AY34" s="116">
        <f t="shared" si="106"/>
        <v>1225.7850000000001</v>
      </c>
      <c r="AZ34" s="115">
        <f>SUM(AZ28:AZ33)</f>
        <v>484.69900000000001</v>
      </c>
      <c r="BA34" s="115">
        <f>SUM(BA28:BA33)</f>
        <v>504.48799999999994</v>
      </c>
      <c r="BB34" s="115">
        <f t="shared" ref="BB34:BC34" si="107">SUM(BB28:BB33)</f>
        <v>503.24700000000001</v>
      </c>
      <c r="BC34" s="116">
        <f t="shared" si="107"/>
        <v>496.41600000000005</v>
      </c>
      <c r="BD34" s="115">
        <f>SUM(BD28:BD33)</f>
        <v>540.26</v>
      </c>
      <c r="BE34" s="115">
        <f>SUM(BE28:BE33)</f>
        <v>462.56299999999999</v>
      </c>
      <c r="BF34" s="115">
        <f t="shared" ref="BF34:BG34" si="108">SUM(BF28:BF33)</f>
        <v>478.08100000000002</v>
      </c>
      <c r="BG34" s="116">
        <f t="shared" si="108"/>
        <v>421.142</v>
      </c>
      <c r="BH34" s="115">
        <f t="shared" ref="BH34:BK34" si="109">SUM(BH28:BH33)</f>
        <v>411.48236503470469</v>
      </c>
      <c r="BI34" s="115">
        <f t="shared" si="109"/>
        <v>414.83982269857563</v>
      </c>
      <c r="BJ34" s="115">
        <f t="shared" si="109"/>
        <v>417.99045434976938</v>
      </c>
      <c r="BK34" s="116">
        <f t="shared" si="109"/>
        <v>415.71827891419395</v>
      </c>
      <c r="BL34" s="115">
        <f t="shared" ref="BL34:BO34" si="110">SUM(BL28:BL33)</f>
        <v>407.18418363522812</v>
      </c>
      <c r="BM34" s="115">
        <f t="shared" si="110"/>
        <v>414.98175160582781</v>
      </c>
      <c r="BN34" s="115">
        <f t="shared" si="110"/>
        <v>419.07391251953192</v>
      </c>
      <c r="BO34" s="116">
        <f t="shared" si="110"/>
        <v>416.82735092400253</v>
      </c>
      <c r="BP34" s="347"/>
      <c r="BQ34" s="114">
        <f>SUM(BQ28:BQ33)</f>
        <v>214.80499999999998</v>
      </c>
      <c r="BR34" s="115">
        <f t="shared" ref="BR34:BW34" si="111">SUM(BR28:BR33)</f>
        <v>361.41800000000001</v>
      </c>
      <c r="BS34" s="115">
        <f t="shared" si="111"/>
        <v>711.18600000000004</v>
      </c>
      <c r="BT34" s="115">
        <f t="shared" si="111"/>
        <v>583.21199999999999</v>
      </c>
      <c r="BU34" s="115">
        <f t="shared" si="111"/>
        <v>409.64799999999997</v>
      </c>
      <c r="BV34" s="115">
        <f t="shared" si="111"/>
        <v>566.61000000000013</v>
      </c>
      <c r="BW34" s="115">
        <f t="shared" si="111"/>
        <v>640.68599999999992</v>
      </c>
      <c r="BX34" s="115">
        <f t="shared" ref="BX34:CA34" si="112">SUM(BX28:BX33)</f>
        <v>589.55400000000009</v>
      </c>
      <c r="BY34" s="115">
        <f t="shared" si="112"/>
        <v>607.88800000000003</v>
      </c>
      <c r="BZ34" s="115">
        <f t="shared" si="112"/>
        <v>651.30599999999993</v>
      </c>
      <c r="CA34" s="115">
        <f t="shared" si="112"/>
        <v>637.37599999999998</v>
      </c>
      <c r="CB34" s="115">
        <f>SUM(CB28:CB33)</f>
        <v>1225.7850000000001</v>
      </c>
      <c r="CC34" s="115">
        <f>SUM(CC28:CC33)</f>
        <v>496.41600000000005</v>
      </c>
      <c r="CD34" s="115">
        <f>SUM(CD28:CD33)</f>
        <v>421.142</v>
      </c>
      <c r="CE34" s="115">
        <f>SUM(CE28:CE33)</f>
        <v>415.71827891419395</v>
      </c>
      <c r="CF34" s="115">
        <f>SUM(CF28:CF33)</f>
        <v>416.82735092400253</v>
      </c>
      <c r="CG34" s="115">
        <f t="shared" ref="CG34" si="113">SUM(CG28:CG33)</f>
        <v>414.30761248993269</v>
      </c>
      <c r="CH34" s="336"/>
    </row>
    <row r="35" spans="2:86" ht="14.25">
      <c r="B35" s="16"/>
      <c r="C35" s="17"/>
      <c r="D35" s="110"/>
      <c r="E35" s="110"/>
      <c r="F35" s="110"/>
      <c r="G35" s="111"/>
      <c r="H35" s="110"/>
      <c r="I35" s="110"/>
      <c r="J35" s="110"/>
      <c r="K35" s="111"/>
      <c r="L35" s="110"/>
      <c r="M35" s="110"/>
      <c r="N35" s="110"/>
      <c r="O35" s="111"/>
      <c r="P35" s="110"/>
      <c r="Q35" s="110"/>
      <c r="R35" s="110"/>
      <c r="S35" s="111"/>
      <c r="T35" s="110"/>
      <c r="U35" s="110"/>
      <c r="V35" s="110"/>
      <c r="W35" s="111"/>
      <c r="X35" s="110"/>
      <c r="Y35" s="110"/>
      <c r="Z35" s="110"/>
      <c r="AA35" s="111"/>
      <c r="AB35" s="110"/>
      <c r="AC35" s="110"/>
      <c r="AD35" s="110"/>
      <c r="AE35" s="111"/>
      <c r="AF35" s="110"/>
      <c r="AG35" s="320"/>
      <c r="AH35" s="320"/>
      <c r="AI35" s="111"/>
      <c r="AJ35" s="110"/>
      <c r="AK35" s="320"/>
      <c r="AL35" s="320"/>
      <c r="AM35" s="111"/>
      <c r="AN35" s="110"/>
      <c r="AO35" s="320"/>
      <c r="AP35" s="320"/>
      <c r="AQ35" s="111"/>
      <c r="AR35" s="110"/>
      <c r="AS35" s="320"/>
      <c r="AT35" s="320"/>
      <c r="AU35" s="111"/>
      <c r="AV35" s="110"/>
      <c r="AW35" s="320"/>
      <c r="AX35" s="320"/>
      <c r="AY35" s="111"/>
      <c r="AZ35" s="110"/>
      <c r="BA35" s="320"/>
      <c r="BB35" s="320"/>
      <c r="BC35" s="111"/>
      <c r="BD35" s="110"/>
      <c r="BE35" s="320"/>
      <c r="BF35" s="320"/>
      <c r="BG35" s="111"/>
      <c r="BH35" s="320"/>
      <c r="BI35" s="320"/>
      <c r="BJ35" s="320"/>
      <c r="BK35" s="314"/>
      <c r="BL35" s="320"/>
      <c r="BM35" s="320"/>
      <c r="BN35" s="320"/>
      <c r="BO35" s="314"/>
      <c r="BP35" s="347"/>
      <c r="BQ35" s="336"/>
      <c r="BR35" s="67"/>
      <c r="BS35" s="67"/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338"/>
      <c r="CE35" s="338"/>
      <c r="CF35" s="338"/>
      <c r="CG35" s="338"/>
      <c r="CH35" s="336"/>
    </row>
    <row r="36" spans="2:86" ht="14.25">
      <c r="B36" s="20" t="s">
        <v>161</v>
      </c>
      <c r="C36" s="21"/>
      <c r="D36" s="110">
        <v>17.331</v>
      </c>
      <c r="E36" s="110">
        <v>15.973000000000001</v>
      </c>
      <c r="F36" s="110">
        <v>14.362</v>
      </c>
      <c r="G36" s="111">
        <v>11.59</v>
      </c>
      <c r="H36" s="110">
        <v>24.835999999999999</v>
      </c>
      <c r="I36" s="110">
        <v>21.678000000000001</v>
      </c>
      <c r="J36" s="110">
        <v>18.314</v>
      </c>
      <c r="K36" s="111">
        <v>24.446999999999999</v>
      </c>
      <c r="L36" s="110">
        <v>22.561</v>
      </c>
      <c r="M36" s="110">
        <v>24.181000000000001</v>
      </c>
      <c r="N36" s="110">
        <v>23.748000000000001</v>
      </c>
      <c r="O36" s="111">
        <v>17.096</v>
      </c>
      <c r="P36" s="110">
        <v>10.048</v>
      </c>
      <c r="Q36" s="110">
        <v>9.1039999999999992</v>
      </c>
      <c r="R36" s="110">
        <v>8.141</v>
      </c>
      <c r="S36" s="111">
        <v>4.2380000000000004</v>
      </c>
      <c r="T36" s="110">
        <v>3.8050000000000002</v>
      </c>
      <c r="U36" s="110">
        <v>3.363</v>
      </c>
      <c r="V36" s="110">
        <v>2.911</v>
      </c>
      <c r="W36" s="111">
        <v>2.4510000000000001</v>
      </c>
      <c r="X36" s="110">
        <v>1.9810000000000001</v>
      </c>
      <c r="Y36" s="110">
        <v>1.5009999999999999</v>
      </c>
      <c r="Z36" s="110">
        <v>1.0109999999999999</v>
      </c>
      <c r="AA36" s="111">
        <v>0.51100000000000001</v>
      </c>
      <c r="AB36" s="110">
        <v>0</v>
      </c>
      <c r="AC36" s="110">
        <v>0</v>
      </c>
      <c r="AD36" s="110">
        <v>0</v>
      </c>
      <c r="AE36" s="111">
        <f>AD36</f>
        <v>0</v>
      </c>
      <c r="AF36" s="110">
        <v>0</v>
      </c>
      <c r="AG36" s="321">
        <v>0</v>
      </c>
      <c r="AH36" s="321">
        <v>0</v>
      </c>
      <c r="AI36" s="111">
        <v>0</v>
      </c>
      <c r="AJ36" s="110">
        <v>0</v>
      </c>
      <c r="AK36" s="321">
        <v>0</v>
      </c>
      <c r="AL36" s="321">
        <v>0</v>
      </c>
      <c r="AM36" s="111">
        <v>0</v>
      </c>
      <c r="AN36" s="110">
        <v>0</v>
      </c>
      <c r="AO36" s="321">
        <v>0</v>
      </c>
      <c r="AP36" s="321">
        <v>0</v>
      </c>
      <c r="AQ36" s="111">
        <v>0</v>
      </c>
      <c r="AR36" s="110">
        <v>0</v>
      </c>
      <c r="AS36" s="321">
        <v>0</v>
      </c>
      <c r="AT36" s="321">
        <v>0</v>
      </c>
      <c r="AU36" s="111">
        <v>0</v>
      </c>
      <c r="AV36" s="110">
        <v>0</v>
      </c>
      <c r="AW36" s="321">
        <v>0</v>
      </c>
      <c r="AX36" s="321">
        <v>0</v>
      </c>
      <c r="AY36" s="111">
        <v>0</v>
      </c>
      <c r="AZ36" s="110">
        <v>0</v>
      </c>
      <c r="BA36" s="321">
        <v>0</v>
      </c>
      <c r="BB36" s="321">
        <v>0</v>
      </c>
      <c r="BC36" s="111">
        <v>0</v>
      </c>
      <c r="BD36" s="110">
        <v>0</v>
      </c>
      <c r="BE36" s="321">
        <v>0</v>
      </c>
      <c r="BF36" s="321">
        <v>0</v>
      </c>
      <c r="BG36" s="111">
        <v>0</v>
      </c>
      <c r="BH36" s="320">
        <f t="shared" ref="BH36:BH39" si="114">BG36</f>
        <v>0</v>
      </c>
      <c r="BI36" s="320">
        <f t="shared" ref="BI36:BI39" si="115">BH36</f>
        <v>0</v>
      </c>
      <c r="BJ36" s="320">
        <f t="shared" ref="BJ36:BJ39" si="116">BI36</f>
        <v>0</v>
      </c>
      <c r="BK36" s="314">
        <f t="shared" ref="BK36:BK39" si="117">BJ36</f>
        <v>0</v>
      </c>
      <c r="BL36" s="320">
        <f t="shared" ref="BL36:BL39" si="118">BK36</f>
        <v>0</v>
      </c>
      <c r="BM36" s="320">
        <f t="shared" ref="BM36:BM39" si="119">BL36</f>
        <v>0</v>
      </c>
      <c r="BN36" s="320">
        <f t="shared" ref="BN36:BN39" si="120">BM36</f>
        <v>0</v>
      </c>
      <c r="BO36" s="314">
        <f t="shared" ref="BO36:BO39" si="121">BN36</f>
        <v>0</v>
      </c>
      <c r="BP36" s="347"/>
      <c r="BQ36" s="319">
        <f>G36</f>
        <v>11.59</v>
      </c>
      <c r="BR36" s="320">
        <f>K36</f>
        <v>24.446999999999999</v>
      </c>
      <c r="BS36" s="320">
        <f>O36</f>
        <v>17.096</v>
      </c>
      <c r="BT36" s="320">
        <f>S36</f>
        <v>4.2380000000000004</v>
      </c>
      <c r="BU36" s="320">
        <f>W36</f>
        <v>2.4510000000000001</v>
      </c>
      <c r="BV36" s="320">
        <f>AA36</f>
        <v>0.51100000000000001</v>
      </c>
      <c r="BW36" s="320">
        <f>AE36</f>
        <v>0</v>
      </c>
      <c r="BX36" s="320">
        <f>AI36</f>
        <v>0</v>
      </c>
      <c r="BY36" s="320">
        <f>AM36</f>
        <v>0</v>
      </c>
      <c r="BZ36" s="320">
        <f>AQ36</f>
        <v>0</v>
      </c>
      <c r="CA36" s="320">
        <f>AU36</f>
        <v>0</v>
      </c>
      <c r="CB36" s="320">
        <f>AY36</f>
        <v>0</v>
      </c>
      <c r="CC36" s="320">
        <f t="shared" ref="CC36:CC41" si="122">BC36</f>
        <v>0</v>
      </c>
      <c r="CD36" s="320">
        <f>BG36</f>
        <v>0</v>
      </c>
      <c r="CE36" s="320">
        <f>BK36</f>
        <v>0</v>
      </c>
      <c r="CF36" s="320">
        <f t="shared" ref="CF36:CF41" si="123">BO36</f>
        <v>0</v>
      </c>
      <c r="CG36" s="320">
        <f>CF36</f>
        <v>0</v>
      </c>
      <c r="CH36" s="336"/>
    </row>
    <row r="37" spans="2:86" ht="14.25">
      <c r="B37" s="20" t="s">
        <v>162</v>
      </c>
      <c r="C37" s="21"/>
      <c r="D37" s="110">
        <v>22.835000000000001</v>
      </c>
      <c r="E37" s="110">
        <v>29.463999999999999</v>
      </c>
      <c r="F37" s="110">
        <v>37.11</v>
      </c>
      <c r="G37" s="111">
        <v>46.648000000000003</v>
      </c>
      <c r="H37" s="110">
        <v>55.511000000000003</v>
      </c>
      <c r="I37" s="110">
        <v>63.841000000000001</v>
      </c>
      <c r="J37" s="110">
        <v>76.206999999999994</v>
      </c>
      <c r="K37" s="111">
        <v>86.545000000000002</v>
      </c>
      <c r="L37" s="110">
        <v>98.191000000000003</v>
      </c>
      <c r="M37" s="110">
        <v>108.27200000000001</v>
      </c>
      <c r="N37" s="110">
        <v>110.845</v>
      </c>
      <c r="O37" s="111">
        <v>116.777</v>
      </c>
      <c r="P37" s="110">
        <v>122.04300000000001</v>
      </c>
      <c r="Q37" s="110">
        <v>128.64500000000001</v>
      </c>
      <c r="R37" s="110">
        <v>116.476</v>
      </c>
      <c r="S37" s="111">
        <v>108.54300000000001</v>
      </c>
      <c r="T37" s="110">
        <v>112.809</v>
      </c>
      <c r="U37" s="110">
        <v>116.48099999999999</v>
      </c>
      <c r="V37" s="110">
        <v>110.062</v>
      </c>
      <c r="W37" s="111">
        <v>123.379</v>
      </c>
      <c r="X37" s="110">
        <v>113.268</v>
      </c>
      <c r="Y37" s="110">
        <v>115.556</v>
      </c>
      <c r="Z37" s="110">
        <v>115.45099999999999</v>
      </c>
      <c r="AA37" s="111">
        <v>117.24</v>
      </c>
      <c r="AB37" s="110">
        <v>120.898</v>
      </c>
      <c r="AC37" s="110">
        <v>119.881</v>
      </c>
      <c r="AD37" s="110">
        <v>121.855</v>
      </c>
      <c r="AE37" s="111">
        <v>136.262</v>
      </c>
      <c r="AF37" s="110">
        <v>138.767</v>
      </c>
      <c r="AG37" s="321">
        <v>139.70400000000001</v>
      </c>
      <c r="AH37" s="321">
        <v>132.096</v>
      </c>
      <c r="AI37" s="111">
        <v>131.57900000000001</v>
      </c>
      <c r="AJ37" s="110">
        <v>130.727</v>
      </c>
      <c r="AK37" s="321">
        <v>125.901</v>
      </c>
      <c r="AL37" s="321">
        <v>121.721</v>
      </c>
      <c r="AM37" s="111">
        <v>112.871</v>
      </c>
      <c r="AN37" s="110">
        <v>102.40300000000001</v>
      </c>
      <c r="AO37" s="321">
        <v>90.501999999999995</v>
      </c>
      <c r="AP37" s="321">
        <v>83.29</v>
      </c>
      <c r="AQ37" s="111">
        <v>81.325000000000003</v>
      </c>
      <c r="AR37" s="110">
        <v>78.135999999999996</v>
      </c>
      <c r="AS37" s="321">
        <v>72.019000000000005</v>
      </c>
      <c r="AT37" s="321">
        <v>73.167000000000002</v>
      </c>
      <c r="AU37" s="111">
        <v>68.728999999999999</v>
      </c>
      <c r="AV37" s="110">
        <f>AU37</f>
        <v>68.728999999999999</v>
      </c>
      <c r="AW37" s="321">
        <v>55.283000000000001</v>
      </c>
      <c r="AX37" s="321">
        <v>55.146999999999998</v>
      </c>
      <c r="AY37" s="111">
        <v>49.256</v>
      </c>
      <c r="AZ37" s="110">
        <f>AY37</f>
        <v>49.256</v>
      </c>
      <c r="BA37" s="321">
        <f>53.1-BA39</f>
        <v>29.752000000000002</v>
      </c>
      <c r="BB37" s="321">
        <v>40.524000000000001</v>
      </c>
      <c r="BC37" s="111">
        <f>+BB37</f>
        <v>40.524000000000001</v>
      </c>
      <c r="BD37" s="110">
        <v>62.72</v>
      </c>
      <c r="BE37" s="321">
        <v>55.713999999999999</v>
      </c>
      <c r="BF37" s="321">
        <v>56.640999999999998</v>
      </c>
      <c r="BG37" s="111">
        <v>56.975999999999999</v>
      </c>
      <c r="BH37" s="320">
        <f t="shared" si="114"/>
        <v>56.975999999999999</v>
      </c>
      <c r="BI37" s="320">
        <f t="shared" si="115"/>
        <v>56.975999999999999</v>
      </c>
      <c r="BJ37" s="320">
        <f t="shared" si="116"/>
        <v>56.975999999999999</v>
      </c>
      <c r="BK37" s="314">
        <f t="shared" si="117"/>
        <v>56.975999999999999</v>
      </c>
      <c r="BL37" s="320">
        <f t="shared" si="118"/>
        <v>56.975999999999999</v>
      </c>
      <c r="BM37" s="320">
        <f t="shared" si="119"/>
        <v>56.975999999999999</v>
      </c>
      <c r="BN37" s="320">
        <f t="shared" si="120"/>
        <v>56.975999999999999</v>
      </c>
      <c r="BO37" s="314">
        <f t="shared" si="121"/>
        <v>56.975999999999999</v>
      </c>
      <c r="BP37" s="347"/>
      <c r="BQ37" s="319">
        <f>G37</f>
        <v>46.648000000000003</v>
      </c>
      <c r="BR37" s="320">
        <f>K37</f>
        <v>86.545000000000002</v>
      </c>
      <c r="BS37" s="320">
        <f>O37</f>
        <v>116.777</v>
      </c>
      <c r="BT37" s="320">
        <f>S37</f>
        <v>108.54300000000001</v>
      </c>
      <c r="BU37" s="320">
        <f>W37</f>
        <v>123.379</v>
      </c>
      <c r="BV37" s="320">
        <f>AA37</f>
        <v>117.24</v>
      </c>
      <c r="BW37" s="320">
        <f>AE37</f>
        <v>136.262</v>
      </c>
      <c r="BX37" s="320">
        <f>AI37</f>
        <v>131.57900000000001</v>
      </c>
      <c r="BY37" s="320">
        <f>AM37</f>
        <v>112.871</v>
      </c>
      <c r="BZ37" s="320">
        <f>AQ37</f>
        <v>81.325000000000003</v>
      </c>
      <c r="CA37" s="320">
        <f>AU37</f>
        <v>68.728999999999999</v>
      </c>
      <c r="CB37" s="320">
        <f>AY37</f>
        <v>49.256</v>
      </c>
      <c r="CC37" s="320">
        <f t="shared" si="122"/>
        <v>40.524000000000001</v>
      </c>
      <c r="CD37" s="320">
        <f>BG37</f>
        <v>56.975999999999999</v>
      </c>
      <c r="CE37" s="320">
        <f>BK37</f>
        <v>56.975999999999999</v>
      </c>
      <c r="CF37" s="320">
        <f t="shared" si="123"/>
        <v>56.975999999999999</v>
      </c>
      <c r="CG37" s="320">
        <f>CF37</f>
        <v>56.975999999999999</v>
      </c>
      <c r="CH37" s="336"/>
    </row>
    <row r="38" spans="2:86" ht="14.25">
      <c r="B38" s="20" t="s">
        <v>277</v>
      </c>
      <c r="C38" s="21"/>
      <c r="D38" s="110">
        <v>0</v>
      </c>
      <c r="E38" s="110">
        <v>0</v>
      </c>
      <c r="F38" s="110">
        <v>0</v>
      </c>
      <c r="G38" s="111">
        <v>0</v>
      </c>
      <c r="H38" s="110">
        <v>0</v>
      </c>
      <c r="I38" s="110">
        <v>0</v>
      </c>
      <c r="J38" s="110">
        <v>0</v>
      </c>
      <c r="K38" s="111">
        <v>0</v>
      </c>
      <c r="L38" s="110">
        <v>0</v>
      </c>
      <c r="M38" s="110">
        <v>0</v>
      </c>
      <c r="N38" s="110">
        <v>0</v>
      </c>
      <c r="O38" s="111">
        <v>394.75</v>
      </c>
      <c r="P38" s="110">
        <v>393.75</v>
      </c>
      <c r="Q38" s="110">
        <v>392.75</v>
      </c>
      <c r="R38" s="110">
        <v>391.75</v>
      </c>
      <c r="S38" s="111">
        <v>390.75</v>
      </c>
      <c r="T38" s="110">
        <v>389.75</v>
      </c>
      <c r="U38" s="110">
        <v>288.75</v>
      </c>
      <c r="V38" s="110">
        <v>187.75</v>
      </c>
      <c r="W38" s="111">
        <v>0</v>
      </c>
      <c r="X38" s="110">
        <v>0</v>
      </c>
      <c r="Y38" s="110">
        <v>0</v>
      </c>
      <c r="Z38" s="110">
        <v>0</v>
      </c>
      <c r="AA38" s="111">
        <v>0</v>
      </c>
      <c r="AB38" s="110">
        <v>0</v>
      </c>
      <c r="AC38" s="110">
        <v>0</v>
      </c>
      <c r="AD38" s="110">
        <v>0</v>
      </c>
      <c r="AE38" s="111">
        <f>AD38</f>
        <v>0</v>
      </c>
      <c r="AF38" s="110">
        <v>0</v>
      </c>
      <c r="AG38" s="321">
        <v>0</v>
      </c>
      <c r="AH38" s="321">
        <v>0</v>
      </c>
      <c r="AI38" s="111">
        <v>0</v>
      </c>
      <c r="AJ38" s="110">
        <v>0</v>
      </c>
      <c r="AK38" s="321">
        <v>0</v>
      </c>
      <c r="AL38" s="321">
        <v>0</v>
      </c>
      <c r="AM38" s="111">
        <v>0</v>
      </c>
      <c r="AN38" s="110">
        <v>0</v>
      </c>
      <c r="AO38" s="321">
        <v>0</v>
      </c>
      <c r="AP38" s="321">
        <v>0</v>
      </c>
      <c r="AQ38" s="111">
        <v>0</v>
      </c>
      <c r="AR38" s="110">
        <v>0</v>
      </c>
      <c r="AS38" s="321">
        <v>0</v>
      </c>
      <c r="AT38" s="321">
        <v>0</v>
      </c>
      <c r="AU38" s="111">
        <f>AT38</f>
        <v>0</v>
      </c>
      <c r="AV38" s="110">
        <v>0</v>
      </c>
      <c r="AW38" s="321">
        <v>0</v>
      </c>
      <c r="AX38" s="321">
        <v>0</v>
      </c>
      <c r="AY38" s="111">
        <f>AX38</f>
        <v>0</v>
      </c>
      <c r="AZ38" s="110">
        <v>0</v>
      </c>
      <c r="BA38" s="321">
        <v>0</v>
      </c>
      <c r="BB38" s="321">
        <v>0</v>
      </c>
      <c r="BC38" s="111">
        <f>BB38</f>
        <v>0</v>
      </c>
      <c r="BD38" s="110">
        <v>0</v>
      </c>
      <c r="BE38" s="321">
        <v>0</v>
      </c>
      <c r="BF38" s="321">
        <f>BE38</f>
        <v>0</v>
      </c>
      <c r="BG38" s="111">
        <f>BF38</f>
        <v>0</v>
      </c>
      <c r="BH38" s="320">
        <f t="shared" si="114"/>
        <v>0</v>
      </c>
      <c r="BI38" s="320">
        <f t="shared" si="115"/>
        <v>0</v>
      </c>
      <c r="BJ38" s="320">
        <f t="shared" si="116"/>
        <v>0</v>
      </c>
      <c r="BK38" s="314">
        <f t="shared" si="117"/>
        <v>0</v>
      </c>
      <c r="BL38" s="320">
        <f t="shared" si="118"/>
        <v>0</v>
      </c>
      <c r="BM38" s="320">
        <f t="shared" si="119"/>
        <v>0</v>
      </c>
      <c r="BN38" s="320">
        <f t="shared" si="120"/>
        <v>0</v>
      </c>
      <c r="BO38" s="314">
        <f t="shared" si="121"/>
        <v>0</v>
      </c>
      <c r="BP38" s="347"/>
      <c r="BQ38" s="319">
        <f>G38</f>
        <v>0</v>
      </c>
      <c r="BR38" s="320">
        <f>K38</f>
        <v>0</v>
      </c>
      <c r="BS38" s="320">
        <f>O38</f>
        <v>394.75</v>
      </c>
      <c r="BT38" s="320">
        <f>S38</f>
        <v>390.75</v>
      </c>
      <c r="BU38" s="320">
        <f>W38</f>
        <v>0</v>
      </c>
      <c r="BV38" s="320">
        <f>AA38</f>
        <v>0</v>
      </c>
      <c r="BW38" s="320">
        <f>AE38</f>
        <v>0</v>
      </c>
      <c r="BX38" s="320">
        <f>AI38</f>
        <v>0</v>
      </c>
      <c r="BY38" s="320">
        <f>AM38</f>
        <v>0</v>
      </c>
      <c r="BZ38" s="320">
        <f>AQ38</f>
        <v>0</v>
      </c>
      <c r="CA38" s="320">
        <f>AU38</f>
        <v>0</v>
      </c>
      <c r="CB38" s="320">
        <f>AY38</f>
        <v>0</v>
      </c>
      <c r="CC38" s="320">
        <f t="shared" si="122"/>
        <v>0</v>
      </c>
      <c r="CD38" s="320">
        <f>BG38</f>
        <v>0</v>
      </c>
      <c r="CE38" s="320">
        <f>BK38</f>
        <v>0</v>
      </c>
      <c r="CF38" s="320">
        <f t="shared" si="123"/>
        <v>0</v>
      </c>
      <c r="CG38" s="320">
        <f>CF38</f>
        <v>0</v>
      </c>
      <c r="CH38" s="336"/>
    </row>
    <row r="39" spans="2:86" ht="14.25">
      <c r="B39" s="20" t="s">
        <v>163</v>
      </c>
      <c r="C39" s="21"/>
      <c r="D39" s="110">
        <v>18.155999999999999</v>
      </c>
      <c r="E39" s="110">
        <v>18.138000000000002</v>
      </c>
      <c r="F39" s="110">
        <v>18.103000000000002</v>
      </c>
      <c r="G39" s="111">
        <v>18.489000000000001</v>
      </c>
      <c r="H39" s="110">
        <v>19.123999999999999</v>
      </c>
      <c r="I39" s="110">
        <v>33.674999999999997</v>
      </c>
      <c r="J39" s="110">
        <v>33.378999999999998</v>
      </c>
      <c r="K39" s="111">
        <v>24.870999999999999</v>
      </c>
      <c r="L39" s="110">
        <v>26.835000000000001</v>
      </c>
      <c r="M39" s="110">
        <v>34.582999999999998</v>
      </c>
      <c r="N39" s="110">
        <v>35.701000000000001</v>
      </c>
      <c r="O39" s="111">
        <v>60.707000000000001</v>
      </c>
      <c r="P39" s="110">
        <v>66.325000000000003</v>
      </c>
      <c r="Q39" s="110">
        <v>42.344999999999999</v>
      </c>
      <c r="R39" s="110">
        <v>46.411000000000001</v>
      </c>
      <c r="S39" s="111">
        <v>52.332000000000001</v>
      </c>
      <c r="T39" s="110">
        <v>53.774999999999999</v>
      </c>
      <c r="U39" s="110">
        <v>53.185000000000002</v>
      </c>
      <c r="V39" s="110">
        <v>50.39</v>
      </c>
      <c r="W39" s="111">
        <v>49.655000000000001</v>
      </c>
      <c r="X39" s="110">
        <v>48.212000000000003</v>
      </c>
      <c r="Y39" s="110">
        <v>58.295999999999999</v>
      </c>
      <c r="Z39" s="110">
        <v>58.847000000000001</v>
      </c>
      <c r="AA39" s="111">
        <v>68.599999999999994</v>
      </c>
      <c r="AB39" s="110">
        <v>70.405000000000001</v>
      </c>
      <c r="AC39" s="110">
        <v>70.471000000000004</v>
      </c>
      <c r="AD39" s="110">
        <v>73.117999999999995</v>
      </c>
      <c r="AE39" s="111">
        <v>39.340000000000003</v>
      </c>
      <c r="AF39" s="110">
        <v>37.021999999999998</v>
      </c>
      <c r="AG39" s="321">
        <v>33.753</v>
      </c>
      <c r="AH39" s="321">
        <v>34.213000000000001</v>
      </c>
      <c r="AI39" s="111">
        <v>32.468000000000004</v>
      </c>
      <c r="AJ39" s="110">
        <v>31.724</v>
      </c>
      <c r="AK39" s="321">
        <v>29.088999999999999</v>
      </c>
      <c r="AL39" s="321">
        <v>27.47</v>
      </c>
      <c r="AM39" s="111">
        <v>56.41</v>
      </c>
      <c r="AN39" s="110">
        <v>53.228000000000002</v>
      </c>
      <c r="AO39" s="321">
        <v>47.65</v>
      </c>
      <c r="AP39" s="321">
        <v>44.475000000000001</v>
      </c>
      <c r="AQ39" s="111">
        <v>42.469000000000001</v>
      </c>
      <c r="AR39" s="110">
        <v>45.588999999999999</v>
      </c>
      <c r="AS39" s="321">
        <v>40.158000000000001</v>
      </c>
      <c r="AT39" s="321">
        <v>36.322000000000003</v>
      </c>
      <c r="AU39" s="111">
        <v>32.192999999999998</v>
      </c>
      <c r="AV39" s="110">
        <f>94.289-AV37</f>
        <v>25.560000000000002</v>
      </c>
      <c r="AW39" s="321">
        <v>27.437000000000001</v>
      </c>
      <c r="AX39" s="321">
        <v>24.946000000000002</v>
      </c>
      <c r="AY39" s="111">
        <v>26.963000000000001</v>
      </c>
      <c r="AZ39" s="110">
        <f>72.604-AZ37</f>
        <v>23.347999999999999</v>
      </c>
      <c r="BA39" s="321">
        <f>AZ39</f>
        <v>23.347999999999999</v>
      </c>
      <c r="BB39" s="321">
        <v>30.181000000000001</v>
      </c>
      <c r="BC39" s="111">
        <f>124.583-BC37</f>
        <v>84.058999999999997</v>
      </c>
      <c r="BD39" s="110">
        <v>71.411000000000001</v>
      </c>
      <c r="BE39" s="321">
        <v>95.075999999999993</v>
      </c>
      <c r="BF39" s="321">
        <v>86.533000000000001</v>
      </c>
      <c r="BG39" s="111">
        <v>88.756</v>
      </c>
      <c r="BH39" s="320">
        <f t="shared" si="114"/>
        <v>88.756</v>
      </c>
      <c r="BI39" s="320">
        <f t="shared" si="115"/>
        <v>88.756</v>
      </c>
      <c r="BJ39" s="320">
        <f t="shared" si="116"/>
        <v>88.756</v>
      </c>
      <c r="BK39" s="314">
        <f t="shared" si="117"/>
        <v>88.756</v>
      </c>
      <c r="BL39" s="320">
        <f t="shared" si="118"/>
        <v>88.756</v>
      </c>
      <c r="BM39" s="320">
        <f t="shared" si="119"/>
        <v>88.756</v>
      </c>
      <c r="BN39" s="320">
        <f t="shared" si="120"/>
        <v>88.756</v>
      </c>
      <c r="BO39" s="314">
        <f t="shared" si="121"/>
        <v>88.756</v>
      </c>
      <c r="BP39" s="347"/>
      <c r="BQ39" s="319">
        <f>G39</f>
        <v>18.489000000000001</v>
      </c>
      <c r="BR39" s="320">
        <f>K39</f>
        <v>24.870999999999999</v>
      </c>
      <c r="BS39" s="320">
        <f>O39</f>
        <v>60.707000000000001</v>
      </c>
      <c r="BT39" s="320">
        <f>S39</f>
        <v>52.332000000000001</v>
      </c>
      <c r="BU39" s="320">
        <f>W39</f>
        <v>49.655000000000001</v>
      </c>
      <c r="BV39" s="320">
        <f>AA39</f>
        <v>68.599999999999994</v>
      </c>
      <c r="BW39" s="320">
        <f>AE39</f>
        <v>39.340000000000003</v>
      </c>
      <c r="BX39" s="320">
        <f>AI39</f>
        <v>32.468000000000004</v>
      </c>
      <c r="BY39" s="320">
        <f>AM39</f>
        <v>56.41</v>
      </c>
      <c r="BZ39" s="320">
        <f>AQ39</f>
        <v>42.469000000000001</v>
      </c>
      <c r="CA39" s="320">
        <f>AU39</f>
        <v>32.192999999999998</v>
      </c>
      <c r="CB39" s="320">
        <f>AY39</f>
        <v>26.963000000000001</v>
      </c>
      <c r="CC39" s="320">
        <f t="shared" si="122"/>
        <v>84.058999999999997</v>
      </c>
      <c r="CD39" s="320">
        <f>BG39</f>
        <v>88.756</v>
      </c>
      <c r="CE39" s="320">
        <f>BK39</f>
        <v>88.756</v>
      </c>
      <c r="CF39" s="320">
        <f t="shared" si="123"/>
        <v>88.756</v>
      </c>
      <c r="CG39" s="320">
        <f>CF39</f>
        <v>88.756</v>
      </c>
      <c r="CH39" s="336"/>
    </row>
    <row r="40" spans="2:86" ht="14.25">
      <c r="B40" s="16"/>
      <c r="C40" s="17"/>
      <c r="D40" s="110"/>
      <c r="E40" s="110"/>
      <c r="F40" s="110"/>
      <c r="G40" s="111"/>
      <c r="H40" s="110"/>
      <c r="I40" s="110"/>
      <c r="J40" s="110"/>
      <c r="K40" s="111"/>
      <c r="L40" s="110"/>
      <c r="M40" s="110"/>
      <c r="N40" s="110"/>
      <c r="O40" s="111"/>
      <c r="P40" s="110"/>
      <c r="Q40" s="110"/>
      <c r="R40" s="110"/>
      <c r="S40" s="111"/>
      <c r="T40" s="110"/>
      <c r="U40" s="110"/>
      <c r="V40" s="110"/>
      <c r="W40" s="111"/>
      <c r="X40" s="110"/>
      <c r="Y40" s="110"/>
      <c r="Z40" s="110"/>
      <c r="AA40" s="111"/>
      <c r="AB40" s="110"/>
      <c r="AC40" s="110"/>
      <c r="AD40" s="110"/>
      <c r="AE40" s="111"/>
      <c r="AF40" s="110"/>
      <c r="AG40" s="320"/>
      <c r="AH40" s="320"/>
      <c r="AI40" s="111"/>
      <c r="AJ40" s="110"/>
      <c r="AK40" s="320"/>
      <c r="AL40" s="320"/>
      <c r="AM40" s="111"/>
      <c r="AN40" s="110"/>
      <c r="AO40" s="320"/>
      <c r="AP40" s="320"/>
      <c r="AQ40" s="111"/>
      <c r="AR40" s="110"/>
      <c r="AS40" s="320"/>
      <c r="AT40" s="320"/>
      <c r="AU40" s="111"/>
      <c r="AV40" s="110"/>
      <c r="AW40" s="320"/>
      <c r="AX40" s="320"/>
      <c r="AY40" s="111"/>
      <c r="AZ40" s="110"/>
      <c r="BA40" s="320"/>
      <c r="BB40" s="320"/>
      <c r="BC40" s="111"/>
      <c r="BD40" s="110"/>
      <c r="BE40" s="320"/>
      <c r="BF40" s="320"/>
      <c r="BG40" s="111"/>
      <c r="BH40" s="320"/>
      <c r="BI40" s="320"/>
      <c r="BJ40" s="320"/>
      <c r="BK40" s="314"/>
      <c r="BL40" s="320"/>
      <c r="BM40" s="320"/>
      <c r="BN40" s="320"/>
      <c r="BO40" s="314"/>
      <c r="BP40" s="347"/>
      <c r="BQ40" s="336"/>
      <c r="BR40" s="67"/>
      <c r="BS40" s="67"/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338"/>
      <c r="CE40" s="338"/>
      <c r="CF40" s="338"/>
      <c r="CG40" s="338"/>
      <c r="CH40" s="336"/>
    </row>
    <row r="41" spans="2:86" ht="15">
      <c r="B41" s="105" t="s">
        <v>119</v>
      </c>
      <c r="C41" s="121"/>
      <c r="D41" s="122">
        <v>2230.08</v>
      </c>
      <c r="E41" s="122">
        <v>2299.7510000000002</v>
      </c>
      <c r="F41" s="122">
        <v>2391.9180000000001</v>
      </c>
      <c r="G41" s="123">
        <v>2497.4299999999998</v>
      </c>
      <c r="H41" s="122">
        <v>2581.223</v>
      </c>
      <c r="I41" s="122">
        <v>2690.3829999999998</v>
      </c>
      <c r="J41" s="122">
        <v>2798.4949999999999</v>
      </c>
      <c r="K41" s="123">
        <v>3007.2249999999999</v>
      </c>
      <c r="L41" s="122">
        <v>3136.826</v>
      </c>
      <c r="M41" s="122">
        <v>3260.36</v>
      </c>
      <c r="N41" s="122">
        <v>3312.7559999999999</v>
      </c>
      <c r="O41" s="123">
        <v>3227.1840000000002</v>
      </c>
      <c r="P41" s="122">
        <v>3221.319</v>
      </c>
      <c r="Q41" s="122">
        <v>3227.498</v>
      </c>
      <c r="R41" s="122">
        <v>3306.4690000000001</v>
      </c>
      <c r="S41" s="123">
        <v>3411.5189999999998</v>
      </c>
      <c r="T41" s="122">
        <v>3537.7330000000002</v>
      </c>
      <c r="U41" s="122">
        <v>3706.692</v>
      </c>
      <c r="V41" s="122">
        <v>3831.087</v>
      </c>
      <c r="W41" s="123">
        <v>3829.067</v>
      </c>
      <c r="X41" s="122">
        <v>3745.5549999999998</v>
      </c>
      <c r="Y41" s="122">
        <v>3857.0720000000001</v>
      </c>
      <c r="Z41" s="122">
        <v>4106.3</v>
      </c>
      <c r="AA41" s="123">
        <v>4417.9790000000003</v>
      </c>
      <c r="AB41" s="122">
        <v>4699.7280000000001</v>
      </c>
      <c r="AC41" s="122">
        <v>4982.9049999999997</v>
      </c>
      <c r="AD41" s="122">
        <v>5228.0060000000003</v>
      </c>
      <c r="AE41" s="123">
        <v>5521.8689999999997</v>
      </c>
      <c r="AF41" s="122">
        <v>4903.4040000000005</v>
      </c>
      <c r="AG41" s="122">
        <v>5026.1310000000003</v>
      </c>
      <c r="AH41" s="122">
        <v>5039.299</v>
      </c>
      <c r="AI41" s="123">
        <v>5014.018</v>
      </c>
      <c r="AJ41" s="122">
        <v>4922.53</v>
      </c>
      <c r="AK41" s="122">
        <v>4803.1139999999996</v>
      </c>
      <c r="AL41" s="122">
        <v>4676.2939999999999</v>
      </c>
      <c r="AM41" s="123">
        <v>4484.5950000000003</v>
      </c>
      <c r="AN41" s="122">
        <v>4352.4409999999998</v>
      </c>
      <c r="AO41" s="122">
        <v>4392.51</v>
      </c>
      <c r="AP41" s="122">
        <v>4463.2190000000001</v>
      </c>
      <c r="AQ41" s="123">
        <v>4675.91</v>
      </c>
      <c r="AR41" s="122">
        <v>4769.4870000000001</v>
      </c>
      <c r="AS41" s="122">
        <v>4961.5339999999997</v>
      </c>
      <c r="AT41" s="122">
        <v>5033.91</v>
      </c>
      <c r="AU41" s="123">
        <v>5146.0889999999999</v>
      </c>
      <c r="AV41" s="122">
        <v>5131.2719999999999</v>
      </c>
      <c r="AW41" s="122">
        <v>4213.9970000000003</v>
      </c>
      <c r="AX41" s="122">
        <v>4111.4830000000002</v>
      </c>
      <c r="AY41" s="123">
        <v>4140.1229999999996</v>
      </c>
      <c r="AZ41" s="122">
        <v>4099.8180000000002</v>
      </c>
      <c r="BA41" s="122">
        <v>4159.0879999999997</v>
      </c>
      <c r="BB41" s="122">
        <v>4180.4939999999997</v>
      </c>
      <c r="BC41" s="123">
        <v>4027.6509999999998</v>
      </c>
      <c r="BD41" s="122">
        <v>3961.846</v>
      </c>
      <c r="BE41" s="122">
        <v>3974.0970000000002</v>
      </c>
      <c r="BF41" s="122">
        <v>4060.9490000000001</v>
      </c>
      <c r="BG41" s="123">
        <v>4141.4129999999996</v>
      </c>
      <c r="BH41" s="322">
        <f t="shared" ref="BH41:BK41" si="124">BH71</f>
        <v>4268.0033318571495</v>
      </c>
      <c r="BI41" s="322">
        <f t="shared" si="124"/>
        <v>4404.9392242788144</v>
      </c>
      <c r="BJ41" s="322">
        <f t="shared" si="124"/>
        <v>4549.4214920771656</v>
      </c>
      <c r="BK41" s="318">
        <f t="shared" si="124"/>
        <v>4694.0128198874081</v>
      </c>
      <c r="BL41" s="322">
        <f t="shared" ref="BL41:BO41" si="125">BL71</f>
        <v>4829.8487568643632</v>
      </c>
      <c r="BM41" s="322">
        <f t="shared" si="125"/>
        <v>4975.619085100986</v>
      </c>
      <c r="BN41" s="322">
        <f t="shared" si="125"/>
        <v>5127.4338579884197</v>
      </c>
      <c r="BO41" s="318">
        <f t="shared" si="125"/>
        <v>5278.3582936248376</v>
      </c>
      <c r="BP41" s="347"/>
      <c r="BQ41" s="319">
        <f>G41</f>
        <v>2497.4299999999998</v>
      </c>
      <c r="BR41" s="320">
        <f>K41</f>
        <v>3007.2249999999999</v>
      </c>
      <c r="BS41" s="320">
        <f>O41</f>
        <v>3227.1840000000002</v>
      </c>
      <c r="BT41" s="320">
        <f>S41</f>
        <v>3411.5189999999998</v>
      </c>
      <c r="BU41" s="320">
        <f>W41</f>
        <v>3829.067</v>
      </c>
      <c r="BV41" s="320">
        <f>AA41</f>
        <v>4417.9790000000003</v>
      </c>
      <c r="BW41" s="320">
        <f>AE41</f>
        <v>5521.8689999999997</v>
      </c>
      <c r="BX41" s="320">
        <f>AI41</f>
        <v>5014.018</v>
      </c>
      <c r="BY41" s="320">
        <f>AM41</f>
        <v>4484.5950000000003</v>
      </c>
      <c r="BZ41" s="320">
        <f>AQ41</f>
        <v>4675.91</v>
      </c>
      <c r="CA41" s="320">
        <f>AU41</f>
        <v>5146.0889999999999</v>
      </c>
      <c r="CB41" s="320">
        <f>AY41</f>
        <v>4140.1229999999996</v>
      </c>
      <c r="CC41" s="320">
        <f t="shared" si="122"/>
        <v>4027.6509999999998</v>
      </c>
      <c r="CD41" s="320">
        <f>BG41</f>
        <v>4141.4129999999996</v>
      </c>
      <c r="CE41" s="320">
        <f>BK41</f>
        <v>4694.0128198874081</v>
      </c>
      <c r="CF41" s="320">
        <f t="shared" si="123"/>
        <v>5278.3582936248376</v>
      </c>
      <c r="CG41" s="320">
        <f>CG71</f>
        <v>5991.181560850353</v>
      </c>
      <c r="CH41" s="336"/>
    </row>
    <row r="42" spans="2:86" ht="15">
      <c r="B42" s="124"/>
      <c r="C42" s="63"/>
      <c r="D42" s="110"/>
      <c r="E42" s="110"/>
      <c r="F42" s="110"/>
      <c r="G42" s="111"/>
      <c r="H42" s="110"/>
      <c r="I42" s="110"/>
      <c r="J42" s="110"/>
      <c r="K42" s="111"/>
      <c r="L42" s="110"/>
      <c r="M42" s="110"/>
      <c r="N42" s="110"/>
      <c r="O42" s="111"/>
      <c r="P42" s="110"/>
      <c r="Q42" s="110"/>
      <c r="R42" s="110"/>
      <c r="S42" s="111"/>
      <c r="T42" s="110"/>
      <c r="U42" s="110"/>
      <c r="V42" s="110"/>
      <c r="W42" s="111"/>
      <c r="X42" s="110"/>
      <c r="Y42" s="110"/>
      <c r="Z42" s="110"/>
      <c r="AA42" s="111"/>
      <c r="AB42" s="110"/>
      <c r="AC42" s="110"/>
      <c r="AD42" s="110"/>
      <c r="AE42" s="111"/>
      <c r="AF42" s="110"/>
      <c r="AG42" s="110"/>
      <c r="AH42" s="110"/>
      <c r="AI42" s="111"/>
      <c r="AJ42" s="110"/>
      <c r="AK42" s="110"/>
      <c r="AL42" s="110"/>
      <c r="AM42" s="111"/>
      <c r="AN42" s="110"/>
      <c r="AO42" s="110"/>
      <c r="AP42" s="110"/>
      <c r="AQ42" s="111"/>
      <c r="AR42" s="110"/>
      <c r="AS42" s="110"/>
      <c r="AT42" s="110"/>
      <c r="AU42" s="111"/>
      <c r="AV42" s="110"/>
      <c r="AW42" s="110"/>
      <c r="AX42" s="110"/>
      <c r="AY42" s="111"/>
      <c r="AZ42" s="110"/>
      <c r="BA42" s="110"/>
      <c r="BB42" s="110"/>
      <c r="BC42" s="111"/>
      <c r="BD42" s="110"/>
      <c r="BE42" s="110"/>
      <c r="BF42" s="110"/>
      <c r="BG42" s="111"/>
      <c r="BH42" s="110"/>
      <c r="BI42" s="321"/>
      <c r="BJ42" s="110"/>
      <c r="BK42" s="111"/>
      <c r="BL42" s="110"/>
      <c r="BM42" s="321"/>
      <c r="BN42" s="110"/>
      <c r="BO42" s="111"/>
      <c r="BP42" s="347"/>
      <c r="BQ42" s="336"/>
      <c r="BR42" s="67"/>
      <c r="BS42" s="67"/>
      <c r="BT42" s="67"/>
      <c r="BU42" s="67"/>
      <c r="BV42" s="67"/>
      <c r="BW42" s="67"/>
      <c r="BX42" s="67"/>
      <c r="BY42" s="67"/>
      <c r="BZ42" s="67"/>
      <c r="CA42" s="67"/>
      <c r="CB42" s="67"/>
      <c r="CC42" s="67"/>
      <c r="CD42" s="338"/>
      <c r="CE42" s="338"/>
      <c r="CF42" s="338"/>
      <c r="CG42" s="338"/>
      <c r="CH42" s="336"/>
    </row>
    <row r="43" spans="2:86" ht="15">
      <c r="B43" s="124" t="s">
        <v>120</v>
      </c>
      <c r="C43" s="125"/>
      <c r="D43" s="117">
        <f t="shared" ref="D43:AU43" si="126">D41+D34+SUM(D36:D39)</f>
        <v>2485.6419999999998</v>
      </c>
      <c r="E43" s="118">
        <f t="shared" si="126"/>
        <v>2545.4470000000001</v>
      </c>
      <c r="F43" s="118">
        <f t="shared" si="126"/>
        <v>2673.556</v>
      </c>
      <c r="G43" s="119">
        <f t="shared" si="126"/>
        <v>2788.9619999999995</v>
      </c>
      <c r="H43" s="117">
        <f t="shared" si="126"/>
        <v>2892.7419999999997</v>
      </c>
      <c r="I43" s="118">
        <f t="shared" si="126"/>
        <v>3040.9609999999998</v>
      </c>
      <c r="J43" s="118">
        <f t="shared" si="126"/>
        <v>3217.8209999999999</v>
      </c>
      <c r="K43" s="119">
        <f t="shared" si="126"/>
        <v>3504.5059999999999</v>
      </c>
      <c r="L43" s="117">
        <f t="shared" si="126"/>
        <v>3604.1079999999997</v>
      </c>
      <c r="M43" s="118">
        <f t="shared" si="126"/>
        <v>3825.9120000000003</v>
      </c>
      <c r="N43" s="118">
        <f t="shared" si="126"/>
        <v>3902.442</v>
      </c>
      <c r="O43" s="119">
        <f t="shared" si="126"/>
        <v>4527.7000000000007</v>
      </c>
      <c r="P43" s="117">
        <f t="shared" si="126"/>
        <v>4456.1729999999998</v>
      </c>
      <c r="Q43" s="118">
        <f t="shared" si="126"/>
        <v>4380.5020000000004</v>
      </c>
      <c r="R43" s="118">
        <f t="shared" si="126"/>
        <v>4469.1440000000002</v>
      </c>
      <c r="S43" s="119">
        <f t="shared" si="126"/>
        <v>4550.5940000000001</v>
      </c>
      <c r="T43" s="117">
        <f t="shared" si="126"/>
        <v>4609.6059999999998</v>
      </c>
      <c r="U43" s="118">
        <f t="shared" si="126"/>
        <v>4724.0850000000009</v>
      </c>
      <c r="V43" s="118">
        <f t="shared" si="126"/>
        <v>4750.5050000000001</v>
      </c>
      <c r="W43" s="119">
        <f t="shared" si="126"/>
        <v>4414.2</v>
      </c>
      <c r="X43" s="117">
        <f t="shared" si="126"/>
        <v>4441.2110000000002</v>
      </c>
      <c r="Y43" s="118">
        <f t="shared" si="126"/>
        <v>4641.5309999999999</v>
      </c>
      <c r="Z43" s="118">
        <f t="shared" si="126"/>
        <v>4887.72</v>
      </c>
      <c r="AA43" s="119">
        <f t="shared" si="126"/>
        <v>5170.9399999999996</v>
      </c>
      <c r="AB43" s="117">
        <f t="shared" si="126"/>
        <v>5480.5820000000003</v>
      </c>
      <c r="AC43" s="118">
        <f t="shared" si="126"/>
        <v>5867.2769999999991</v>
      </c>
      <c r="AD43" s="118">
        <f t="shared" si="126"/>
        <v>6121.6720000000005</v>
      </c>
      <c r="AE43" s="119">
        <f t="shared" si="126"/>
        <v>6338.1569999999992</v>
      </c>
      <c r="AF43" s="117">
        <f t="shared" si="126"/>
        <v>5692.607</v>
      </c>
      <c r="AG43" s="118">
        <f t="shared" si="126"/>
        <v>5828.563000000001</v>
      </c>
      <c r="AH43" s="118">
        <f t="shared" ref="AH43:AM43" si="127">AH41+AH34+SUM(AH36:AH39)</f>
        <v>5867.375</v>
      </c>
      <c r="AI43" s="119">
        <f t="shared" si="127"/>
        <v>5767.6190000000006</v>
      </c>
      <c r="AJ43" s="117">
        <f t="shared" si="127"/>
        <v>5718.5249999999996</v>
      </c>
      <c r="AK43" s="118">
        <f t="shared" si="127"/>
        <v>5584.5519999999997</v>
      </c>
      <c r="AL43" s="118">
        <f t="shared" si="127"/>
        <v>5425.9539999999997</v>
      </c>
      <c r="AM43" s="119">
        <f t="shared" si="127"/>
        <v>5261.7640000000001</v>
      </c>
      <c r="AN43" s="117">
        <f>AN41+AN34+SUM(AN36:AN39)</f>
        <v>5121.1670000000004</v>
      </c>
      <c r="AO43" s="118">
        <f>AO41+AO34+SUM(AO36:AO39)</f>
        <v>5204.2440000000006</v>
      </c>
      <c r="AP43" s="118">
        <f t="shared" si="126"/>
        <v>5347.9560000000001</v>
      </c>
      <c r="AQ43" s="119">
        <f t="shared" si="126"/>
        <v>5451.0099999999993</v>
      </c>
      <c r="AR43" s="117">
        <f>AR41+AR34+SUM(AR36:AR39)</f>
        <v>5682.9720000000007</v>
      </c>
      <c r="AS43" s="118">
        <f>AS41+AS34+SUM(AS36:AS39)</f>
        <v>5865.6939999999995</v>
      </c>
      <c r="AT43" s="118">
        <f>AT41+AT34+SUM(AT36:AT39)</f>
        <v>5848.8069999999989</v>
      </c>
      <c r="AU43" s="119">
        <f t="shared" si="126"/>
        <v>5884.3869999999997</v>
      </c>
      <c r="AV43" s="117">
        <f>AV41+AV34+SUM(AV36:AV39)</f>
        <v>5842.049</v>
      </c>
      <c r="AW43" s="118">
        <f>AW41+AW34+SUM(AW36:AW39)</f>
        <v>5665.956000000001</v>
      </c>
      <c r="AX43" s="118">
        <f t="shared" ref="AX43" si="128">AX41+AX34+SUM(AX36:AX39)</f>
        <v>5506.5240000000003</v>
      </c>
      <c r="AY43" s="119">
        <f t="shared" ref="AY43" si="129">AY41+AY34+SUM(AY36:AY39)</f>
        <v>5442.1269999999995</v>
      </c>
      <c r="AZ43" s="117">
        <f>AZ41+AZ34+SUM(AZ36:AZ39)</f>
        <v>4657.1210000000001</v>
      </c>
      <c r="BA43" s="118">
        <f>BA41+BA34+SUM(BA36:BA39)</f>
        <v>4716.6760000000004</v>
      </c>
      <c r="BB43" s="118">
        <f t="shared" ref="BB43:BC43" si="130">BB41+BB34+SUM(BB36:BB39)</f>
        <v>4754.4459999999999</v>
      </c>
      <c r="BC43" s="119">
        <f t="shared" si="130"/>
        <v>4648.6499999999996</v>
      </c>
      <c r="BD43" s="117">
        <f>BD41+BD34+SUM(BD36:BD39)</f>
        <v>4636.2370000000001</v>
      </c>
      <c r="BE43" s="118">
        <f>BE41+BE34+SUM(BE36:BE39)</f>
        <v>4587.45</v>
      </c>
      <c r="BF43" s="118">
        <f t="shared" ref="BF43:BG43" si="131">BF41+BF34+SUM(BF36:BF39)</f>
        <v>4682.2039999999997</v>
      </c>
      <c r="BG43" s="119">
        <f t="shared" si="131"/>
        <v>4708.2869999999994</v>
      </c>
      <c r="BH43" s="118">
        <f t="shared" ref="BH43:BK43" si="132">BH41+BH34+SUM(BH36:BH39)</f>
        <v>4825.2176968918538</v>
      </c>
      <c r="BI43" s="118">
        <f t="shared" si="132"/>
        <v>4965.5110469773899</v>
      </c>
      <c r="BJ43" s="118">
        <f t="shared" si="132"/>
        <v>5113.1439464269351</v>
      </c>
      <c r="BK43" s="119">
        <f t="shared" si="132"/>
        <v>5255.4630988016024</v>
      </c>
      <c r="BL43" s="118">
        <f t="shared" ref="BL43:BO43" si="133">BL41+BL34+SUM(BL36:BL39)</f>
        <v>5382.7649404995909</v>
      </c>
      <c r="BM43" s="118">
        <f t="shared" si="133"/>
        <v>5536.3328367068134</v>
      </c>
      <c r="BN43" s="118">
        <f t="shared" si="133"/>
        <v>5692.239770507952</v>
      </c>
      <c r="BO43" s="119">
        <f t="shared" si="133"/>
        <v>5840.9176445488401</v>
      </c>
      <c r="BP43" s="347"/>
      <c r="BQ43" s="117">
        <f>BQ41+BQ34+SUM(BQ36:BQ39)</f>
        <v>2788.9619999999995</v>
      </c>
      <c r="BR43" s="118">
        <f t="shared" ref="BR43:BW43" si="134">BR41+BR34+SUM(BR36:BR39)</f>
        <v>3504.5059999999999</v>
      </c>
      <c r="BS43" s="118">
        <f t="shared" si="134"/>
        <v>4527.7000000000007</v>
      </c>
      <c r="BT43" s="118">
        <f t="shared" si="134"/>
        <v>4550.5940000000001</v>
      </c>
      <c r="BU43" s="118">
        <f t="shared" si="134"/>
        <v>4414.2</v>
      </c>
      <c r="BV43" s="118">
        <f t="shared" si="134"/>
        <v>5170.9399999999996</v>
      </c>
      <c r="BW43" s="118">
        <f t="shared" si="134"/>
        <v>6338.1569999999992</v>
      </c>
      <c r="BX43" s="118">
        <f t="shared" ref="BX43:CA43" si="135">BX41+BX34+SUM(BX36:BX39)</f>
        <v>5767.6190000000006</v>
      </c>
      <c r="BY43" s="118">
        <f t="shared" si="135"/>
        <v>5261.7640000000001</v>
      </c>
      <c r="BZ43" s="118">
        <f t="shared" si="135"/>
        <v>5451.0099999999993</v>
      </c>
      <c r="CA43" s="118">
        <f t="shared" si="135"/>
        <v>5884.3869999999997</v>
      </c>
      <c r="CB43" s="118">
        <f>CB41+CB34+SUM(CB36:CB39)</f>
        <v>5442.1269999999995</v>
      </c>
      <c r="CC43" s="118">
        <f>CC41+CC34+SUM(CC36:CC39)</f>
        <v>4648.6499999999996</v>
      </c>
      <c r="CD43" s="118">
        <f>CD41+CD34+SUM(CD36:CD39)</f>
        <v>4708.2869999999994</v>
      </c>
      <c r="CE43" s="118">
        <f>CE41+CE34+SUM(CE36:CE39)</f>
        <v>5255.4630988016024</v>
      </c>
      <c r="CF43" s="118">
        <f>CF41+CF34+SUM(CF36:CF39)</f>
        <v>5840.9176445488401</v>
      </c>
      <c r="CG43" s="118">
        <f t="shared" ref="CG43" si="136">CG41+CG34+SUM(CG36:CG39)</f>
        <v>6551.2211733402855</v>
      </c>
      <c r="CH43" s="336"/>
    </row>
    <row r="44" spans="2:86" ht="14.25">
      <c r="B44" s="68"/>
      <c r="C44" s="70"/>
      <c r="D44" s="126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26"/>
      <c r="T44" s="126"/>
      <c r="U44" s="126"/>
      <c r="V44" s="126"/>
      <c r="W44" s="126"/>
      <c r="X44" s="126"/>
      <c r="Y44" s="126"/>
      <c r="Z44" s="126"/>
      <c r="AA44" s="126"/>
      <c r="AB44" s="126"/>
      <c r="AC44" s="126"/>
      <c r="AD44" s="126"/>
      <c r="AE44" s="126"/>
      <c r="AF44" s="126"/>
      <c r="AG44" s="126"/>
      <c r="AH44" s="126"/>
      <c r="AI44" s="126"/>
      <c r="AJ44" s="126"/>
      <c r="AK44" s="126"/>
      <c r="AL44" s="126"/>
      <c r="AM44" s="126"/>
      <c r="AN44" s="126"/>
      <c r="AO44" s="126"/>
      <c r="AP44" s="126"/>
      <c r="AQ44" s="126"/>
      <c r="AR44" s="126"/>
      <c r="AS44" s="126"/>
      <c r="AT44" s="126"/>
      <c r="AU44" s="126"/>
      <c r="AV44" s="126"/>
      <c r="AW44" s="126"/>
      <c r="AX44" s="126"/>
      <c r="AY44" s="126"/>
      <c r="AZ44" s="126"/>
      <c r="BA44" s="126"/>
      <c r="BB44" s="126"/>
      <c r="BC44" s="126"/>
      <c r="BD44" s="126"/>
      <c r="BE44" s="126"/>
      <c r="BF44" s="126"/>
      <c r="BG44" s="126"/>
      <c r="BH44" s="126"/>
      <c r="BI44" s="126"/>
      <c r="BJ44" s="126"/>
      <c r="BK44" s="126"/>
      <c r="BL44" s="126"/>
      <c r="BM44" s="126"/>
      <c r="BN44" s="126"/>
      <c r="BO44" s="126"/>
      <c r="CD44" s="254"/>
      <c r="CE44" s="254"/>
      <c r="CF44" s="254"/>
      <c r="CG44" s="254"/>
    </row>
    <row r="45" spans="2:86" ht="14.25">
      <c r="B45" s="127" t="s">
        <v>121</v>
      </c>
      <c r="C45" s="128"/>
      <c r="D45" s="129">
        <f t="shared" ref="D45:AU45" si="137">IF(ROUND(D43,4)=ROUND(D25,4),0,D43-D25)</f>
        <v>0</v>
      </c>
      <c r="E45" s="129">
        <f t="shared" si="137"/>
        <v>0</v>
      </c>
      <c r="F45" s="129">
        <f t="shared" si="137"/>
        <v>0</v>
      </c>
      <c r="G45" s="130">
        <f t="shared" si="137"/>
        <v>0</v>
      </c>
      <c r="H45" s="129">
        <f t="shared" si="137"/>
        <v>0</v>
      </c>
      <c r="I45" s="129">
        <f t="shared" si="137"/>
        <v>0</v>
      </c>
      <c r="J45" s="129">
        <f t="shared" si="137"/>
        <v>0</v>
      </c>
      <c r="K45" s="130">
        <f t="shared" si="137"/>
        <v>0</v>
      </c>
      <c r="L45" s="129">
        <f t="shared" si="137"/>
        <v>0</v>
      </c>
      <c r="M45" s="129">
        <f t="shared" si="137"/>
        <v>0</v>
      </c>
      <c r="N45" s="129">
        <f t="shared" si="137"/>
        <v>0</v>
      </c>
      <c r="O45" s="130">
        <f t="shared" si="137"/>
        <v>0</v>
      </c>
      <c r="P45" s="129">
        <f t="shared" si="137"/>
        <v>0</v>
      </c>
      <c r="Q45" s="129">
        <f t="shared" si="137"/>
        <v>0</v>
      </c>
      <c r="R45" s="129">
        <f t="shared" si="137"/>
        <v>0</v>
      </c>
      <c r="S45" s="130">
        <f t="shared" si="137"/>
        <v>0</v>
      </c>
      <c r="T45" s="129">
        <f t="shared" si="137"/>
        <v>0</v>
      </c>
      <c r="U45" s="129">
        <f t="shared" si="137"/>
        <v>0</v>
      </c>
      <c r="V45" s="129">
        <f t="shared" si="137"/>
        <v>0</v>
      </c>
      <c r="W45" s="130">
        <f t="shared" si="137"/>
        <v>0</v>
      </c>
      <c r="X45" s="129">
        <f t="shared" si="137"/>
        <v>0</v>
      </c>
      <c r="Y45" s="129">
        <f t="shared" si="137"/>
        <v>0</v>
      </c>
      <c r="Z45" s="129">
        <f t="shared" si="137"/>
        <v>0</v>
      </c>
      <c r="AA45" s="130">
        <f t="shared" si="137"/>
        <v>0</v>
      </c>
      <c r="AB45" s="129">
        <f t="shared" si="137"/>
        <v>0</v>
      </c>
      <c r="AC45" s="129">
        <f t="shared" si="137"/>
        <v>0</v>
      </c>
      <c r="AD45" s="129">
        <f t="shared" si="137"/>
        <v>0</v>
      </c>
      <c r="AE45" s="130">
        <f t="shared" si="137"/>
        <v>0</v>
      </c>
      <c r="AF45" s="129">
        <f t="shared" si="137"/>
        <v>0</v>
      </c>
      <c r="AG45" s="129">
        <f t="shared" si="137"/>
        <v>0</v>
      </c>
      <c r="AH45" s="129">
        <f t="shared" ref="AH45:AM45" si="138">IF(ROUND(AH43,4)=ROUND(AH25,4),0,AH43-AH25)</f>
        <v>0</v>
      </c>
      <c r="AI45" s="130">
        <f t="shared" si="138"/>
        <v>0</v>
      </c>
      <c r="AJ45" s="129">
        <f t="shared" si="138"/>
        <v>0</v>
      </c>
      <c r="AK45" s="129">
        <f t="shared" si="138"/>
        <v>0</v>
      </c>
      <c r="AL45" s="129">
        <f t="shared" si="138"/>
        <v>0</v>
      </c>
      <c r="AM45" s="130">
        <f t="shared" si="138"/>
        <v>0</v>
      </c>
      <c r="AN45" s="129">
        <f>IF(ROUND(AN43,4)=ROUND(AN25,4),0,AN43-AN25)</f>
        <v>0</v>
      </c>
      <c r="AO45" s="129">
        <f>IF(ROUND(AO43,4)=ROUND(AO25,4),0,AO43-AO25)</f>
        <v>0</v>
      </c>
      <c r="AP45" s="129">
        <f t="shared" si="137"/>
        <v>0</v>
      </c>
      <c r="AQ45" s="130">
        <f>IF(ROUND(AQ43,4)=ROUND(AQ25,4),0,AQ43-AQ25)</f>
        <v>0</v>
      </c>
      <c r="AR45" s="129">
        <f>IF(ROUND(AR43,4)=ROUND(AR25,4),0,AR43-AR25)</f>
        <v>0</v>
      </c>
      <c r="AS45" s="129">
        <f>IF(ROUND(AS43,4)=ROUND(AS25,4),0,AS43-AS25)</f>
        <v>0</v>
      </c>
      <c r="AT45" s="129">
        <f>IF(ROUND(AT43,4)=ROUND(AT25,4),0,AT43-AT25)</f>
        <v>0</v>
      </c>
      <c r="AU45" s="440">
        <f t="shared" si="137"/>
        <v>0</v>
      </c>
      <c r="AV45" s="129">
        <f>IF(ROUND(AV43,4)=ROUND(AV25,4),0,AV43-AV25)</f>
        <v>0</v>
      </c>
      <c r="AW45" s="129">
        <f>IF(ROUND(AW43,4)=ROUND(AW25,4),0,AW43-AW25)</f>
        <v>0</v>
      </c>
      <c r="AX45" s="129">
        <f t="shared" ref="AX45:AY45" si="139">IF(ROUND(AX43,4)=ROUND(AX25,4),0,AX43-AX25)</f>
        <v>0</v>
      </c>
      <c r="AY45" s="440">
        <f t="shared" si="139"/>
        <v>0</v>
      </c>
      <c r="AZ45" s="129">
        <f>IF(ROUND(AZ43,4)=ROUND(AZ25,4),0,AZ43-AZ25)</f>
        <v>0</v>
      </c>
      <c r="BA45" s="129">
        <f>IF(ROUND(BA43,4)=ROUND(BA25,4),0,BA43-BA25)</f>
        <v>0</v>
      </c>
      <c r="BB45" s="129">
        <f t="shared" ref="BB45:BC45" si="140">IF(ROUND(BB43,4)=ROUND(BB25,4),0,BB43-BB25)</f>
        <v>0</v>
      </c>
      <c r="BC45" s="440">
        <f t="shared" si="140"/>
        <v>0</v>
      </c>
      <c r="BD45" s="129">
        <f>IF(ROUND(BD43,4)=ROUND(BD25,4),0,BD43-BD25)</f>
        <v>0</v>
      </c>
      <c r="BE45" s="129">
        <f>IF(ROUND(BE43,4)=ROUND(BE25,4),0,BE43-BE25)</f>
        <v>0</v>
      </c>
      <c r="BF45" s="129">
        <f t="shared" ref="BF45:BG45" si="141">IF(ROUND(BF43,4)=ROUND(BF25,4),0,BF43-BF25)</f>
        <v>0</v>
      </c>
      <c r="BG45" s="440">
        <f t="shared" si="141"/>
        <v>0</v>
      </c>
      <c r="BH45" s="129">
        <f t="shared" ref="BH45:BK45" si="142">IF(ROUND(BH43,4)=ROUND(BH25,4),0,BH43-BH25)</f>
        <v>0</v>
      </c>
      <c r="BI45" s="129">
        <f t="shared" si="142"/>
        <v>0</v>
      </c>
      <c r="BJ45" s="129">
        <f t="shared" si="142"/>
        <v>0</v>
      </c>
      <c r="BK45" s="130">
        <f t="shared" si="142"/>
        <v>0</v>
      </c>
      <c r="BL45" s="129">
        <f t="shared" ref="BL45:BO45" si="143">IF(ROUND(BL43,4)=ROUND(BL25,4),0,BL43-BL25)</f>
        <v>0</v>
      </c>
      <c r="BM45" s="129">
        <f t="shared" si="143"/>
        <v>0</v>
      </c>
      <c r="BN45" s="129">
        <f t="shared" si="143"/>
        <v>0</v>
      </c>
      <c r="BO45" s="130">
        <f t="shared" si="143"/>
        <v>0</v>
      </c>
      <c r="BP45" s="406"/>
      <c r="BQ45" s="129">
        <f>IF(ROUND(BQ43,4)=ROUND(BQ25,4),0,BQ43-BQ25)</f>
        <v>0</v>
      </c>
      <c r="BR45" s="129">
        <f t="shared" ref="BR45:BW45" si="144">IF(ROUND(BR43,4)=ROUND(BR25,4),0,BR43-BR25)</f>
        <v>0</v>
      </c>
      <c r="BS45" s="129">
        <f t="shared" si="144"/>
        <v>0</v>
      </c>
      <c r="BT45" s="129">
        <f t="shared" si="144"/>
        <v>0</v>
      </c>
      <c r="BU45" s="129">
        <f t="shared" si="144"/>
        <v>0</v>
      </c>
      <c r="BV45" s="129">
        <f t="shared" si="144"/>
        <v>0</v>
      </c>
      <c r="BW45" s="129">
        <f t="shared" si="144"/>
        <v>0</v>
      </c>
      <c r="BX45" s="129">
        <f t="shared" ref="BX45:CA45" si="145">IF(ROUND(BX43,4)=ROUND(BX25,4),0,BX43-BX25)</f>
        <v>0</v>
      </c>
      <c r="BY45" s="129">
        <f t="shared" si="145"/>
        <v>0</v>
      </c>
      <c r="BZ45" s="129">
        <f t="shared" si="145"/>
        <v>0</v>
      </c>
      <c r="CA45" s="129">
        <f t="shared" si="145"/>
        <v>0</v>
      </c>
      <c r="CB45" s="129">
        <f>IF(ROUND(CB43,4)=ROUND(CB25,4),0,CB43-CB25)</f>
        <v>0</v>
      </c>
      <c r="CC45" s="129">
        <f>IF(ROUND(CC43,4)=ROUND(CC25,4),0,CC43-CC25)</f>
        <v>0</v>
      </c>
      <c r="CD45" s="129">
        <f>IF(ROUND(CD43,4)=ROUND(CD25,4),0,CD43-CD25)</f>
        <v>0</v>
      </c>
      <c r="CE45" s="129">
        <f>IF(ROUND(CE43,4)=ROUND(CE25,4),0,CE43-CE25)</f>
        <v>0</v>
      </c>
      <c r="CF45" s="129">
        <f>IF(ROUND(CF43,4)=ROUND(CF25,4),0,CF43-CF25)</f>
        <v>0</v>
      </c>
      <c r="CG45" s="129">
        <f t="shared" ref="CG45" si="146">IF(ROUND(CG43,4)=ROUND(CG25,4),0,CG43-CG25)</f>
        <v>0</v>
      </c>
      <c r="CH45" s="336"/>
    </row>
    <row r="46" spans="2:86" ht="14.25">
      <c r="B46" s="131"/>
      <c r="C46" s="68"/>
      <c r="D46" s="107"/>
      <c r="E46" s="107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107"/>
      <c r="AP46" s="107"/>
      <c r="AQ46" s="107"/>
      <c r="AR46" s="107"/>
      <c r="AS46" s="107"/>
      <c r="AT46" s="107"/>
      <c r="AU46" s="107"/>
      <c r="AV46" s="107"/>
      <c r="AW46" s="107"/>
      <c r="AX46" s="107"/>
      <c r="AY46" s="107"/>
      <c r="AZ46" s="107"/>
      <c r="BA46" s="107"/>
      <c r="BB46" s="107"/>
      <c r="BC46" s="107"/>
      <c r="BD46" s="107"/>
      <c r="BE46" s="126"/>
      <c r="BF46" s="126"/>
      <c r="BG46" s="107"/>
      <c r="BH46" s="107"/>
      <c r="BI46" s="126"/>
      <c r="BJ46" s="107"/>
      <c r="BK46" s="107"/>
      <c r="BL46" s="107"/>
      <c r="BM46" s="126"/>
      <c r="BN46" s="107"/>
      <c r="BO46" s="107"/>
    </row>
    <row r="47" spans="2:86" ht="14.25">
      <c r="B47" s="131"/>
      <c r="C47" s="68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107"/>
      <c r="AP47" s="107"/>
      <c r="AQ47" s="107"/>
      <c r="AR47" s="107"/>
      <c r="AS47" s="107"/>
      <c r="AT47" s="107"/>
      <c r="AU47" s="107"/>
      <c r="AV47" s="107"/>
      <c r="AW47" s="107"/>
      <c r="AX47" s="107"/>
      <c r="AY47" s="107"/>
      <c r="AZ47" s="107"/>
      <c r="BA47" s="107"/>
      <c r="BB47" s="107"/>
      <c r="BC47" s="107"/>
      <c r="BD47" s="107"/>
      <c r="BE47" s="126"/>
      <c r="BF47" s="126"/>
      <c r="BG47" s="107"/>
      <c r="BH47" s="107"/>
      <c r="BI47" s="126"/>
      <c r="BJ47" s="107"/>
      <c r="BK47" s="107"/>
      <c r="BL47" s="107"/>
      <c r="BM47" s="126"/>
      <c r="BN47" s="107"/>
      <c r="BO47" s="107"/>
    </row>
    <row r="48" spans="2:86" ht="15">
      <c r="B48" s="132" t="s">
        <v>122</v>
      </c>
      <c r="C48" s="133"/>
      <c r="D48" s="13" t="str">
        <f t="shared" ref="D48:AU48" si="147">D9</f>
        <v>F1Q05A</v>
      </c>
      <c r="E48" s="14" t="str">
        <f t="shared" si="147"/>
        <v>F2Q05A</v>
      </c>
      <c r="F48" s="14" t="str">
        <f t="shared" si="147"/>
        <v>F3Q05A</v>
      </c>
      <c r="G48" s="15" t="str">
        <f t="shared" si="147"/>
        <v>F4Q05A</v>
      </c>
      <c r="H48" s="13" t="str">
        <f t="shared" si="147"/>
        <v>F1Q06A</v>
      </c>
      <c r="I48" s="14" t="str">
        <f t="shared" si="147"/>
        <v>F2Q06A</v>
      </c>
      <c r="J48" s="14" t="str">
        <f t="shared" si="147"/>
        <v>F3Q06A</v>
      </c>
      <c r="K48" s="15" t="str">
        <f t="shared" si="147"/>
        <v>F4Q06A</v>
      </c>
      <c r="L48" s="13" t="str">
        <f t="shared" si="147"/>
        <v>F1Q07A</v>
      </c>
      <c r="M48" s="14" t="str">
        <f t="shared" si="147"/>
        <v>F2Q07A</v>
      </c>
      <c r="N48" s="14" t="str">
        <f t="shared" si="147"/>
        <v>F3Q07A</v>
      </c>
      <c r="O48" s="15" t="str">
        <f t="shared" si="147"/>
        <v>F4Q07A</v>
      </c>
      <c r="P48" s="13" t="str">
        <f t="shared" si="147"/>
        <v>F1Q08A</v>
      </c>
      <c r="Q48" s="14" t="str">
        <f t="shared" si="147"/>
        <v>F2Q08A</v>
      </c>
      <c r="R48" s="14" t="str">
        <f t="shared" si="147"/>
        <v>F3Q08A</v>
      </c>
      <c r="S48" s="15" t="str">
        <f t="shared" si="147"/>
        <v>F4Q08A</v>
      </c>
      <c r="T48" s="13" t="str">
        <f t="shared" si="147"/>
        <v>F1Q09A</v>
      </c>
      <c r="U48" s="14" t="str">
        <f t="shared" si="147"/>
        <v>F2Q09A</v>
      </c>
      <c r="V48" s="14" t="str">
        <f t="shared" si="147"/>
        <v>F3Q09A</v>
      </c>
      <c r="W48" s="15" t="str">
        <f t="shared" si="147"/>
        <v>F4Q09A</v>
      </c>
      <c r="X48" s="13" t="str">
        <f t="shared" si="147"/>
        <v>F1Q10A</v>
      </c>
      <c r="Y48" s="14" t="str">
        <f t="shared" si="147"/>
        <v>F2Q10A</v>
      </c>
      <c r="Z48" s="14" t="str">
        <f t="shared" si="147"/>
        <v>F3Q10A</v>
      </c>
      <c r="AA48" s="15" t="str">
        <f t="shared" si="147"/>
        <v>F4Q10A</v>
      </c>
      <c r="AB48" s="13" t="str">
        <f t="shared" si="147"/>
        <v>F1Q11A</v>
      </c>
      <c r="AC48" s="14" t="str">
        <f t="shared" si="147"/>
        <v>F2Q11A</v>
      </c>
      <c r="AD48" s="14" t="str">
        <f t="shared" si="147"/>
        <v>F3Q11A</v>
      </c>
      <c r="AE48" s="15" t="str">
        <f t="shared" si="147"/>
        <v>F4Q11A</v>
      </c>
      <c r="AF48" s="13" t="str">
        <f t="shared" si="147"/>
        <v>F1Q12A</v>
      </c>
      <c r="AG48" s="14" t="str">
        <f t="shared" si="147"/>
        <v>F2Q12A</v>
      </c>
      <c r="AH48" s="14" t="str">
        <f t="shared" ref="AH48:AM48" si="148">AH9</f>
        <v>F3Q12A</v>
      </c>
      <c r="AI48" s="15" t="str">
        <f t="shared" si="148"/>
        <v>F4Q12A</v>
      </c>
      <c r="AJ48" s="13" t="str">
        <f t="shared" si="148"/>
        <v>F1Q13A</v>
      </c>
      <c r="AK48" s="14" t="str">
        <f t="shared" si="148"/>
        <v>F2Q13A</v>
      </c>
      <c r="AL48" s="14" t="str">
        <f t="shared" si="148"/>
        <v>F3Q13A</v>
      </c>
      <c r="AM48" s="15" t="str">
        <f t="shared" si="148"/>
        <v>F4Q13A</v>
      </c>
      <c r="AN48" s="13" t="str">
        <f>AN9</f>
        <v>F1Q14A</v>
      </c>
      <c r="AO48" s="14" t="str">
        <f t="shared" si="147"/>
        <v>F2Q14A</v>
      </c>
      <c r="AP48" s="14" t="str">
        <f t="shared" si="147"/>
        <v>F3Q14A</v>
      </c>
      <c r="AQ48" s="15" t="str">
        <f t="shared" si="147"/>
        <v>F4Q14A</v>
      </c>
      <c r="AR48" s="13" t="str">
        <f t="shared" si="147"/>
        <v>F1Q15A</v>
      </c>
      <c r="AS48" s="14" t="str">
        <f>AS9</f>
        <v>F2Q15A</v>
      </c>
      <c r="AT48" s="14" t="str">
        <f t="shared" si="147"/>
        <v>F3Q15A</v>
      </c>
      <c r="AU48" s="15" t="str">
        <f t="shared" si="147"/>
        <v>F4Q15A</v>
      </c>
      <c r="AV48" s="13" t="str">
        <f t="shared" ref="AV48:AY48" si="149">AV9</f>
        <v>F1Q16A</v>
      </c>
      <c r="AW48" s="14" t="str">
        <f t="shared" si="149"/>
        <v>F2Q16A</v>
      </c>
      <c r="AX48" s="14" t="str">
        <f t="shared" si="149"/>
        <v>F3Q16A</v>
      </c>
      <c r="AY48" s="15" t="str">
        <f t="shared" si="149"/>
        <v>F4Q16A</v>
      </c>
      <c r="AZ48" s="13" t="str">
        <f t="shared" ref="AZ48:BC48" si="150">AZ9</f>
        <v>F1Q17A</v>
      </c>
      <c r="BA48" s="14" t="str">
        <f t="shared" si="150"/>
        <v>F2Q17A</v>
      </c>
      <c r="BB48" s="14" t="str">
        <f t="shared" si="150"/>
        <v>F3Q17A</v>
      </c>
      <c r="BC48" s="15" t="str">
        <f t="shared" si="150"/>
        <v>F4Q17A</v>
      </c>
      <c r="BD48" s="536" t="str">
        <f t="shared" ref="BD48:BG48" si="151">BD9</f>
        <v>F1Q18A</v>
      </c>
      <c r="BE48" s="537" t="str">
        <f t="shared" si="151"/>
        <v>F2Q18A</v>
      </c>
      <c r="BF48" s="537" t="str">
        <f t="shared" si="151"/>
        <v>F3Q18A</v>
      </c>
      <c r="BG48" s="538" t="str">
        <f t="shared" si="151"/>
        <v>F4Q18A</v>
      </c>
      <c r="BH48" s="536" t="str">
        <f t="shared" ref="BH48:BK48" si="152">BH9</f>
        <v>F1Q19E</v>
      </c>
      <c r="BI48" s="537" t="str">
        <f t="shared" si="152"/>
        <v>F2Q19E</v>
      </c>
      <c r="BJ48" s="537" t="str">
        <f t="shared" si="152"/>
        <v>F3Q19E</v>
      </c>
      <c r="BK48" s="538" t="str">
        <f t="shared" si="152"/>
        <v>F4Q19E</v>
      </c>
      <c r="BL48" s="536" t="str">
        <f t="shared" ref="BL48:BO48" si="153">BL9</f>
        <v>F1Q20E</v>
      </c>
      <c r="BM48" s="537" t="str">
        <f t="shared" si="153"/>
        <v>F2Q20E</v>
      </c>
      <c r="BN48" s="537" t="str">
        <f t="shared" si="153"/>
        <v>F3Q20E</v>
      </c>
      <c r="BO48" s="538" t="str">
        <f t="shared" si="153"/>
        <v>F4Q20E</v>
      </c>
      <c r="BP48" s="257"/>
      <c r="BQ48" s="13" t="str">
        <f t="shared" ref="BQ48:CA48" si="154">BQ9</f>
        <v>FY2005A</v>
      </c>
      <c r="BR48" s="15" t="str">
        <f t="shared" si="154"/>
        <v>FY2006A</v>
      </c>
      <c r="BS48" s="15" t="str">
        <f t="shared" si="154"/>
        <v>FY2007A</v>
      </c>
      <c r="BT48" s="246" t="str">
        <f t="shared" si="154"/>
        <v>FY2008A</v>
      </c>
      <c r="BU48" s="246" t="str">
        <f t="shared" si="154"/>
        <v>FY2009A</v>
      </c>
      <c r="BV48" s="246" t="str">
        <f t="shared" si="154"/>
        <v>FY2010A</v>
      </c>
      <c r="BW48" s="246" t="str">
        <f t="shared" si="154"/>
        <v>FY2011A</v>
      </c>
      <c r="BX48" s="246" t="str">
        <f t="shared" si="154"/>
        <v>FY2012A</v>
      </c>
      <c r="BY48" s="246" t="str">
        <f t="shared" si="154"/>
        <v>FY2013A</v>
      </c>
      <c r="BZ48" s="246" t="str">
        <f t="shared" si="154"/>
        <v>FY2014A</v>
      </c>
      <c r="CA48" s="13" t="str">
        <f t="shared" si="154"/>
        <v>FY2015A</v>
      </c>
      <c r="CB48" s="13" t="str">
        <f>CB9</f>
        <v>FY2016A</v>
      </c>
      <c r="CC48" s="13" t="str">
        <f>CC9</f>
        <v>FY2017A</v>
      </c>
      <c r="CD48" s="14" t="str">
        <f>CD9</f>
        <v>FY2018A</v>
      </c>
      <c r="CE48" s="560" t="str">
        <f>CE9</f>
        <v>FY2019E</v>
      </c>
      <c r="CF48" s="560" t="str">
        <f>CF9</f>
        <v>FY2020E</v>
      </c>
      <c r="CG48" s="560" t="str">
        <f t="shared" ref="CG48" si="155">CG9</f>
        <v>FY2021E</v>
      </c>
      <c r="CH48" s="336"/>
    </row>
    <row r="49" spans="2:86" ht="14.25">
      <c r="B49" s="16" t="s">
        <v>123</v>
      </c>
      <c r="C49" s="17"/>
      <c r="D49" s="134">
        <f t="shared" ref="D49:AD49" si="156">D14/(D56*4)*365</f>
        <v>51.26582108265913</v>
      </c>
      <c r="E49" s="134">
        <f t="shared" si="156"/>
        <v>49.472710278172265</v>
      </c>
      <c r="F49" s="134">
        <f t="shared" si="156"/>
        <v>54.848897768457377</v>
      </c>
      <c r="G49" s="135">
        <f t="shared" si="156"/>
        <v>53.890346082182788</v>
      </c>
      <c r="H49" s="134">
        <f t="shared" si="156"/>
        <v>51.318087424952708</v>
      </c>
      <c r="I49" s="134">
        <f t="shared" si="156"/>
        <v>49.126327941319587</v>
      </c>
      <c r="J49" s="134">
        <f t="shared" si="156"/>
        <v>54.26194938806551</v>
      </c>
      <c r="K49" s="135">
        <f t="shared" si="156"/>
        <v>45.747409082729384</v>
      </c>
      <c r="L49" s="134">
        <f t="shared" si="156"/>
        <v>51.391722116056144</v>
      </c>
      <c r="M49" s="134">
        <f t="shared" si="156"/>
        <v>54.493889213132746</v>
      </c>
      <c r="N49" s="134">
        <f t="shared" si="156"/>
        <v>51.58976398833201</v>
      </c>
      <c r="O49" s="135">
        <f t="shared" si="156"/>
        <v>48.162501567589679</v>
      </c>
      <c r="P49" s="134">
        <f t="shared" si="156"/>
        <v>40.644722856468</v>
      </c>
      <c r="Q49" s="134">
        <f t="shared" si="156"/>
        <v>49.78745597378451</v>
      </c>
      <c r="R49" s="134">
        <f t="shared" si="156"/>
        <v>46.517828646639742</v>
      </c>
      <c r="S49" s="135">
        <f t="shared" si="156"/>
        <v>35.867559069287275</v>
      </c>
      <c r="T49" s="134">
        <f t="shared" si="156"/>
        <v>42.008761620495605</v>
      </c>
      <c r="U49" s="134">
        <f t="shared" si="156"/>
        <v>50.970474438477289</v>
      </c>
      <c r="V49" s="134">
        <f t="shared" si="156"/>
        <v>45.891812865497073</v>
      </c>
      <c r="W49" s="135">
        <f t="shared" si="156"/>
        <v>39.516514515459193</v>
      </c>
      <c r="X49" s="134">
        <f t="shared" si="156"/>
        <v>49.938705090193586</v>
      </c>
      <c r="Y49" s="134">
        <f t="shared" si="156"/>
        <v>46.786171989635037</v>
      </c>
      <c r="Z49" s="134">
        <f t="shared" si="156"/>
        <v>44.803509347551611</v>
      </c>
      <c r="AA49" s="135">
        <f t="shared" si="156"/>
        <v>38.642471826096248</v>
      </c>
      <c r="AB49" s="134">
        <f t="shared" si="156"/>
        <v>47.854419346430902</v>
      </c>
      <c r="AC49" s="134">
        <f t="shared" si="156"/>
        <v>49.952808168446602</v>
      </c>
      <c r="AD49" s="134">
        <f t="shared" si="156"/>
        <v>44.513204308854021</v>
      </c>
      <c r="AE49" s="135">
        <f t="shared" ref="AE49:AJ49" si="157">AE14/(AE56*4)*365</f>
        <v>46.55212917525899</v>
      </c>
      <c r="AF49" s="357">
        <f t="shared" si="157"/>
        <v>48.3846687819821</v>
      </c>
      <c r="AG49" s="134">
        <f t="shared" si="157"/>
        <v>41.25292611863803</v>
      </c>
      <c r="AH49" s="134">
        <f t="shared" si="157"/>
        <v>43.311099233283919</v>
      </c>
      <c r="AI49" s="135">
        <f t="shared" si="157"/>
        <v>50.037294617887952</v>
      </c>
      <c r="AJ49" s="357">
        <f t="shared" si="157"/>
        <v>47.82577971271462</v>
      </c>
      <c r="AK49" s="134">
        <f t="shared" ref="AK49:AQ49" si="158">AK14/(AK56*4)*365</f>
        <v>43.692893307715678</v>
      </c>
      <c r="AL49" s="134">
        <f t="shared" si="158"/>
        <v>43.793820697391794</v>
      </c>
      <c r="AM49" s="135">
        <f t="shared" si="158"/>
        <v>38.868116482263503</v>
      </c>
      <c r="AN49" s="357">
        <f t="shared" si="158"/>
        <v>46.018333426383741</v>
      </c>
      <c r="AO49" s="134">
        <f t="shared" si="158"/>
        <v>48.71688271941477</v>
      </c>
      <c r="AP49" s="134">
        <f t="shared" si="158"/>
        <v>45.734355838432343</v>
      </c>
      <c r="AQ49" s="135">
        <f t="shared" si="158"/>
        <v>44.412722739707789</v>
      </c>
      <c r="AR49" s="357">
        <f t="shared" ref="AR49:AX49" si="159">AR14/(AR56*4)*365</f>
        <v>49.260309762692749</v>
      </c>
      <c r="AS49" s="134">
        <f t="shared" si="159"/>
        <v>47.305809920492543</v>
      </c>
      <c r="AT49" s="134">
        <f t="shared" si="159"/>
        <v>43.661155465437318</v>
      </c>
      <c r="AU49" s="135">
        <f t="shared" si="159"/>
        <v>44.798010559191653</v>
      </c>
      <c r="AV49" s="357">
        <f t="shared" si="159"/>
        <v>49.614970149995585</v>
      </c>
      <c r="AW49" s="134">
        <f t="shared" si="159"/>
        <v>53.648797241911247</v>
      </c>
      <c r="AX49" s="134">
        <f t="shared" si="159"/>
        <v>51.504215501785474</v>
      </c>
      <c r="AY49" s="135">
        <f t="shared" ref="AY49:BB49" si="160">AY14/(AY56*4)*365</f>
        <v>47.879155995702405</v>
      </c>
      <c r="AZ49" s="357">
        <f t="shared" si="160"/>
        <v>47.353921438107179</v>
      </c>
      <c r="BA49" s="134">
        <f t="shared" si="160"/>
        <v>50.793615222763577</v>
      </c>
      <c r="BB49" s="134">
        <f t="shared" si="160"/>
        <v>50.503029772837706</v>
      </c>
      <c r="BC49" s="135">
        <f t="shared" ref="BC49:BF49" si="161">BC14/(BC56*4)*365</f>
        <v>53.559310465523282</v>
      </c>
      <c r="BD49" s="357">
        <f t="shared" si="161"/>
        <v>56.268627628716459</v>
      </c>
      <c r="BE49" s="134">
        <f t="shared" si="161"/>
        <v>56.084913187267468</v>
      </c>
      <c r="BF49" s="134">
        <f t="shared" si="161"/>
        <v>54.207032428906601</v>
      </c>
      <c r="BG49" s="135">
        <f t="shared" ref="BG49" si="162">BG14/(BG56*4)*365</f>
        <v>41.575673657681314</v>
      </c>
      <c r="BH49" s="528">
        <v>44</v>
      </c>
      <c r="BI49" s="324">
        <f t="shared" ref="BI49:BK49" si="163">BH49</f>
        <v>44</v>
      </c>
      <c r="BJ49" s="323">
        <f t="shared" si="163"/>
        <v>44</v>
      </c>
      <c r="BK49" s="317">
        <f t="shared" si="163"/>
        <v>44</v>
      </c>
      <c r="BL49" s="528">
        <v>43</v>
      </c>
      <c r="BM49" s="324">
        <f t="shared" ref="BM49" si="164">BL49</f>
        <v>43</v>
      </c>
      <c r="BN49" s="323">
        <f t="shared" ref="BN49" si="165">BM49</f>
        <v>43</v>
      </c>
      <c r="BO49" s="317">
        <f t="shared" ref="BO49" si="166">BN49</f>
        <v>43</v>
      </c>
      <c r="BP49" s="257"/>
      <c r="BQ49" s="134">
        <f>BQ14/(BQ56)*365</f>
        <v>59.896625781900738</v>
      </c>
      <c r="BR49" s="134">
        <f t="shared" ref="BR49:BZ49" si="167">BR14/(BR56)*365</f>
        <v>53.57521496575994</v>
      </c>
      <c r="BS49" s="134">
        <f t="shared" si="167"/>
        <v>53.551042142912372</v>
      </c>
      <c r="BT49" s="134">
        <f t="shared" si="167"/>
        <v>41.865337705932888</v>
      </c>
      <c r="BU49" s="134">
        <f t="shared" si="167"/>
        <v>27.475049676959962</v>
      </c>
      <c r="BV49" s="134">
        <f t="shared" si="167"/>
        <v>46.38356768400466</v>
      </c>
      <c r="BW49" s="134">
        <f t="shared" si="167"/>
        <v>46.425292775838045</v>
      </c>
      <c r="BX49" s="134">
        <f t="shared" si="167"/>
        <v>43.810563683304643</v>
      </c>
      <c r="BY49" s="134">
        <f t="shared" si="167"/>
        <v>38.040689509346315</v>
      </c>
      <c r="BZ49" s="134">
        <f t="shared" si="167"/>
        <v>48.62120784866643</v>
      </c>
      <c r="CA49" s="134">
        <f t="shared" ref="CA49:CF49" si="168">CA14/(CA56)*365</f>
        <v>41.448640032285191</v>
      </c>
      <c r="CB49" s="134">
        <f t="shared" si="168"/>
        <v>43.291249484560289</v>
      </c>
      <c r="CC49" s="134">
        <f t="shared" si="168"/>
        <v>51.154494184822028</v>
      </c>
      <c r="CD49" s="134">
        <f t="shared" si="168"/>
        <v>42.367295057502332</v>
      </c>
      <c r="CE49" s="134">
        <f t="shared" si="168"/>
        <v>44.666839229693089</v>
      </c>
      <c r="CF49" s="134">
        <f t="shared" si="168"/>
        <v>43.98182469001393</v>
      </c>
      <c r="CG49" s="134">
        <v>43</v>
      </c>
      <c r="CH49" s="336"/>
    </row>
    <row r="50" spans="2:86" ht="14.25">
      <c r="B50" s="16" t="s">
        <v>124</v>
      </c>
      <c r="C50" s="17"/>
      <c r="D50" s="134">
        <f t="shared" ref="D50:T50" si="169">365/D51</f>
        <v>4.7468828455330714</v>
      </c>
      <c r="E50" s="134">
        <f t="shared" si="169"/>
        <v>5.8200583541187205</v>
      </c>
      <c r="F50" s="134">
        <f t="shared" si="169"/>
        <v>5.5816111503381132</v>
      </c>
      <c r="G50" s="135">
        <f t="shared" si="169"/>
        <v>5.0649204158037326</v>
      </c>
      <c r="H50" s="134">
        <f t="shared" si="169"/>
        <v>6.2271733565617424</v>
      </c>
      <c r="I50" s="134">
        <f t="shared" si="169"/>
        <v>6.5142435047503051</v>
      </c>
      <c r="J50" s="134">
        <f t="shared" si="169"/>
        <v>5.2857766595602511</v>
      </c>
      <c r="K50" s="135">
        <f t="shared" si="169"/>
        <v>4.2586989968408675</v>
      </c>
      <c r="L50" s="134">
        <f t="shared" si="169"/>
        <v>4.687682667702517</v>
      </c>
      <c r="M50" s="134">
        <f t="shared" si="169"/>
        <v>4.8437305632367424</v>
      </c>
      <c r="N50" s="134">
        <f t="shared" si="169"/>
        <v>4.5076805216269475</v>
      </c>
      <c r="O50" s="135">
        <f t="shared" si="169"/>
        <v>5.2664749550195573</v>
      </c>
      <c r="P50" s="134">
        <f t="shared" si="169"/>
        <v>4.8998074389270698</v>
      </c>
      <c r="Q50" s="134">
        <f t="shared" si="169"/>
        <v>4.5575469124024455</v>
      </c>
      <c r="R50" s="134">
        <f t="shared" si="169"/>
        <v>4.1655481537869328</v>
      </c>
      <c r="S50" s="135">
        <f t="shared" si="169"/>
        <v>4.1940533589996987</v>
      </c>
      <c r="T50" s="134">
        <f t="shared" si="169"/>
        <v>4.2157130628285531</v>
      </c>
      <c r="U50" s="134">
        <f t="shared" ref="U50:CF50" si="170">365/U51</f>
        <v>4.9800950141855065</v>
      </c>
      <c r="V50" s="134">
        <f t="shared" si="170"/>
        <v>4.4788410571559778</v>
      </c>
      <c r="W50" s="135">
        <f t="shared" si="170"/>
        <v>3.2631328575369225</v>
      </c>
      <c r="X50" s="134">
        <f>365/X51</f>
        <v>5.075647619731317</v>
      </c>
      <c r="Y50" s="134">
        <f t="shared" si="170"/>
        <v>5.4659148726079367</v>
      </c>
      <c r="Z50" s="134">
        <f t="shared" si="170"/>
        <v>5.7281374570648804</v>
      </c>
      <c r="AA50" s="135">
        <f t="shared" si="170"/>
        <v>5.6424952949766549</v>
      </c>
      <c r="AB50" s="134">
        <f>365/AB51</f>
        <v>6.6768293866477695</v>
      </c>
      <c r="AC50" s="134">
        <f t="shared" si="170"/>
        <v>6.1455685798406847</v>
      </c>
      <c r="AD50" s="134">
        <f t="shared" si="170"/>
        <v>6.8770470369164736</v>
      </c>
      <c r="AE50" s="135">
        <f t="shared" si="170"/>
        <v>6.0757541446526488</v>
      </c>
      <c r="AF50" s="134">
        <f t="shared" si="170"/>
        <v>4.48525465534372</v>
      </c>
      <c r="AG50" s="134">
        <f t="shared" si="170"/>
        <v>4.7099365906372013</v>
      </c>
      <c r="AH50" s="134">
        <f t="shared" si="170"/>
        <v>5.3325781094453992</v>
      </c>
      <c r="AI50" s="135">
        <f t="shared" si="170"/>
        <v>3.8636743425387916</v>
      </c>
      <c r="AJ50" s="134">
        <f t="shared" si="170"/>
        <v>4.157802965257682</v>
      </c>
      <c r="AK50" s="134">
        <f t="shared" si="170"/>
        <v>4.4301384764400229</v>
      </c>
      <c r="AL50" s="134">
        <f t="shared" si="170"/>
        <v>4.6362386614148203</v>
      </c>
      <c r="AM50" s="135">
        <f t="shared" si="170"/>
        <v>5.9396497400850095</v>
      </c>
      <c r="AN50" s="134">
        <f t="shared" si="170"/>
        <v>4.9710999064042829</v>
      </c>
      <c r="AO50" s="134">
        <f t="shared" si="170"/>
        <v>4.617912461509623</v>
      </c>
      <c r="AP50" s="134">
        <f t="shared" si="170"/>
        <v>4.9026678478036478</v>
      </c>
      <c r="AQ50" s="135">
        <f t="shared" si="170"/>
        <v>5.5029236605210912</v>
      </c>
      <c r="AR50" s="134">
        <f t="shared" si="170"/>
        <v>5.6491449653842825</v>
      </c>
      <c r="AS50" s="134">
        <f t="shared" si="170"/>
        <v>4.8640179032201516</v>
      </c>
      <c r="AT50" s="134">
        <f t="shared" si="170"/>
        <v>5.1201141199373614</v>
      </c>
      <c r="AU50" s="135">
        <f t="shared" si="170"/>
        <v>5.4293126898931634</v>
      </c>
      <c r="AV50" s="134">
        <f t="shared" si="170"/>
        <v>4.1442799048306052</v>
      </c>
      <c r="AW50" s="134">
        <f t="shared" si="170"/>
        <v>5.6616718133579793</v>
      </c>
      <c r="AX50" s="134">
        <f t="shared" si="170"/>
        <v>5.4452644316940804</v>
      </c>
      <c r="AY50" s="135">
        <f t="shared" si="170"/>
        <v>5.7793673112909181</v>
      </c>
      <c r="AZ50" s="134">
        <f t="shared" si="170"/>
        <v>5.2846078384990332</v>
      </c>
      <c r="BA50" s="134">
        <f t="shared" si="170"/>
        <v>5.6906550879922628</v>
      </c>
      <c r="BB50" s="134">
        <f t="shared" si="170"/>
        <v>5.7703592756624547</v>
      </c>
      <c r="BC50" s="135">
        <f t="shared" si="170"/>
        <v>5.6883044791039845</v>
      </c>
      <c r="BD50" s="134">
        <f t="shared" si="170"/>
        <v>5.1908810547279209</v>
      </c>
      <c r="BE50" s="134">
        <f t="shared" si="170"/>
        <v>5.4798589110128564</v>
      </c>
      <c r="BF50" s="134">
        <f t="shared" si="170"/>
        <v>5.5067787209595984</v>
      </c>
      <c r="BG50" s="135">
        <f t="shared" si="170"/>
        <v>5.7067292707057709</v>
      </c>
      <c r="BH50" s="527">
        <f t="shared" si="170"/>
        <v>5.7067292707057709</v>
      </c>
      <c r="BI50" s="134">
        <f t="shared" si="170"/>
        <v>5.7067292707057709</v>
      </c>
      <c r="BJ50" s="134">
        <f t="shared" si="170"/>
        <v>5.7067292707057709</v>
      </c>
      <c r="BK50" s="135">
        <f t="shared" si="170"/>
        <v>5.7067292707057709</v>
      </c>
      <c r="BL50" s="527">
        <f t="shared" si="170"/>
        <v>5.7067292707057709</v>
      </c>
      <c r="BM50" s="134">
        <f t="shared" si="170"/>
        <v>5.7067292707057709</v>
      </c>
      <c r="BN50" s="134">
        <f t="shared" si="170"/>
        <v>5.7067292707057709</v>
      </c>
      <c r="BO50" s="135">
        <f t="shared" si="170"/>
        <v>5.7067292707057709</v>
      </c>
      <c r="BP50" s="257"/>
      <c r="BQ50" s="134">
        <f t="shared" si="170"/>
        <v>4.5136280054930982</v>
      </c>
      <c r="BR50" s="134">
        <f t="shared" si="170"/>
        <v>3.7054888491489022</v>
      </c>
      <c r="BS50" s="134">
        <f t="shared" si="170"/>
        <v>4.4471611096065926</v>
      </c>
      <c r="BT50" s="134">
        <f t="shared" si="170"/>
        <v>3.5704825337191939</v>
      </c>
      <c r="BU50" s="134">
        <f t="shared" si="170"/>
        <v>4.5923245797575447</v>
      </c>
      <c r="BV50" s="134">
        <f t="shared" si="170"/>
        <v>5.080280366480225</v>
      </c>
      <c r="BW50" s="134">
        <f t="shared" si="170"/>
        <v>6.0023874710733027</v>
      </c>
      <c r="BX50" s="134">
        <f t="shared" si="170"/>
        <v>4.1393006305789859</v>
      </c>
      <c r="BY50" s="134">
        <f t="shared" si="170"/>
        <v>5.9639685328647873</v>
      </c>
      <c r="BZ50" s="134">
        <f t="shared" si="170"/>
        <v>4.7827436821029101</v>
      </c>
      <c r="CA50" s="134">
        <f t="shared" si="170"/>
        <v>5.9829115854647892</v>
      </c>
      <c r="CB50" s="134">
        <f t="shared" si="170"/>
        <v>7.1172143207454655</v>
      </c>
      <c r="CC50" s="134">
        <f t="shared" si="170"/>
        <v>6.2613843192668446</v>
      </c>
      <c r="CD50" s="134">
        <f t="shared" si="170"/>
        <v>5.5903704444274549</v>
      </c>
      <c r="CE50" s="134">
        <f t="shared" si="170"/>
        <v>5.6777267474965072</v>
      </c>
      <c r="CF50" s="134">
        <f t="shared" si="170"/>
        <v>5.613161543887399</v>
      </c>
      <c r="CG50" s="134">
        <f t="shared" ref="CG50" si="171">365/CG51</f>
        <v>5.615384615384615</v>
      </c>
      <c r="CH50" s="336"/>
    </row>
    <row r="51" spans="2:86" ht="14.25">
      <c r="B51" s="16" t="s">
        <v>125</v>
      </c>
      <c r="C51" s="17"/>
      <c r="D51" s="134">
        <f t="shared" ref="D51:AD51" si="172">(D15/D57)*91</f>
        <v>76.892565474514214</v>
      </c>
      <c r="E51" s="134">
        <f t="shared" si="172"/>
        <v>62.714147830098291</v>
      </c>
      <c r="F51" s="134">
        <f t="shared" si="172"/>
        <v>65.393304938107278</v>
      </c>
      <c r="G51" s="135">
        <f t="shared" si="172"/>
        <v>72.064310993143124</v>
      </c>
      <c r="H51" s="134">
        <f t="shared" si="172"/>
        <v>58.614074010865544</v>
      </c>
      <c r="I51" s="134">
        <f t="shared" si="172"/>
        <v>56.031064809572335</v>
      </c>
      <c r="J51" s="134">
        <f t="shared" si="172"/>
        <v>69.053239194250423</v>
      </c>
      <c r="K51" s="135">
        <f t="shared" si="172"/>
        <v>85.706926052007788</v>
      </c>
      <c r="L51" s="134">
        <f t="shared" si="172"/>
        <v>77.863632390221156</v>
      </c>
      <c r="M51" s="134">
        <f t="shared" si="172"/>
        <v>75.355141091104542</v>
      </c>
      <c r="N51" s="134">
        <f t="shared" si="172"/>
        <v>80.972907962044602</v>
      </c>
      <c r="O51" s="135">
        <f t="shared" si="172"/>
        <v>69.306320283952545</v>
      </c>
      <c r="P51" s="134">
        <f t="shared" si="172"/>
        <v>74.492723346680236</v>
      </c>
      <c r="Q51" s="134">
        <f t="shared" si="172"/>
        <v>80.086943045331267</v>
      </c>
      <c r="R51" s="134">
        <f t="shared" si="172"/>
        <v>87.62352192908287</v>
      </c>
      <c r="S51" s="135">
        <f t="shared" si="172"/>
        <v>87.02798194419114</v>
      </c>
      <c r="T51" s="134">
        <f t="shared" si="172"/>
        <v>86.580845176189825</v>
      </c>
      <c r="U51" s="134">
        <f t="shared" si="172"/>
        <v>73.291774345734183</v>
      </c>
      <c r="V51" s="134">
        <f t="shared" si="172"/>
        <v>81.494296257025823</v>
      </c>
      <c r="W51" s="135">
        <f t="shared" si="172"/>
        <v>111.85569694379814</v>
      </c>
      <c r="X51" s="134">
        <f t="shared" si="172"/>
        <v>71.91200558941118</v>
      </c>
      <c r="Y51" s="134">
        <f t="shared" si="172"/>
        <v>66.777476142040342</v>
      </c>
      <c r="Z51" s="134">
        <f t="shared" si="172"/>
        <v>63.720537912340426</v>
      </c>
      <c r="AA51" s="135">
        <f t="shared" si="172"/>
        <v>64.687692398245972</v>
      </c>
      <c r="AB51" s="134">
        <f t="shared" si="172"/>
        <v>54.666665697632162</v>
      </c>
      <c r="AC51" s="134">
        <f t="shared" si="172"/>
        <v>59.392389045549002</v>
      </c>
      <c r="AD51" s="134">
        <f t="shared" si="172"/>
        <v>53.075105934371869</v>
      </c>
      <c r="AE51" s="135">
        <f t="shared" ref="AE51:AJ51" si="173">(AE15/AE57)*91</f>
        <v>60.074846893079325</v>
      </c>
      <c r="AF51" s="134">
        <f t="shared" si="173"/>
        <v>81.377765154346363</v>
      </c>
      <c r="AG51" s="134">
        <f t="shared" si="173"/>
        <v>77.495735446964815</v>
      </c>
      <c r="AH51" s="134">
        <f t="shared" si="173"/>
        <v>68.447192429022081</v>
      </c>
      <c r="AI51" s="135">
        <f t="shared" si="173"/>
        <v>94.469659614262739</v>
      </c>
      <c r="AJ51" s="134">
        <f t="shared" si="173"/>
        <v>87.786747724679387</v>
      </c>
      <c r="AK51" s="134">
        <f t="shared" ref="AK51:AQ51" si="174">(AK15/AK57)*91</f>
        <v>82.390201105701607</v>
      </c>
      <c r="AL51" s="134">
        <f t="shared" si="174"/>
        <v>78.727612328873207</v>
      </c>
      <c r="AM51" s="135">
        <f t="shared" si="174"/>
        <v>61.451435012525849</v>
      </c>
      <c r="AN51" s="134">
        <f t="shared" si="174"/>
        <v>73.42439437392305</v>
      </c>
      <c r="AO51" s="134">
        <f t="shared" si="174"/>
        <v>79.040043102220125</v>
      </c>
      <c r="AP51" s="134">
        <f t="shared" si="174"/>
        <v>74.449261367668782</v>
      </c>
      <c r="AQ51" s="135">
        <f t="shared" si="174"/>
        <v>66.328377880029848</v>
      </c>
      <c r="AR51" s="134">
        <f t="shared" ref="AR51:AX51" si="175">(AR15/AR57)*91</f>
        <v>64.611547807070821</v>
      </c>
      <c r="AS51" s="134">
        <f t="shared" si="175"/>
        <v>75.040842213668071</v>
      </c>
      <c r="AT51" s="134">
        <f t="shared" si="175"/>
        <v>71.287473569918276</v>
      </c>
      <c r="AU51" s="135">
        <f t="shared" si="175"/>
        <v>67.227662293140526</v>
      </c>
      <c r="AV51" s="134">
        <f t="shared" si="175"/>
        <v>88.073201709795995</v>
      </c>
      <c r="AW51" s="134">
        <f t="shared" si="175"/>
        <v>64.468590203132209</v>
      </c>
      <c r="AX51" s="134">
        <f t="shared" si="175"/>
        <v>67.030720836167831</v>
      </c>
      <c r="AY51" s="135">
        <f t="shared" ref="AY51:BB51" si="176">(AY15/AY57)*91</f>
        <v>63.155702058755487</v>
      </c>
      <c r="AZ51" s="134">
        <f t="shared" si="176"/>
        <v>69.068512017283297</v>
      </c>
      <c r="BA51" s="134">
        <f t="shared" si="176"/>
        <v>64.140242969597509</v>
      </c>
      <c r="BB51" s="134">
        <f t="shared" si="176"/>
        <v>63.254293634618946</v>
      </c>
      <c r="BC51" s="135">
        <f t="shared" ref="BC51:BF51" si="177">(BC15/BC57)*91</f>
        <v>64.16674798981478</v>
      </c>
      <c r="BD51" s="134">
        <f t="shared" si="177"/>
        <v>70.315616203063129</v>
      </c>
      <c r="BE51" s="134">
        <f t="shared" si="177"/>
        <v>66.607554305177558</v>
      </c>
      <c r="BF51" s="134">
        <f t="shared" si="177"/>
        <v>66.281944217361968</v>
      </c>
      <c r="BG51" s="135">
        <f t="shared" ref="BG51" si="178">(BG15/BG57)*91</f>
        <v>63.959578715893635</v>
      </c>
      <c r="BH51" s="526">
        <f t="shared" ref="BH51:BH52" si="179">BG51</f>
        <v>63.959578715893635</v>
      </c>
      <c r="BI51" s="324">
        <f t="shared" ref="BI51:BI52" si="180">BH51</f>
        <v>63.959578715893635</v>
      </c>
      <c r="BJ51" s="324">
        <f t="shared" ref="BJ51:BJ52" si="181">BI51</f>
        <v>63.959578715893635</v>
      </c>
      <c r="BK51" s="317">
        <f t="shared" ref="BK51:BK52" si="182">BJ51</f>
        <v>63.959578715893635</v>
      </c>
      <c r="BL51" s="526">
        <f t="shared" ref="BL51:BL52" si="183">BK51</f>
        <v>63.959578715893635</v>
      </c>
      <c r="BM51" s="324">
        <f t="shared" ref="BM51:BM52" si="184">BL51</f>
        <v>63.959578715893635</v>
      </c>
      <c r="BN51" s="324">
        <f t="shared" ref="BN51:BN52" si="185">BM51</f>
        <v>63.959578715893635</v>
      </c>
      <c r="BO51" s="317">
        <f t="shared" ref="BO51:BO52" si="186">BN51</f>
        <v>63.959578715893635</v>
      </c>
      <c r="BP51" s="257"/>
      <c r="BQ51" s="134">
        <f>(BQ15/BQ57)*365</f>
        <v>80.866212181374706</v>
      </c>
      <c r="BR51" s="134">
        <f t="shared" ref="BR51:BZ51" si="187">(BR15/BR57)*365</f>
        <v>98.502522840902699</v>
      </c>
      <c r="BS51" s="134">
        <f t="shared" si="187"/>
        <v>82.074831786853977</v>
      </c>
      <c r="BT51" s="134">
        <f t="shared" si="187"/>
        <v>102.22707898805982</v>
      </c>
      <c r="BU51" s="134">
        <f t="shared" si="187"/>
        <v>79.480444742272653</v>
      </c>
      <c r="BV51" s="134">
        <f t="shared" si="187"/>
        <v>71.846428478293461</v>
      </c>
      <c r="BW51" s="134">
        <f t="shared" si="187"/>
        <v>60.809136657539604</v>
      </c>
      <c r="BX51" s="134">
        <f t="shared" si="187"/>
        <v>88.179147294490065</v>
      </c>
      <c r="BY51" s="134">
        <f t="shared" si="187"/>
        <v>61.200859459376211</v>
      </c>
      <c r="BZ51" s="134">
        <f t="shared" si="187"/>
        <v>76.316027841055927</v>
      </c>
      <c r="CA51" s="134">
        <f t="shared" ref="CA51:CF51" si="188">(CA15/CA57)*365</f>
        <v>61.00708572841873</v>
      </c>
      <c r="CB51" s="134">
        <f t="shared" si="188"/>
        <v>51.284109702315313</v>
      </c>
      <c r="CC51" s="134">
        <f t="shared" si="188"/>
        <v>58.293818329736133</v>
      </c>
      <c r="CD51" s="134">
        <f t="shared" si="188"/>
        <v>65.290843179066272</v>
      </c>
      <c r="CE51" s="134">
        <f t="shared" si="188"/>
        <v>64.286292072956883</v>
      </c>
      <c r="CF51" s="134">
        <f t="shared" si="188"/>
        <v>65.025743005290209</v>
      </c>
      <c r="CG51" s="134">
        <v>65</v>
      </c>
      <c r="CH51" s="336"/>
    </row>
    <row r="52" spans="2:86" ht="14.25">
      <c r="B52" s="16" t="s">
        <v>126</v>
      </c>
      <c r="C52" s="17"/>
      <c r="D52" s="134">
        <f t="shared" ref="D52:AD52" si="189">(D28/D57)*91</f>
        <v>75.762860227166044</v>
      </c>
      <c r="E52" s="134">
        <f t="shared" si="189"/>
        <v>63.069997516056922</v>
      </c>
      <c r="F52" s="134">
        <f t="shared" si="189"/>
        <v>76.70562358578465</v>
      </c>
      <c r="G52" s="135">
        <f t="shared" si="189"/>
        <v>72.533411978667473</v>
      </c>
      <c r="H52" s="134">
        <f t="shared" si="189"/>
        <v>63.312000455101405</v>
      </c>
      <c r="I52" s="134">
        <f t="shared" si="189"/>
        <v>68.537424980183459</v>
      </c>
      <c r="J52" s="134">
        <f t="shared" si="189"/>
        <v>87.586693997368158</v>
      </c>
      <c r="K52" s="135">
        <f t="shared" si="189"/>
        <v>79.718867520986691</v>
      </c>
      <c r="L52" s="134">
        <f t="shared" si="189"/>
        <v>57.0993910078965</v>
      </c>
      <c r="M52" s="134">
        <f t="shared" si="189"/>
        <v>69.169782316581575</v>
      </c>
      <c r="N52" s="134">
        <f t="shared" si="189"/>
        <v>70.953988832051238</v>
      </c>
      <c r="O52" s="135">
        <f t="shared" si="189"/>
        <v>67.371705716299871</v>
      </c>
      <c r="P52" s="134">
        <f t="shared" si="189"/>
        <v>71.018560429055313</v>
      </c>
      <c r="Q52" s="134">
        <f t="shared" si="189"/>
        <v>70.84292909724914</v>
      </c>
      <c r="R52" s="134">
        <f t="shared" si="189"/>
        <v>48.098218364550021</v>
      </c>
      <c r="S52" s="135">
        <f t="shared" si="189"/>
        <v>47.951133047601679</v>
      </c>
      <c r="T52" s="134">
        <f t="shared" si="189"/>
        <v>39.333824535415417</v>
      </c>
      <c r="U52" s="134">
        <f t="shared" si="189"/>
        <v>53.140818352701196</v>
      </c>
      <c r="V52" s="134">
        <f t="shared" si="189"/>
        <v>53.792768840814801</v>
      </c>
      <c r="W52" s="135">
        <f t="shared" si="189"/>
        <v>50.059145656268285</v>
      </c>
      <c r="X52" s="134">
        <f t="shared" si="189"/>
        <v>58.983456895547882</v>
      </c>
      <c r="Y52" s="134">
        <f t="shared" si="189"/>
        <v>84.834117316244232</v>
      </c>
      <c r="Z52" s="134">
        <f t="shared" si="189"/>
        <v>84.504585544630388</v>
      </c>
      <c r="AA52" s="135">
        <f t="shared" si="189"/>
        <v>75.887877806880724</v>
      </c>
      <c r="AB52" s="134">
        <f t="shared" si="189"/>
        <v>76.3396310885649</v>
      </c>
      <c r="AC52" s="134">
        <f t="shared" si="189"/>
        <v>95.672323702826972</v>
      </c>
      <c r="AD52" s="134">
        <f t="shared" si="189"/>
        <v>82.013817526765067</v>
      </c>
      <c r="AE52" s="135">
        <f t="shared" ref="AE52:AJ52" si="190">(AE28/AE57)*91</f>
        <v>81.260673105629664</v>
      </c>
      <c r="AF52" s="134">
        <f t="shared" si="190"/>
        <v>87.52079228641901</v>
      </c>
      <c r="AG52" s="134">
        <f t="shared" si="190"/>
        <v>85.193926747541113</v>
      </c>
      <c r="AH52" s="134">
        <f t="shared" si="190"/>
        <v>78.480378548895885</v>
      </c>
      <c r="AI52" s="135">
        <f t="shared" si="190"/>
        <v>81.284632951543912</v>
      </c>
      <c r="AJ52" s="134">
        <f t="shared" si="190"/>
        <v>80.335529943601529</v>
      </c>
      <c r="AK52" s="134">
        <f t="shared" ref="AK52:AQ52" si="191">(AK28/AK57)*91</f>
        <v>79.861145666105358</v>
      </c>
      <c r="AL52" s="134">
        <f t="shared" si="191"/>
        <v>70.798647807894724</v>
      </c>
      <c r="AM52" s="135">
        <f t="shared" si="191"/>
        <v>70.317992195948051</v>
      </c>
      <c r="AN52" s="134">
        <f t="shared" si="191"/>
        <v>83.391753468599262</v>
      </c>
      <c r="AO52" s="134">
        <f t="shared" si="191"/>
        <v>83.717576847062233</v>
      </c>
      <c r="AP52" s="134">
        <f t="shared" si="191"/>
        <v>78.361638432538115</v>
      </c>
      <c r="AQ52" s="135">
        <f t="shared" si="191"/>
        <v>60.327455935229196</v>
      </c>
      <c r="AR52" s="134">
        <f t="shared" ref="AR52:AX52" si="192">(AR28/AR57)*91</f>
        <v>75.364384643421218</v>
      </c>
      <c r="AS52" s="134">
        <f t="shared" si="192"/>
        <v>79.185872679966764</v>
      </c>
      <c r="AT52" s="134">
        <f t="shared" si="192"/>
        <v>68.290102291559521</v>
      </c>
      <c r="AU52" s="135">
        <f t="shared" si="192"/>
        <v>61.716364882974418</v>
      </c>
      <c r="AV52" s="134">
        <f t="shared" si="192"/>
        <v>76.979407836470145</v>
      </c>
      <c r="AW52" s="134">
        <f t="shared" si="192"/>
        <v>56.963419309146907</v>
      </c>
      <c r="AX52" s="134">
        <f t="shared" si="192"/>
        <v>56.78891982681791</v>
      </c>
      <c r="AY52" s="135">
        <f t="shared" ref="AY52:BB52" si="193">(AY28/AY57)*91</f>
        <v>54.240943789035398</v>
      </c>
      <c r="AZ52" s="134">
        <f t="shared" si="193"/>
        <v>68.000567107750484</v>
      </c>
      <c r="BA52" s="134">
        <f t="shared" si="193"/>
        <v>67.377993658034541</v>
      </c>
      <c r="BB52" s="134">
        <f t="shared" si="193"/>
        <v>58.294613424315628</v>
      </c>
      <c r="BC52" s="135">
        <f t="shared" ref="BC52:BF52" si="194">(BC28/BC57)*91</f>
        <v>53.538147390347014</v>
      </c>
      <c r="BD52" s="134">
        <f t="shared" si="194"/>
        <v>70.659803338986507</v>
      </c>
      <c r="BE52" s="134">
        <f t="shared" si="194"/>
        <v>58.443566026079843</v>
      </c>
      <c r="BF52" s="134">
        <f t="shared" si="194"/>
        <v>63.365387598361657</v>
      </c>
      <c r="BG52" s="135">
        <f t="shared" ref="BG52" si="195">(BG28/BG57)*91</f>
        <v>54.630016492578342</v>
      </c>
      <c r="BH52" s="526">
        <f t="shared" si="179"/>
        <v>54.630016492578342</v>
      </c>
      <c r="BI52" s="324">
        <f t="shared" si="180"/>
        <v>54.630016492578342</v>
      </c>
      <c r="BJ52" s="324">
        <f t="shared" si="181"/>
        <v>54.630016492578342</v>
      </c>
      <c r="BK52" s="317">
        <f t="shared" si="182"/>
        <v>54.630016492578342</v>
      </c>
      <c r="BL52" s="526">
        <f t="shared" si="183"/>
        <v>54.630016492578342</v>
      </c>
      <c r="BM52" s="324">
        <f t="shared" si="184"/>
        <v>54.630016492578342</v>
      </c>
      <c r="BN52" s="324">
        <f t="shared" si="185"/>
        <v>54.630016492578342</v>
      </c>
      <c r="BO52" s="317">
        <f t="shared" si="186"/>
        <v>54.630016492578342</v>
      </c>
      <c r="BP52" s="257"/>
      <c r="BQ52" s="134">
        <f>(BQ28/BQ57)*365</f>
        <v>81.392608941534021</v>
      </c>
      <c r="BR52" s="134">
        <f t="shared" ref="BR52:BZ52" si="196">(BR28/BR57)*365</f>
        <v>91.620478420517728</v>
      </c>
      <c r="BS52" s="134">
        <f t="shared" si="196"/>
        <v>79.783797368031202</v>
      </c>
      <c r="BT52" s="134">
        <f t="shared" si="196"/>
        <v>56.325611097906524</v>
      </c>
      <c r="BU52" s="134">
        <f t="shared" si="196"/>
        <v>35.570143219236456</v>
      </c>
      <c r="BV52" s="134">
        <f t="shared" si="196"/>
        <v>84.286094975454247</v>
      </c>
      <c r="BW52" s="134">
        <f t="shared" si="196"/>
        <v>82.253915429173389</v>
      </c>
      <c r="BX52" s="134">
        <f t="shared" si="196"/>
        <v>75.872080529129036</v>
      </c>
      <c r="BY52" s="134">
        <f t="shared" si="196"/>
        <v>70.031262198718849</v>
      </c>
      <c r="BZ52" s="134">
        <f t="shared" si="196"/>
        <v>69.411494052520538</v>
      </c>
      <c r="CA52" s="134">
        <f t="shared" ref="CA52:CF52" si="197">(CA28/CA57)*365</f>
        <v>56.005748747359931</v>
      </c>
      <c r="CB52" s="134">
        <f t="shared" si="197"/>
        <v>44.045088898641623</v>
      </c>
      <c r="CC52" s="134">
        <f t="shared" si="197"/>
        <v>48.638011672009846</v>
      </c>
      <c r="CD52" s="134">
        <f t="shared" si="197"/>
        <v>55.767094019341855</v>
      </c>
      <c r="CE52" s="134">
        <f t="shared" si="197"/>
        <v>54.909073303818339</v>
      </c>
      <c r="CF52" s="134">
        <f t="shared" si="197"/>
        <v>55.540663089740185</v>
      </c>
      <c r="CG52" s="134">
        <v>55</v>
      </c>
      <c r="CH52" s="336"/>
    </row>
    <row r="53" spans="2:86" ht="14.25">
      <c r="B53" s="16" t="s">
        <v>274</v>
      </c>
      <c r="C53" s="17"/>
      <c r="D53" s="136">
        <f t="shared" ref="D53:AC53" si="198">D16/D58</f>
        <v>5.7651209211745163E-3</v>
      </c>
      <c r="E53" s="136">
        <f t="shared" si="198"/>
        <v>5.3811312737211117E-3</v>
      </c>
      <c r="F53" s="136">
        <f t="shared" si="198"/>
        <v>5.61638230013152E-3</v>
      </c>
      <c r="G53" s="137">
        <f t="shared" si="198"/>
        <v>6.1051591900908074E-3</v>
      </c>
      <c r="H53" s="136">
        <f t="shared" si="198"/>
        <v>2.0020583572945845E-2</v>
      </c>
      <c r="I53" s="136">
        <f t="shared" si="198"/>
        <v>2.7010171543684406E-2</v>
      </c>
      <c r="J53" s="136">
        <f t="shared" si="198"/>
        <v>3.4545113198046436E-2</v>
      </c>
      <c r="K53" s="137">
        <f t="shared" si="198"/>
        <v>3.5327576081279809E-2</v>
      </c>
      <c r="L53" s="136">
        <f t="shared" si="198"/>
        <v>4.1065205870735304E-2</v>
      </c>
      <c r="M53" s="136">
        <f t="shared" si="198"/>
        <v>3.454544105056865E-2</v>
      </c>
      <c r="N53" s="136">
        <f t="shared" si="198"/>
        <v>3.8569759272132263E-2</v>
      </c>
      <c r="O53" s="137">
        <f t="shared" si="198"/>
        <v>5.3281172240284697E-2</v>
      </c>
      <c r="P53" s="136">
        <f t="shared" si="198"/>
        <v>5.4943999491015687E-2</v>
      </c>
      <c r="Q53" s="136">
        <f t="shared" si="198"/>
        <v>4.6725912392541674E-2</v>
      </c>
      <c r="R53" s="136">
        <f t="shared" si="198"/>
        <v>3.3522400075954015E-2</v>
      </c>
      <c r="S53" s="137">
        <f t="shared" si="198"/>
        <v>3.2230482569300306E-2</v>
      </c>
      <c r="T53" s="136">
        <f t="shared" si="198"/>
        <v>2.5063460682447962E-2</v>
      </c>
      <c r="U53" s="136">
        <f t="shared" si="198"/>
        <v>2.3898960618580656E-2</v>
      </c>
      <c r="V53" s="136">
        <f t="shared" si="198"/>
        <v>1.9961993535085931E-2</v>
      </c>
      <c r="W53" s="137">
        <f t="shared" si="198"/>
        <v>2.05424565784612E-2</v>
      </c>
      <c r="X53" s="136">
        <f t="shared" si="198"/>
        <v>1.8091436742847345E-2</v>
      </c>
      <c r="Y53" s="136">
        <f t="shared" si="198"/>
        <v>1.9136208249946631E-2</v>
      </c>
      <c r="Z53" s="136">
        <f t="shared" si="198"/>
        <v>1.6903518882439905E-2</v>
      </c>
      <c r="AA53" s="137">
        <f t="shared" si="198"/>
        <v>1.6934376076561244E-2</v>
      </c>
      <c r="AB53" s="136">
        <f t="shared" si="198"/>
        <v>1.4483021864658604E-2</v>
      </c>
      <c r="AC53" s="136">
        <f t="shared" si="198"/>
        <v>1.5301302978263319E-2</v>
      </c>
      <c r="AD53" s="136">
        <f t="shared" ref="AD53:AI53" si="199">AD16/AD58</f>
        <v>1.6975670737339021E-2</v>
      </c>
      <c r="AE53" s="137">
        <f t="shared" si="199"/>
        <v>1.7862274223568883E-2</v>
      </c>
      <c r="AF53" s="136">
        <f t="shared" si="199"/>
        <v>1.7233253725336069E-2</v>
      </c>
      <c r="AG53" s="136">
        <f t="shared" si="199"/>
        <v>1.2783915745084156E-2</v>
      </c>
      <c r="AH53" s="136">
        <f t="shared" si="199"/>
        <v>1.2916902813701068E-2</v>
      </c>
      <c r="AI53" s="137">
        <f t="shared" si="199"/>
        <v>1.5091984863215417E-2</v>
      </c>
      <c r="AJ53" s="136">
        <f t="shared" ref="AJ53:AO53" si="200">AJ16/AJ58</f>
        <v>1.2605379823023892E-2</v>
      </c>
      <c r="AK53" s="136">
        <f t="shared" si="200"/>
        <v>1.090582589223682E-2</v>
      </c>
      <c r="AL53" s="136">
        <f t="shared" si="200"/>
        <v>1.1547218596578715E-2</v>
      </c>
      <c r="AM53" s="137">
        <f t="shared" si="200"/>
        <v>1.8209098564562636E-2</v>
      </c>
      <c r="AN53" s="136">
        <f t="shared" si="200"/>
        <v>1.6603987412905988E-2</v>
      </c>
      <c r="AO53" s="136">
        <f t="shared" si="200"/>
        <v>1.3278877321260235E-2</v>
      </c>
      <c r="AP53" s="136">
        <f t="shared" ref="AP53:AU53" si="201">AP16/AP58</f>
        <v>1.3451517443542456E-2</v>
      </c>
      <c r="AQ53" s="137">
        <f t="shared" si="201"/>
        <v>1.3406546119488503E-2</v>
      </c>
      <c r="AR53" s="136">
        <f t="shared" si="201"/>
        <v>1.3213530164759525E-2</v>
      </c>
      <c r="AS53" s="136">
        <f t="shared" si="201"/>
        <v>1.8376589343404807E-2</v>
      </c>
      <c r="AT53" s="136">
        <f t="shared" si="201"/>
        <v>1.4533136178559062E-2</v>
      </c>
      <c r="AU53" s="137">
        <f t="shared" si="201"/>
        <v>1.5188059786658359E-2</v>
      </c>
      <c r="AV53" s="136">
        <f>AV16/AV58</f>
        <v>1.4662147666805599E-2</v>
      </c>
      <c r="AW53" s="136">
        <f t="shared" ref="AW53:AY53" si="202">AW16/AW58</f>
        <v>1.5053001170665145E-2</v>
      </c>
      <c r="AX53" s="136">
        <f t="shared" si="202"/>
        <v>1.2133294744480744E-2</v>
      </c>
      <c r="AY53" s="137">
        <f t="shared" si="202"/>
        <v>2.5834202156158385E-2</v>
      </c>
      <c r="AZ53" s="136">
        <f>AZ16/AZ58</f>
        <v>1.5450710856004373E-2</v>
      </c>
      <c r="BA53" s="136">
        <f t="shared" ref="BA53:BC53" si="203">BA16/BA58</f>
        <v>1.4332492939542842E-2</v>
      </c>
      <c r="BB53" s="136">
        <f t="shared" si="203"/>
        <v>1.3068252589290924E-2</v>
      </c>
      <c r="BC53" s="137">
        <f t="shared" si="203"/>
        <v>2.8219303344630908E-2</v>
      </c>
      <c r="BD53" s="136">
        <f>BD16/BD58</f>
        <v>2.2297418488828408E-2</v>
      </c>
      <c r="BE53" s="136">
        <f t="shared" ref="BE53:BG53" si="204">BE16/BE58</f>
        <v>2.3258023093035252E-2</v>
      </c>
      <c r="BF53" s="136">
        <f t="shared" si="204"/>
        <v>2.3107548645783463E-2</v>
      </c>
      <c r="BG53" s="137">
        <f t="shared" si="204"/>
        <v>1.9719593058388819E-2</v>
      </c>
      <c r="BH53" s="525">
        <v>1.7000000000000001E-2</v>
      </c>
      <c r="BI53" s="535">
        <v>1.7000000000000001E-2</v>
      </c>
      <c r="BJ53" s="535">
        <v>1.7000000000000001E-2</v>
      </c>
      <c r="BK53" s="534">
        <v>1.7000000000000001E-2</v>
      </c>
      <c r="BL53" s="525">
        <v>1.7000000000000001E-2</v>
      </c>
      <c r="BM53" s="535">
        <v>1.7000000000000001E-2</v>
      </c>
      <c r="BN53" s="535">
        <v>1.7000000000000001E-2</v>
      </c>
      <c r="BO53" s="534">
        <v>1.7000000000000001E-2</v>
      </c>
      <c r="BP53" s="257"/>
      <c r="BQ53" s="136">
        <f t="shared" ref="BQ53:BZ53" si="205">BQ16/BQ58</f>
        <v>6.1051591900908074E-3</v>
      </c>
      <c r="BR53" s="136">
        <f t="shared" si="205"/>
        <v>3.5327576081279809E-2</v>
      </c>
      <c r="BS53" s="136">
        <f t="shared" si="205"/>
        <v>5.3281172240284697E-2</v>
      </c>
      <c r="BT53" s="136">
        <f t="shared" si="205"/>
        <v>3.2230482569300306E-2</v>
      </c>
      <c r="BU53" s="136">
        <f t="shared" si="205"/>
        <v>2.05424565784612E-2</v>
      </c>
      <c r="BV53" s="136">
        <f t="shared" si="205"/>
        <v>1.6934376076561244E-2</v>
      </c>
      <c r="BW53" s="136">
        <f t="shared" si="205"/>
        <v>1.7862274223568883E-2</v>
      </c>
      <c r="BX53" s="136">
        <f t="shared" si="205"/>
        <v>1.5091984863215417E-2</v>
      </c>
      <c r="BY53" s="136">
        <f t="shared" si="205"/>
        <v>1.8209098564562636E-2</v>
      </c>
      <c r="BZ53" s="136">
        <f t="shared" si="205"/>
        <v>1.3406546119488503E-2</v>
      </c>
      <c r="CA53" s="136">
        <f t="shared" ref="CA53:CF53" si="206">CA16/CA58</f>
        <v>1.5188059786658359E-2</v>
      </c>
      <c r="CB53" s="136">
        <f t="shared" si="206"/>
        <v>2.5834202156158385E-2</v>
      </c>
      <c r="CC53" s="136">
        <f t="shared" si="206"/>
        <v>2.8219303344630908E-2</v>
      </c>
      <c r="CD53" s="136">
        <f t="shared" si="206"/>
        <v>1.9719593058388819E-2</v>
      </c>
      <c r="CE53" s="136">
        <f t="shared" si="206"/>
        <v>1.7058628132511768E-2</v>
      </c>
      <c r="CF53" s="136">
        <f t="shared" si="206"/>
        <v>1.706618095893488E-2</v>
      </c>
      <c r="CG53" s="136">
        <v>1.7000000000000001E-2</v>
      </c>
      <c r="CH53" s="336"/>
    </row>
    <row r="54" spans="2:86" ht="14.25">
      <c r="B54" s="16" t="s">
        <v>273</v>
      </c>
      <c r="C54" s="17"/>
      <c r="D54" s="136">
        <f t="shared" ref="D54:AC54" si="207">D24/D58</f>
        <v>1.8005305117176955E-2</v>
      </c>
      <c r="E54" s="136">
        <f t="shared" si="207"/>
        <v>2.4090509623649163E-2</v>
      </c>
      <c r="F54" s="136">
        <f t="shared" si="207"/>
        <v>2.4204078999476828E-2</v>
      </c>
      <c r="G54" s="137">
        <f t="shared" si="207"/>
        <v>1.9657935316112516E-2</v>
      </c>
      <c r="H54" s="136">
        <f t="shared" si="207"/>
        <v>2.078452995033768E-2</v>
      </c>
      <c r="I54" s="136">
        <f t="shared" si="207"/>
        <v>1.9645252223417588E-2</v>
      </c>
      <c r="J54" s="136">
        <f t="shared" si="207"/>
        <v>2.7104598220879454E-2</v>
      </c>
      <c r="K54" s="137">
        <f t="shared" si="207"/>
        <v>2.9666059962757819E-2</v>
      </c>
      <c r="L54" s="136">
        <f t="shared" si="207"/>
        <v>3.508011745968824E-2</v>
      </c>
      <c r="M54" s="136">
        <f t="shared" si="207"/>
        <v>3.9702893071775457E-2</v>
      </c>
      <c r="N54" s="136">
        <f t="shared" si="207"/>
        <v>5.6583814931948771E-2</v>
      </c>
      <c r="O54" s="137">
        <f t="shared" si="207"/>
        <v>5.6487006131360894E-2</v>
      </c>
      <c r="P54" s="136">
        <f t="shared" si="207"/>
        <v>5.3036837739228737E-2</v>
      </c>
      <c r="Q54" s="136">
        <f t="shared" si="207"/>
        <v>4.685347640655195E-2</v>
      </c>
      <c r="R54" s="136">
        <f t="shared" si="207"/>
        <v>4.6445822277656298E-2</v>
      </c>
      <c r="S54" s="137">
        <f t="shared" si="207"/>
        <v>4.7856367842197385E-2</v>
      </c>
      <c r="T54" s="136">
        <f t="shared" si="207"/>
        <v>4.4645658191155395E-2</v>
      </c>
      <c r="U54" s="136">
        <f t="shared" si="207"/>
        <v>4.0332974282775734E-2</v>
      </c>
      <c r="V54" s="136">
        <f t="shared" si="207"/>
        <v>3.8647827918334564E-2</v>
      </c>
      <c r="W54" s="137">
        <f t="shared" si="207"/>
        <v>4.6379454056421007E-2</v>
      </c>
      <c r="X54" s="136">
        <f t="shared" si="207"/>
        <v>4.6993069559005986E-2</v>
      </c>
      <c r="Y54" s="136">
        <f t="shared" si="207"/>
        <v>4.4836902572546848E-2</v>
      </c>
      <c r="Z54" s="136">
        <f t="shared" si="207"/>
        <v>3.6937254732872425E-2</v>
      </c>
      <c r="AA54" s="137">
        <f t="shared" si="207"/>
        <v>4.1127077018410153E-2</v>
      </c>
      <c r="AB54" s="136">
        <f t="shared" si="207"/>
        <v>4.0867731040038095E-2</v>
      </c>
      <c r="AC54" s="136">
        <f t="shared" si="207"/>
        <v>3.6808753889736819E-2</v>
      </c>
      <c r="AD54" s="136">
        <f t="shared" ref="AD54:AI54" si="208">AD24/AD58</f>
        <v>3.9016190007902449E-2</v>
      </c>
      <c r="AE54" s="137">
        <f t="shared" si="208"/>
        <v>2.5584148026967863E-2</v>
      </c>
      <c r="AF54" s="136">
        <f t="shared" si="208"/>
        <v>2.3465940705945487E-2</v>
      </c>
      <c r="AG54" s="136">
        <f t="shared" si="208"/>
        <v>2.5704351715288242E-2</v>
      </c>
      <c r="AH54" s="136">
        <f t="shared" si="208"/>
        <v>2.3205695730482541E-2</v>
      </c>
      <c r="AI54" s="137">
        <f t="shared" si="208"/>
        <v>2.2961660570578558E-2</v>
      </c>
      <c r="AJ54" s="136">
        <f t="shared" ref="AJ54:AO54" si="209">AJ24/AJ58</f>
        <v>2.4572615167771969E-2</v>
      </c>
      <c r="AK54" s="136">
        <f t="shared" si="209"/>
        <v>2.4761956835351605E-2</v>
      </c>
      <c r="AL54" s="136">
        <f t="shared" si="209"/>
        <v>2.6513460922464271E-2</v>
      </c>
      <c r="AM54" s="137">
        <f t="shared" si="209"/>
        <v>3.5538160598773558E-2</v>
      </c>
      <c r="AN54" s="136">
        <f t="shared" si="209"/>
        <v>3.5666713847959379E-2</v>
      </c>
      <c r="AO54" s="136">
        <f t="shared" si="209"/>
        <v>3.7104339449109389E-2</v>
      </c>
      <c r="AP54" s="136">
        <f t="shared" ref="AP54:AU54" si="210">AP24/AP58</f>
        <v>3.7732240722861049E-2</v>
      </c>
      <c r="AQ54" s="137">
        <f t="shared" si="210"/>
        <v>3.7750284011060078E-2</v>
      </c>
      <c r="AR54" s="136">
        <f t="shared" si="210"/>
        <v>3.7457287747605747E-2</v>
      </c>
      <c r="AS54" s="136">
        <f t="shared" si="210"/>
        <v>3.486651613236727E-2</v>
      </c>
      <c r="AT54" s="136">
        <f t="shared" si="210"/>
        <v>3.2533902426331647E-2</v>
      </c>
      <c r="AU54" s="137">
        <f t="shared" si="210"/>
        <v>2.8717558480382686E-2</v>
      </c>
      <c r="AV54" s="136">
        <f>AV24/AV58</f>
        <v>1.9830049053856821E-2</v>
      </c>
      <c r="AW54" s="136">
        <f t="shared" ref="AW54:AY54" si="211">AW24/AW58</f>
        <v>2.4138166896159576E-2</v>
      </c>
      <c r="AX54" s="136">
        <f t="shared" si="211"/>
        <v>2.2486151840260087E-2</v>
      </c>
      <c r="AY54" s="137">
        <f t="shared" si="211"/>
        <v>4.1489386087566769E-2</v>
      </c>
      <c r="AZ54" s="136">
        <f>AZ24/AZ58</f>
        <v>4.103893111874677E-2</v>
      </c>
      <c r="BA54" s="136">
        <f t="shared" ref="BA54:BC54" si="212">BA24/BA58</f>
        <v>3.7242017739170047E-2</v>
      </c>
      <c r="BB54" s="136">
        <f t="shared" si="212"/>
        <v>4.7055274469830634E-2</v>
      </c>
      <c r="BC54" s="137">
        <f t="shared" si="212"/>
        <v>3.05679223474861E-2</v>
      </c>
      <c r="BD54" s="136">
        <f>BD24/BD58</f>
        <v>3.2269286466735485E-2</v>
      </c>
      <c r="BE54" s="136">
        <f t="shared" ref="BE54:BG54" si="213">BE24/BE58</f>
        <v>3.905159619817488E-2</v>
      </c>
      <c r="BF54" s="136">
        <f t="shared" si="213"/>
        <v>3.5250559982217364E-2</v>
      </c>
      <c r="BG54" s="137">
        <f t="shared" si="213"/>
        <v>4.0613371079021944E-2</v>
      </c>
      <c r="BH54" s="525">
        <v>3.7999999999999999E-2</v>
      </c>
      <c r="BI54" s="535">
        <v>3.7999999999999999E-2</v>
      </c>
      <c r="BJ54" s="535">
        <v>3.7999999999999999E-2</v>
      </c>
      <c r="BK54" s="534">
        <v>3.7999999999999999E-2</v>
      </c>
      <c r="BL54" s="525">
        <v>3.7999999999999999E-2</v>
      </c>
      <c r="BM54" s="535">
        <v>3.7999999999999999E-2</v>
      </c>
      <c r="BN54" s="535">
        <v>3.7999999999999999E-2</v>
      </c>
      <c r="BO54" s="534">
        <v>3.7999999999999999E-2</v>
      </c>
      <c r="BP54" s="257"/>
      <c r="BQ54" s="136">
        <f>BQ24/BQ58</f>
        <v>1.9657935316112516E-2</v>
      </c>
      <c r="BR54" s="136">
        <f t="shared" ref="BR54:BZ54" si="214">BR24/BR58</f>
        <v>2.9666059962757819E-2</v>
      </c>
      <c r="BS54" s="136">
        <f t="shared" si="214"/>
        <v>5.6487006131360894E-2</v>
      </c>
      <c r="BT54" s="136">
        <f t="shared" si="214"/>
        <v>4.7856367842197385E-2</v>
      </c>
      <c r="BU54" s="136">
        <f t="shared" si="214"/>
        <v>4.6379454056421007E-2</v>
      </c>
      <c r="BV54" s="136">
        <f t="shared" si="214"/>
        <v>4.1127077018410153E-2</v>
      </c>
      <c r="BW54" s="136">
        <f t="shared" si="214"/>
        <v>2.5584148026967863E-2</v>
      </c>
      <c r="BX54" s="136">
        <f t="shared" si="214"/>
        <v>2.2961660570578558E-2</v>
      </c>
      <c r="BY54" s="136">
        <f t="shared" si="214"/>
        <v>3.5538160598773558E-2</v>
      </c>
      <c r="BZ54" s="136">
        <f t="shared" si="214"/>
        <v>3.7750284011060078E-2</v>
      </c>
      <c r="CA54" s="136">
        <f t="shared" ref="CA54:CF54" si="215">CA24/CA58</f>
        <v>2.8717558480382686E-2</v>
      </c>
      <c r="CB54" s="136">
        <f t="shared" si="215"/>
        <v>4.1489386087566769E-2</v>
      </c>
      <c r="CC54" s="136">
        <f t="shared" si="215"/>
        <v>3.05679223474861E-2</v>
      </c>
      <c r="CD54" s="136">
        <f t="shared" si="215"/>
        <v>4.0613371079021944E-2</v>
      </c>
      <c r="CE54" s="136">
        <f t="shared" si="215"/>
        <v>3.7999999999999999E-2</v>
      </c>
      <c r="CF54" s="136">
        <f t="shared" si="215"/>
        <v>3.7999999999999999E-2</v>
      </c>
      <c r="CG54" s="136">
        <v>0.04</v>
      </c>
      <c r="CH54" s="336"/>
    </row>
    <row r="55" spans="2:86" ht="14.25">
      <c r="B55" s="16"/>
      <c r="C55" s="17"/>
      <c r="D55" s="126"/>
      <c r="E55" s="126"/>
      <c r="F55" s="126"/>
      <c r="G55" s="108"/>
      <c r="H55" s="126"/>
      <c r="I55" s="126"/>
      <c r="J55" s="126"/>
      <c r="K55" s="108"/>
      <c r="L55" s="126"/>
      <c r="M55" s="126"/>
      <c r="N55" s="126"/>
      <c r="O55" s="108"/>
      <c r="P55" s="126"/>
      <c r="Q55" s="126"/>
      <c r="R55" s="126"/>
      <c r="S55" s="108"/>
      <c r="T55" s="126"/>
      <c r="U55" s="126"/>
      <c r="V55" s="126"/>
      <c r="W55" s="108"/>
      <c r="X55" s="126"/>
      <c r="Y55" s="126"/>
      <c r="Z55" s="126"/>
      <c r="AA55" s="108"/>
      <c r="AB55" s="126"/>
      <c r="AC55" s="126"/>
      <c r="AD55" s="126"/>
      <c r="AE55" s="108"/>
      <c r="AF55" s="126"/>
      <c r="AG55" s="126"/>
      <c r="AH55" s="126"/>
      <c r="AI55" s="108"/>
      <c r="AJ55" s="126"/>
      <c r="AK55" s="126"/>
      <c r="AL55" s="126"/>
      <c r="AM55" s="108"/>
      <c r="AN55" s="126"/>
      <c r="AO55" s="126"/>
      <c r="AP55" s="126"/>
      <c r="AQ55" s="108"/>
      <c r="AR55" s="126"/>
      <c r="AS55" s="126"/>
      <c r="AT55" s="126"/>
      <c r="AU55" s="108"/>
      <c r="AV55" s="126"/>
      <c r="AW55" s="126"/>
      <c r="AX55" s="126"/>
      <c r="AY55" s="108"/>
      <c r="AZ55" s="126"/>
      <c r="BA55" s="126"/>
      <c r="BB55" s="126"/>
      <c r="BC55" s="108"/>
      <c r="BD55" s="126"/>
      <c r="BE55" s="126"/>
      <c r="BF55" s="126"/>
      <c r="BG55" s="108"/>
      <c r="BH55" s="483"/>
      <c r="BI55" s="126"/>
      <c r="BJ55" s="126"/>
      <c r="BK55" s="108"/>
      <c r="BL55" s="483"/>
      <c r="BM55" s="126"/>
      <c r="BN55" s="126"/>
      <c r="BO55" s="108"/>
      <c r="BP55" s="257"/>
      <c r="BQ55" s="126"/>
      <c r="BR55" s="126"/>
      <c r="BS55" s="126"/>
      <c r="BT55" s="126"/>
      <c r="BU55" s="126"/>
      <c r="BV55" s="126"/>
      <c r="BW55" s="126"/>
      <c r="BX55" s="126"/>
      <c r="BY55" s="126"/>
      <c r="BZ55" s="126"/>
      <c r="CA55" s="126"/>
      <c r="CB55" s="126"/>
      <c r="CC55" s="126"/>
      <c r="CD55" s="126"/>
      <c r="CE55" s="126"/>
      <c r="CF55" s="126"/>
      <c r="CG55" s="126"/>
      <c r="CH55" s="336"/>
    </row>
    <row r="56" spans="2:86" ht="14.25">
      <c r="B56" s="16" t="s">
        <v>127</v>
      </c>
      <c r="C56" s="17"/>
      <c r="D56" s="138">
        <f>IS!D10</f>
        <v>269.577</v>
      </c>
      <c r="E56" s="138">
        <f>IS!E10</f>
        <v>297.154</v>
      </c>
      <c r="F56" s="138">
        <f>IS!F10</f>
        <v>317.58300000000003</v>
      </c>
      <c r="G56" s="139">
        <f>IS!G10</f>
        <v>340.26599999999985</v>
      </c>
      <c r="H56" s="138">
        <f>IS!H10</f>
        <v>364.77</v>
      </c>
      <c r="I56" s="138">
        <f>IS!I10</f>
        <v>390.45400000000001</v>
      </c>
      <c r="J56" s="138">
        <f>IS!J10</f>
        <v>426.02600000000001</v>
      </c>
      <c r="K56" s="139">
        <f>IS!K10</f>
        <v>489.01600000000008</v>
      </c>
      <c r="L56" s="138">
        <f>IS!L10</f>
        <v>521.19600000000003</v>
      </c>
      <c r="M56" s="138">
        <f>IS!M10</f>
        <v>573.98500000000001</v>
      </c>
      <c r="N56" s="138">
        <f>IS!N10</f>
        <v>520.39800000000002</v>
      </c>
      <c r="O56" s="139">
        <f>IS!O10</f>
        <v>621.97399999999959</v>
      </c>
      <c r="P56" s="138">
        <f>IS!P10</f>
        <v>635.04999999999995</v>
      </c>
      <c r="Q56" s="138">
        <f>IS!Q10</f>
        <v>656.71100000000001</v>
      </c>
      <c r="R56" s="138">
        <f>IS!R10</f>
        <v>758.24599999999998</v>
      </c>
      <c r="S56" s="139">
        <f>IS!S10</f>
        <v>844.68600000000015</v>
      </c>
      <c r="T56" s="138">
        <f>IS!T10</f>
        <v>804.07500000000005</v>
      </c>
      <c r="U56" s="138">
        <f>IS!U10</f>
        <v>842.57500000000005</v>
      </c>
      <c r="V56" s="138">
        <f>IS!V10</f>
        <v>791.04600000000005</v>
      </c>
      <c r="W56" s="139">
        <f>IS!W10</f>
        <v>512.86699999999973</v>
      </c>
      <c r="X56" s="138">
        <f>IS!X10</f>
        <v>521.43399999999997</v>
      </c>
      <c r="Y56" s="138">
        <f>IS!Y10</f>
        <v>640.62</v>
      </c>
      <c r="Z56" s="138">
        <f>IS!Z10</f>
        <v>803.09799999999996</v>
      </c>
      <c r="AA56" s="139">
        <f>IS!AA10</f>
        <v>842.53499999999997</v>
      </c>
      <c r="AB56" s="138">
        <f>IS!AB10</f>
        <v>855.57899999999995</v>
      </c>
      <c r="AC56" s="138">
        <f>IS!AC10</f>
        <v>896.47400000000005</v>
      </c>
      <c r="AD56" s="138">
        <f>IS!AD10</f>
        <v>959.327</v>
      </c>
      <c r="AE56" s="139">
        <f>IS!AE10</f>
        <v>900.51300000000003</v>
      </c>
      <c r="AF56" s="138">
        <f>IS!AF10</f>
        <v>802.40200000000004</v>
      </c>
      <c r="AG56" s="138">
        <f>IS!AG10</f>
        <v>897.52</v>
      </c>
      <c r="AH56" s="138">
        <f>IS!AH10</f>
        <v>950.41700000000003</v>
      </c>
      <c r="AI56" s="139">
        <f>IS!AI10</f>
        <v>742.70100000000002</v>
      </c>
      <c r="AJ56" s="138">
        <f>IS!AJ10</f>
        <v>796.351</v>
      </c>
      <c r="AK56" s="138">
        <f>IS!AK10</f>
        <v>816.10400000000004</v>
      </c>
      <c r="AL56" s="138">
        <f>IS!AL10</f>
        <v>780.88099999999997</v>
      </c>
      <c r="AM56" s="139">
        <f>IS!AM10</f>
        <v>775.29399999999998</v>
      </c>
      <c r="AN56" s="138">
        <f>IS!AN10</f>
        <v>734.36900000000003</v>
      </c>
      <c r="AO56" s="138">
        <f>IS!AO10</f>
        <v>807.05600000000004</v>
      </c>
      <c r="AP56" s="138">
        <f>IS!AP10</f>
        <v>931.226</v>
      </c>
      <c r="AQ56" s="139">
        <f>IS!AQ10</f>
        <v>931.74900000000002</v>
      </c>
      <c r="AR56" s="138">
        <f>IS!AR10</f>
        <v>957.83</v>
      </c>
      <c r="AS56" s="138">
        <f>IS!AS10</f>
        <v>961.54499999999996</v>
      </c>
      <c r="AT56" s="138">
        <f>IS!AT10</f>
        <v>930.13599999999997</v>
      </c>
      <c r="AU56" s="139">
        <f>IS!AU10</f>
        <v>857.452</v>
      </c>
      <c r="AV56" s="138">
        <f>IS!AV10</f>
        <v>724.28800000000001</v>
      </c>
      <c r="AW56" s="138">
        <f>IS!AW10</f>
        <v>710.49199999999996</v>
      </c>
      <c r="AX56" s="138">
        <f>IS!AX10</f>
        <v>674.89</v>
      </c>
      <c r="AY56" s="139">
        <f>IS!AY10</f>
        <v>616.15800000000002</v>
      </c>
      <c r="AZ56" s="138">
        <f>IS!AZ10</f>
        <v>540.822</v>
      </c>
      <c r="BA56" s="138">
        <f>IS!BA10</f>
        <v>626.404</v>
      </c>
      <c r="BB56" s="138">
        <f>IS!BB10</f>
        <v>654.42200000000003</v>
      </c>
      <c r="BC56" s="139">
        <f>IS!BC10</f>
        <v>571.4</v>
      </c>
      <c r="BD56" s="138">
        <f>IS!BD10</f>
        <v>579.17999999999995</v>
      </c>
      <c r="BE56" s="138">
        <f>IS!BE10</f>
        <v>604.75</v>
      </c>
      <c r="BF56" s="138">
        <f>IS!BF10</f>
        <v>616.30200000000002</v>
      </c>
      <c r="BG56" s="139">
        <f>IS!BG10</f>
        <v>615.40899999999999</v>
      </c>
      <c r="BH56" s="529">
        <f>IS!BH10</f>
        <v>600.68138999999996</v>
      </c>
      <c r="BI56" s="138">
        <f>IS!BI10</f>
        <v>619.66605270000002</v>
      </c>
      <c r="BJ56" s="138">
        <f>IS!BJ10</f>
        <v>637.97721058349998</v>
      </c>
      <c r="BK56" s="139">
        <f>IS!BK10</f>
        <v>632.02231666349996</v>
      </c>
      <c r="BL56" s="529">
        <f>IS!BL10</f>
        <v>597.48641668489495</v>
      </c>
      <c r="BM56" s="138">
        <f>IS!BM10</f>
        <v>635.57319957303957</v>
      </c>
      <c r="BN56" s="138">
        <f>IS!BN10</f>
        <v>656.9704723593793</v>
      </c>
      <c r="BO56" s="139">
        <f>IS!BO10</f>
        <v>649.33726648683034</v>
      </c>
      <c r="BP56" s="257"/>
      <c r="BQ56" s="138">
        <f>IS!BQ10</f>
        <v>1224.58</v>
      </c>
      <c r="BR56" s="138">
        <f>IS!BR10</f>
        <v>1670.2660000000001</v>
      </c>
      <c r="BS56" s="138">
        <f>IS!BS10</f>
        <v>2237.5529999999999</v>
      </c>
      <c r="BT56" s="138">
        <f>IS!BT10</f>
        <v>2894.6930000000002</v>
      </c>
      <c r="BU56" s="138">
        <f>IS!BU10</f>
        <v>2950.5629999999996</v>
      </c>
      <c r="BV56" s="138">
        <f>IS!BV10</f>
        <v>2807.6869999999999</v>
      </c>
      <c r="BW56" s="138">
        <f>IS!BW10</f>
        <v>3611.893</v>
      </c>
      <c r="BX56" s="138">
        <f>IS!BX10</f>
        <v>3393.04</v>
      </c>
      <c r="BY56" s="138">
        <f>IS!BY10</f>
        <v>3168.6299999999997</v>
      </c>
      <c r="BZ56" s="138">
        <f>IS!BZ10</f>
        <v>3404.4000000000005</v>
      </c>
      <c r="CA56" s="138">
        <f>IS!CA10</f>
        <v>3706.9629999999997</v>
      </c>
      <c r="CB56" s="138">
        <f>IS!CB10</f>
        <v>2725.828</v>
      </c>
      <c r="CC56" s="138">
        <f>IS!CC10</f>
        <v>2393.0480000000002</v>
      </c>
      <c r="CD56" s="138">
        <f>IS!CD10</f>
        <v>2415.6410000000001</v>
      </c>
      <c r="CE56" s="138">
        <f>IS!CE10</f>
        <v>2490.3469699470002</v>
      </c>
      <c r="CF56" s="138">
        <f>IS!CF10</f>
        <v>2539.3673551041443</v>
      </c>
      <c r="CG56" s="138">
        <f>IS!CG10</f>
        <v>2539.3673551041443</v>
      </c>
      <c r="CH56" s="336"/>
    </row>
    <row r="57" spans="2:86" ht="14.25">
      <c r="B57" s="16" t="s">
        <v>276</v>
      </c>
      <c r="C57" s="17"/>
      <c r="D57" s="138">
        <f>IS!D16</f>
        <v>127.836</v>
      </c>
      <c r="E57" s="138">
        <f>IS!E16</f>
        <v>140.905</v>
      </c>
      <c r="F57" s="138">
        <f>IS!F16</f>
        <v>150.26</v>
      </c>
      <c r="G57" s="139">
        <f>IS!G16</f>
        <v>162.75599999999997</v>
      </c>
      <c r="H57" s="138">
        <f>IS!H16</f>
        <v>175.785</v>
      </c>
      <c r="I57" s="138">
        <f>IS!I16</f>
        <v>185.45099999999999</v>
      </c>
      <c r="J57" s="138">
        <f>IS!J16</f>
        <v>197.58</v>
      </c>
      <c r="K57" s="139">
        <f>IS!K16</f>
        <v>224.42799999999997</v>
      </c>
      <c r="L57" s="138">
        <f>IS!L16</f>
        <v>240.233</v>
      </c>
      <c r="M57" s="138">
        <f>IS!M16</f>
        <v>279.07499999999999</v>
      </c>
      <c r="N57" s="138">
        <f>IS!N16</f>
        <v>256.08999999999997</v>
      </c>
      <c r="O57" s="139">
        <f>IS!O16</f>
        <v>324.84300000000002</v>
      </c>
      <c r="P57" s="138">
        <f>IS!P16</f>
        <v>327.41699999999997</v>
      </c>
      <c r="Q57" s="138">
        <f>IS!Q16</f>
        <v>335.53</v>
      </c>
      <c r="R57" s="138">
        <f>IS!R16</f>
        <v>396.209</v>
      </c>
      <c r="S57" s="139">
        <f>IS!S16</f>
        <v>438.64</v>
      </c>
      <c r="T57" s="138">
        <f>IS!T16</f>
        <v>388.84199999999998</v>
      </c>
      <c r="U57" s="138">
        <f>IS!U16</f>
        <v>405.91300000000001</v>
      </c>
      <c r="V57" s="138">
        <f>IS!V16</f>
        <v>379.137</v>
      </c>
      <c r="W57" s="139">
        <f>IS!W16</f>
        <v>252.73200000000008</v>
      </c>
      <c r="X57" s="138">
        <f>IS!X16</f>
        <v>257.63</v>
      </c>
      <c r="Y57" s="138">
        <f>IS!Y16</f>
        <v>288.05900000000003</v>
      </c>
      <c r="Z57" s="138">
        <f>IS!Z16</f>
        <v>341.61700000000002</v>
      </c>
      <c r="AA57" s="139">
        <f>IS!AA16</f>
        <v>339.79</v>
      </c>
      <c r="AB57" s="138">
        <f>IS!AB16</f>
        <v>343.98500000000001</v>
      </c>
      <c r="AC57" s="138">
        <f>IS!AC16</f>
        <v>366.68200000000002</v>
      </c>
      <c r="AD57" s="138">
        <f>IS!AD16</f>
        <v>390.80799999999999</v>
      </c>
      <c r="AE57" s="139">
        <f>IS!AE16</f>
        <v>371.79899999999998</v>
      </c>
      <c r="AF57" s="138">
        <f>IS!AF16</f>
        <v>334.47500000000002</v>
      </c>
      <c r="AG57" s="138">
        <f>IS!AG16</f>
        <v>378.11700000000002</v>
      </c>
      <c r="AH57" s="138">
        <f>IS!AH16</f>
        <v>412.1</v>
      </c>
      <c r="AI57" s="139">
        <f>IS!AI16</f>
        <v>341.113</v>
      </c>
      <c r="AJ57" s="138">
        <f>IS!AJ16</f>
        <v>366.322</v>
      </c>
      <c r="AK57" s="138">
        <f>IS!AK16</f>
        <v>381.839</v>
      </c>
      <c r="AL57" s="138">
        <f>IS!AL16</f>
        <v>374.50299999999999</v>
      </c>
      <c r="AM57" s="139">
        <f>IS!AM16</f>
        <v>370.83300000000003</v>
      </c>
      <c r="AN57" s="138">
        <f>IS!AN16</f>
        <v>335.43799999999999</v>
      </c>
      <c r="AO57" s="138">
        <f>IS!AO16</f>
        <v>386.05900000000003</v>
      </c>
      <c r="AP57" s="138">
        <f>IS!AP16</f>
        <v>464.98099999999999</v>
      </c>
      <c r="AQ57" s="139">
        <f>IS!AQ16</f>
        <v>477.25199999999995</v>
      </c>
      <c r="AR57" s="138">
        <f>IS!AR16</f>
        <v>493.86</v>
      </c>
      <c r="AS57" s="138">
        <f>IS!AS16</f>
        <v>477.74099999999999</v>
      </c>
      <c r="AT57" s="138">
        <f>IS!AT16</f>
        <v>454.97399999999999</v>
      </c>
      <c r="AU57" s="139">
        <f>IS!AU16</f>
        <v>417.13099999999997</v>
      </c>
      <c r="AV57" s="138">
        <f>IS!AV16</f>
        <v>351.15300000000002</v>
      </c>
      <c r="AW57" s="138">
        <f>IS!AW16</f>
        <v>461.71899999999999</v>
      </c>
      <c r="AX57" s="138">
        <f>IS!AX16</f>
        <v>379.25400000000002</v>
      </c>
      <c r="AY57" s="139">
        <f>IS!AY16</f>
        <v>302.61</v>
      </c>
      <c r="AZ57" s="138">
        <f>IS!AZ16</f>
        <v>259.20999999999998</v>
      </c>
      <c r="BA57" s="138">
        <f>IS!BA16</f>
        <v>287.608</v>
      </c>
      <c r="BB57" s="138">
        <f>IS!BB16</f>
        <v>286.06299999999999</v>
      </c>
      <c r="BC57" s="139">
        <f>IS!BC16</f>
        <v>243.88300000000001</v>
      </c>
      <c r="BD57" s="138">
        <f>IS!BD16</f>
        <v>230.54900000000001</v>
      </c>
      <c r="BE57" s="138">
        <f>IS!BE16</f>
        <v>239.572</v>
      </c>
      <c r="BF57" s="138">
        <f>IS!BF16</f>
        <v>238.53299999999999</v>
      </c>
      <c r="BG57" s="139">
        <f>IS!BG16</f>
        <v>241.92699999999999</v>
      </c>
      <c r="BH57" s="529">
        <f>IS!BH16</f>
        <v>226.45688403</v>
      </c>
      <c r="BI57" s="138">
        <f>IS!BI16</f>
        <v>232.06493673615003</v>
      </c>
      <c r="BJ57" s="138">
        <f>IS!BJ16</f>
        <v>237.32752233706205</v>
      </c>
      <c r="BK57" s="139">
        <f>IS!BK16</f>
        <v>233.53224600716334</v>
      </c>
      <c r="BL57" s="529">
        <f>IS!BL16</f>
        <v>219.27751492335656</v>
      </c>
      <c r="BM57" s="138">
        <f>IS!BM16</f>
        <v>232.30200444394615</v>
      </c>
      <c r="BN57" s="138">
        <f>IS!BN16</f>
        <v>239.13725193881427</v>
      </c>
      <c r="BO57" s="139">
        <f>IS!BO16</f>
        <v>235.38475910147625</v>
      </c>
      <c r="BP57" s="257"/>
      <c r="BQ57" s="138">
        <f>IS!BQ16</f>
        <v>581.75699999999995</v>
      </c>
      <c r="BR57" s="138">
        <f>IS!BR16</f>
        <v>783.24400000000003</v>
      </c>
      <c r="BS57" s="138">
        <f>IS!BS16</f>
        <v>1100.241</v>
      </c>
      <c r="BT57" s="138">
        <f>IS!BT16</f>
        <v>1497.7959999999998</v>
      </c>
      <c r="BU57" s="138">
        <f>IS!BU16</f>
        <v>1426.6240000000003</v>
      </c>
      <c r="BV57" s="138">
        <f>IS!BV16</f>
        <v>1227.096</v>
      </c>
      <c r="BW57" s="138">
        <f>IS!BW16</f>
        <v>1473.2739999999999</v>
      </c>
      <c r="BX57" s="138">
        <f>IS!BX16</f>
        <v>1465.8050000000001</v>
      </c>
      <c r="BY57" s="138">
        <f>IS!BY16</f>
        <v>1493.4970000000001</v>
      </c>
      <c r="BZ57" s="138">
        <f>IS!BZ16</f>
        <v>1663.73</v>
      </c>
      <c r="CA57" s="138">
        <f>IS!CA16</f>
        <v>1843.7060000000001</v>
      </c>
      <c r="CB57" s="138">
        <f>IS!CB16</f>
        <v>1494.7360000000003</v>
      </c>
      <c r="CC57" s="138">
        <f>IS!CC16</f>
        <v>1076.7639999999999</v>
      </c>
      <c r="CD57" s="138">
        <f>IS!CD16</f>
        <v>950.58100000000002</v>
      </c>
      <c r="CE57" s="138">
        <f>IS!CE16</f>
        <v>929.38158911037544</v>
      </c>
      <c r="CF57" s="138">
        <f>IS!CF16</f>
        <v>926.10153040759326</v>
      </c>
      <c r="CG57" s="138">
        <f>IS!CG16</f>
        <v>918.4834283422806</v>
      </c>
      <c r="CH57" s="336"/>
    </row>
    <row r="58" spans="2:86" ht="14.25">
      <c r="B58" s="62" t="s">
        <v>275</v>
      </c>
      <c r="C58" s="63"/>
      <c r="D58" s="140">
        <f>SUM(D13:D16)+D20+D22</f>
        <v>2056.5050000000001</v>
      </c>
      <c r="E58" s="140">
        <f t="shared" ref="E58:L58" si="216">SUM(E13:E16)+E20+E22</f>
        <v>2070.94</v>
      </c>
      <c r="F58" s="140">
        <f t="shared" si="216"/>
        <v>2123.6090000000004</v>
      </c>
      <c r="G58" s="141">
        <f t="shared" si="216"/>
        <v>2480.5250000000001</v>
      </c>
      <c r="H58" s="140">
        <f t="shared" si="216"/>
        <v>2582.6419999999998</v>
      </c>
      <c r="I58" s="140">
        <f t="shared" si="216"/>
        <v>2682.5819999999999</v>
      </c>
      <c r="J58" s="140">
        <f t="shared" si="216"/>
        <v>2647.2629999999999</v>
      </c>
      <c r="K58" s="141">
        <f t="shared" si="216"/>
        <v>2952.5659999999998</v>
      </c>
      <c r="L58" s="140">
        <f t="shared" si="216"/>
        <v>2845.5720000000001</v>
      </c>
      <c r="M58" s="140">
        <f>SUM(M13:M16)+M20+M22</f>
        <v>3098.817</v>
      </c>
      <c r="N58" s="140">
        <f t="shared" ref="N58:CA58" si="217">SUM(N13:N16)+N20+N22</f>
        <v>2682.9049999999997</v>
      </c>
      <c r="O58" s="141">
        <f t="shared" si="217"/>
        <v>3192.9290000000001</v>
      </c>
      <c r="P58" s="140">
        <f t="shared" si="217"/>
        <v>3269.2560000000003</v>
      </c>
      <c r="Q58" s="140">
        <f t="shared" si="217"/>
        <v>3308.143</v>
      </c>
      <c r="R58" s="140">
        <f t="shared" si="217"/>
        <v>3380.9929999999999</v>
      </c>
      <c r="S58" s="141">
        <f t="shared" si="217"/>
        <v>3282.886</v>
      </c>
      <c r="T58" s="140">
        <f t="shared" si="217"/>
        <v>3241.7709999999997</v>
      </c>
      <c r="U58" s="140">
        <f t="shared" si="217"/>
        <v>3288.3019999999997</v>
      </c>
      <c r="V58" s="140">
        <f t="shared" si="217"/>
        <v>3197.8770000000004</v>
      </c>
      <c r="W58" s="141">
        <f t="shared" si="217"/>
        <v>2982.5060000000003</v>
      </c>
      <c r="X58" s="140">
        <f t="shared" si="217"/>
        <v>2910.4929999999999</v>
      </c>
      <c r="Y58" s="140">
        <f t="shared" si="217"/>
        <v>2946.6130000000003</v>
      </c>
      <c r="Z58" s="140">
        <f t="shared" si="217"/>
        <v>3455.6710000000003</v>
      </c>
      <c r="AA58" s="141">
        <f t="shared" si="217"/>
        <v>3692.3119999999999</v>
      </c>
      <c r="AB58" s="140">
        <f t="shared" si="217"/>
        <v>3775.1790000000001</v>
      </c>
      <c r="AC58" s="140">
        <f t="shared" si="217"/>
        <v>4187.9440000000004</v>
      </c>
      <c r="AD58" s="140">
        <f t="shared" si="217"/>
        <v>4146.817</v>
      </c>
      <c r="AE58" s="141">
        <f t="shared" si="217"/>
        <v>4353.4770000000008</v>
      </c>
      <c r="AF58" s="140">
        <f t="shared" si="217"/>
        <v>4651.1239999999998</v>
      </c>
      <c r="AG58" s="140">
        <f t="shared" ref="AG58:AL58" si="218">SUM(AG13:AG16)+AG20+AG22</f>
        <v>4695.2749999999996</v>
      </c>
      <c r="AH58" s="140">
        <f t="shared" si="218"/>
        <v>4779.8609999999999</v>
      </c>
      <c r="AI58" s="141">
        <f t="shared" si="218"/>
        <v>4709.8510000000006</v>
      </c>
      <c r="AJ58" s="140">
        <f t="shared" si="218"/>
        <v>4564.7970000000005</v>
      </c>
      <c r="AK58" s="140">
        <f t="shared" si="218"/>
        <v>4425.9830000000002</v>
      </c>
      <c r="AL58" s="140">
        <f t="shared" si="218"/>
        <v>4508.0119999999997</v>
      </c>
      <c r="AM58" s="141">
        <f t="shared" ref="AM58:AR58" si="219">SUM(AM13:AM16)+AM20+AM22</f>
        <v>4244.1419999999998</v>
      </c>
      <c r="AN58" s="140">
        <f t="shared" si="219"/>
        <v>4267.2280000000001</v>
      </c>
      <c r="AO58" s="140">
        <f t="shared" si="219"/>
        <v>4354.585</v>
      </c>
      <c r="AP58" s="140">
        <f t="shared" si="219"/>
        <v>4303.4549999999999</v>
      </c>
      <c r="AQ58" s="141">
        <f t="shared" si="219"/>
        <v>4248.0739999999996</v>
      </c>
      <c r="AR58" s="140">
        <f t="shared" si="219"/>
        <v>4309.0680000000002</v>
      </c>
      <c r="AS58" s="140">
        <f>SUM(AS13:AS16)+AS20+AS22</f>
        <v>4313.9669999999996</v>
      </c>
      <c r="AT58" s="140">
        <f>SUM(AT13:AT16)+AT20+AT22</f>
        <v>4458.0879999999997</v>
      </c>
      <c r="AU58" s="141">
        <f>SUM(AU13:AU16)+AU20+AU22</f>
        <v>4486.4189999999999</v>
      </c>
      <c r="AV58" s="140">
        <f>SUM(AV13:AV16)+AV20+AV22</f>
        <v>4647.3410000000003</v>
      </c>
      <c r="AW58" s="140">
        <f t="shared" ref="AW58:AX58" si="220">SUM(AW13:AW16)+AW20+AW22</f>
        <v>4576.0309999999999</v>
      </c>
      <c r="AX58" s="140">
        <f t="shared" si="220"/>
        <v>4460.701</v>
      </c>
      <c r="AY58" s="141">
        <f>SUM(AY13:AY16)+AY20+AY22</f>
        <v>3969.9309999999996</v>
      </c>
      <c r="AZ58" s="140">
        <f>SUM(AZ13:AZ16)+AZ20+AZ22</f>
        <v>3698.1469999999999</v>
      </c>
      <c r="BA58" s="140">
        <f t="shared" ref="BA58:BB58" si="221">SUM(BA13:BA16)+BA20+BA22</f>
        <v>3828.3640000000005</v>
      </c>
      <c r="BB58" s="140">
        <f t="shared" si="221"/>
        <v>3805.482</v>
      </c>
      <c r="BC58" s="141">
        <f>SUM(BC13:BC16)+BC20+BC22</f>
        <v>3707.2849999999999</v>
      </c>
      <c r="BD58" s="140">
        <f>SUM(BD13:BD16)+BD20+BD22</f>
        <v>3780.0339999999997</v>
      </c>
      <c r="BE58" s="140">
        <f t="shared" ref="BE58:BF58" si="222">SUM(BE13:BE16)+BE20+BE22</f>
        <v>3800.2799999999997</v>
      </c>
      <c r="BF58" s="140">
        <f t="shared" si="222"/>
        <v>3742.9759999999997</v>
      </c>
      <c r="BG58" s="141">
        <f>SUM(BG13:BG16)+BG20+BG22</f>
        <v>3663.8179999999998</v>
      </c>
      <c r="BH58" s="524">
        <f t="shared" ref="BH58:BK58" si="223">SUM(BH13:BH16)+BH20+BH22</f>
        <v>3644.8663651813458</v>
      </c>
      <c r="BI58" s="140">
        <f t="shared" si="223"/>
        <v>3650.8293140141709</v>
      </c>
      <c r="BJ58" s="140">
        <f t="shared" si="223"/>
        <v>3656.7518322024571</v>
      </c>
      <c r="BK58" s="141">
        <f t="shared" si="223"/>
        <v>3644.1840847074272</v>
      </c>
      <c r="BL58" s="524">
        <f t="shared" ref="BL58:BO58" si="224">SUM(BL13:BL16)+BL20+BL22</f>
        <v>3602.5756784465334</v>
      </c>
      <c r="BM58" s="140">
        <f t="shared" si="224"/>
        <v>3621.2915137706623</v>
      </c>
      <c r="BN58" s="140">
        <f t="shared" si="224"/>
        <v>3628.9931317534738</v>
      </c>
      <c r="BO58" s="141">
        <f t="shared" si="224"/>
        <v>3614.9202559293253</v>
      </c>
      <c r="BP58" s="257"/>
      <c r="BQ58" s="140">
        <f t="shared" si="217"/>
        <v>2480.5250000000001</v>
      </c>
      <c r="BR58" s="140">
        <f t="shared" si="217"/>
        <v>2952.5659999999998</v>
      </c>
      <c r="BS58" s="140">
        <f t="shared" si="217"/>
        <v>3192.9290000000001</v>
      </c>
      <c r="BT58" s="140">
        <f t="shared" si="217"/>
        <v>3282.886</v>
      </c>
      <c r="BU58" s="140">
        <f t="shared" si="217"/>
        <v>2982.5060000000003</v>
      </c>
      <c r="BV58" s="140">
        <f t="shared" si="217"/>
        <v>3692.3119999999999</v>
      </c>
      <c r="BW58" s="140">
        <f t="shared" si="217"/>
        <v>4353.4770000000008</v>
      </c>
      <c r="BX58" s="140">
        <f t="shared" si="217"/>
        <v>4709.8510000000006</v>
      </c>
      <c r="BY58" s="140">
        <f t="shared" si="217"/>
        <v>4244.1419999999998</v>
      </c>
      <c r="BZ58" s="140">
        <f t="shared" si="217"/>
        <v>4248.0739999999996</v>
      </c>
      <c r="CA58" s="140">
        <f t="shared" si="217"/>
        <v>4486.4189999999999</v>
      </c>
      <c r="CB58" s="140">
        <f>SUM(CB13:CB16)+CB20+CB22</f>
        <v>3969.9309999999996</v>
      </c>
      <c r="CC58" s="140">
        <f>SUM(CC13:CC16)+CC20+CC22</f>
        <v>3707.2849999999999</v>
      </c>
      <c r="CD58" s="140">
        <f>SUM(CD13:CD16)+CD20+CD22</f>
        <v>3663.8179999999998</v>
      </c>
      <c r="CE58" s="140">
        <f>SUM(CE13:CE16)+CE20+CE22</f>
        <v>3644.1840847074272</v>
      </c>
      <c r="CF58" s="140">
        <f>SUM(CF13:CF16)+CF20+CF22</f>
        <v>3614.9202559293253</v>
      </c>
      <c r="CG58" s="140">
        <f t="shared" ref="CG58" si="225">SUM(CG13:CG16)+CG20+CG22</f>
        <v>3580.1989144155887</v>
      </c>
      <c r="CH58" s="336"/>
    </row>
    <row r="59" spans="2:86" ht="14.25"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68"/>
      <c r="BA59" s="68"/>
      <c r="BB59" s="68"/>
      <c r="BC59" s="68"/>
      <c r="BD59" s="68"/>
      <c r="BE59" s="68"/>
      <c r="BF59" s="68"/>
      <c r="BG59" s="68"/>
      <c r="BH59" s="68"/>
      <c r="BI59" s="68"/>
      <c r="BJ59" s="68"/>
      <c r="BK59" s="68"/>
      <c r="BL59" s="68"/>
      <c r="BM59" s="68"/>
      <c r="BN59" s="68"/>
      <c r="BO59" s="68"/>
      <c r="CH59" s="338"/>
    </row>
    <row r="60" spans="2:86" ht="14.25"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8"/>
      <c r="AL60" s="68"/>
      <c r="AM60" s="68"/>
      <c r="AN60" s="68"/>
      <c r="AO60" s="68"/>
      <c r="AP60" s="68"/>
      <c r="AQ60" s="68"/>
      <c r="AR60" s="68"/>
      <c r="AS60" s="68"/>
      <c r="AT60" s="68"/>
      <c r="AU60" s="68"/>
      <c r="AV60" s="68"/>
      <c r="AW60" s="68"/>
      <c r="AX60" s="68"/>
      <c r="AY60" s="68"/>
      <c r="AZ60" s="68"/>
      <c r="BA60" s="68"/>
      <c r="BB60" s="68"/>
      <c r="BC60" s="68"/>
      <c r="BD60" s="68"/>
      <c r="BE60" s="68"/>
      <c r="BF60" s="68"/>
      <c r="BG60" s="68"/>
      <c r="BH60" s="68"/>
      <c r="BI60" s="68"/>
      <c r="BJ60" s="68"/>
      <c r="BK60" s="68"/>
      <c r="BL60" s="68"/>
      <c r="BM60" s="68"/>
      <c r="BN60" s="68"/>
      <c r="BO60" s="68"/>
      <c r="CH60" s="338"/>
    </row>
    <row r="61" spans="2:86" ht="15">
      <c r="B61" s="132" t="s">
        <v>128</v>
      </c>
      <c r="C61" s="133"/>
      <c r="D61" s="13" t="str">
        <f t="shared" ref="D61:AU61" si="226">D48</f>
        <v>F1Q05A</v>
      </c>
      <c r="E61" s="14" t="str">
        <f t="shared" si="226"/>
        <v>F2Q05A</v>
      </c>
      <c r="F61" s="14" t="str">
        <f t="shared" si="226"/>
        <v>F3Q05A</v>
      </c>
      <c r="G61" s="15" t="str">
        <f t="shared" si="226"/>
        <v>F4Q05A</v>
      </c>
      <c r="H61" s="13" t="str">
        <f t="shared" si="226"/>
        <v>F1Q06A</v>
      </c>
      <c r="I61" s="14" t="str">
        <f t="shared" si="226"/>
        <v>F2Q06A</v>
      </c>
      <c r="J61" s="14" t="str">
        <f t="shared" si="226"/>
        <v>F3Q06A</v>
      </c>
      <c r="K61" s="15" t="str">
        <f t="shared" si="226"/>
        <v>F4Q06A</v>
      </c>
      <c r="L61" s="13" t="str">
        <f t="shared" si="226"/>
        <v>F1Q07A</v>
      </c>
      <c r="M61" s="14" t="str">
        <f t="shared" si="226"/>
        <v>F2Q07A</v>
      </c>
      <c r="N61" s="14" t="str">
        <f t="shared" si="226"/>
        <v>F3Q07A</v>
      </c>
      <c r="O61" s="15" t="str">
        <f t="shared" si="226"/>
        <v>F4Q07A</v>
      </c>
      <c r="P61" s="13" t="str">
        <f t="shared" si="226"/>
        <v>F1Q08A</v>
      </c>
      <c r="Q61" s="14" t="str">
        <f t="shared" si="226"/>
        <v>F2Q08A</v>
      </c>
      <c r="R61" s="14" t="str">
        <f t="shared" si="226"/>
        <v>F3Q08A</v>
      </c>
      <c r="S61" s="15" t="str">
        <f t="shared" si="226"/>
        <v>F4Q08A</v>
      </c>
      <c r="T61" s="13" t="str">
        <f t="shared" si="226"/>
        <v>F1Q09A</v>
      </c>
      <c r="U61" s="14" t="str">
        <f t="shared" si="226"/>
        <v>F2Q09A</v>
      </c>
      <c r="V61" s="14" t="str">
        <f t="shared" si="226"/>
        <v>F3Q09A</v>
      </c>
      <c r="W61" s="15" t="str">
        <f t="shared" si="226"/>
        <v>F4Q09A</v>
      </c>
      <c r="X61" s="13" t="str">
        <f t="shared" si="226"/>
        <v>F1Q10A</v>
      </c>
      <c r="Y61" s="14" t="str">
        <f t="shared" si="226"/>
        <v>F2Q10A</v>
      </c>
      <c r="Z61" s="14" t="str">
        <f t="shared" si="226"/>
        <v>F3Q10A</v>
      </c>
      <c r="AA61" s="15" t="str">
        <f t="shared" si="226"/>
        <v>F4Q10A</v>
      </c>
      <c r="AB61" s="13" t="str">
        <f t="shared" si="226"/>
        <v>F1Q11A</v>
      </c>
      <c r="AC61" s="14" t="str">
        <f t="shared" si="226"/>
        <v>F2Q11A</v>
      </c>
      <c r="AD61" s="14" t="str">
        <f t="shared" si="226"/>
        <v>F3Q11A</v>
      </c>
      <c r="AE61" s="15" t="str">
        <f t="shared" si="226"/>
        <v>F4Q11A</v>
      </c>
      <c r="AF61" s="13" t="str">
        <f t="shared" si="226"/>
        <v>F1Q12A</v>
      </c>
      <c r="AG61" s="14" t="str">
        <f t="shared" ref="AG61:AL61" si="227">AG48</f>
        <v>F2Q12A</v>
      </c>
      <c r="AH61" s="14" t="str">
        <f t="shared" si="227"/>
        <v>F3Q12A</v>
      </c>
      <c r="AI61" s="15" t="str">
        <f t="shared" si="227"/>
        <v>F4Q12A</v>
      </c>
      <c r="AJ61" s="13" t="str">
        <f t="shared" si="227"/>
        <v>F1Q13A</v>
      </c>
      <c r="AK61" s="14" t="str">
        <f t="shared" si="227"/>
        <v>F2Q13A</v>
      </c>
      <c r="AL61" s="14" t="str">
        <f t="shared" si="227"/>
        <v>F3Q13A</v>
      </c>
      <c r="AM61" s="15" t="str">
        <f>AM48</f>
        <v>F4Q13A</v>
      </c>
      <c r="AN61" s="13" t="str">
        <f>AN48</f>
        <v>F1Q14A</v>
      </c>
      <c r="AO61" s="14" t="str">
        <f t="shared" si="226"/>
        <v>F2Q14A</v>
      </c>
      <c r="AP61" s="14" t="str">
        <f t="shared" si="226"/>
        <v>F3Q14A</v>
      </c>
      <c r="AQ61" s="15" t="str">
        <f t="shared" si="226"/>
        <v>F4Q14A</v>
      </c>
      <c r="AR61" s="13" t="str">
        <f t="shared" si="226"/>
        <v>F1Q15A</v>
      </c>
      <c r="AS61" s="14" t="str">
        <f>AS48</f>
        <v>F2Q15A</v>
      </c>
      <c r="AT61" s="14" t="str">
        <f t="shared" si="226"/>
        <v>F3Q15A</v>
      </c>
      <c r="AU61" s="15" t="str">
        <f t="shared" si="226"/>
        <v>F4Q15A</v>
      </c>
      <c r="AV61" s="13" t="str">
        <f t="shared" ref="AV61:AY61" si="228">AV48</f>
        <v>F1Q16A</v>
      </c>
      <c r="AW61" s="14" t="str">
        <f t="shared" si="228"/>
        <v>F2Q16A</v>
      </c>
      <c r="AX61" s="14" t="str">
        <f t="shared" si="228"/>
        <v>F3Q16A</v>
      </c>
      <c r="AY61" s="15" t="str">
        <f t="shared" si="228"/>
        <v>F4Q16A</v>
      </c>
      <c r="AZ61" s="13" t="str">
        <f t="shared" ref="AZ61:BC61" si="229">AZ48</f>
        <v>F1Q17A</v>
      </c>
      <c r="BA61" s="14" t="str">
        <f t="shared" si="229"/>
        <v>F2Q17A</v>
      </c>
      <c r="BB61" s="14" t="str">
        <f t="shared" si="229"/>
        <v>F3Q17A</v>
      </c>
      <c r="BC61" s="15" t="str">
        <f t="shared" si="229"/>
        <v>F4Q17A</v>
      </c>
      <c r="BD61" s="404" t="str">
        <f t="shared" ref="BD61:BG61" si="230">BD48</f>
        <v>F1Q18A</v>
      </c>
      <c r="BE61" s="404" t="str">
        <f t="shared" si="230"/>
        <v>F2Q18A</v>
      </c>
      <c r="BF61" s="537" t="str">
        <f t="shared" si="230"/>
        <v>F3Q18A</v>
      </c>
      <c r="BG61" s="405" t="str">
        <f t="shared" si="230"/>
        <v>F4Q18A</v>
      </c>
      <c r="BH61" s="537" t="str">
        <f t="shared" ref="BH61:BK61" si="231">BH48</f>
        <v>F1Q19E</v>
      </c>
      <c r="BI61" s="537" t="str">
        <f t="shared" si="231"/>
        <v>F2Q19E</v>
      </c>
      <c r="BJ61" s="537" t="str">
        <f t="shared" si="231"/>
        <v>F3Q19E</v>
      </c>
      <c r="BK61" s="538" t="str">
        <f t="shared" si="231"/>
        <v>F4Q19E</v>
      </c>
      <c r="BL61" s="537" t="str">
        <f t="shared" ref="BL61:BO61" si="232">BL48</f>
        <v>F1Q20E</v>
      </c>
      <c r="BM61" s="537" t="str">
        <f t="shared" si="232"/>
        <v>F2Q20E</v>
      </c>
      <c r="BN61" s="537" t="str">
        <f t="shared" si="232"/>
        <v>F3Q20E</v>
      </c>
      <c r="BO61" s="538" t="str">
        <f t="shared" si="232"/>
        <v>F4Q20E</v>
      </c>
      <c r="BP61" s="247"/>
      <c r="BQ61" s="13" t="str">
        <f>BQ48</f>
        <v>FY2005A</v>
      </c>
      <c r="BR61" s="560" t="str">
        <f t="shared" ref="BR61:CA61" si="233">BR48</f>
        <v>FY2006A</v>
      </c>
      <c r="BS61" s="560" t="str">
        <f t="shared" si="233"/>
        <v>FY2007A</v>
      </c>
      <c r="BT61" s="13" t="str">
        <f t="shared" si="233"/>
        <v>FY2008A</v>
      </c>
      <c r="BU61" s="13" t="str">
        <f t="shared" si="233"/>
        <v>FY2009A</v>
      </c>
      <c r="BV61" s="13" t="str">
        <f t="shared" si="233"/>
        <v>FY2010A</v>
      </c>
      <c r="BW61" s="13" t="str">
        <f t="shared" si="233"/>
        <v>FY2011A</v>
      </c>
      <c r="BX61" s="13" t="str">
        <f t="shared" si="233"/>
        <v>FY2012A</v>
      </c>
      <c r="BY61" s="13" t="str">
        <f t="shared" si="233"/>
        <v>FY2013A</v>
      </c>
      <c r="BZ61" s="13" t="str">
        <f t="shared" si="233"/>
        <v>FY2014A</v>
      </c>
      <c r="CA61" s="14" t="str">
        <f t="shared" si="233"/>
        <v>FY2015A</v>
      </c>
      <c r="CB61" s="14" t="str">
        <f>CB48</f>
        <v>FY2016A</v>
      </c>
      <c r="CC61" s="14" t="str">
        <f>CC48</f>
        <v>FY2017A</v>
      </c>
      <c r="CD61" s="560" t="str">
        <f>CD48</f>
        <v>FY2018A</v>
      </c>
      <c r="CE61" s="560" t="str">
        <f>CE48</f>
        <v>FY2019E</v>
      </c>
      <c r="CF61" s="560" t="str">
        <f>CF48</f>
        <v>FY2020E</v>
      </c>
      <c r="CG61" s="560" t="str">
        <f t="shared" ref="CG61" si="234">CG48</f>
        <v>FY2021E</v>
      </c>
      <c r="CH61" s="336"/>
    </row>
    <row r="62" spans="2:86" ht="14.25">
      <c r="B62" s="50" t="s">
        <v>129</v>
      </c>
      <c r="C62" s="96"/>
      <c r="D62" s="71">
        <v>0</v>
      </c>
      <c r="E62" s="72">
        <v>0</v>
      </c>
      <c r="F62" s="72">
        <v>0</v>
      </c>
      <c r="G62" s="99">
        <v>0</v>
      </c>
      <c r="H62" s="71">
        <v>0</v>
      </c>
      <c r="I62" s="72">
        <v>0</v>
      </c>
      <c r="J62" s="72">
        <v>0</v>
      </c>
      <c r="K62" s="99">
        <v>0</v>
      </c>
      <c r="L62" s="71">
        <v>0</v>
      </c>
      <c r="M62" s="72">
        <v>0</v>
      </c>
      <c r="N62" s="72">
        <v>0</v>
      </c>
      <c r="O62" s="99">
        <v>0</v>
      </c>
      <c r="P62" s="71">
        <v>0</v>
      </c>
      <c r="Q62" s="72">
        <v>0</v>
      </c>
      <c r="R62" s="72">
        <v>0</v>
      </c>
      <c r="S62" s="99">
        <v>0</v>
      </c>
      <c r="T62" s="71">
        <v>0</v>
      </c>
      <c r="U62" s="72">
        <v>0</v>
      </c>
      <c r="V62" s="72">
        <v>0</v>
      </c>
      <c r="W62" s="99">
        <v>0</v>
      </c>
      <c r="X62" s="71">
        <v>0</v>
      </c>
      <c r="Y62" s="72">
        <v>0</v>
      </c>
      <c r="Z62" s="72">
        <v>0</v>
      </c>
      <c r="AA62" s="99">
        <v>0</v>
      </c>
      <c r="AB62" s="71">
        <v>0</v>
      </c>
      <c r="AC62" s="72">
        <v>0</v>
      </c>
      <c r="AD62" s="72">
        <v>0</v>
      </c>
      <c r="AE62" s="99">
        <v>0</v>
      </c>
      <c r="AF62" s="71">
        <v>0</v>
      </c>
      <c r="AG62" s="72">
        <v>0</v>
      </c>
      <c r="AH62" s="72">
        <v>0</v>
      </c>
      <c r="AI62" s="99">
        <v>0</v>
      </c>
      <c r="AJ62" s="71">
        <v>0</v>
      </c>
      <c r="AK62" s="72">
        <v>0</v>
      </c>
      <c r="AL62" s="72">
        <v>0</v>
      </c>
      <c r="AM62" s="99">
        <v>0</v>
      </c>
      <c r="AN62" s="71">
        <v>0</v>
      </c>
      <c r="AO62" s="72">
        <v>0</v>
      </c>
      <c r="AP62" s="261">
        <f>AO62</f>
        <v>0</v>
      </c>
      <c r="AQ62" s="99">
        <f>AP62</f>
        <v>0</v>
      </c>
      <c r="AR62" s="71">
        <v>0</v>
      </c>
      <c r="AS62" s="72">
        <v>0</v>
      </c>
      <c r="AT62" s="261">
        <f>AS62</f>
        <v>0</v>
      </c>
      <c r="AU62" s="99">
        <v>0</v>
      </c>
      <c r="AV62" s="71">
        <v>0</v>
      </c>
      <c r="AW62" s="72">
        <v>0</v>
      </c>
      <c r="AX62" s="261">
        <v>0</v>
      </c>
      <c r="AY62" s="99">
        <v>0</v>
      </c>
      <c r="AZ62" s="71">
        <v>0</v>
      </c>
      <c r="BA62" s="72">
        <v>0</v>
      </c>
      <c r="BB62" s="261">
        <v>0</v>
      </c>
      <c r="BC62" s="99">
        <v>0</v>
      </c>
      <c r="BD62" s="71">
        <v>0</v>
      </c>
      <c r="BE62" s="72">
        <f t="shared" ref="BE62" si="235">BD62</f>
        <v>0</v>
      </c>
      <c r="BF62" s="72">
        <v>0</v>
      </c>
      <c r="BG62" s="99">
        <v>0</v>
      </c>
      <c r="BH62" s="261">
        <f t="shared" ref="BH62" si="236">BG62</f>
        <v>0</v>
      </c>
      <c r="BI62" s="261">
        <f t="shared" ref="BI62" si="237">BH62</f>
        <v>0</v>
      </c>
      <c r="BJ62" s="261">
        <f t="shared" ref="BJ62" si="238">BI62</f>
        <v>0</v>
      </c>
      <c r="BK62" s="262">
        <f t="shared" ref="BK62" si="239">BJ62</f>
        <v>0</v>
      </c>
      <c r="BL62" s="261">
        <f t="shared" ref="BL62" si="240">BK62</f>
        <v>0</v>
      </c>
      <c r="BM62" s="261">
        <f t="shared" ref="BM62" si="241">BL62</f>
        <v>0</v>
      </c>
      <c r="BN62" s="261">
        <f t="shared" ref="BN62" si="242">BM62</f>
        <v>0</v>
      </c>
      <c r="BO62" s="262">
        <f t="shared" ref="BO62" si="243">BN62</f>
        <v>0</v>
      </c>
      <c r="BP62" s="247"/>
      <c r="BQ62" s="261">
        <f>G62</f>
        <v>0</v>
      </c>
      <c r="BR62" s="74">
        <f>K62</f>
        <v>0</v>
      </c>
      <c r="BS62" s="74">
        <f>O62</f>
        <v>0</v>
      </c>
      <c r="BT62" s="74">
        <f>S62</f>
        <v>0</v>
      </c>
      <c r="BU62" s="74">
        <f>W62</f>
        <v>0</v>
      </c>
      <c r="BV62" s="74">
        <f>AA62</f>
        <v>0</v>
      </c>
      <c r="BW62" s="74">
        <f>AE62</f>
        <v>0</v>
      </c>
      <c r="BX62" s="74">
        <f>AI62</f>
        <v>0</v>
      </c>
      <c r="BY62" s="74">
        <f>AM62</f>
        <v>0</v>
      </c>
      <c r="BZ62" s="74">
        <f>AQ62</f>
        <v>0</v>
      </c>
      <c r="CA62" s="74">
        <f>AU62</f>
        <v>0</v>
      </c>
      <c r="CB62" s="74">
        <f>AY62</f>
        <v>0</v>
      </c>
      <c r="CC62" s="74">
        <f>BC62</f>
        <v>0</v>
      </c>
      <c r="CD62" s="74">
        <f>BG62</f>
        <v>0</v>
      </c>
      <c r="CE62" s="74">
        <f>BK62</f>
        <v>0</v>
      </c>
      <c r="CF62" s="74">
        <f>BO62</f>
        <v>0</v>
      </c>
      <c r="CG62" s="74">
        <f>CF62</f>
        <v>0</v>
      </c>
      <c r="CH62" s="336"/>
    </row>
    <row r="63" spans="2:86" ht="14.25">
      <c r="B63" s="50" t="s">
        <v>130</v>
      </c>
      <c r="C63" s="96"/>
      <c r="D63" s="75">
        <v>0.26600000000000001</v>
      </c>
      <c r="E63" s="76">
        <v>0.54</v>
      </c>
      <c r="F63" s="76">
        <v>0.54700000000000004</v>
      </c>
      <c r="G63" s="79">
        <v>0.55500000000000005</v>
      </c>
      <c r="H63" s="75">
        <v>0.55900000000000005</v>
      </c>
      <c r="I63" s="76">
        <v>0.56399999999999995</v>
      </c>
      <c r="J63" s="76">
        <v>0.56799999999999995</v>
      </c>
      <c r="K63" s="79">
        <v>1.165</v>
      </c>
      <c r="L63" s="75">
        <v>0.58499999999999996</v>
      </c>
      <c r="M63" s="76">
        <v>1.175</v>
      </c>
      <c r="N63" s="76">
        <v>1.175</v>
      </c>
      <c r="O63" s="79">
        <v>1.175</v>
      </c>
      <c r="P63" s="75">
        <v>1.175</v>
      </c>
      <c r="Q63" s="76">
        <v>1.1759999999999999</v>
      </c>
      <c r="R63" s="76">
        <v>1.1850000000000001</v>
      </c>
      <c r="S63" s="79">
        <v>1.2</v>
      </c>
      <c r="T63" s="75">
        <v>1.206</v>
      </c>
      <c r="U63" s="76">
        <v>1.2210000000000001</v>
      </c>
      <c r="V63" s="76">
        <v>1.226</v>
      </c>
      <c r="W63" s="79">
        <v>1.2330000000000001</v>
      </c>
      <c r="X63" s="75">
        <v>1.238</v>
      </c>
      <c r="Y63" s="76">
        <v>1.2450000000000001</v>
      </c>
      <c r="Z63" s="76">
        <v>1.2490000000000001</v>
      </c>
      <c r="AA63" s="76">
        <v>1.2769999999999999</v>
      </c>
      <c r="AB63" s="75">
        <v>1.288</v>
      </c>
      <c r="AC63" s="76">
        <v>1.3</v>
      </c>
      <c r="AD63" s="76">
        <v>1.2969999999999999</v>
      </c>
      <c r="AE63" s="76">
        <v>1.3169999999999999</v>
      </c>
      <c r="AF63" s="75">
        <v>1.218</v>
      </c>
      <c r="AG63" s="76">
        <v>1.2070000000000001</v>
      </c>
      <c r="AH63" s="76">
        <v>1.179</v>
      </c>
      <c r="AI63" s="76">
        <v>1.1619999999999999</v>
      </c>
      <c r="AJ63" s="75">
        <v>1.1459999999999999</v>
      </c>
      <c r="AK63" s="76">
        <v>1.115</v>
      </c>
      <c r="AL63" s="76">
        <v>1.073</v>
      </c>
      <c r="AM63" s="76">
        <v>1.0169999999999999</v>
      </c>
      <c r="AN63" s="75">
        <v>0.98799999999999999</v>
      </c>
      <c r="AO63" s="76">
        <v>0.98799999999999999</v>
      </c>
      <c r="AP63" s="76">
        <v>0.98</v>
      </c>
      <c r="AQ63" s="76">
        <v>1.0049999999999999</v>
      </c>
      <c r="AR63" s="75">
        <v>1.016</v>
      </c>
      <c r="AS63" s="76">
        <v>1.028</v>
      </c>
      <c r="AT63" s="76">
        <v>1.022</v>
      </c>
      <c r="AU63" s="76">
        <v>1.03</v>
      </c>
      <c r="AV63" s="75">
        <v>1.036</v>
      </c>
      <c r="AW63" s="76">
        <v>1.0149999999999999</v>
      </c>
      <c r="AX63" s="76">
        <v>1.01</v>
      </c>
      <c r="AY63" s="76">
        <v>1.0149999999999999</v>
      </c>
      <c r="AZ63" s="75">
        <v>1.022</v>
      </c>
      <c r="BA63" s="76">
        <v>1.022</v>
      </c>
      <c r="BB63" s="76">
        <v>1.0169999999999999</v>
      </c>
      <c r="BC63" s="79">
        <v>1.012</v>
      </c>
      <c r="BD63" s="75">
        <v>1.0009999999999999</v>
      </c>
      <c r="BE63" s="76">
        <v>0.99099999999999999</v>
      </c>
      <c r="BF63" s="76">
        <v>0.98199999999999998</v>
      </c>
      <c r="BG63" s="79">
        <v>0.99099999999999999</v>
      </c>
      <c r="BH63" s="74">
        <f>BG63+CFS!BH40</f>
        <v>0.99099999999999999</v>
      </c>
      <c r="BI63" s="74">
        <f>BH63+CFS!BI40</f>
        <v>0.99099999999999999</v>
      </c>
      <c r="BJ63" s="74">
        <f>BI63+CFS!BJ40</f>
        <v>0.99099999999999999</v>
      </c>
      <c r="BK63" s="100">
        <f>BJ63+CFS!BK40</f>
        <v>0.99099999999999999</v>
      </c>
      <c r="BL63" s="74">
        <f>BK63+CFS!BL40</f>
        <v>0.99099999999999999</v>
      </c>
      <c r="BM63" s="74">
        <f>BL63+CFS!BM40</f>
        <v>0.99099999999999999</v>
      </c>
      <c r="BN63" s="74">
        <f>BM63+CFS!BN40</f>
        <v>0.99099999999999999</v>
      </c>
      <c r="BO63" s="100">
        <f>BN63+CFS!BO40</f>
        <v>0.99099999999999999</v>
      </c>
      <c r="BP63" s="247"/>
      <c r="BQ63" s="74">
        <f>G63</f>
        <v>0.55500000000000005</v>
      </c>
      <c r="BR63" s="74">
        <f>K63</f>
        <v>1.165</v>
      </c>
      <c r="BS63" s="74">
        <f>O63</f>
        <v>1.175</v>
      </c>
      <c r="BT63" s="74">
        <f>S63</f>
        <v>1.2</v>
      </c>
      <c r="BU63" s="74">
        <f>W63</f>
        <v>1.2330000000000001</v>
      </c>
      <c r="BV63" s="74">
        <f>AA63</f>
        <v>1.2769999999999999</v>
      </c>
      <c r="BW63" s="74">
        <f>AE63</f>
        <v>1.3169999999999999</v>
      </c>
      <c r="BX63" s="74">
        <f>AI63</f>
        <v>1.1619999999999999</v>
      </c>
      <c r="BY63" s="74">
        <f>AM63</f>
        <v>1.0169999999999999</v>
      </c>
      <c r="BZ63" s="74">
        <f>AQ63</f>
        <v>1.0049999999999999</v>
      </c>
      <c r="CA63" s="74">
        <f>AU63</f>
        <v>1.03</v>
      </c>
      <c r="CB63" s="74">
        <f>AY63</f>
        <v>1.0149999999999999</v>
      </c>
      <c r="CC63" s="74">
        <f>BC63</f>
        <v>1.012</v>
      </c>
      <c r="CD63" s="74">
        <f>BG63</f>
        <v>0.99099999999999999</v>
      </c>
      <c r="CE63" s="74">
        <f>BK63</f>
        <v>0.99099999999999999</v>
      </c>
      <c r="CF63" s="74">
        <f t="shared" ref="CF63:CF66" si="244">BO63</f>
        <v>0.99099999999999999</v>
      </c>
      <c r="CG63" s="74">
        <f>CF63</f>
        <v>0.99099999999999999</v>
      </c>
      <c r="CH63" s="336"/>
    </row>
    <row r="64" spans="2:86" ht="14.25">
      <c r="B64" s="50" t="s">
        <v>131</v>
      </c>
      <c r="C64" s="96"/>
      <c r="D64" s="75">
        <v>0</v>
      </c>
      <c r="E64" s="76">
        <v>0</v>
      </c>
      <c r="F64" s="76">
        <v>0</v>
      </c>
      <c r="G64" s="79">
        <v>0</v>
      </c>
      <c r="H64" s="75">
        <v>0</v>
      </c>
      <c r="I64" s="76">
        <v>0</v>
      </c>
      <c r="J64" s="76">
        <v>0</v>
      </c>
      <c r="K64" s="79">
        <v>0</v>
      </c>
      <c r="L64" s="75">
        <v>0</v>
      </c>
      <c r="M64" s="76">
        <v>0</v>
      </c>
      <c r="N64" s="76">
        <v>0</v>
      </c>
      <c r="O64" s="79">
        <v>0</v>
      </c>
      <c r="P64" s="75">
        <v>0</v>
      </c>
      <c r="Q64" s="76">
        <v>0</v>
      </c>
      <c r="R64" s="76">
        <v>0</v>
      </c>
      <c r="S64" s="79">
        <v>0</v>
      </c>
      <c r="T64" s="75">
        <v>0</v>
      </c>
      <c r="U64" s="76">
        <v>0</v>
      </c>
      <c r="V64" s="76">
        <v>0</v>
      </c>
      <c r="W64" s="79">
        <v>0</v>
      </c>
      <c r="X64" s="75">
        <v>0</v>
      </c>
      <c r="Y64" s="76">
        <v>0</v>
      </c>
      <c r="Z64" s="76">
        <v>0</v>
      </c>
      <c r="AA64" s="76">
        <v>0</v>
      </c>
      <c r="AB64" s="75">
        <v>0</v>
      </c>
      <c r="AC64" s="76">
        <v>0</v>
      </c>
      <c r="AD64" s="76">
        <v>0</v>
      </c>
      <c r="AE64" s="76"/>
      <c r="AF64" s="75"/>
      <c r="AG64" s="76"/>
      <c r="AH64" s="76"/>
      <c r="AI64" s="76"/>
      <c r="AJ64" s="75"/>
      <c r="AK64" s="76"/>
      <c r="AL64" s="76"/>
      <c r="AM64" s="76"/>
      <c r="AN64" s="75"/>
      <c r="AO64" s="76"/>
      <c r="AP64" s="76"/>
      <c r="AQ64" s="76"/>
      <c r="AR64" s="75">
        <v>0</v>
      </c>
      <c r="AS64" s="76"/>
      <c r="AT64" s="76"/>
      <c r="AU64" s="76"/>
      <c r="AV64" s="75">
        <v>0</v>
      </c>
      <c r="AW64" s="76">
        <v>0</v>
      </c>
      <c r="AX64" s="76">
        <v>0</v>
      </c>
      <c r="AY64" s="76">
        <v>0</v>
      </c>
      <c r="AZ64" s="75">
        <v>0</v>
      </c>
      <c r="BA64" s="76">
        <v>0</v>
      </c>
      <c r="BB64" s="76">
        <v>0</v>
      </c>
      <c r="BC64" s="79">
        <v>0</v>
      </c>
      <c r="BD64" s="75">
        <v>0</v>
      </c>
      <c r="BE64" s="76">
        <f t="shared" ref="BE64" si="245">+BD64</f>
        <v>0</v>
      </c>
      <c r="BF64" s="76">
        <v>0</v>
      </c>
      <c r="BG64" s="79">
        <v>0</v>
      </c>
      <c r="BH64" s="333">
        <f t="shared" ref="BH64" si="246">+BG64</f>
        <v>0</v>
      </c>
      <c r="BI64" s="333">
        <f t="shared" ref="BI64" si="247">+BH64</f>
        <v>0</v>
      </c>
      <c r="BJ64" s="333">
        <f t="shared" ref="BJ64" si="248">+BI64</f>
        <v>0</v>
      </c>
      <c r="BK64" s="332">
        <f t="shared" ref="BK64" si="249">+BJ64</f>
        <v>0</v>
      </c>
      <c r="BL64" s="333">
        <f t="shared" ref="BL64" si="250">+BK64</f>
        <v>0</v>
      </c>
      <c r="BM64" s="333">
        <f t="shared" ref="BM64" si="251">+BL64</f>
        <v>0</v>
      </c>
      <c r="BN64" s="333">
        <f t="shared" ref="BN64" si="252">+BM64</f>
        <v>0</v>
      </c>
      <c r="BO64" s="332">
        <f t="shared" ref="BO64" si="253">+BN64</f>
        <v>0</v>
      </c>
      <c r="BP64" s="247"/>
      <c r="BQ64" s="74">
        <f>G64</f>
        <v>0</v>
      </c>
      <c r="BR64" s="74">
        <f>K64</f>
        <v>0</v>
      </c>
      <c r="BS64" s="74">
        <f>O64</f>
        <v>0</v>
      </c>
      <c r="BT64" s="74">
        <f>S64</f>
        <v>0</v>
      </c>
      <c r="BU64" s="74">
        <f>W64</f>
        <v>0</v>
      </c>
      <c r="BV64" s="74">
        <f>AA64</f>
        <v>0</v>
      </c>
      <c r="BW64" s="74">
        <f>AE64</f>
        <v>0</v>
      </c>
      <c r="BX64" s="74">
        <f>AI64</f>
        <v>0</v>
      </c>
      <c r="BY64" s="74">
        <f>AM64</f>
        <v>0</v>
      </c>
      <c r="BZ64" s="74">
        <f>AQ64</f>
        <v>0</v>
      </c>
      <c r="CA64" s="74">
        <f>AU64</f>
        <v>0</v>
      </c>
      <c r="CB64" s="74">
        <f>AY64</f>
        <v>0</v>
      </c>
      <c r="CC64" s="74">
        <f>BC64</f>
        <v>0</v>
      </c>
      <c r="CD64" s="74">
        <f>BG64</f>
        <v>0</v>
      </c>
      <c r="CE64" s="74">
        <f>BK64</f>
        <v>0</v>
      </c>
      <c r="CF64" s="74">
        <f t="shared" si="244"/>
        <v>0</v>
      </c>
      <c r="CG64" s="74"/>
      <c r="CH64" s="336"/>
    </row>
    <row r="65" spans="2:86" ht="14.25">
      <c r="B65" s="50" t="s">
        <v>132</v>
      </c>
      <c r="C65" s="96"/>
      <c r="D65" s="75">
        <v>2897.4029999999998</v>
      </c>
      <c r="E65" s="76">
        <v>2937.4090000000001</v>
      </c>
      <c r="F65" s="76">
        <v>2983.8049999999998</v>
      </c>
      <c r="G65" s="79">
        <v>3035.2</v>
      </c>
      <c r="H65" s="75">
        <v>3055.3150000000001</v>
      </c>
      <c r="I65" s="76">
        <v>3086.7510000000002</v>
      </c>
      <c r="J65" s="76">
        <v>3100.8609999999999</v>
      </c>
      <c r="K65" s="79">
        <v>3634.239</v>
      </c>
      <c r="L65" s="75">
        <v>3624.4639999999999</v>
      </c>
      <c r="M65" s="76">
        <v>3702.433</v>
      </c>
      <c r="N65" s="76">
        <v>3747.6260000000002</v>
      </c>
      <c r="O65" s="79">
        <v>3802.509</v>
      </c>
      <c r="P65" s="75">
        <v>3849.277</v>
      </c>
      <c r="Q65" s="76">
        <v>3911.7820000000002</v>
      </c>
      <c r="R65" s="76">
        <v>3997.0369999999998</v>
      </c>
      <c r="S65" s="79">
        <v>4100.6589999999997</v>
      </c>
      <c r="T65" s="75">
        <v>4158.6260000000002</v>
      </c>
      <c r="U65" s="76">
        <v>4256.384</v>
      </c>
      <c r="V65" s="76">
        <v>4309.5119999999997</v>
      </c>
      <c r="W65" s="79">
        <v>4372.2650000000003</v>
      </c>
      <c r="X65" s="75">
        <v>4402.1670000000004</v>
      </c>
      <c r="Y65" s="76">
        <v>4453.1769999999997</v>
      </c>
      <c r="Z65" s="76">
        <v>4501.2579999999998</v>
      </c>
      <c r="AA65" s="76">
        <v>4607.8440000000001</v>
      </c>
      <c r="AB65" s="75">
        <v>4683.49</v>
      </c>
      <c r="AC65" s="76">
        <v>4745.7870000000003</v>
      </c>
      <c r="AD65" s="76">
        <v>4732.0879999999997</v>
      </c>
      <c r="AE65" s="76">
        <v>4805.5879999999997</v>
      </c>
      <c r="AF65" s="75">
        <v>4034.873</v>
      </c>
      <c r="AG65" s="76">
        <v>3966.047</v>
      </c>
      <c r="AH65" s="76">
        <v>3790.1689999999999</v>
      </c>
      <c r="AI65" s="76">
        <v>3683.1170000000002</v>
      </c>
      <c r="AJ65" s="75">
        <v>3495.5610000000001</v>
      </c>
      <c r="AK65" s="76">
        <v>3317.578</v>
      </c>
      <c r="AL65" s="76">
        <v>3153.4630000000002</v>
      </c>
      <c r="AM65" s="76">
        <v>2945.643</v>
      </c>
      <c r="AN65" s="75">
        <v>2789.5340000000001</v>
      </c>
      <c r="AO65" s="76">
        <v>2801.3159999999998</v>
      </c>
      <c r="AP65" s="76">
        <v>2796.7640000000001</v>
      </c>
      <c r="AQ65" s="76">
        <v>2941.65</v>
      </c>
      <c r="AR65" s="75">
        <v>2966.0970000000002</v>
      </c>
      <c r="AS65" s="76">
        <v>3049.864</v>
      </c>
      <c r="AT65" s="76">
        <v>3041.4</v>
      </c>
      <c r="AU65" s="76">
        <v>3099.5479999999998</v>
      </c>
      <c r="AV65" s="75">
        <v>3101.7730000000001</v>
      </c>
      <c r="AW65" s="76">
        <v>2989.011</v>
      </c>
      <c r="AX65" s="76">
        <v>2975.4259999999999</v>
      </c>
      <c r="AY65" s="76">
        <v>3028.9209999999998</v>
      </c>
      <c r="AZ65" s="75">
        <v>3038.732</v>
      </c>
      <c r="BA65" s="76">
        <v>3075.5790000000002</v>
      </c>
      <c r="BB65" s="76">
        <v>3057.5349999999999</v>
      </c>
      <c r="BC65" s="79">
        <v>3016.7750000000001</v>
      </c>
      <c r="BD65" s="75">
        <v>2876.5070000000001</v>
      </c>
      <c r="BE65" s="76">
        <v>2752.5410000000002</v>
      </c>
      <c r="BF65" s="76">
        <v>2669.7750000000001</v>
      </c>
      <c r="BG65" s="79">
        <v>2733.2919999999999</v>
      </c>
      <c r="BH65" s="74">
        <f>BG65+CFS!BH14+CFS!BH17+CFS!BH43</f>
        <v>2754.6856199999997</v>
      </c>
      <c r="BI65" s="74">
        <f>BH65+CFS!BI14+CFS!BI17+CFS!BI43</f>
        <v>2776.0960261999999</v>
      </c>
      <c r="BJ65" s="74">
        <f>BI65+CFS!BJ14+CFS!BJ17+CFS!BJ43</f>
        <v>2797.523386462</v>
      </c>
      <c r="BK65" s="100">
        <f>BJ65+CFS!BK14+CFS!BK17+CFS!BK43</f>
        <v>2818.96787032662</v>
      </c>
      <c r="BL65" s="74">
        <f>BK65+CFS!BL14+CFS!BL17+CFS!BL43</f>
        <v>2840.4296490298861</v>
      </c>
      <c r="BM65" s="74">
        <f>BL65+CFS!BM14+CFS!BM17+CFS!BM43</f>
        <v>2861.9088955201851</v>
      </c>
      <c r="BN65" s="74">
        <f>BM65+CFS!BN14+CFS!BN17+CFS!BN43</f>
        <v>2883.405784475387</v>
      </c>
      <c r="BO65" s="100">
        <f>BN65+CFS!BO14+CFS!BO17+CFS!BO43</f>
        <v>2904.920492320141</v>
      </c>
      <c r="BP65" s="247"/>
      <c r="BQ65" s="74">
        <f>G65</f>
        <v>3035.2</v>
      </c>
      <c r="BR65" s="74">
        <f>K65</f>
        <v>3634.239</v>
      </c>
      <c r="BS65" s="74">
        <f>O65</f>
        <v>3802.509</v>
      </c>
      <c r="BT65" s="74">
        <f>S65</f>
        <v>4100.6589999999997</v>
      </c>
      <c r="BU65" s="74">
        <f>W65</f>
        <v>4372.2650000000003</v>
      </c>
      <c r="BV65" s="74">
        <f>AA65</f>
        <v>4607.8440000000001</v>
      </c>
      <c r="BW65" s="74">
        <f>AE65</f>
        <v>4805.5879999999997</v>
      </c>
      <c r="BX65" s="74">
        <f>AI65</f>
        <v>3683.1170000000002</v>
      </c>
      <c r="BY65" s="74">
        <f>AM65</f>
        <v>2945.643</v>
      </c>
      <c r="BZ65" s="74">
        <f>AQ65</f>
        <v>2941.65</v>
      </c>
      <c r="CA65" s="74">
        <f>AU65</f>
        <v>3099.5479999999998</v>
      </c>
      <c r="CB65" s="74">
        <f>AY65</f>
        <v>3028.9209999999998</v>
      </c>
      <c r="CC65" s="74">
        <f>BC65</f>
        <v>3016.7750000000001</v>
      </c>
      <c r="CD65" s="74">
        <f>BG65</f>
        <v>2733.2919999999999</v>
      </c>
      <c r="CE65" s="74">
        <f>BK65</f>
        <v>2818.96787032662</v>
      </c>
      <c r="CF65" s="74">
        <f t="shared" si="244"/>
        <v>2904.920492320141</v>
      </c>
      <c r="CG65" s="74">
        <f>CF65+CFS!CG14+CFS!CG17+CFS!CG43+CFS!CG39+CFS!CG40</f>
        <v>2990.6645213500274</v>
      </c>
      <c r="CH65" s="336"/>
    </row>
    <row r="66" spans="2:86" ht="14.25">
      <c r="B66" s="50" t="s">
        <v>279</v>
      </c>
      <c r="C66" s="96"/>
      <c r="D66" s="75">
        <v>-6.3620000000000001</v>
      </c>
      <c r="E66" s="76">
        <v>-4.976</v>
      </c>
      <c r="F66" s="76">
        <v>-3.8730000000000002</v>
      </c>
      <c r="G66" s="79">
        <v>-3.4</v>
      </c>
      <c r="H66" s="75">
        <v>-2.528</v>
      </c>
      <c r="I66" s="76">
        <v>-1.966</v>
      </c>
      <c r="J66" s="76">
        <v>-1.4890000000000001</v>
      </c>
      <c r="K66" s="79">
        <v>-61.987000000000002</v>
      </c>
      <c r="L66" s="75">
        <v>0</v>
      </c>
      <c r="M66" s="76">
        <v>0</v>
      </c>
      <c r="N66" s="76">
        <v>0</v>
      </c>
      <c r="O66" s="79">
        <v>0</v>
      </c>
      <c r="P66" s="75">
        <v>0</v>
      </c>
      <c r="Q66" s="76">
        <v>0</v>
      </c>
      <c r="R66" s="76">
        <v>0</v>
      </c>
      <c r="S66" s="79">
        <v>0</v>
      </c>
      <c r="T66" s="75">
        <v>0</v>
      </c>
      <c r="U66" s="76">
        <v>0</v>
      </c>
      <c r="V66" s="76">
        <v>0</v>
      </c>
      <c r="W66" s="79">
        <v>0</v>
      </c>
      <c r="X66" s="75">
        <v>0</v>
      </c>
      <c r="Y66" s="76">
        <v>0</v>
      </c>
      <c r="Z66" s="76">
        <v>0</v>
      </c>
      <c r="AA66" s="76">
        <v>0</v>
      </c>
      <c r="AB66" s="75">
        <v>0</v>
      </c>
      <c r="AC66" s="76">
        <v>0</v>
      </c>
      <c r="AD66" s="76">
        <v>0</v>
      </c>
      <c r="AE66" s="79">
        <v>0</v>
      </c>
      <c r="AF66" s="75">
        <v>0</v>
      </c>
      <c r="AG66" s="76">
        <v>0</v>
      </c>
      <c r="AH66" s="76">
        <v>0</v>
      </c>
      <c r="AI66" s="79">
        <v>0</v>
      </c>
      <c r="AJ66" s="75">
        <v>0</v>
      </c>
      <c r="AK66" s="76">
        <v>0</v>
      </c>
      <c r="AL66" s="76">
        <v>0</v>
      </c>
      <c r="AM66" s="79">
        <v>0</v>
      </c>
      <c r="AN66" s="75">
        <v>0</v>
      </c>
      <c r="AO66" s="76">
        <v>0</v>
      </c>
      <c r="AP66" s="76">
        <v>0</v>
      </c>
      <c r="AQ66" s="79">
        <v>0</v>
      </c>
      <c r="AR66" s="75">
        <v>0</v>
      </c>
      <c r="AS66" s="76">
        <v>0</v>
      </c>
      <c r="AT66" s="76">
        <v>0</v>
      </c>
      <c r="AU66" s="79">
        <v>0</v>
      </c>
      <c r="AV66" s="75">
        <v>0</v>
      </c>
      <c r="AW66" s="76">
        <v>0</v>
      </c>
      <c r="AX66" s="76">
        <v>0</v>
      </c>
      <c r="AY66" s="79">
        <v>0</v>
      </c>
      <c r="AZ66" s="75">
        <v>0</v>
      </c>
      <c r="BA66" s="76">
        <v>0</v>
      </c>
      <c r="BB66" s="76">
        <v>0</v>
      </c>
      <c r="BC66" s="79">
        <v>0</v>
      </c>
      <c r="BD66" s="75">
        <v>0</v>
      </c>
      <c r="BE66" s="76">
        <f t="shared" ref="BE66" si="254">BD66</f>
        <v>0</v>
      </c>
      <c r="BF66" s="76">
        <v>0</v>
      </c>
      <c r="BG66" s="79">
        <v>0</v>
      </c>
      <c r="BH66" s="74">
        <f t="shared" ref="BH66" si="255">BG66</f>
        <v>0</v>
      </c>
      <c r="BI66" s="74">
        <f t="shared" ref="BI66" si="256">BH66</f>
        <v>0</v>
      </c>
      <c r="BJ66" s="74">
        <f t="shared" ref="BJ66" si="257">BI66</f>
        <v>0</v>
      </c>
      <c r="BK66" s="100">
        <f t="shared" ref="BK66" si="258">BJ66</f>
        <v>0</v>
      </c>
      <c r="BL66" s="74">
        <f t="shared" ref="BL66" si="259">BK66</f>
        <v>0</v>
      </c>
      <c r="BM66" s="74">
        <f t="shared" ref="BM66" si="260">BL66</f>
        <v>0</v>
      </c>
      <c r="BN66" s="74">
        <f t="shared" ref="BN66" si="261">BM66</f>
        <v>0</v>
      </c>
      <c r="BO66" s="100">
        <f t="shared" ref="BO66" si="262">BN66</f>
        <v>0</v>
      </c>
      <c r="BP66" s="247"/>
      <c r="BQ66" s="74">
        <f>G66</f>
        <v>-3.4</v>
      </c>
      <c r="BR66" s="74">
        <f>K66</f>
        <v>-61.987000000000002</v>
      </c>
      <c r="BS66" s="74">
        <f>O66</f>
        <v>0</v>
      </c>
      <c r="BT66" s="74">
        <f>S66</f>
        <v>0</v>
      </c>
      <c r="BU66" s="74">
        <f>W66</f>
        <v>0</v>
      </c>
      <c r="BV66" s="74">
        <f>AA66</f>
        <v>0</v>
      </c>
      <c r="BW66" s="74">
        <f>AE66</f>
        <v>0</v>
      </c>
      <c r="BX66" s="74">
        <f>AI66</f>
        <v>0</v>
      </c>
      <c r="BY66" s="74">
        <f>AM66</f>
        <v>0</v>
      </c>
      <c r="BZ66" s="74">
        <f>AQ66</f>
        <v>0</v>
      </c>
      <c r="CA66" s="74">
        <f>AU66</f>
        <v>0</v>
      </c>
      <c r="CB66" s="74">
        <f>AY66</f>
        <v>0</v>
      </c>
      <c r="CC66" s="74">
        <f>BC66</f>
        <v>0</v>
      </c>
      <c r="CD66" s="74">
        <f>BG66</f>
        <v>0</v>
      </c>
      <c r="CE66" s="74">
        <f>BK66</f>
        <v>0</v>
      </c>
      <c r="CF66" s="74">
        <f t="shared" si="244"/>
        <v>0</v>
      </c>
      <c r="CG66" s="74">
        <f>CF66</f>
        <v>0</v>
      </c>
      <c r="CH66" s="336"/>
    </row>
    <row r="67" spans="2:86" ht="15">
      <c r="B67" s="142" t="s">
        <v>133</v>
      </c>
      <c r="C67" s="143"/>
      <c r="D67" s="144">
        <f t="shared" ref="D67:BZ67" si="263">SUM(D62:D66)</f>
        <v>2891.3069999999998</v>
      </c>
      <c r="E67" s="145">
        <f t="shared" si="263"/>
        <v>2932.973</v>
      </c>
      <c r="F67" s="145">
        <f t="shared" si="263"/>
        <v>2980.4789999999998</v>
      </c>
      <c r="G67" s="146">
        <f t="shared" si="263"/>
        <v>3032.3549999999996</v>
      </c>
      <c r="H67" s="144">
        <f t="shared" si="263"/>
        <v>3053.3460000000005</v>
      </c>
      <c r="I67" s="145">
        <f t="shared" si="263"/>
        <v>3085.3490000000002</v>
      </c>
      <c r="J67" s="145">
        <f t="shared" si="263"/>
        <v>3099.94</v>
      </c>
      <c r="K67" s="146">
        <f>SUM(K62:K66)</f>
        <v>3573.4169999999999</v>
      </c>
      <c r="L67" s="144">
        <f t="shared" si="263"/>
        <v>3625.049</v>
      </c>
      <c r="M67" s="145">
        <f t="shared" si="263"/>
        <v>3703.6080000000002</v>
      </c>
      <c r="N67" s="145">
        <f t="shared" si="263"/>
        <v>3748.8010000000004</v>
      </c>
      <c r="O67" s="146">
        <f t="shared" si="263"/>
        <v>3803.6840000000002</v>
      </c>
      <c r="P67" s="144">
        <f t="shared" si="263"/>
        <v>3850.4520000000002</v>
      </c>
      <c r="Q67" s="145">
        <f t="shared" si="263"/>
        <v>3912.9580000000001</v>
      </c>
      <c r="R67" s="145">
        <f t="shared" si="263"/>
        <v>3998.2219999999998</v>
      </c>
      <c r="S67" s="146">
        <f t="shared" si="263"/>
        <v>4101.8589999999995</v>
      </c>
      <c r="T67" s="144">
        <f t="shared" si="263"/>
        <v>4159.8320000000003</v>
      </c>
      <c r="U67" s="145">
        <f t="shared" si="263"/>
        <v>4257.6049999999996</v>
      </c>
      <c r="V67" s="145">
        <f t="shared" si="263"/>
        <v>4310.7379999999994</v>
      </c>
      <c r="W67" s="146">
        <f t="shared" si="263"/>
        <v>4373.4980000000005</v>
      </c>
      <c r="X67" s="144">
        <f t="shared" si="263"/>
        <v>4403.4050000000007</v>
      </c>
      <c r="Y67" s="145">
        <f t="shared" si="263"/>
        <v>4454.4219999999996</v>
      </c>
      <c r="Z67" s="145">
        <f t="shared" si="263"/>
        <v>4502.5069999999996</v>
      </c>
      <c r="AA67" s="145">
        <f t="shared" si="263"/>
        <v>4609.1210000000001</v>
      </c>
      <c r="AB67" s="144">
        <f t="shared" si="263"/>
        <v>4684.7779999999993</v>
      </c>
      <c r="AC67" s="145">
        <f t="shared" si="263"/>
        <v>4747.0870000000004</v>
      </c>
      <c r="AD67" s="145">
        <f t="shared" si="263"/>
        <v>4733.3849999999993</v>
      </c>
      <c r="AE67" s="146">
        <f t="shared" si="263"/>
        <v>4806.9049999999997</v>
      </c>
      <c r="AF67" s="144">
        <f t="shared" ref="AF67:AU67" si="264">SUM(AF62:AF66)</f>
        <v>4036.0909999999999</v>
      </c>
      <c r="AG67" s="145">
        <f t="shared" si="264"/>
        <v>3967.2539999999999</v>
      </c>
      <c r="AH67" s="145">
        <f t="shared" si="264"/>
        <v>3791.348</v>
      </c>
      <c r="AI67" s="146">
        <f t="shared" si="263"/>
        <v>3684.279</v>
      </c>
      <c r="AJ67" s="144">
        <f t="shared" si="264"/>
        <v>3496.7070000000003</v>
      </c>
      <c r="AK67" s="145">
        <f t="shared" si="264"/>
        <v>3318.6929999999998</v>
      </c>
      <c r="AL67" s="145">
        <f t="shared" si="264"/>
        <v>3154.5360000000001</v>
      </c>
      <c r="AM67" s="146">
        <f t="shared" si="263"/>
        <v>2946.66</v>
      </c>
      <c r="AN67" s="144">
        <f t="shared" si="264"/>
        <v>2790.5219999999999</v>
      </c>
      <c r="AO67" s="145">
        <f t="shared" si="264"/>
        <v>2802.3039999999996</v>
      </c>
      <c r="AP67" s="145">
        <f t="shared" si="264"/>
        <v>2797.7440000000001</v>
      </c>
      <c r="AQ67" s="146">
        <f t="shared" si="264"/>
        <v>2942.6550000000002</v>
      </c>
      <c r="AR67" s="144">
        <f t="shared" si="264"/>
        <v>2967.1130000000003</v>
      </c>
      <c r="AS67" s="145">
        <f>SUM(AS62:AS66)</f>
        <v>3050.8919999999998</v>
      </c>
      <c r="AT67" s="145">
        <f>SUM(AT62:AT66)</f>
        <v>3042.422</v>
      </c>
      <c r="AU67" s="146">
        <f t="shared" si="264"/>
        <v>3100.578</v>
      </c>
      <c r="AV67" s="144">
        <f>SUM(AV62:AV66)</f>
        <v>3102.8090000000002</v>
      </c>
      <c r="AW67" s="145">
        <f>SUM(AW62:AW66)</f>
        <v>2990.0259999999998</v>
      </c>
      <c r="AX67" s="145">
        <f t="shared" ref="AX67:AY67" si="265">SUM(AX62:AX66)</f>
        <v>2976.4360000000001</v>
      </c>
      <c r="AY67" s="146">
        <f t="shared" si="265"/>
        <v>3029.9359999999997</v>
      </c>
      <c r="AZ67" s="144">
        <f>SUM(AZ62:AZ66)</f>
        <v>3039.7539999999999</v>
      </c>
      <c r="BA67" s="145">
        <f>SUM(BA62:BA66)</f>
        <v>3076.6010000000001</v>
      </c>
      <c r="BB67" s="145">
        <f t="shared" ref="BB67:BC67" si="266">SUM(BB62:BB66)</f>
        <v>3058.5519999999997</v>
      </c>
      <c r="BC67" s="146">
        <f t="shared" si="266"/>
        <v>3017.7870000000003</v>
      </c>
      <c r="BD67" s="144">
        <f>SUM(BD62:BD66)</f>
        <v>2877.5080000000003</v>
      </c>
      <c r="BE67" s="145">
        <f t="shared" ref="BE67:BG67" si="267">SUM(BE62:BE66)</f>
        <v>2753.5320000000002</v>
      </c>
      <c r="BF67" s="145">
        <f t="shared" si="267"/>
        <v>2670.7570000000001</v>
      </c>
      <c r="BG67" s="146">
        <f t="shared" si="267"/>
        <v>2734.2829999999999</v>
      </c>
      <c r="BH67" s="145">
        <f t="shared" ref="BH67:BK67" si="268">SUM(BH62:BH66)</f>
        <v>2755.6766199999997</v>
      </c>
      <c r="BI67" s="145">
        <f t="shared" si="268"/>
        <v>2777.0870261999999</v>
      </c>
      <c r="BJ67" s="145">
        <f t="shared" si="268"/>
        <v>2798.5143864619999</v>
      </c>
      <c r="BK67" s="146">
        <f t="shared" si="268"/>
        <v>2819.9588703266199</v>
      </c>
      <c r="BL67" s="145">
        <f t="shared" ref="BL67:BO67" si="269">SUM(BL62:BL66)</f>
        <v>2841.4206490298861</v>
      </c>
      <c r="BM67" s="145">
        <f t="shared" si="269"/>
        <v>2862.8998955201851</v>
      </c>
      <c r="BN67" s="145">
        <f t="shared" si="269"/>
        <v>2884.396784475387</v>
      </c>
      <c r="BO67" s="146">
        <f t="shared" si="269"/>
        <v>2905.911492320141</v>
      </c>
      <c r="BP67" s="247"/>
      <c r="BQ67" s="145">
        <f t="shared" si="263"/>
        <v>3032.3549999999996</v>
      </c>
      <c r="BR67" s="145">
        <f t="shared" si="263"/>
        <v>3573.4169999999999</v>
      </c>
      <c r="BS67" s="145">
        <f t="shared" si="263"/>
        <v>3803.6840000000002</v>
      </c>
      <c r="BT67" s="145">
        <f t="shared" si="263"/>
        <v>4101.8589999999995</v>
      </c>
      <c r="BU67" s="145">
        <f t="shared" si="263"/>
        <v>4373.4980000000005</v>
      </c>
      <c r="BV67" s="145">
        <f t="shared" si="263"/>
        <v>4609.1210000000001</v>
      </c>
      <c r="BW67" s="145">
        <f t="shared" si="263"/>
        <v>4806.9049999999997</v>
      </c>
      <c r="BX67" s="145">
        <f t="shared" si="263"/>
        <v>3684.279</v>
      </c>
      <c r="BY67" s="145">
        <f t="shared" si="263"/>
        <v>2946.66</v>
      </c>
      <c r="BZ67" s="145">
        <f t="shared" si="263"/>
        <v>2942.6550000000002</v>
      </c>
      <c r="CA67" s="145">
        <f t="shared" ref="CA67:CE67" si="270">SUM(CA62:CA66)</f>
        <v>3100.578</v>
      </c>
      <c r="CB67" s="145">
        <f t="shared" si="270"/>
        <v>3029.9359999999997</v>
      </c>
      <c r="CC67" s="145">
        <f t="shared" si="270"/>
        <v>3017.7870000000003</v>
      </c>
      <c r="CD67" s="145">
        <f t="shared" si="270"/>
        <v>2734.2829999999999</v>
      </c>
      <c r="CE67" s="145">
        <f t="shared" si="270"/>
        <v>2819.9588703266199</v>
      </c>
      <c r="CF67" s="145">
        <f t="shared" ref="CF67:CG67" si="271">SUM(CF62:CF66)</f>
        <v>2905.911492320141</v>
      </c>
      <c r="CG67" s="145">
        <f t="shared" si="271"/>
        <v>2991.6555213500274</v>
      </c>
      <c r="CH67" s="336"/>
    </row>
    <row r="68" spans="2:86" ht="14.25">
      <c r="B68" s="50" t="s">
        <v>134</v>
      </c>
      <c r="C68" s="96"/>
      <c r="D68" s="75">
        <v>0</v>
      </c>
      <c r="E68" s="76">
        <v>0</v>
      </c>
      <c r="F68" s="76">
        <v>0</v>
      </c>
      <c r="G68" s="79">
        <v>0</v>
      </c>
      <c r="H68" s="75">
        <v>0</v>
      </c>
      <c r="I68" s="76">
        <v>0</v>
      </c>
      <c r="J68" s="76">
        <v>0</v>
      </c>
      <c r="K68" s="79">
        <v>0</v>
      </c>
      <c r="L68" s="75"/>
      <c r="M68" s="76">
        <v>0</v>
      </c>
      <c r="N68" s="76">
        <v>0</v>
      </c>
      <c r="O68" s="79">
        <v>0</v>
      </c>
      <c r="P68" s="75">
        <v>0</v>
      </c>
      <c r="Q68" s="76">
        <v>0</v>
      </c>
      <c r="R68" s="76">
        <v>0</v>
      </c>
      <c r="S68" s="79">
        <v>0</v>
      </c>
      <c r="T68" s="75">
        <v>0</v>
      </c>
      <c r="U68" s="76">
        <v>0</v>
      </c>
      <c r="V68" s="76">
        <v>0</v>
      </c>
      <c r="W68" s="79">
        <v>0</v>
      </c>
      <c r="X68" s="75">
        <v>0</v>
      </c>
      <c r="Y68" s="76">
        <v>0</v>
      </c>
      <c r="Z68" s="76">
        <v>0</v>
      </c>
      <c r="AA68" s="76">
        <v>0</v>
      </c>
      <c r="AB68" s="75">
        <v>0</v>
      </c>
      <c r="AC68" s="76">
        <v>0</v>
      </c>
      <c r="AD68" s="76">
        <v>0</v>
      </c>
      <c r="AE68" s="79">
        <v>0</v>
      </c>
      <c r="AF68" s="75">
        <v>0</v>
      </c>
      <c r="AG68" s="76">
        <v>0</v>
      </c>
      <c r="AH68" s="76">
        <v>0</v>
      </c>
      <c r="AI68" s="79">
        <v>0</v>
      </c>
      <c r="AJ68" s="75">
        <v>0</v>
      </c>
      <c r="AK68" s="76">
        <v>0</v>
      </c>
      <c r="AL68" s="76">
        <v>0</v>
      </c>
      <c r="AM68" s="79">
        <v>0</v>
      </c>
      <c r="AN68" s="75">
        <v>0</v>
      </c>
      <c r="AO68" s="76">
        <v>0</v>
      </c>
      <c r="AP68" s="76">
        <v>0</v>
      </c>
      <c r="AQ68" s="79">
        <v>0</v>
      </c>
      <c r="AR68" s="75">
        <v>0</v>
      </c>
      <c r="AS68" s="76">
        <v>0</v>
      </c>
      <c r="AT68" s="76">
        <v>0</v>
      </c>
      <c r="AU68" s="79">
        <v>0</v>
      </c>
      <c r="AV68" s="75">
        <v>0</v>
      </c>
      <c r="AW68" s="76">
        <v>0</v>
      </c>
      <c r="AX68" s="76">
        <v>0</v>
      </c>
      <c r="AY68" s="79">
        <v>0</v>
      </c>
      <c r="AZ68" s="75">
        <v>0</v>
      </c>
      <c r="BA68" s="76">
        <v>0</v>
      </c>
      <c r="BB68" s="76">
        <v>0</v>
      </c>
      <c r="BC68" s="79">
        <v>0</v>
      </c>
      <c r="BD68" s="75">
        <v>0</v>
      </c>
      <c r="BE68" s="76">
        <f t="shared" ref="BE68" si="272">BD68</f>
        <v>0</v>
      </c>
      <c r="BF68" s="76">
        <v>0</v>
      </c>
      <c r="BG68" s="79">
        <v>0</v>
      </c>
      <c r="BH68" s="74">
        <f t="shared" ref="BH68" si="273">BG68</f>
        <v>0</v>
      </c>
      <c r="BI68" s="74">
        <f t="shared" ref="BI68" si="274">BH68</f>
        <v>0</v>
      </c>
      <c r="BJ68" s="74">
        <f t="shared" ref="BJ68" si="275">BI68</f>
        <v>0</v>
      </c>
      <c r="BK68" s="100">
        <f t="shared" ref="BK68" si="276">BJ68</f>
        <v>0</v>
      </c>
      <c r="BL68" s="74">
        <f t="shared" ref="BL68" si="277">BK68</f>
        <v>0</v>
      </c>
      <c r="BM68" s="74">
        <f t="shared" ref="BM68" si="278">BL68</f>
        <v>0</v>
      </c>
      <c r="BN68" s="74">
        <f t="shared" ref="BN68" si="279">BM68</f>
        <v>0</v>
      </c>
      <c r="BO68" s="100">
        <f t="shared" ref="BO68" si="280">BN68</f>
        <v>0</v>
      </c>
      <c r="BP68" s="247"/>
      <c r="BQ68" s="74">
        <f>G68</f>
        <v>0</v>
      </c>
      <c r="BR68" s="74">
        <f>K68</f>
        <v>0</v>
      </c>
      <c r="BS68" s="74">
        <f>O68</f>
        <v>0</v>
      </c>
      <c r="BT68" s="74">
        <f>S68</f>
        <v>0</v>
      </c>
      <c r="BU68" s="74">
        <f>W68</f>
        <v>0</v>
      </c>
      <c r="BV68" s="74">
        <f>AA68</f>
        <v>0</v>
      </c>
      <c r="BW68" s="74">
        <f>AE68</f>
        <v>0</v>
      </c>
      <c r="BX68" s="74">
        <f>AI68</f>
        <v>0</v>
      </c>
      <c r="BY68" s="74">
        <f>AM68</f>
        <v>0</v>
      </c>
      <c r="BZ68" s="74">
        <f>AQ68</f>
        <v>0</v>
      </c>
      <c r="CA68" s="74">
        <f>AU68</f>
        <v>0</v>
      </c>
      <c r="CB68" s="74">
        <f>AY68</f>
        <v>0</v>
      </c>
      <c r="CC68" s="74">
        <f>AZ68</f>
        <v>0</v>
      </c>
      <c r="CD68" s="74">
        <f>BA68</f>
        <v>0</v>
      </c>
      <c r="CE68" s="74">
        <f>BB68</f>
        <v>0</v>
      </c>
      <c r="CF68" s="74">
        <f>BC68</f>
        <v>0</v>
      </c>
      <c r="CG68" s="74">
        <f>CF68</f>
        <v>0</v>
      </c>
      <c r="CH68" s="336"/>
    </row>
    <row r="69" spans="2:86" ht="14.25">
      <c r="B69" s="50" t="s">
        <v>135</v>
      </c>
      <c r="C69" s="96"/>
      <c r="D69" s="75">
        <v>-660.28200000000004</v>
      </c>
      <c r="E69" s="76">
        <v>-631.65800000000002</v>
      </c>
      <c r="F69" s="76">
        <v>-588.06299999999999</v>
      </c>
      <c r="G69" s="79">
        <v>-533.11800000000005</v>
      </c>
      <c r="H69" s="75">
        <v>-469.58600000000001</v>
      </c>
      <c r="I69" s="76">
        <v>-392.28399999999999</v>
      </c>
      <c r="J69" s="76">
        <v>-299.238</v>
      </c>
      <c r="K69" s="79">
        <v>-564.43299999999999</v>
      </c>
      <c r="L69" s="75">
        <v>-486.87</v>
      </c>
      <c r="M69" s="76">
        <v>-441.98899999999998</v>
      </c>
      <c r="N69" s="76">
        <v>-435.94299999999998</v>
      </c>
      <c r="O69" s="79">
        <v>-576.52800000000002</v>
      </c>
      <c r="P69" s="75">
        <v>-629.35599999999999</v>
      </c>
      <c r="Q69" s="76">
        <v>-685.81200000000001</v>
      </c>
      <c r="R69" s="76">
        <v>-692.24800000000005</v>
      </c>
      <c r="S69" s="79">
        <v>-690.95500000000004</v>
      </c>
      <c r="T69" s="75">
        <v>-621.01599999999996</v>
      </c>
      <c r="U69" s="76">
        <v>-549.649</v>
      </c>
      <c r="V69" s="76">
        <v>-478.70299999999997</v>
      </c>
      <c r="W69" s="79">
        <v>-543.71299999999997</v>
      </c>
      <c r="X69" s="75">
        <v>-655.16999999999996</v>
      </c>
      <c r="Y69" s="76">
        <v>-596.67700000000002</v>
      </c>
      <c r="Z69" s="76">
        <v>-395.07799999999997</v>
      </c>
      <c r="AA69" s="76">
        <v>-190.25700000000001</v>
      </c>
      <c r="AB69" s="75">
        <v>15.51</v>
      </c>
      <c r="AC69" s="76">
        <v>235.28700000000001</v>
      </c>
      <c r="AD69" s="76">
        <v>491.01900000000001</v>
      </c>
      <c r="AE69" s="76">
        <v>713.87199999999996</v>
      </c>
      <c r="AF69" s="75">
        <v>860.73299999999995</v>
      </c>
      <c r="AG69" s="76">
        <v>1053.125</v>
      </c>
      <c r="AH69" s="76">
        <v>1248.2460000000001</v>
      </c>
      <c r="AI69" s="76">
        <v>1328.963</v>
      </c>
      <c r="AJ69" s="75">
        <v>1423.5060000000001</v>
      </c>
      <c r="AK69" s="76">
        <v>1483.0429999999999</v>
      </c>
      <c r="AL69" s="76">
        <v>1518.383</v>
      </c>
      <c r="AM69" s="76">
        <v>1536.787</v>
      </c>
      <c r="AN69" s="75">
        <v>1559.7429999999999</v>
      </c>
      <c r="AO69" s="76">
        <v>1591.778</v>
      </c>
      <c r="AP69" s="76">
        <v>1665.4179999999999</v>
      </c>
      <c r="AQ69" s="76">
        <v>1732.6579999999999</v>
      </c>
      <c r="AR69" s="75">
        <v>1801.9649999999999</v>
      </c>
      <c r="AS69" s="76">
        <v>1910.0150000000001</v>
      </c>
      <c r="AT69" s="76">
        <v>1994.452</v>
      </c>
      <c r="AU69" s="76">
        <v>2045.203</v>
      </c>
      <c r="AV69" s="75">
        <v>2028.383</v>
      </c>
      <c r="AW69" s="76">
        <v>1225.249</v>
      </c>
      <c r="AX69" s="76">
        <v>1137.229</v>
      </c>
      <c r="AY69" s="76">
        <v>1110.982</v>
      </c>
      <c r="AZ69" s="75">
        <v>1057.8420000000001</v>
      </c>
      <c r="BA69" s="76">
        <v>1078.472</v>
      </c>
      <c r="BB69" s="76">
        <v>1120.3889999999999</v>
      </c>
      <c r="BC69" s="79">
        <v>1009.841</v>
      </c>
      <c r="BD69" s="75">
        <v>1084.502</v>
      </c>
      <c r="BE69" s="76">
        <v>1219.6659999999999</v>
      </c>
      <c r="BF69" s="76">
        <v>1390.384</v>
      </c>
      <c r="BG69" s="79">
        <v>1409.452</v>
      </c>
      <c r="BH69" s="74">
        <f>BG69+IS!BH106+CFS!BH39+CFS!BH42</f>
        <v>1514.6487118571499</v>
      </c>
      <c r="BI69" s="74">
        <f>BH69+IS!BI106+CFS!BI39+CFS!BI42</f>
        <v>1630.1741980788152</v>
      </c>
      <c r="BJ69" s="74">
        <f>BI69+IS!BJ106+CFS!BJ39+CFS!BJ42</f>
        <v>1753.2291056151655</v>
      </c>
      <c r="BK69" s="100">
        <f>BJ69+IS!BK106+CFS!BK39+CFS!BK42</f>
        <v>1876.3759495607878</v>
      </c>
      <c r="BL69" s="74">
        <f>BK69+IS!BL106+CFS!BL39+CFS!BL42</f>
        <v>1990.7501078344776</v>
      </c>
      <c r="BM69" s="74">
        <f>BL69+IS!BM106+CFS!BM39+CFS!BM42</f>
        <v>2115.0411895808011</v>
      </c>
      <c r="BN69" s="74">
        <f>BM69+IS!BN106+CFS!BN39+CFS!BN42</f>
        <v>2245.3590735130329</v>
      </c>
      <c r="BO69" s="100">
        <f>BN69+IS!BO106+CFS!BO39+CFS!BO42</f>
        <v>2374.7688013046968</v>
      </c>
      <c r="BP69" s="247"/>
      <c r="BQ69" s="74">
        <f>G69</f>
        <v>-533.11800000000005</v>
      </c>
      <c r="BR69" s="74">
        <f>K69</f>
        <v>-564.43299999999999</v>
      </c>
      <c r="BS69" s="74">
        <f>O69</f>
        <v>-576.52800000000002</v>
      </c>
      <c r="BT69" s="74">
        <f>S69</f>
        <v>-690.95500000000004</v>
      </c>
      <c r="BU69" s="74">
        <f>W69</f>
        <v>-543.71299999999997</v>
      </c>
      <c r="BV69" s="74">
        <f>AA69</f>
        <v>-190.25700000000001</v>
      </c>
      <c r="BW69" s="74">
        <f>AE69</f>
        <v>713.87199999999996</v>
      </c>
      <c r="BX69" s="74">
        <f>AI69</f>
        <v>1328.963</v>
      </c>
      <c r="BY69" s="74">
        <f>AM69</f>
        <v>1536.787</v>
      </c>
      <c r="BZ69" s="74">
        <f>AQ69</f>
        <v>1732.6579999999999</v>
      </c>
      <c r="CA69" s="74">
        <f>AU69</f>
        <v>2045.203</v>
      </c>
      <c r="CB69" s="74">
        <f>AY69</f>
        <v>1110.982</v>
      </c>
      <c r="CC69" s="74">
        <f>BC69</f>
        <v>1009.841</v>
      </c>
      <c r="CD69" s="74">
        <f>BG69</f>
        <v>1409.452</v>
      </c>
      <c r="CE69" s="74">
        <f>BK69</f>
        <v>1876.3759495607878</v>
      </c>
      <c r="CF69" s="74">
        <f>BO69</f>
        <v>2374.7688013046968</v>
      </c>
      <c r="CG69" s="74">
        <f>CF69+IS!CG106</f>
        <v>3001.8480395003262</v>
      </c>
      <c r="CH69" s="336"/>
    </row>
    <row r="70" spans="2:86" ht="14.25">
      <c r="B70" s="50" t="s">
        <v>136</v>
      </c>
      <c r="C70" s="96"/>
      <c r="D70" s="75">
        <v>-0.94499999999999995</v>
      </c>
      <c r="E70" s="76">
        <v>-1.5640000000000001</v>
      </c>
      <c r="F70" s="76">
        <v>-0.498</v>
      </c>
      <c r="G70" s="79">
        <v>-1.8069999999999999</v>
      </c>
      <c r="H70" s="75">
        <v>-2.5369999999999999</v>
      </c>
      <c r="I70" s="76">
        <v>-2.6819999999999999</v>
      </c>
      <c r="J70" s="76">
        <v>-2.2069999999999999</v>
      </c>
      <c r="K70" s="79">
        <v>-1.7589999999999999</v>
      </c>
      <c r="L70" s="75">
        <v>-1.353</v>
      </c>
      <c r="M70" s="76">
        <v>-1.2589999999999999</v>
      </c>
      <c r="N70" s="76">
        <v>-0.10199999999999999</v>
      </c>
      <c r="O70" s="79">
        <v>2.8000000000000001E-2</v>
      </c>
      <c r="P70" s="75">
        <v>0.223</v>
      </c>
      <c r="Q70" s="76">
        <v>0.35199999999999998</v>
      </c>
      <c r="R70" s="76">
        <v>0.495</v>
      </c>
      <c r="S70" s="79">
        <v>0.61499999999999999</v>
      </c>
      <c r="T70" s="75">
        <v>-1.083</v>
      </c>
      <c r="U70" s="76">
        <v>-1.264</v>
      </c>
      <c r="V70" s="76">
        <v>-0.94799999999999995</v>
      </c>
      <c r="W70" s="79">
        <v>-0.71799999999999997</v>
      </c>
      <c r="X70" s="75">
        <v>-2.68</v>
      </c>
      <c r="Y70" s="76">
        <v>-0.67300000000000004</v>
      </c>
      <c r="Z70" s="76">
        <v>-1.129</v>
      </c>
      <c r="AA70" s="76">
        <v>-0.88500000000000001</v>
      </c>
      <c r="AB70" s="75">
        <v>-0.56000000000000005</v>
      </c>
      <c r="AC70" s="76">
        <v>0.53100000000000003</v>
      </c>
      <c r="AD70" s="76">
        <v>3.6019999999999999</v>
      </c>
      <c r="AE70" s="76">
        <v>1.0920000000000001</v>
      </c>
      <c r="AF70" s="75">
        <v>6.58</v>
      </c>
      <c r="AG70" s="76">
        <v>5.7519999999999998</v>
      </c>
      <c r="AH70" s="76">
        <v>-0.29499999999999998</v>
      </c>
      <c r="AI70" s="76">
        <v>0.77600000000000002</v>
      </c>
      <c r="AJ70" s="75">
        <v>2.3170000000000002</v>
      </c>
      <c r="AK70" s="76">
        <v>1.3779999999999999</v>
      </c>
      <c r="AL70" s="76">
        <v>3.375</v>
      </c>
      <c r="AM70" s="76">
        <v>1.1479999999999999</v>
      </c>
      <c r="AN70" s="75">
        <v>2.1760000000000002</v>
      </c>
      <c r="AO70" s="76">
        <v>-1.5720000000000001</v>
      </c>
      <c r="AP70" s="76">
        <v>5.7000000000000002E-2</v>
      </c>
      <c r="AQ70" s="76">
        <v>0.59699999999999998</v>
      </c>
      <c r="AR70" s="75">
        <v>0.40899999999999997</v>
      </c>
      <c r="AS70" s="76">
        <v>0.627</v>
      </c>
      <c r="AT70" s="76">
        <v>-2.964</v>
      </c>
      <c r="AU70" s="76">
        <v>0.308</v>
      </c>
      <c r="AV70" s="75">
        <v>0.08</v>
      </c>
      <c r="AW70" s="76">
        <v>-1.278</v>
      </c>
      <c r="AX70" s="76">
        <v>-2.1819999999999999</v>
      </c>
      <c r="AY70" s="76">
        <v>-0.79500000000000004</v>
      </c>
      <c r="AZ70" s="75">
        <v>2.222</v>
      </c>
      <c r="BA70" s="76">
        <v>4.0149999999999997</v>
      </c>
      <c r="BB70" s="76">
        <v>1.5529999999999999</v>
      </c>
      <c r="BC70" s="79">
        <v>2.3E-2</v>
      </c>
      <c r="BD70" s="75">
        <v>-0.16400000000000001</v>
      </c>
      <c r="BE70" s="76">
        <v>0.89900000000000002</v>
      </c>
      <c r="BF70" s="76">
        <v>-0.192</v>
      </c>
      <c r="BG70" s="79">
        <v>-2.3220000000000001</v>
      </c>
      <c r="BH70" s="74">
        <f>BG70+CFS!BH15+CFS!BH35+CFS!BH48</f>
        <v>-2.3220000000000001</v>
      </c>
      <c r="BI70" s="74">
        <f>BH70+CFS!BI15+CFS!BI35+CFS!BI48</f>
        <v>-2.3220000000000001</v>
      </c>
      <c r="BJ70" s="74">
        <f>BI70+CFS!BJ15+CFS!BJ35+CFS!BJ48</f>
        <v>-2.3220000000000001</v>
      </c>
      <c r="BK70" s="100">
        <f>BJ70+CFS!BK15+CFS!BK35+CFS!BK48</f>
        <v>-2.3220000000000001</v>
      </c>
      <c r="BL70" s="74">
        <f>BK70+CFS!BL15+CFS!BL35+CFS!BL48</f>
        <v>-2.3220000000000001</v>
      </c>
      <c r="BM70" s="74">
        <f>BL70+CFS!BM15+CFS!BM35+CFS!BM48</f>
        <v>-2.3220000000000001</v>
      </c>
      <c r="BN70" s="74">
        <f>BM70+CFS!BN15+CFS!BN35+CFS!BN48</f>
        <v>-2.3220000000000001</v>
      </c>
      <c r="BO70" s="100">
        <f>BN70+CFS!BO15+CFS!BO35+CFS!BO48</f>
        <v>-2.3220000000000001</v>
      </c>
      <c r="BP70" s="247"/>
      <c r="BQ70" s="74">
        <f>G70</f>
        <v>-1.8069999999999999</v>
      </c>
      <c r="BR70" s="74">
        <f>K70</f>
        <v>-1.7589999999999999</v>
      </c>
      <c r="BS70" s="74">
        <f>O70</f>
        <v>2.8000000000000001E-2</v>
      </c>
      <c r="BT70" s="74">
        <f>S70</f>
        <v>0.61499999999999999</v>
      </c>
      <c r="BU70" s="74">
        <f>W70</f>
        <v>-0.71799999999999997</v>
      </c>
      <c r="BV70" s="74">
        <f>AA70</f>
        <v>-0.88500000000000001</v>
      </c>
      <c r="BW70" s="74">
        <f>AE70</f>
        <v>1.0920000000000001</v>
      </c>
      <c r="BX70" s="74">
        <f>AI70</f>
        <v>0.77600000000000002</v>
      </c>
      <c r="BY70" s="74">
        <f>AM70</f>
        <v>1.1479999999999999</v>
      </c>
      <c r="BZ70" s="74">
        <f>AQ70</f>
        <v>0.59699999999999998</v>
      </c>
      <c r="CA70" s="74">
        <f>AU70</f>
        <v>0.308</v>
      </c>
      <c r="CB70" s="74">
        <f>AY70</f>
        <v>-0.79500000000000004</v>
      </c>
      <c r="CC70" s="74">
        <f>BC70</f>
        <v>2.3E-2</v>
      </c>
      <c r="CD70" s="74">
        <f>BG70</f>
        <v>-2.3220000000000001</v>
      </c>
      <c r="CE70" s="74">
        <f>BK70</f>
        <v>-2.3220000000000001</v>
      </c>
      <c r="CF70" s="74">
        <f>BO70</f>
        <v>-2.3220000000000001</v>
      </c>
      <c r="CG70" s="74">
        <f>CF70+CFS!CG15+CFS!CG35+CFS!CG48</f>
        <v>-2.3220000000000001</v>
      </c>
      <c r="CH70" s="336"/>
    </row>
    <row r="71" spans="2:86" ht="15">
      <c r="B71" s="147" t="s">
        <v>119</v>
      </c>
      <c r="C71" s="148"/>
      <c r="D71" s="144">
        <f t="shared" ref="D71:BZ71" si="281">D62+D67+D69+D70</f>
        <v>2230.0799999999995</v>
      </c>
      <c r="E71" s="145">
        <f t="shared" si="281"/>
        <v>2299.7510000000002</v>
      </c>
      <c r="F71" s="145">
        <f t="shared" si="281"/>
        <v>2391.9179999999997</v>
      </c>
      <c r="G71" s="146">
        <f t="shared" si="281"/>
        <v>2497.4299999999998</v>
      </c>
      <c r="H71" s="144">
        <f t="shared" si="281"/>
        <v>2581.2230000000004</v>
      </c>
      <c r="I71" s="145">
        <f t="shared" si="281"/>
        <v>2690.3830000000003</v>
      </c>
      <c r="J71" s="145">
        <f t="shared" si="281"/>
        <v>2798.4950000000003</v>
      </c>
      <c r="K71" s="146">
        <f>K62+K67+K69+K70</f>
        <v>3007.2249999999999</v>
      </c>
      <c r="L71" s="144">
        <f t="shared" si="281"/>
        <v>3136.826</v>
      </c>
      <c r="M71" s="145">
        <f t="shared" si="281"/>
        <v>3260.36</v>
      </c>
      <c r="N71" s="145">
        <f t="shared" si="281"/>
        <v>3312.7560000000003</v>
      </c>
      <c r="O71" s="146">
        <f t="shared" si="281"/>
        <v>3227.1839999999997</v>
      </c>
      <c r="P71" s="144">
        <f t="shared" si="281"/>
        <v>3221.3190000000004</v>
      </c>
      <c r="Q71" s="145">
        <f t="shared" si="281"/>
        <v>3227.498</v>
      </c>
      <c r="R71" s="145">
        <f t="shared" si="281"/>
        <v>3306.4689999999996</v>
      </c>
      <c r="S71" s="146">
        <f t="shared" si="281"/>
        <v>3411.5189999999993</v>
      </c>
      <c r="T71" s="144">
        <f t="shared" si="281"/>
        <v>3537.7330000000002</v>
      </c>
      <c r="U71" s="145">
        <f t="shared" si="281"/>
        <v>3706.6919999999996</v>
      </c>
      <c r="V71" s="145">
        <f t="shared" si="281"/>
        <v>3831.0869999999995</v>
      </c>
      <c r="W71" s="146">
        <f t="shared" si="281"/>
        <v>3829.0670000000009</v>
      </c>
      <c r="X71" s="144">
        <f t="shared" si="281"/>
        <v>3745.5550000000007</v>
      </c>
      <c r="Y71" s="145">
        <f t="shared" si="281"/>
        <v>3857.0719999999997</v>
      </c>
      <c r="Z71" s="145">
        <f t="shared" si="281"/>
        <v>4106.3</v>
      </c>
      <c r="AA71" s="146">
        <f t="shared" si="281"/>
        <v>4417.9790000000003</v>
      </c>
      <c r="AB71" s="144">
        <f t="shared" si="281"/>
        <v>4699.7279999999992</v>
      </c>
      <c r="AC71" s="145">
        <f t="shared" si="281"/>
        <v>4982.9050000000007</v>
      </c>
      <c r="AD71" s="145">
        <f t="shared" si="281"/>
        <v>5228.0059999999994</v>
      </c>
      <c r="AE71" s="146">
        <f t="shared" si="281"/>
        <v>5521.8689999999997</v>
      </c>
      <c r="AF71" s="144">
        <f t="shared" si="281"/>
        <v>4903.4039999999995</v>
      </c>
      <c r="AG71" s="145">
        <f t="shared" si="281"/>
        <v>5026.1310000000003</v>
      </c>
      <c r="AH71" s="145">
        <f t="shared" si="281"/>
        <v>5039.299</v>
      </c>
      <c r="AI71" s="146">
        <f t="shared" si="281"/>
        <v>5014.018</v>
      </c>
      <c r="AJ71" s="144">
        <f t="shared" si="281"/>
        <v>4922.5300000000007</v>
      </c>
      <c r="AK71" s="145">
        <f t="shared" si="281"/>
        <v>4803.1139999999996</v>
      </c>
      <c r="AL71" s="145">
        <f t="shared" si="281"/>
        <v>4676.2939999999999</v>
      </c>
      <c r="AM71" s="146">
        <f t="shared" si="281"/>
        <v>4484.5950000000003</v>
      </c>
      <c r="AN71" s="144">
        <f>AN62+AN67+AN68+AN69+AN70</f>
        <v>4352.4409999999998</v>
      </c>
      <c r="AO71" s="145">
        <f t="shared" si="281"/>
        <v>4392.5099999999993</v>
      </c>
      <c r="AP71" s="145">
        <f t="shared" si="281"/>
        <v>4463.2190000000001</v>
      </c>
      <c r="AQ71" s="146">
        <f>AQ62+AQ67+AQ69+AQ70</f>
        <v>4675.91</v>
      </c>
      <c r="AR71" s="144">
        <f>AR62+AR67+AR68+AR69+AR70</f>
        <v>4769.4870000000001</v>
      </c>
      <c r="AS71" s="145">
        <f>AS62+AS67+AS69+AS70</f>
        <v>4961.5340000000006</v>
      </c>
      <c r="AT71" s="145">
        <f>AT62+AT67+AT69+AT70</f>
        <v>5033.91</v>
      </c>
      <c r="AU71" s="146">
        <f>AU62+AU67+AU69+AU70</f>
        <v>5146.0889999999999</v>
      </c>
      <c r="AV71" s="144">
        <f>AV62+AV67+AV68+AV69+AV70</f>
        <v>5131.2719999999999</v>
      </c>
      <c r="AW71" s="145">
        <f t="shared" ref="AW71:AX71" si="282">AW62+AW67+AW69+AW70</f>
        <v>4213.9969999999994</v>
      </c>
      <c r="AX71" s="145">
        <f t="shared" si="282"/>
        <v>4111.4830000000002</v>
      </c>
      <c r="AY71" s="146">
        <f>AY62+AY67+AY69+AY70</f>
        <v>4140.1229999999996</v>
      </c>
      <c r="AZ71" s="144">
        <f>AZ62+AZ67+AZ68+AZ69+AZ70</f>
        <v>4099.8179999999993</v>
      </c>
      <c r="BA71" s="145">
        <f t="shared" ref="BA71:BB71" si="283">BA62+BA67+BA69+BA70</f>
        <v>4159.0880000000006</v>
      </c>
      <c r="BB71" s="145">
        <f t="shared" si="283"/>
        <v>4180.4939999999997</v>
      </c>
      <c r="BC71" s="146">
        <f>BC62+BC67+BC69+BC70</f>
        <v>4027.6510000000003</v>
      </c>
      <c r="BD71" s="144">
        <f>BD62+BD67+BD68+BD69+BD70</f>
        <v>3961.846</v>
      </c>
      <c r="BE71" s="145">
        <f t="shared" ref="BE71:BF71" si="284">BE62+BE67+BE69+BE70</f>
        <v>3974.0970000000002</v>
      </c>
      <c r="BF71" s="145">
        <f t="shared" si="284"/>
        <v>4060.9490000000001</v>
      </c>
      <c r="BG71" s="146">
        <f>BG62+BG67+BG69+BG70</f>
        <v>4141.4129999999996</v>
      </c>
      <c r="BH71" s="145">
        <f t="shared" ref="BH71:BK71" si="285">BH62+BH67+BH69+BH70</f>
        <v>4268.0033318571495</v>
      </c>
      <c r="BI71" s="145">
        <f t="shared" si="285"/>
        <v>4404.9392242788144</v>
      </c>
      <c r="BJ71" s="145">
        <f t="shared" si="285"/>
        <v>4549.4214920771656</v>
      </c>
      <c r="BK71" s="146">
        <f t="shared" si="285"/>
        <v>4694.0128198874081</v>
      </c>
      <c r="BL71" s="145">
        <f t="shared" ref="BL71:BO71" si="286">BL62+BL67+BL69+BL70</f>
        <v>4829.8487568643632</v>
      </c>
      <c r="BM71" s="145">
        <f t="shared" si="286"/>
        <v>4975.619085100986</v>
      </c>
      <c r="BN71" s="145">
        <f t="shared" si="286"/>
        <v>5127.4338579884197</v>
      </c>
      <c r="BO71" s="146">
        <f t="shared" si="286"/>
        <v>5278.3582936248376</v>
      </c>
      <c r="BP71" s="247"/>
      <c r="BQ71" s="145">
        <f t="shared" si="281"/>
        <v>2497.4299999999998</v>
      </c>
      <c r="BR71" s="145">
        <f t="shared" si="281"/>
        <v>3007.2249999999999</v>
      </c>
      <c r="BS71" s="145">
        <f t="shared" si="281"/>
        <v>3227.1839999999997</v>
      </c>
      <c r="BT71" s="145">
        <f t="shared" si="281"/>
        <v>3411.5189999999993</v>
      </c>
      <c r="BU71" s="145">
        <f t="shared" si="281"/>
        <v>3829.0670000000009</v>
      </c>
      <c r="BV71" s="145">
        <f t="shared" si="281"/>
        <v>4417.9790000000003</v>
      </c>
      <c r="BW71" s="145">
        <f t="shared" si="281"/>
        <v>5521.8689999999997</v>
      </c>
      <c r="BX71" s="145">
        <f t="shared" si="281"/>
        <v>5014.018</v>
      </c>
      <c r="BY71" s="145">
        <f t="shared" si="281"/>
        <v>4484.5950000000003</v>
      </c>
      <c r="BZ71" s="145">
        <f t="shared" si="281"/>
        <v>4675.91</v>
      </c>
      <c r="CA71" s="145">
        <f t="shared" ref="CA71:CE71" si="287">CA62+CA67+CA69+CA70</f>
        <v>5146.0889999999999</v>
      </c>
      <c r="CB71" s="145">
        <f t="shared" si="287"/>
        <v>4140.1229999999996</v>
      </c>
      <c r="CC71" s="145">
        <f t="shared" si="287"/>
        <v>4027.6510000000003</v>
      </c>
      <c r="CD71" s="145">
        <f t="shared" si="287"/>
        <v>4141.4129999999996</v>
      </c>
      <c r="CE71" s="145">
        <f t="shared" si="287"/>
        <v>4694.0128198874081</v>
      </c>
      <c r="CF71" s="145">
        <f t="shared" ref="CF71:CG71" si="288">CF62+CF67+CF69+CF70</f>
        <v>5278.3582936248376</v>
      </c>
      <c r="CG71" s="145">
        <f t="shared" si="288"/>
        <v>5991.181560850353</v>
      </c>
      <c r="CH71" s="336"/>
    </row>
    <row r="72" spans="2:86" ht="15">
      <c r="B72" s="149"/>
      <c r="C72" s="149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CA72" s="338"/>
      <c r="CB72" s="338"/>
      <c r="CC72" s="338"/>
      <c r="CD72" s="338"/>
      <c r="CE72" s="338"/>
      <c r="CF72" s="338"/>
      <c r="CG72" s="338"/>
      <c r="CH72" s="338"/>
    </row>
    <row r="73" spans="2:86" ht="14.25">
      <c r="B73" s="150" t="s">
        <v>137</v>
      </c>
      <c r="C73" s="151"/>
      <c r="D73" s="152">
        <f t="shared" ref="D73:AV73" si="289">D41</f>
        <v>2230.08</v>
      </c>
      <c r="E73" s="152">
        <f t="shared" si="289"/>
        <v>2299.7510000000002</v>
      </c>
      <c r="F73" s="152">
        <f t="shared" si="289"/>
        <v>2391.9180000000001</v>
      </c>
      <c r="G73" s="153">
        <f t="shared" si="289"/>
        <v>2497.4299999999998</v>
      </c>
      <c r="H73" s="152">
        <f t="shared" si="289"/>
        <v>2581.223</v>
      </c>
      <c r="I73" s="152">
        <f t="shared" si="289"/>
        <v>2690.3829999999998</v>
      </c>
      <c r="J73" s="152">
        <f t="shared" si="289"/>
        <v>2798.4949999999999</v>
      </c>
      <c r="K73" s="153">
        <f t="shared" si="289"/>
        <v>3007.2249999999999</v>
      </c>
      <c r="L73" s="152">
        <f t="shared" si="289"/>
        <v>3136.826</v>
      </c>
      <c r="M73" s="152">
        <f t="shared" si="289"/>
        <v>3260.36</v>
      </c>
      <c r="N73" s="152">
        <f t="shared" si="289"/>
        <v>3312.7559999999999</v>
      </c>
      <c r="O73" s="153">
        <f t="shared" si="289"/>
        <v>3227.1840000000002</v>
      </c>
      <c r="P73" s="152">
        <f t="shared" si="289"/>
        <v>3221.319</v>
      </c>
      <c r="Q73" s="152">
        <f t="shared" si="289"/>
        <v>3227.498</v>
      </c>
      <c r="R73" s="152">
        <f t="shared" si="289"/>
        <v>3306.4690000000001</v>
      </c>
      <c r="S73" s="153">
        <f t="shared" si="289"/>
        <v>3411.5189999999998</v>
      </c>
      <c r="T73" s="152">
        <f t="shared" si="289"/>
        <v>3537.7330000000002</v>
      </c>
      <c r="U73" s="152">
        <f t="shared" si="289"/>
        <v>3706.692</v>
      </c>
      <c r="V73" s="152">
        <f t="shared" si="289"/>
        <v>3831.087</v>
      </c>
      <c r="W73" s="153">
        <f t="shared" si="289"/>
        <v>3829.067</v>
      </c>
      <c r="X73" s="152">
        <f t="shared" si="289"/>
        <v>3745.5549999999998</v>
      </c>
      <c r="Y73" s="152">
        <f t="shared" si="289"/>
        <v>3857.0720000000001</v>
      </c>
      <c r="Z73" s="152">
        <f t="shared" si="289"/>
        <v>4106.3</v>
      </c>
      <c r="AA73" s="153">
        <f t="shared" si="289"/>
        <v>4417.9790000000003</v>
      </c>
      <c r="AB73" s="152">
        <f t="shared" si="289"/>
        <v>4699.7280000000001</v>
      </c>
      <c r="AC73" s="152">
        <f t="shared" si="289"/>
        <v>4982.9049999999997</v>
      </c>
      <c r="AD73" s="152">
        <f t="shared" si="289"/>
        <v>5228.0060000000003</v>
      </c>
      <c r="AE73" s="153">
        <f t="shared" si="289"/>
        <v>5521.8689999999997</v>
      </c>
      <c r="AF73" s="152">
        <f t="shared" si="289"/>
        <v>4903.4040000000005</v>
      </c>
      <c r="AG73" s="152">
        <f t="shared" ref="AG73:AL73" si="290">AG41</f>
        <v>5026.1310000000003</v>
      </c>
      <c r="AH73" s="152">
        <f t="shared" si="290"/>
        <v>5039.299</v>
      </c>
      <c r="AI73" s="153">
        <f t="shared" si="290"/>
        <v>5014.018</v>
      </c>
      <c r="AJ73" s="152">
        <f t="shared" si="290"/>
        <v>4922.53</v>
      </c>
      <c r="AK73" s="152">
        <f t="shared" si="290"/>
        <v>4803.1139999999996</v>
      </c>
      <c r="AL73" s="152">
        <f t="shared" si="290"/>
        <v>4676.2939999999999</v>
      </c>
      <c r="AM73" s="153">
        <f t="shared" ref="AM73:AR73" si="291">AM41</f>
        <v>4484.5950000000003</v>
      </c>
      <c r="AN73" s="152">
        <f t="shared" si="291"/>
        <v>4352.4409999999998</v>
      </c>
      <c r="AO73" s="152">
        <f t="shared" si="291"/>
        <v>4392.51</v>
      </c>
      <c r="AP73" s="152">
        <f t="shared" si="291"/>
        <v>4463.2190000000001</v>
      </c>
      <c r="AQ73" s="153">
        <f t="shared" si="291"/>
        <v>4675.91</v>
      </c>
      <c r="AR73" s="152">
        <f t="shared" si="291"/>
        <v>4769.4870000000001</v>
      </c>
      <c r="AS73" s="152">
        <f>AS41</f>
        <v>4961.5339999999997</v>
      </c>
      <c r="AT73" s="152">
        <f>AT41</f>
        <v>5033.91</v>
      </c>
      <c r="AU73" s="153">
        <f t="shared" si="289"/>
        <v>5146.0889999999999</v>
      </c>
      <c r="AV73" s="152">
        <f t="shared" si="289"/>
        <v>5131.2719999999999</v>
      </c>
      <c r="AW73" s="152">
        <f>AW41</f>
        <v>4213.9970000000003</v>
      </c>
      <c r="AX73" s="152">
        <f t="shared" ref="AX73:AZ73" si="292">AX41</f>
        <v>4111.4830000000002</v>
      </c>
      <c r="AY73" s="153">
        <f t="shared" si="292"/>
        <v>4140.1229999999996</v>
      </c>
      <c r="AZ73" s="152">
        <f t="shared" si="292"/>
        <v>4099.8180000000002</v>
      </c>
      <c r="BA73" s="152">
        <f>BA41</f>
        <v>4159.0879999999997</v>
      </c>
      <c r="BB73" s="152">
        <f t="shared" ref="BB73:BD73" si="293">BB41</f>
        <v>4180.4939999999997</v>
      </c>
      <c r="BC73" s="153">
        <f t="shared" si="293"/>
        <v>4027.6509999999998</v>
      </c>
      <c r="BD73" s="152">
        <f t="shared" si="293"/>
        <v>3961.846</v>
      </c>
      <c r="BE73" s="152">
        <f t="shared" ref="BE73:BG73" si="294">BE41</f>
        <v>3974.0970000000002</v>
      </c>
      <c r="BF73" s="152">
        <f t="shared" si="294"/>
        <v>4060.9490000000001</v>
      </c>
      <c r="BG73" s="153">
        <f t="shared" si="294"/>
        <v>4141.4129999999996</v>
      </c>
      <c r="BH73" s="152">
        <f t="shared" ref="BH73:BK73" si="295">BH41</f>
        <v>4268.0033318571495</v>
      </c>
      <c r="BI73" s="152">
        <f t="shared" si="295"/>
        <v>4404.9392242788144</v>
      </c>
      <c r="BJ73" s="152">
        <f t="shared" si="295"/>
        <v>4549.4214920771656</v>
      </c>
      <c r="BK73" s="153">
        <f t="shared" si="295"/>
        <v>4694.0128198874081</v>
      </c>
      <c r="BL73" s="152">
        <f t="shared" ref="BL73:BO73" si="296">BL41</f>
        <v>4829.8487568643632</v>
      </c>
      <c r="BM73" s="152">
        <f t="shared" si="296"/>
        <v>4975.619085100986</v>
      </c>
      <c r="BN73" s="152">
        <f t="shared" si="296"/>
        <v>5127.4338579884197</v>
      </c>
      <c r="BO73" s="153">
        <f t="shared" si="296"/>
        <v>5278.3582936248376</v>
      </c>
      <c r="BP73" s="247"/>
      <c r="BQ73" s="152">
        <f t="shared" ref="BQ73:CA73" si="297">BQ41</f>
        <v>2497.4299999999998</v>
      </c>
      <c r="BR73" s="152">
        <f t="shared" si="297"/>
        <v>3007.2249999999999</v>
      </c>
      <c r="BS73" s="152">
        <f t="shared" si="297"/>
        <v>3227.1840000000002</v>
      </c>
      <c r="BT73" s="152">
        <f t="shared" si="297"/>
        <v>3411.5189999999998</v>
      </c>
      <c r="BU73" s="152">
        <f t="shared" si="297"/>
        <v>3829.067</v>
      </c>
      <c r="BV73" s="152">
        <f t="shared" si="297"/>
        <v>4417.9790000000003</v>
      </c>
      <c r="BW73" s="152">
        <f t="shared" si="297"/>
        <v>5521.8689999999997</v>
      </c>
      <c r="BX73" s="152">
        <f t="shared" si="297"/>
        <v>5014.018</v>
      </c>
      <c r="BY73" s="152">
        <f t="shared" si="297"/>
        <v>4484.5950000000003</v>
      </c>
      <c r="BZ73" s="152">
        <f t="shared" si="297"/>
        <v>4675.91</v>
      </c>
      <c r="CA73" s="152">
        <f t="shared" si="297"/>
        <v>5146.0889999999999</v>
      </c>
      <c r="CB73" s="152">
        <f t="shared" ref="CB73:CG73" si="298">CB41</f>
        <v>4140.1229999999996</v>
      </c>
      <c r="CC73" s="152">
        <f t="shared" si="298"/>
        <v>4027.6509999999998</v>
      </c>
      <c r="CD73" s="152">
        <f t="shared" si="298"/>
        <v>4141.4129999999996</v>
      </c>
      <c r="CE73" s="152">
        <f t="shared" si="298"/>
        <v>4694.0128198874081</v>
      </c>
      <c r="CF73" s="152">
        <f t="shared" si="298"/>
        <v>5278.3582936248376</v>
      </c>
      <c r="CG73" s="152">
        <f t="shared" si="298"/>
        <v>5991.181560850353</v>
      </c>
      <c r="CH73" s="336"/>
    </row>
    <row r="74" spans="2:86" ht="14.25">
      <c r="B74" s="127" t="s">
        <v>121</v>
      </c>
      <c r="C74" s="128"/>
      <c r="D74" s="129">
        <f t="shared" ref="D74:BQ74" si="299">ROUND(D73,4)-ROUND(D71,4)</f>
        <v>0</v>
      </c>
      <c r="E74" s="129">
        <f t="shared" si="299"/>
        <v>0</v>
      </c>
      <c r="F74" s="129">
        <f t="shared" si="299"/>
        <v>0</v>
      </c>
      <c r="G74" s="130">
        <f t="shared" si="299"/>
        <v>0</v>
      </c>
      <c r="H74" s="129">
        <f t="shared" si="299"/>
        <v>0</v>
      </c>
      <c r="I74" s="129">
        <f t="shared" si="299"/>
        <v>0</v>
      </c>
      <c r="J74" s="129">
        <f t="shared" si="299"/>
        <v>0</v>
      </c>
      <c r="K74" s="130">
        <f t="shared" si="299"/>
        <v>0</v>
      </c>
      <c r="L74" s="129">
        <f t="shared" si="299"/>
        <v>0</v>
      </c>
      <c r="M74" s="129">
        <f t="shared" si="299"/>
        <v>0</v>
      </c>
      <c r="N74" s="129">
        <f t="shared" si="299"/>
        <v>0</v>
      </c>
      <c r="O74" s="130">
        <f t="shared" si="299"/>
        <v>0</v>
      </c>
      <c r="P74" s="129">
        <f t="shared" si="299"/>
        <v>0</v>
      </c>
      <c r="Q74" s="129">
        <f t="shared" si="299"/>
        <v>0</v>
      </c>
      <c r="R74" s="129">
        <f t="shared" si="299"/>
        <v>0</v>
      </c>
      <c r="S74" s="130">
        <f t="shared" si="299"/>
        <v>0</v>
      </c>
      <c r="T74" s="129">
        <f t="shared" si="299"/>
        <v>0</v>
      </c>
      <c r="U74" s="129">
        <f t="shared" si="299"/>
        <v>0</v>
      </c>
      <c r="V74" s="129">
        <f t="shared" si="299"/>
        <v>0</v>
      </c>
      <c r="W74" s="130">
        <f t="shared" si="299"/>
        <v>0</v>
      </c>
      <c r="X74" s="129">
        <f t="shared" si="299"/>
        <v>0</v>
      </c>
      <c r="Y74" s="129">
        <f t="shared" si="299"/>
        <v>0</v>
      </c>
      <c r="Z74" s="129">
        <f t="shared" si="299"/>
        <v>0</v>
      </c>
      <c r="AA74" s="130">
        <f t="shared" si="299"/>
        <v>0</v>
      </c>
      <c r="AB74" s="129">
        <f t="shared" si="299"/>
        <v>0</v>
      </c>
      <c r="AC74" s="129">
        <f t="shared" si="299"/>
        <v>0</v>
      </c>
      <c r="AD74" s="129">
        <f t="shared" si="299"/>
        <v>0</v>
      </c>
      <c r="AE74" s="130">
        <f t="shared" si="299"/>
        <v>0</v>
      </c>
      <c r="AF74" s="129">
        <f t="shared" si="299"/>
        <v>0</v>
      </c>
      <c r="AG74" s="129">
        <f t="shared" si="299"/>
        <v>0</v>
      </c>
      <c r="AH74" s="129">
        <f t="shared" si="299"/>
        <v>0</v>
      </c>
      <c r="AI74" s="130">
        <f t="shared" si="299"/>
        <v>0</v>
      </c>
      <c r="AJ74" s="129">
        <f t="shared" si="299"/>
        <v>0</v>
      </c>
      <c r="AK74" s="129">
        <f t="shared" si="299"/>
        <v>0</v>
      </c>
      <c r="AL74" s="129">
        <f t="shared" si="299"/>
        <v>0</v>
      </c>
      <c r="AM74" s="130">
        <f t="shared" si="299"/>
        <v>0</v>
      </c>
      <c r="AN74" s="129">
        <f t="shared" si="299"/>
        <v>0</v>
      </c>
      <c r="AO74" s="129">
        <f t="shared" si="299"/>
        <v>0</v>
      </c>
      <c r="AP74" s="129">
        <f t="shared" si="299"/>
        <v>0</v>
      </c>
      <c r="AQ74" s="130">
        <f>ROUND(AQ73,4)-ROUND(AQ71,4)</f>
        <v>0</v>
      </c>
      <c r="AR74" s="129">
        <f t="shared" si="299"/>
        <v>0</v>
      </c>
      <c r="AS74" s="129">
        <f>ROUND(AS73,4)-ROUND(AS71,4)</f>
        <v>0</v>
      </c>
      <c r="AT74" s="129">
        <f>ROUND(AT73,4)-ROUND(AT71,4)</f>
        <v>0</v>
      </c>
      <c r="AU74" s="130">
        <f t="shared" si="299"/>
        <v>0</v>
      </c>
      <c r="AV74" s="129">
        <f>ROUND(AV73,4)-ROUND(AV71,4)</f>
        <v>0</v>
      </c>
      <c r="AW74" s="129">
        <f>ROUND(AW73,4)-ROUND(AW71,4)</f>
        <v>0</v>
      </c>
      <c r="AX74" s="129">
        <f t="shared" ref="AX74:AY74" si="300">ROUND(AX73,4)-ROUND(AX71,4)</f>
        <v>0</v>
      </c>
      <c r="AY74" s="130">
        <f t="shared" si="300"/>
        <v>0</v>
      </c>
      <c r="AZ74" s="129">
        <f>ROUND(AZ73,4)-ROUND(AZ71,4)</f>
        <v>0</v>
      </c>
      <c r="BA74" s="129">
        <f>ROUND(BA73,4)-ROUND(BA71,4)</f>
        <v>0</v>
      </c>
      <c r="BB74" s="129">
        <f t="shared" ref="BB74:BC74" si="301">ROUND(BB73,4)-ROUND(BB71,4)</f>
        <v>0</v>
      </c>
      <c r="BC74" s="130">
        <f t="shared" si="301"/>
        <v>0</v>
      </c>
      <c r="BD74" s="129">
        <f t="shared" ref="BD74:BG74" si="302">ROUND(BD73,4)-ROUND(BD71,4)</f>
        <v>0</v>
      </c>
      <c r="BE74" s="129">
        <f t="shared" si="302"/>
        <v>0</v>
      </c>
      <c r="BF74" s="129">
        <f t="shared" si="302"/>
        <v>0</v>
      </c>
      <c r="BG74" s="130">
        <f t="shared" si="302"/>
        <v>0</v>
      </c>
      <c r="BH74" s="129">
        <f t="shared" ref="BH74:BK74" si="303">ROUND(BH73,4)-ROUND(BH71,4)</f>
        <v>0</v>
      </c>
      <c r="BI74" s="129">
        <f t="shared" si="303"/>
        <v>0</v>
      </c>
      <c r="BJ74" s="129">
        <f t="shared" si="303"/>
        <v>0</v>
      </c>
      <c r="BK74" s="130">
        <f t="shared" si="303"/>
        <v>0</v>
      </c>
      <c r="BL74" s="129">
        <f t="shared" ref="BL74:BO74" si="304">ROUND(BL73,4)-ROUND(BL71,4)</f>
        <v>0</v>
      </c>
      <c r="BM74" s="129">
        <f t="shared" si="304"/>
        <v>0</v>
      </c>
      <c r="BN74" s="129">
        <f t="shared" si="304"/>
        <v>0</v>
      </c>
      <c r="BO74" s="130">
        <f t="shared" si="304"/>
        <v>0</v>
      </c>
      <c r="BP74" s="247"/>
      <c r="BQ74" s="129">
        <f t="shared" si="299"/>
        <v>0</v>
      </c>
      <c r="BR74" s="129">
        <f t="shared" ref="BR74:CA74" si="305">ROUND(BR73,4)-ROUND(BR71,4)</f>
        <v>0</v>
      </c>
      <c r="BS74" s="129">
        <f t="shared" si="305"/>
        <v>0</v>
      </c>
      <c r="BT74" s="129">
        <f t="shared" si="305"/>
        <v>0</v>
      </c>
      <c r="BU74" s="129">
        <f t="shared" si="305"/>
        <v>0</v>
      </c>
      <c r="BV74" s="129">
        <f t="shared" si="305"/>
        <v>0</v>
      </c>
      <c r="BW74" s="129">
        <f t="shared" si="305"/>
        <v>0</v>
      </c>
      <c r="BX74" s="129">
        <f t="shared" si="305"/>
        <v>0</v>
      </c>
      <c r="BY74" s="129">
        <f t="shared" si="305"/>
        <v>0</v>
      </c>
      <c r="BZ74" s="129">
        <f t="shared" si="305"/>
        <v>0</v>
      </c>
      <c r="CA74" s="129">
        <f t="shared" si="305"/>
        <v>0</v>
      </c>
      <c r="CB74" s="129">
        <f t="shared" ref="CB74:CG74" si="306">ROUND(CB73,4)-ROUND(CB71,4)</f>
        <v>0</v>
      </c>
      <c r="CC74" s="129">
        <f t="shared" si="306"/>
        <v>0</v>
      </c>
      <c r="CD74" s="129">
        <f t="shared" si="306"/>
        <v>0</v>
      </c>
      <c r="CE74" s="129">
        <f t="shared" si="306"/>
        <v>0</v>
      </c>
      <c r="CF74" s="129">
        <f t="shared" si="306"/>
        <v>0</v>
      </c>
      <c r="CG74" s="129">
        <f t="shared" si="306"/>
        <v>0</v>
      </c>
      <c r="CH74" s="336"/>
    </row>
    <row r="75" spans="2:86" ht="14.25"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8"/>
      <c r="AL75" s="68"/>
      <c r="AM75" s="68"/>
      <c r="AN75" s="68"/>
      <c r="AO75" s="68"/>
      <c r="AP75" s="68"/>
      <c r="AQ75" s="68"/>
      <c r="AR75" s="68"/>
      <c r="AS75" s="68"/>
      <c r="AT75" s="68"/>
      <c r="AU75" s="68"/>
      <c r="AV75" s="68"/>
      <c r="AW75" s="68"/>
      <c r="AX75" s="68"/>
      <c r="AY75" s="68"/>
      <c r="AZ75" s="68"/>
      <c r="BA75" s="68"/>
      <c r="BB75" s="68"/>
      <c r="BC75" s="68"/>
      <c r="BD75" s="68"/>
      <c r="BE75" s="68"/>
      <c r="BF75" s="68"/>
      <c r="BG75" s="68"/>
      <c r="BH75" s="68"/>
      <c r="BI75" s="68"/>
      <c r="BJ75" s="68"/>
      <c r="BK75" s="68"/>
      <c r="BL75" s="68"/>
      <c r="BM75" s="68"/>
      <c r="BN75" s="68"/>
      <c r="BO75" s="68"/>
      <c r="CH75" s="338"/>
    </row>
    <row r="76" spans="2:86" ht="14.25"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8"/>
      <c r="AL76" s="68"/>
      <c r="AM76" s="68"/>
      <c r="AN76" s="68"/>
      <c r="AO76" s="68"/>
      <c r="AP76" s="68"/>
      <c r="AQ76" s="68"/>
      <c r="AR76" s="68"/>
      <c r="AS76" s="68"/>
      <c r="AT76" s="68"/>
      <c r="AU76" s="68"/>
      <c r="AV76" s="68"/>
      <c r="AW76" s="68"/>
      <c r="AX76" s="68"/>
      <c r="AY76" s="68"/>
      <c r="AZ76" s="68"/>
      <c r="BA76" s="68"/>
      <c r="BB76" s="68"/>
      <c r="BC76" s="68"/>
      <c r="BD76" s="68"/>
      <c r="BE76" s="68"/>
      <c r="BF76" s="68"/>
      <c r="BG76" s="68"/>
      <c r="BH76" s="68"/>
      <c r="BI76" s="68"/>
      <c r="BJ76" s="68"/>
      <c r="BK76" s="68"/>
      <c r="BL76" s="68"/>
      <c r="BM76" s="68"/>
      <c r="BN76" s="68"/>
      <c r="BO76" s="68"/>
      <c r="CH76" s="338"/>
    </row>
    <row r="77" spans="2:86" ht="15">
      <c r="B77" s="132" t="s">
        <v>138</v>
      </c>
      <c r="C77" s="133"/>
      <c r="D77" s="13" t="str">
        <f t="shared" ref="D77:AU77" si="307">D61</f>
        <v>F1Q05A</v>
      </c>
      <c r="E77" s="14" t="str">
        <f t="shared" si="307"/>
        <v>F2Q05A</v>
      </c>
      <c r="F77" s="14" t="str">
        <f t="shared" si="307"/>
        <v>F3Q05A</v>
      </c>
      <c r="G77" s="15" t="str">
        <f t="shared" si="307"/>
        <v>F4Q05A</v>
      </c>
      <c r="H77" s="13" t="str">
        <f t="shared" si="307"/>
        <v>F1Q06A</v>
      </c>
      <c r="I77" s="14" t="str">
        <f t="shared" si="307"/>
        <v>F2Q06A</v>
      </c>
      <c r="J77" s="14" t="str">
        <f t="shared" si="307"/>
        <v>F3Q06A</v>
      </c>
      <c r="K77" s="15" t="str">
        <f t="shared" si="307"/>
        <v>F4Q06A</v>
      </c>
      <c r="L77" s="13" t="str">
        <f t="shared" si="307"/>
        <v>F1Q07A</v>
      </c>
      <c r="M77" s="14" t="str">
        <f t="shared" si="307"/>
        <v>F2Q07A</v>
      </c>
      <c r="N77" s="14" t="str">
        <f t="shared" si="307"/>
        <v>F3Q07A</v>
      </c>
      <c r="O77" s="15" t="str">
        <f t="shared" si="307"/>
        <v>F4Q07A</v>
      </c>
      <c r="P77" s="13" t="str">
        <f t="shared" si="307"/>
        <v>F1Q08A</v>
      </c>
      <c r="Q77" s="14" t="str">
        <f t="shared" si="307"/>
        <v>F2Q08A</v>
      </c>
      <c r="R77" s="14" t="str">
        <f t="shared" si="307"/>
        <v>F3Q08A</v>
      </c>
      <c r="S77" s="15" t="str">
        <f t="shared" si="307"/>
        <v>F4Q08A</v>
      </c>
      <c r="T77" s="13" t="str">
        <f t="shared" si="307"/>
        <v>F1Q09A</v>
      </c>
      <c r="U77" s="14" t="str">
        <f t="shared" si="307"/>
        <v>F2Q09A</v>
      </c>
      <c r="V77" s="14" t="str">
        <f t="shared" si="307"/>
        <v>F3Q09A</v>
      </c>
      <c r="W77" s="15" t="str">
        <f t="shared" si="307"/>
        <v>F4Q09A</v>
      </c>
      <c r="X77" s="13" t="str">
        <f t="shared" si="307"/>
        <v>F1Q10A</v>
      </c>
      <c r="Y77" s="14" t="str">
        <f t="shared" si="307"/>
        <v>F2Q10A</v>
      </c>
      <c r="Z77" s="14" t="str">
        <f t="shared" si="307"/>
        <v>F3Q10A</v>
      </c>
      <c r="AA77" s="15" t="str">
        <f t="shared" si="307"/>
        <v>F4Q10A</v>
      </c>
      <c r="AB77" s="13" t="str">
        <f t="shared" si="307"/>
        <v>F1Q11A</v>
      </c>
      <c r="AC77" s="14" t="str">
        <f t="shared" si="307"/>
        <v>F2Q11A</v>
      </c>
      <c r="AD77" s="14" t="str">
        <f t="shared" si="307"/>
        <v>F3Q11A</v>
      </c>
      <c r="AE77" s="15" t="str">
        <f t="shared" si="307"/>
        <v>F4Q11A</v>
      </c>
      <c r="AF77" s="13" t="str">
        <f t="shared" si="307"/>
        <v>F1Q12A</v>
      </c>
      <c r="AG77" s="14" t="str">
        <f t="shared" ref="AG77:AL77" si="308">AG61</f>
        <v>F2Q12A</v>
      </c>
      <c r="AH77" s="14" t="str">
        <f t="shared" si="308"/>
        <v>F3Q12A</v>
      </c>
      <c r="AI77" s="15" t="str">
        <f t="shared" si="308"/>
        <v>F4Q12A</v>
      </c>
      <c r="AJ77" s="13" t="str">
        <f t="shared" si="308"/>
        <v>F1Q13A</v>
      </c>
      <c r="AK77" s="14" t="str">
        <f t="shared" si="308"/>
        <v>F2Q13A</v>
      </c>
      <c r="AL77" s="14" t="str">
        <f t="shared" si="308"/>
        <v>F3Q13A</v>
      </c>
      <c r="AM77" s="15" t="str">
        <f>AM61</f>
        <v>F4Q13A</v>
      </c>
      <c r="AN77" s="13" t="str">
        <f>AN61</f>
        <v>F1Q14A</v>
      </c>
      <c r="AO77" s="14" t="str">
        <f t="shared" si="307"/>
        <v>F2Q14A</v>
      </c>
      <c r="AP77" s="14" t="str">
        <f t="shared" si="307"/>
        <v>F3Q14A</v>
      </c>
      <c r="AQ77" s="15" t="str">
        <f t="shared" si="307"/>
        <v>F4Q14A</v>
      </c>
      <c r="AR77" s="13" t="str">
        <f t="shared" si="307"/>
        <v>F1Q15A</v>
      </c>
      <c r="AS77" s="14" t="str">
        <f t="shared" si="307"/>
        <v>F2Q15A</v>
      </c>
      <c r="AT77" s="14" t="str">
        <f t="shared" si="307"/>
        <v>F3Q15A</v>
      </c>
      <c r="AU77" s="15" t="str">
        <f t="shared" si="307"/>
        <v>F4Q15A</v>
      </c>
      <c r="AV77" s="13" t="str">
        <f t="shared" ref="AV77:AY77" si="309">AV61</f>
        <v>F1Q16A</v>
      </c>
      <c r="AW77" s="14" t="str">
        <f t="shared" si="309"/>
        <v>F2Q16A</v>
      </c>
      <c r="AX77" s="14" t="str">
        <f t="shared" si="309"/>
        <v>F3Q16A</v>
      </c>
      <c r="AY77" s="15" t="str">
        <f t="shared" si="309"/>
        <v>F4Q16A</v>
      </c>
      <c r="AZ77" s="13" t="str">
        <f t="shared" ref="AZ77:BC77" si="310">AZ61</f>
        <v>F1Q17A</v>
      </c>
      <c r="BA77" s="14" t="str">
        <f t="shared" si="310"/>
        <v>F2Q17A</v>
      </c>
      <c r="BB77" s="14" t="str">
        <f t="shared" si="310"/>
        <v>F3Q17A</v>
      </c>
      <c r="BC77" s="15" t="str">
        <f t="shared" si="310"/>
        <v>F4Q17A</v>
      </c>
      <c r="BD77" s="14" t="str">
        <f t="shared" ref="BD77:BG77" si="311">BD61</f>
        <v>F1Q18A</v>
      </c>
      <c r="BE77" s="14" t="str">
        <f t="shared" si="311"/>
        <v>F2Q18A</v>
      </c>
      <c r="BF77" s="560" t="str">
        <f t="shared" si="311"/>
        <v>F3Q18A</v>
      </c>
      <c r="BG77" s="15" t="str">
        <f t="shared" si="311"/>
        <v>F4Q18A</v>
      </c>
      <c r="BH77" s="14" t="str">
        <f t="shared" ref="BH77:BK77" si="312">BH61</f>
        <v>F1Q19E</v>
      </c>
      <c r="BI77" s="14" t="str">
        <f t="shared" si="312"/>
        <v>F2Q19E</v>
      </c>
      <c r="BJ77" s="14" t="str">
        <f t="shared" si="312"/>
        <v>F3Q19E</v>
      </c>
      <c r="BK77" s="15" t="str">
        <f t="shared" si="312"/>
        <v>F4Q19E</v>
      </c>
      <c r="BL77" s="560" t="str">
        <f t="shared" ref="BL77:BO77" si="313">BL61</f>
        <v>F1Q20E</v>
      </c>
      <c r="BM77" s="560" t="str">
        <f t="shared" si="313"/>
        <v>F2Q20E</v>
      </c>
      <c r="BN77" s="560" t="str">
        <f t="shared" si="313"/>
        <v>F3Q20E</v>
      </c>
      <c r="BO77" s="15" t="str">
        <f t="shared" si="313"/>
        <v>F4Q20E</v>
      </c>
      <c r="BP77" s="247"/>
      <c r="BQ77" s="13" t="str">
        <f>BQ61</f>
        <v>FY2005A</v>
      </c>
      <c r="BR77" s="15" t="str">
        <f t="shared" ref="BR77:CA77" si="314">BR61</f>
        <v>FY2006A</v>
      </c>
      <c r="BS77" s="15" t="str">
        <f t="shared" si="314"/>
        <v>FY2007A</v>
      </c>
      <c r="BT77" s="246" t="str">
        <f t="shared" si="314"/>
        <v>FY2008A</v>
      </c>
      <c r="BU77" s="246" t="str">
        <f t="shared" si="314"/>
        <v>FY2009A</v>
      </c>
      <c r="BV77" s="246" t="str">
        <f t="shared" si="314"/>
        <v>FY2010A</v>
      </c>
      <c r="BW77" s="246" t="str">
        <f t="shared" si="314"/>
        <v>FY2011A</v>
      </c>
      <c r="BX77" s="246" t="str">
        <f t="shared" si="314"/>
        <v>FY2012A</v>
      </c>
      <c r="BY77" s="246" t="str">
        <f t="shared" si="314"/>
        <v>FY2013A</v>
      </c>
      <c r="BZ77" s="246" t="str">
        <f t="shared" si="314"/>
        <v>FY2014A</v>
      </c>
      <c r="CA77" s="13" t="str">
        <f t="shared" si="314"/>
        <v>FY2015A</v>
      </c>
      <c r="CB77" s="13" t="str">
        <f>CB61</f>
        <v>FY2016A</v>
      </c>
      <c r="CC77" s="13" t="str">
        <f>CC61</f>
        <v>FY2017A</v>
      </c>
      <c r="CD77" s="14" t="str">
        <f>CD61</f>
        <v>FY2018A</v>
      </c>
      <c r="CE77" s="560" t="str">
        <f>CE61</f>
        <v>FY2019E</v>
      </c>
      <c r="CF77" s="560" t="str">
        <f>CF61</f>
        <v>FY2020E</v>
      </c>
      <c r="CG77" s="560" t="str">
        <f t="shared" ref="CG77" si="315">CG61</f>
        <v>FY2021E</v>
      </c>
      <c r="CH77" s="336"/>
    </row>
    <row r="78" spans="2:86" ht="14.25">
      <c r="B78" s="16" t="s">
        <v>59</v>
      </c>
      <c r="C78" s="17"/>
      <c r="D78" s="154">
        <f>IS!D136</f>
        <v>586.34799999999996</v>
      </c>
      <c r="E78" s="154">
        <f>IS!E136</f>
        <v>592.04999999999995</v>
      </c>
      <c r="F78" s="154">
        <f>IS!F136</f>
        <v>601.298</v>
      </c>
      <c r="G78" s="155">
        <f>IS!G136</f>
        <v>616.06799999999998</v>
      </c>
      <c r="H78" s="154">
        <f>IS!H136</f>
        <v>621.39</v>
      </c>
      <c r="I78" s="154">
        <f>IS!I136</f>
        <v>626.20500000000004</v>
      </c>
      <c r="J78" s="154">
        <f>IS!J136</f>
        <v>632.42399999999998</v>
      </c>
      <c r="K78" s="155">
        <f>IS!K136</f>
        <v>645.13699999999994</v>
      </c>
      <c r="L78" s="154">
        <f>IS!L136</f>
        <v>639.51599999999996</v>
      </c>
      <c r="M78" s="154">
        <f>IS!M136</f>
        <v>633.53300000000002</v>
      </c>
      <c r="N78" s="154">
        <f>IS!N136</f>
        <v>631.49699999999996</v>
      </c>
      <c r="O78" s="155">
        <f>IS!O136</f>
        <v>633.92999999999995</v>
      </c>
      <c r="P78" s="154">
        <f>IS!P136</f>
        <v>633.76099999999997</v>
      </c>
      <c r="Q78" s="154">
        <f>IS!Q136</f>
        <v>630.25800000000004</v>
      </c>
      <c r="R78" s="154">
        <f>IS!R136</f>
        <v>630.61300000000006</v>
      </c>
      <c r="S78" s="155">
        <f>IS!S136</f>
        <v>627.54100000000005</v>
      </c>
      <c r="T78" s="154">
        <f>IS!T136</f>
        <v>624.351</v>
      </c>
      <c r="U78" s="154">
        <f>IS!U136</f>
        <v>640.14700000000005</v>
      </c>
      <c r="V78" s="154">
        <f>IS!V136</f>
        <v>632.54999999999995</v>
      </c>
      <c r="W78" s="155">
        <f>IS!W136</f>
        <v>628.99199999999996</v>
      </c>
      <c r="X78" s="154">
        <f>IS!X136</f>
        <v>636.60500000000002</v>
      </c>
      <c r="Y78" s="154">
        <f>IS!Y136</f>
        <v>651.76099999999997</v>
      </c>
      <c r="Z78" s="154">
        <f>IS!Z136</f>
        <v>664.03599999999994</v>
      </c>
      <c r="AA78" s="155">
        <f>IS!AA136</f>
        <v>672.221</v>
      </c>
      <c r="AB78" s="154">
        <f>IS!AB136</f>
        <v>681.36900000000003</v>
      </c>
      <c r="AC78" s="154">
        <f>IS!AC136</f>
        <v>678.351</v>
      </c>
      <c r="AD78" s="154">
        <f>IS!AD136</f>
        <v>677.49900000000002</v>
      </c>
      <c r="AE78" s="155">
        <f>IS!AE136</f>
        <v>685.20500000000004</v>
      </c>
      <c r="AF78" s="154">
        <f>IS!AF136</f>
        <v>662.94799999999998</v>
      </c>
      <c r="AG78" s="154">
        <f>IS!AG136</f>
        <v>624.77700000000004</v>
      </c>
      <c r="AH78" s="154">
        <f>IS!AH136</f>
        <v>615.05700000000002</v>
      </c>
      <c r="AI78" s="155">
        <f>IS!AI136</f>
        <v>605.697</v>
      </c>
      <c r="AJ78" s="154">
        <f>IS!AJ136</f>
        <v>605.553</v>
      </c>
      <c r="AK78" s="154">
        <f>IS!AK136</f>
        <v>586.62699999999995</v>
      </c>
      <c r="AL78" s="154">
        <f>IS!AL136</f>
        <v>577.79999999999995</v>
      </c>
      <c r="AM78" s="155">
        <f>IS!AM136</f>
        <v>544.27800000000002</v>
      </c>
      <c r="AN78" s="154">
        <f>IS!AN136</f>
        <v>522.48099999999999</v>
      </c>
      <c r="AO78" s="154">
        <f>IS!AO136</f>
        <v>515.64599999999996</v>
      </c>
      <c r="AP78" s="154">
        <f>IS!AP136</f>
        <v>514.20299999999997</v>
      </c>
      <c r="AQ78" s="155">
        <f>IS!AQ136</f>
        <v>523.38099999999997</v>
      </c>
      <c r="AR78" s="154">
        <f>IS!AR136</f>
        <v>530.37599999999998</v>
      </c>
      <c r="AS78" s="154">
        <f>IS!AS136</f>
        <v>533.47</v>
      </c>
      <c r="AT78" s="154">
        <f>IS!AT136</f>
        <v>532.81200000000001</v>
      </c>
      <c r="AU78" s="155">
        <f>IS!AU136</f>
        <v>532.79999999999995</v>
      </c>
      <c r="AV78" s="154">
        <f>IS!AV136</f>
        <v>535.16</v>
      </c>
      <c r="AW78" s="154">
        <f>IS!AW136</f>
        <v>532.94200000000001</v>
      </c>
      <c r="AX78" s="154">
        <f>IS!AX136</f>
        <v>518.505</v>
      </c>
      <c r="AY78" s="155">
        <f>IS!AY136</f>
        <v>518.56799999999998</v>
      </c>
      <c r="AZ78" s="154">
        <f>IS!AZ136</f>
        <v>522.36300000000006</v>
      </c>
      <c r="BA78" s="154">
        <f>IS!BA136</f>
        <v>526.45299999999997</v>
      </c>
      <c r="BB78" s="154">
        <f>IS!BB136</f>
        <v>531.83100000000002</v>
      </c>
      <c r="BC78" s="155">
        <f>IS!BC136</f>
        <v>528.14099999999996</v>
      </c>
      <c r="BD78" s="154">
        <f>IS!BD136</f>
        <v>523.154</v>
      </c>
      <c r="BE78" s="394">
        <f>IS!BE136</f>
        <v>519.43799999999999</v>
      </c>
      <c r="BF78" s="394">
        <f>IS!BF136</f>
        <v>512.67600000000004</v>
      </c>
      <c r="BG78" s="155">
        <f>IS!BG136</f>
        <v>512.22299999999996</v>
      </c>
      <c r="BH78" s="154">
        <f>IS!BH136</f>
        <v>512.22299999999996</v>
      </c>
      <c r="BI78" s="394">
        <f>IS!BI136</f>
        <v>512.22299999999996</v>
      </c>
      <c r="BJ78" s="154">
        <f>IS!BJ136</f>
        <v>512.22299999999996</v>
      </c>
      <c r="BK78" s="155">
        <f>IS!BK136</f>
        <v>512.22299999999996</v>
      </c>
      <c r="BL78" s="154">
        <f>IS!BL136</f>
        <v>512.22299999999996</v>
      </c>
      <c r="BM78" s="394">
        <f>IS!BM136</f>
        <v>512.22299999999996</v>
      </c>
      <c r="BN78" s="154">
        <f>IS!BN136</f>
        <v>512.22299999999996</v>
      </c>
      <c r="BO78" s="155">
        <f>IS!BO136</f>
        <v>512.22299999999996</v>
      </c>
      <c r="BP78" s="247"/>
      <c r="BQ78" s="154">
        <f>IS!BQ136</f>
        <v>598.94100000000003</v>
      </c>
      <c r="BR78" s="154">
        <f>IS!BR136</f>
        <v>631.28899999999999</v>
      </c>
      <c r="BS78" s="154">
        <f>IS!BS136</f>
        <v>634.61899999999991</v>
      </c>
      <c r="BT78" s="154">
        <f>IS!BT136</f>
        <v>630.46799999999996</v>
      </c>
      <c r="BU78" s="154">
        <f>IS!BU136</f>
        <v>630.45600000000002</v>
      </c>
      <c r="BV78" s="154">
        <f>IS!BV136</f>
        <v>656.86699999999996</v>
      </c>
      <c r="BW78" s="154">
        <f>IS!BW136</f>
        <v>676.87824999999998</v>
      </c>
      <c r="BX78" s="154">
        <f>IS!BX136</f>
        <v>627.11974999999995</v>
      </c>
      <c r="BY78" s="154">
        <f>IS!BY136</f>
        <v>578.56449999999995</v>
      </c>
      <c r="BZ78" s="154">
        <f>IS!BZ136</f>
        <v>518.92774999999995</v>
      </c>
      <c r="CA78" s="394">
        <f>IS!CA136</f>
        <v>532.36449999999991</v>
      </c>
      <c r="CB78" s="394">
        <f>IS!CB136</f>
        <v>526.29375000000005</v>
      </c>
      <c r="CC78" s="394">
        <f>IS!CC136</f>
        <v>527.197</v>
      </c>
      <c r="CD78" s="394">
        <f>IS!CD136</f>
        <v>516.87275</v>
      </c>
      <c r="CE78" s="394">
        <f>IS!CE136</f>
        <v>512.22299999999996</v>
      </c>
      <c r="CF78" s="394">
        <f>IS!CF136</f>
        <v>512.22299999999996</v>
      </c>
      <c r="CG78" s="394">
        <f>IS!CG136</f>
        <v>502.22299999999996</v>
      </c>
      <c r="CH78" s="336"/>
    </row>
    <row r="79" spans="2:86" ht="14.25">
      <c r="B79" s="16" t="s">
        <v>139</v>
      </c>
      <c r="C79" s="17"/>
      <c r="D79" s="156">
        <f t="shared" ref="D79:BQ79" si="316">D41/D78</f>
        <v>3.8033386316658366</v>
      </c>
      <c r="E79" s="156">
        <f t="shared" si="316"/>
        <v>3.8843864538468043</v>
      </c>
      <c r="F79" s="156">
        <f t="shared" si="316"/>
        <v>3.9779244234971678</v>
      </c>
      <c r="G79" s="157">
        <f t="shared" si="316"/>
        <v>4.0538219806904428</v>
      </c>
      <c r="H79" s="156">
        <f t="shared" si="316"/>
        <v>4.1539500152883049</v>
      </c>
      <c r="I79" s="156">
        <f t="shared" si="316"/>
        <v>4.296329476768789</v>
      </c>
      <c r="J79" s="156">
        <f t="shared" si="316"/>
        <v>4.4250297268920846</v>
      </c>
      <c r="K79" s="157">
        <f t="shared" si="316"/>
        <v>4.6613742507405407</v>
      </c>
      <c r="L79" s="156">
        <f t="shared" si="316"/>
        <v>4.9050000312736506</v>
      </c>
      <c r="M79" s="156">
        <f t="shared" si="316"/>
        <v>5.1463143987763855</v>
      </c>
      <c r="N79" s="156">
        <f t="shared" si="316"/>
        <v>5.2458776526254285</v>
      </c>
      <c r="O79" s="157">
        <f t="shared" si="316"/>
        <v>5.0907576546306386</v>
      </c>
      <c r="P79" s="156">
        <f t="shared" si="316"/>
        <v>5.0828608891995568</v>
      </c>
      <c r="Q79" s="156">
        <f t="shared" si="316"/>
        <v>5.1209155615636766</v>
      </c>
      <c r="R79" s="156">
        <f t="shared" si="316"/>
        <v>5.243261715188237</v>
      </c>
      <c r="S79" s="157">
        <f t="shared" si="316"/>
        <v>5.4363284630008231</v>
      </c>
      <c r="T79" s="156">
        <f t="shared" si="316"/>
        <v>5.6662566408959067</v>
      </c>
      <c r="U79" s="156">
        <f t="shared" si="316"/>
        <v>5.7903762729498061</v>
      </c>
      <c r="V79" s="156">
        <f t="shared" si="316"/>
        <v>6.0565757647616794</v>
      </c>
      <c r="W79" s="157">
        <f t="shared" si="316"/>
        <v>6.0876243259055762</v>
      </c>
      <c r="X79" s="156">
        <f t="shared" si="316"/>
        <v>5.8836405620439676</v>
      </c>
      <c r="Y79" s="156">
        <f t="shared" si="316"/>
        <v>5.9179239015528706</v>
      </c>
      <c r="Z79" s="156">
        <f t="shared" si="316"/>
        <v>6.1838514779319205</v>
      </c>
      <c r="AA79" s="157">
        <f t="shared" si="316"/>
        <v>6.5722121147658292</v>
      </c>
      <c r="AB79" s="156">
        <f t="shared" si="316"/>
        <v>6.8974784588086626</v>
      </c>
      <c r="AC79" s="156">
        <f t="shared" si="316"/>
        <v>7.3456145859591864</v>
      </c>
      <c r="AD79" s="156">
        <f t="shared" si="316"/>
        <v>7.7166254119932285</v>
      </c>
      <c r="AE79" s="157">
        <f t="shared" si="316"/>
        <v>8.0587108967389316</v>
      </c>
      <c r="AF79" s="358">
        <f t="shared" si="316"/>
        <v>7.3963629123249497</v>
      </c>
      <c r="AG79" s="156">
        <f t="shared" si="316"/>
        <v>8.0446799418032349</v>
      </c>
      <c r="AH79" s="156">
        <f t="shared" si="316"/>
        <v>8.1932227419572499</v>
      </c>
      <c r="AI79" s="157">
        <f t="shared" si="316"/>
        <v>8.2780961437814611</v>
      </c>
      <c r="AJ79" s="358">
        <f t="shared" si="316"/>
        <v>8.1289829296527305</v>
      </c>
      <c r="AK79" s="156">
        <f t="shared" si="316"/>
        <v>8.1876797351639112</v>
      </c>
      <c r="AL79" s="156">
        <f t="shared" si="316"/>
        <v>8.0932744894427149</v>
      </c>
      <c r="AM79" s="157">
        <f t="shared" si="316"/>
        <v>8.2395301665692902</v>
      </c>
      <c r="AN79" s="358">
        <f t="shared" si="316"/>
        <v>8.3303335432293224</v>
      </c>
      <c r="AO79" s="156">
        <f t="shared" si="316"/>
        <v>8.5184603390698275</v>
      </c>
      <c r="AP79" s="156">
        <f t="shared" si="316"/>
        <v>8.6798774025044594</v>
      </c>
      <c r="AQ79" s="157">
        <f t="shared" si="316"/>
        <v>8.9340461346514299</v>
      </c>
      <c r="AR79" s="358">
        <f t="shared" si="316"/>
        <v>8.9926523824607454</v>
      </c>
      <c r="AS79" s="156">
        <f t="shared" si="316"/>
        <v>9.3004929986690907</v>
      </c>
      <c r="AT79" s="156">
        <f t="shared" si="316"/>
        <v>9.4478164906195801</v>
      </c>
      <c r="AU79" s="157">
        <f t="shared" si="316"/>
        <v>9.6585754504504511</v>
      </c>
      <c r="AV79" s="358">
        <f>AV41/AV78</f>
        <v>9.5882950893190824</v>
      </c>
      <c r="AW79" s="156">
        <f t="shared" ref="AW79:AY79" si="317">AW41/AW78</f>
        <v>7.9070461701273311</v>
      </c>
      <c r="AX79" s="156">
        <f t="shared" si="317"/>
        <v>7.9294953761294495</v>
      </c>
      <c r="AY79" s="157">
        <f t="shared" si="317"/>
        <v>7.9837610496598321</v>
      </c>
      <c r="AZ79" s="358">
        <f>AZ41/AZ78</f>
        <v>7.8485995371035084</v>
      </c>
      <c r="BA79" s="156">
        <f t="shared" ref="BA79:BC79" si="318">BA41/BA78</f>
        <v>7.9002076158745416</v>
      </c>
      <c r="BB79" s="156">
        <f t="shared" si="318"/>
        <v>7.8605684888620626</v>
      </c>
      <c r="BC79" s="157">
        <f t="shared" si="318"/>
        <v>7.6260903811671508</v>
      </c>
      <c r="BD79" s="156">
        <f t="shared" ref="BD79:BG79" si="319">BD41/BD78</f>
        <v>7.5730014489041464</v>
      </c>
      <c r="BE79" s="358">
        <f t="shared" si="319"/>
        <v>7.6507629399466355</v>
      </c>
      <c r="BF79" s="358">
        <f t="shared" si="319"/>
        <v>7.9210827111079896</v>
      </c>
      <c r="BG79" s="157">
        <f t="shared" si="319"/>
        <v>8.0851757925747183</v>
      </c>
      <c r="BH79" s="156">
        <f t="shared" ref="BH79:BK79" si="320">BH41/BH78</f>
        <v>8.3323148938199765</v>
      </c>
      <c r="BI79" s="358">
        <f t="shared" si="320"/>
        <v>8.599651371138771</v>
      </c>
      <c r="BJ79" s="156">
        <f t="shared" si="320"/>
        <v>8.8817204461282806</v>
      </c>
      <c r="BK79" s="157">
        <f t="shared" si="320"/>
        <v>9.1640024362190076</v>
      </c>
      <c r="BL79" s="156">
        <f t="shared" ref="BL79:BO79" si="321">BL41/BL78</f>
        <v>9.4291914983598222</v>
      </c>
      <c r="BM79" s="358">
        <f t="shared" si="321"/>
        <v>9.7137752211458412</v>
      </c>
      <c r="BN79" s="156">
        <f t="shared" si="321"/>
        <v>10.010159360256022</v>
      </c>
      <c r="BO79" s="157">
        <f t="shared" si="321"/>
        <v>10.304805316482934</v>
      </c>
      <c r="BP79" s="247"/>
      <c r="BQ79" s="156">
        <f t="shared" si="316"/>
        <v>4.1697429296040838</v>
      </c>
      <c r="BR79" s="156">
        <f t="shared" ref="BR79:CA79" si="322">BR41/BR78</f>
        <v>4.7636264848587571</v>
      </c>
      <c r="BS79" s="156">
        <f t="shared" si="322"/>
        <v>5.0852306659586315</v>
      </c>
      <c r="BT79" s="156">
        <f t="shared" si="322"/>
        <v>5.4110898570585659</v>
      </c>
      <c r="BU79" s="156">
        <f t="shared" si="322"/>
        <v>6.0734880784701861</v>
      </c>
      <c r="BV79" s="156">
        <f t="shared" si="322"/>
        <v>6.7258349102634183</v>
      </c>
      <c r="BW79" s="156">
        <f t="shared" si="322"/>
        <v>8.1578467028597821</v>
      </c>
      <c r="BX79" s="156">
        <f t="shared" si="322"/>
        <v>7.9953119001594199</v>
      </c>
      <c r="BY79" s="156">
        <f t="shared" si="322"/>
        <v>7.7512446753992004</v>
      </c>
      <c r="BZ79" s="156">
        <f t="shared" si="322"/>
        <v>9.0107148827558365</v>
      </c>
      <c r="CA79" s="358">
        <f t="shared" si="322"/>
        <v>9.6664766339603805</v>
      </c>
      <c r="CB79" s="358">
        <f>CB41/CB78</f>
        <v>7.8665631123303275</v>
      </c>
      <c r="CC79" s="358">
        <f>CC41/CC78</f>
        <v>7.639745673818326</v>
      </c>
      <c r="CD79" s="358">
        <f>CD41/CD78</f>
        <v>8.0124421339681753</v>
      </c>
      <c r="CE79" s="358">
        <f>CE41/CE78</f>
        <v>9.1640024362190076</v>
      </c>
      <c r="CF79" s="358">
        <f>CF41/CF78</f>
        <v>10.304805316482934</v>
      </c>
      <c r="CG79" s="358">
        <f t="shared" ref="CG79" si="323">CG41/CG78</f>
        <v>11.929325341233582</v>
      </c>
      <c r="CH79" s="336"/>
    </row>
    <row r="80" spans="2:86" ht="14.25">
      <c r="B80" s="16" t="s">
        <v>140</v>
      </c>
      <c r="C80" s="17"/>
      <c r="D80" s="158">
        <f>(D41-(D22+D23))</f>
        <v>629.04700000000003</v>
      </c>
      <c r="E80" s="158">
        <f>(E41-(E22+E23))</f>
        <v>711.0150000000001</v>
      </c>
      <c r="F80" s="158">
        <f t="shared" ref="F80:CA80" si="324">(F41-(F22+F23))</f>
        <v>813.83799999999997</v>
      </c>
      <c r="G80" s="159">
        <f t="shared" si="324"/>
        <v>936.79399999999987</v>
      </c>
      <c r="H80" s="158">
        <f t="shared" si="324"/>
        <v>1040.346</v>
      </c>
      <c r="I80" s="158">
        <f t="shared" si="324"/>
        <v>1169.259</v>
      </c>
      <c r="J80" s="158">
        <f t="shared" si="324"/>
        <v>1297.117</v>
      </c>
      <c r="K80" s="159">
        <f t="shared" si="324"/>
        <v>1337.0429999999999</v>
      </c>
      <c r="L80" s="158">
        <f t="shared" si="324"/>
        <v>1453.2380000000001</v>
      </c>
      <c r="M80" s="158">
        <f t="shared" si="324"/>
        <v>1369.373</v>
      </c>
      <c r="N80" s="158">
        <f t="shared" si="324"/>
        <v>1434.0379999999998</v>
      </c>
      <c r="O80" s="159">
        <f t="shared" si="324"/>
        <v>668.82099999999991</v>
      </c>
      <c r="P80" s="158">
        <f t="shared" si="324"/>
        <v>701.91800000000012</v>
      </c>
      <c r="Q80" s="158">
        <f t="shared" si="324"/>
        <v>738.84799999999996</v>
      </c>
      <c r="R80" s="158">
        <f t="shared" si="324"/>
        <v>830.17000000000007</v>
      </c>
      <c r="S80" s="159">
        <f t="shared" si="324"/>
        <v>983.64199999999983</v>
      </c>
      <c r="T80" s="158">
        <f t="shared" si="324"/>
        <v>1145.1200000000003</v>
      </c>
      <c r="U80" s="158">
        <f t="shared" si="324"/>
        <v>1349.0860000000002</v>
      </c>
      <c r="V80" s="158">
        <f t="shared" si="324"/>
        <v>1507.232</v>
      </c>
      <c r="W80" s="159">
        <f t="shared" si="324"/>
        <v>1544.9029999999998</v>
      </c>
      <c r="X80" s="158">
        <f t="shared" si="324"/>
        <v>1491.7009999999996</v>
      </c>
      <c r="Y80" s="158">
        <f t="shared" si="324"/>
        <v>1629.6320000000001</v>
      </c>
      <c r="Z80" s="158">
        <f t="shared" si="324"/>
        <v>1905.2840000000001</v>
      </c>
      <c r="AA80" s="159">
        <f t="shared" si="324"/>
        <v>2241.2160000000003</v>
      </c>
      <c r="AB80" s="158">
        <f t="shared" si="324"/>
        <v>2545.4839999999999</v>
      </c>
      <c r="AC80" s="158">
        <f t="shared" si="324"/>
        <v>2829.4809999999998</v>
      </c>
      <c r="AD80" s="158">
        <f t="shared" si="324"/>
        <v>3096.34</v>
      </c>
      <c r="AE80" s="159">
        <f t="shared" si="324"/>
        <v>3392.4049999999997</v>
      </c>
      <c r="AF80" s="154">
        <f t="shared" si="324"/>
        <v>2773.0620000000004</v>
      </c>
      <c r="AG80" s="158">
        <f t="shared" ref="AG80:AL80" si="325">(AG41-(AG22+AG23))</f>
        <v>2906.4820000000004</v>
      </c>
      <c r="AH80" s="158">
        <f t="shared" si="325"/>
        <v>2927.2049999999999</v>
      </c>
      <c r="AI80" s="159">
        <f t="shared" si="325"/>
        <v>2840.5219999999999</v>
      </c>
      <c r="AJ80" s="154">
        <f t="shared" si="325"/>
        <v>2763.3889999999997</v>
      </c>
      <c r="AK80" s="158">
        <f t="shared" si="325"/>
        <v>2656.9959999999996</v>
      </c>
      <c r="AL80" s="158">
        <f t="shared" si="325"/>
        <v>2542.2330000000002</v>
      </c>
      <c r="AM80" s="159">
        <f>(AM41-(AM22+AM23))</f>
        <v>2362.8020000000001</v>
      </c>
      <c r="AN80" s="154">
        <f>(AN41-(AN22+AN23))</f>
        <v>2237.5479999999998</v>
      </c>
      <c r="AO80" s="158">
        <f t="shared" si="324"/>
        <v>2288.2550000000001</v>
      </c>
      <c r="AP80" s="158">
        <f t="shared" si="324"/>
        <v>2369.6089999999999</v>
      </c>
      <c r="AQ80" s="159">
        <f t="shared" si="324"/>
        <v>2596.9299999999998</v>
      </c>
      <c r="AR80" s="154">
        <f t="shared" si="324"/>
        <v>2697.681</v>
      </c>
      <c r="AS80" s="158">
        <f t="shared" si="324"/>
        <v>2893.5169999999998</v>
      </c>
      <c r="AT80" s="158">
        <f t="shared" si="324"/>
        <v>2969.6819999999998</v>
      </c>
      <c r="AU80" s="159">
        <f t="shared" si="324"/>
        <v>3085.4459999999999</v>
      </c>
      <c r="AV80" s="154">
        <f>(AV41-(AV22+AV23))</f>
        <v>3042.9839999999999</v>
      </c>
      <c r="AW80" s="158">
        <f t="shared" ref="AW80:AY80" si="326">(AW41-(AW22+AW23))</f>
        <v>2159.4600000000005</v>
      </c>
      <c r="AX80" s="158">
        <f t="shared" si="326"/>
        <v>2060.5810000000001</v>
      </c>
      <c r="AY80" s="159">
        <f t="shared" si="326"/>
        <v>2092.1679999999997</v>
      </c>
      <c r="AZ80" s="154">
        <f>(AZ41-(AZ22+AZ23))</f>
        <v>2036.799</v>
      </c>
      <c r="BA80" s="158">
        <f t="shared" ref="BA80:BC80" si="327">(BA41-(BA22+BA23))</f>
        <v>2099.0149999999994</v>
      </c>
      <c r="BB80" s="158">
        <f t="shared" si="327"/>
        <v>2141.2149999999997</v>
      </c>
      <c r="BC80" s="159">
        <f t="shared" si="327"/>
        <v>2020.6669999999999</v>
      </c>
      <c r="BD80" s="158">
        <f t="shared" ref="BD80:BG80" si="328">(BD41-(BD22+BD23))</f>
        <v>1955.934</v>
      </c>
      <c r="BE80" s="154">
        <f t="shared" si="328"/>
        <v>1979.3540000000003</v>
      </c>
      <c r="BF80" s="154">
        <f t="shared" si="328"/>
        <v>2067.2809999999999</v>
      </c>
      <c r="BG80" s="159">
        <f t="shared" si="328"/>
        <v>2148.1029999999996</v>
      </c>
      <c r="BH80" s="158">
        <f t="shared" ref="BH80:BK80" si="329">(BH41-(BH22+BH23))</f>
        <v>2274.6933318571496</v>
      </c>
      <c r="BI80" s="154">
        <f t="shared" si="329"/>
        <v>2411.6292242788145</v>
      </c>
      <c r="BJ80" s="158">
        <f t="shared" si="329"/>
        <v>2556.1114920771656</v>
      </c>
      <c r="BK80" s="159">
        <f t="shared" si="329"/>
        <v>2700.7028198874082</v>
      </c>
      <c r="BL80" s="158">
        <f t="shared" ref="BL80:BO80" si="330">(BL41-(BL22+BL23))</f>
        <v>2836.5387568643632</v>
      </c>
      <c r="BM80" s="154">
        <f t="shared" si="330"/>
        <v>2982.3090851009861</v>
      </c>
      <c r="BN80" s="158">
        <f t="shared" si="330"/>
        <v>3134.1238579884198</v>
      </c>
      <c r="BO80" s="159">
        <f t="shared" si="330"/>
        <v>3285.0482936248377</v>
      </c>
      <c r="BP80" s="247"/>
      <c r="BQ80" s="158">
        <f t="shared" si="324"/>
        <v>936.79399999999987</v>
      </c>
      <c r="BR80" s="158">
        <f t="shared" si="324"/>
        <v>1337.0429999999999</v>
      </c>
      <c r="BS80" s="158">
        <f t="shared" si="324"/>
        <v>668.82099999999991</v>
      </c>
      <c r="BT80" s="158">
        <f t="shared" si="324"/>
        <v>983.64199999999983</v>
      </c>
      <c r="BU80" s="158">
        <f t="shared" si="324"/>
        <v>1544.9029999999998</v>
      </c>
      <c r="BV80" s="158">
        <f t="shared" si="324"/>
        <v>2241.2160000000003</v>
      </c>
      <c r="BW80" s="158">
        <f t="shared" si="324"/>
        <v>3392.4049999999997</v>
      </c>
      <c r="BX80" s="158">
        <f t="shared" si="324"/>
        <v>2840.5219999999999</v>
      </c>
      <c r="BY80" s="158">
        <f t="shared" si="324"/>
        <v>2362.8020000000001</v>
      </c>
      <c r="BZ80" s="158">
        <f t="shared" si="324"/>
        <v>2596.9299999999998</v>
      </c>
      <c r="CA80" s="154">
        <f t="shared" si="324"/>
        <v>3085.4459999999999</v>
      </c>
      <c r="CB80" s="154">
        <f>(CB41-(CB22+CB23))</f>
        <v>2092.1679999999997</v>
      </c>
      <c r="CC80" s="154">
        <f>(CC41-(CC22+CC23))</f>
        <v>2020.6669999999999</v>
      </c>
      <c r="CD80" s="154">
        <f>(CD41-(CD22+CD23))</f>
        <v>2148.1029999999996</v>
      </c>
      <c r="CE80" s="154">
        <f>(CE41-(CE22+CE23))</f>
        <v>2700.7028198874082</v>
      </c>
      <c r="CF80" s="154">
        <f>(CF41-(CF22+CF23))</f>
        <v>3285.0482936248377</v>
      </c>
      <c r="CG80" s="154">
        <f t="shared" ref="CG80" si="331">(CG41-(CG22+CG23))</f>
        <v>3997.871560850353</v>
      </c>
      <c r="CH80" s="336"/>
    </row>
    <row r="81" spans="2:86" ht="14.25">
      <c r="B81" s="16" t="s">
        <v>141</v>
      </c>
      <c r="C81" s="17"/>
      <c r="D81" s="158">
        <f t="shared" ref="D81:BQ81" si="332">D80/D78</f>
        <v>1.0728219419184513</v>
      </c>
      <c r="E81" s="158">
        <f t="shared" si="332"/>
        <v>1.200937420825944</v>
      </c>
      <c r="F81" s="158">
        <f t="shared" si="332"/>
        <v>1.3534686627928247</v>
      </c>
      <c r="G81" s="159">
        <f t="shared" si="332"/>
        <v>1.5206016218988812</v>
      </c>
      <c r="H81" s="158">
        <f t="shared" si="332"/>
        <v>1.674223917346594</v>
      </c>
      <c r="I81" s="158">
        <f t="shared" si="332"/>
        <v>1.8672144106163315</v>
      </c>
      <c r="J81" s="158">
        <f t="shared" si="332"/>
        <v>2.0510243128028032</v>
      </c>
      <c r="K81" s="159">
        <f t="shared" si="332"/>
        <v>2.0724946794246804</v>
      </c>
      <c r="L81" s="158">
        <f t="shared" si="332"/>
        <v>2.2724028796777564</v>
      </c>
      <c r="M81" s="158">
        <f t="shared" si="332"/>
        <v>2.1614864576904438</v>
      </c>
      <c r="N81" s="158">
        <f t="shared" si="332"/>
        <v>2.2708548100782742</v>
      </c>
      <c r="O81" s="159">
        <f t="shared" si="332"/>
        <v>1.0550391999116622</v>
      </c>
      <c r="P81" s="158">
        <f t="shared" si="332"/>
        <v>1.107543695494043</v>
      </c>
      <c r="Q81" s="158">
        <f t="shared" si="332"/>
        <v>1.1722945206566198</v>
      </c>
      <c r="R81" s="158">
        <f t="shared" si="332"/>
        <v>1.3164492327306923</v>
      </c>
      <c r="S81" s="159">
        <f t="shared" si="332"/>
        <v>1.5674545567540603</v>
      </c>
      <c r="T81" s="158">
        <f t="shared" si="332"/>
        <v>1.8340965258324249</v>
      </c>
      <c r="U81" s="158">
        <f t="shared" si="332"/>
        <v>2.1074628171341896</v>
      </c>
      <c r="V81" s="158">
        <f t="shared" si="332"/>
        <v>2.3827871314520594</v>
      </c>
      <c r="W81" s="159">
        <f t="shared" si="332"/>
        <v>2.4561568350630849</v>
      </c>
      <c r="X81" s="158">
        <f t="shared" si="332"/>
        <v>2.3432128242787909</v>
      </c>
      <c r="Y81" s="158">
        <f t="shared" si="332"/>
        <v>2.5003521229407712</v>
      </c>
      <c r="Z81" s="158">
        <f t="shared" si="332"/>
        <v>2.8692480528164142</v>
      </c>
      <c r="AA81" s="159">
        <f t="shared" si="332"/>
        <v>3.3340463924810448</v>
      </c>
      <c r="AB81" s="158">
        <f t="shared" si="332"/>
        <v>3.7358377032122094</v>
      </c>
      <c r="AC81" s="158">
        <f t="shared" si="332"/>
        <v>4.1711164279259556</v>
      </c>
      <c r="AD81" s="158">
        <f t="shared" si="332"/>
        <v>4.5702502881923071</v>
      </c>
      <c r="AE81" s="159">
        <f t="shared" si="332"/>
        <v>4.9509343918973148</v>
      </c>
      <c r="AF81" s="154">
        <f t="shared" si="332"/>
        <v>4.1829253576449439</v>
      </c>
      <c r="AG81" s="158">
        <f t="shared" si="332"/>
        <v>4.6520310446767414</v>
      </c>
      <c r="AH81" s="158">
        <f t="shared" si="332"/>
        <v>4.7592418263673117</v>
      </c>
      <c r="AI81" s="159">
        <f t="shared" si="332"/>
        <v>4.6896748704385196</v>
      </c>
      <c r="AJ81" s="154">
        <f t="shared" si="332"/>
        <v>4.5634139373432214</v>
      </c>
      <c r="AK81" s="158">
        <f t="shared" si="332"/>
        <v>4.5292766954129284</v>
      </c>
      <c r="AL81" s="158">
        <f t="shared" si="332"/>
        <v>4.3998494288681211</v>
      </c>
      <c r="AM81" s="159">
        <f t="shared" si="332"/>
        <v>4.3411675651045973</v>
      </c>
      <c r="AN81" s="154">
        <f t="shared" si="332"/>
        <v>4.2825442456280705</v>
      </c>
      <c r="AO81" s="158">
        <f t="shared" si="332"/>
        <v>4.4376471455223161</v>
      </c>
      <c r="AP81" s="158">
        <f t="shared" si="332"/>
        <v>4.6083142260935857</v>
      </c>
      <c r="AQ81" s="159">
        <f t="shared" si="332"/>
        <v>4.9618346863948064</v>
      </c>
      <c r="AR81" s="154">
        <f t="shared" si="332"/>
        <v>5.0863557174532783</v>
      </c>
      <c r="AS81" s="158">
        <f t="shared" si="332"/>
        <v>5.423954486662792</v>
      </c>
      <c r="AT81" s="158">
        <f t="shared" si="332"/>
        <v>5.5736019459021184</v>
      </c>
      <c r="AU81" s="159">
        <f t="shared" si="332"/>
        <v>5.7910022522522526</v>
      </c>
      <c r="AV81" s="154">
        <f>AV80/AV78</f>
        <v>5.6861200388668811</v>
      </c>
      <c r="AW81" s="158">
        <f t="shared" ref="AW81:AY81" si="333">AW80/AW78</f>
        <v>4.051960626109409</v>
      </c>
      <c r="AX81" s="158">
        <f t="shared" si="333"/>
        <v>3.9740812528326632</v>
      </c>
      <c r="AY81" s="159">
        <f t="shared" si="333"/>
        <v>4.034510421005538</v>
      </c>
      <c r="AZ81" s="154">
        <f>AZ80/AZ78</f>
        <v>3.8992022788750349</v>
      </c>
      <c r="BA81" s="158">
        <f t="shared" ref="BA81:BC81" si="334">BA80/BA78</f>
        <v>3.9870890658805243</v>
      </c>
      <c r="BB81" s="158">
        <f t="shared" si="334"/>
        <v>4.0261191995201475</v>
      </c>
      <c r="BC81" s="159">
        <f t="shared" si="334"/>
        <v>3.8259991176598676</v>
      </c>
      <c r="BD81" s="158">
        <f t="shared" ref="BD81:BG81" si="335">BD80/BD78</f>
        <v>3.738734674684701</v>
      </c>
      <c r="BE81" s="154">
        <f t="shared" si="335"/>
        <v>3.8105683450190404</v>
      </c>
      <c r="BF81" s="154">
        <f t="shared" si="335"/>
        <v>4.0323342617949738</v>
      </c>
      <c r="BG81" s="159">
        <f t="shared" si="335"/>
        <v>4.1936871245531728</v>
      </c>
      <c r="BH81" s="158">
        <f t="shared" ref="BH81:BK81" si="336">BH80/BH78</f>
        <v>4.440826225798431</v>
      </c>
      <c r="BI81" s="154">
        <f t="shared" si="336"/>
        <v>4.7081627031172255</v>
      </c>
      <c r="BJ81" s="158">
        <f t="shared" si="336"/>
        <v>4.9902317781067342</v>
      </c>
      <c r="BK81" s="159">
        <f t="shared" si="336"/>
        <v>5.2725137681974621</v>
      </c>
      <c r="BL81" s="158">
        <f t="shared" ref="BL81:BO81" si="337">BL80/BL78</f>
        <v>5.5377028303382776</v>
      </c>
      <c r="BM81" s="154">
        <f t="shared" si="337"/>
        <v>5.8222865531242958</v>
      </c>
      <c r="BN81" s="158">
        <f t="shared" si="337"/>
        <v>6.1186706922344758</v>
      </c>
      <c r="BO81" s="159">
        <f t="shared" si="337"/>
        <v>6.4133166484613886</v>
      </c>
      <c r="BP81" s="247"/>
      <c r="BQ81" s="158">
        <f t="shared" si="332"/>
        <v>1.5640839414900629</v>
      </c>
      <c r="BR81" s="158">
        <f t="shared" ref="BR81:CA81" si="338">BR80/BR78</f>
        <v>2.1179570687909974</v>
      </c>
      <c r="BS81" s="158">
        <f t="shared" si="338"/>
        <v>1.0538937535749797</v>
      </c>
      <c r="BT81" s="158">
        <f t="shared" si="338"/>
        <v>1.5601775189224512</v>
      </c>
      <c r="BU81" s="158">
        <f t="shared" si="338"/>
        <v>2.4504533226743814</v>
      </c>
      <c r="BV81" s="158">
        <f t="shared" si="338"/>
        <v>3.4119783761400715</v>
      </c>
      <c r="BW81" s="158">
        <f t="shared" si="338"/>
        <v>5.011839278334028</v>
      </c>
      <c r="BX81" s="158">
        <f t="shared" si="338"/>
        <v>4.5294730392401137</v>
      </c>
      <c r="BY81" s="158">
        <f t="shared" si="338"/>
        <v>4.0839042146554103</v>
      </c>
      <c r="BZ81" s="158">
        <f t="shared" si="338"/>
        <v>5.0044153545459844</v>
      </c>
      <c r="CA81" s="154">
        <f t="shared" si="338"/>
        <v>5.795739573168385</v>
      </c>
      <c r="CB81" s="154">
        <f>CB80/CB78</f>
        <v>3.9752856650872244</v>
      </c>
      <c r="CC81" s="154">
        <f>CC80/CC78</f>
        <v>3.8328499593131218</v>
      </c>
      <c r="CD81" s="154">
        <f>CD80/CD78</f>
        <v>4.1559610174844765</v>
      </c>
      <c r="CE81" s="154">
        <f>CE80/CE78</f>
        <v>5.2725137681974621</v>
      </c>
      <c r="CF81" s="154">
        <f>CF80/CF78</f>
        <v>6.4133166484613886</v>
      </c>
      <c r="CG81" s="154">
        <f t="shared" ref="CG81" si="339">CG80/CG78</f>
        <v>7.9603513993790678</v>
      </c>
      <c r="CH81" s="336"/>
    </row>
    <row r="82" spans="2:86" ht="14.25">
      <c r="B82" s="16" t="s">
        <v>142</v>
      </c>
      <c r="C82" s="17"/>
      <c r="D82" s="158">
        <f>D11+D12+D13</f>
        <v>421.41200000000003</v>
      </c>
      <c r="E82" s="158">
        <f t="shared" ref="E82:CA82" si="340">E11+E12+E13</f>
        <v>482.41800000000001</v>
      </c>
      <c r="F82" s="158">
        <f t="shared" si="340"/>
        <v>577.29099999999994</v>
      </c>
      <c r="G82" s="159">
        <f t="shared" si="340"/>
        <v>660.01400000000001</v>
      </c>
      <c r="H82" s="158">
        <f t="shared" si="340"/>
        <v>726.77099999999996</v>
      </c>
      <c r="I82" s="158">
        <f t="shared" si="340"/>
        <v>847.06399999999996</v>
      </c>
      <c r="J82" s="158">
        <f t="shared" si="340"/>
        <v>914.86599999999999</v>
      </c>
      <c r="K82" s="159">
        <f t="shared" si="340"/>
        <v>921.02199999999993</v>
      </c>
      <c r="L82" s="158">
        <f t="shared" si="340"/>
        <v>921.41000000000008</v>
      </c>
      <c r="M82" s="158">
        <f t="shared" si="340"/>
        <v>797.726</v>
      </c>
      <c r="N82" s="158">
        <f t="shared" si="340"/>
        <v>875.67200000000003</v>
      </c>
      <c r="O82" s="159">
        <f t="shared" si="340"/>
        <v>596.38</v>
      </c>
      <c r="P82" s="158">
        <f t="shared" si="340"/>
        <v>592.94299999999998</v>
      </c>
      <c r="Q82" s="158">
        <f t="shared" si="340"/>
        <v>496.44799999999998</v>
      </c>
      <c r="R82" s="158">
        <f t="shared" si="340"/>
        <v>529.47399999999993</v>
      </c>
      <c r="S82" s="159">
        <f t="shared" si="340"/>
        <v>630.90200000000004</v>
      </c>
      <c r="T82" s="158">
        <f t="shared" si="340"/>
        <v>773.64199999999994</v>
      </c>
      <c r="U82" s="158">
        <f t="shared" si="340"/>
        <v>888.89800000000002</v>
      </c>
      <c r="V82" s="158">
        <f t="shared" si="340"/>
        <v>1044.5070000000001</v>
      </c>
      <c r="W82" s="159">
        <f t="shared" si="340"/>
        <v>951.90899999999999</v>
      </c>
      <c r="X82" s="158">
        <f t="shared" si="340"/>
        <v>1083.7049999999999</v>
      </c>
      <c r="Y82" s="158">
        <f t="shared" si="340"/>
        <v>1279.307</v>
      </c>
      <c r="Z82" s="158">
        <f t="shared" si="340"/>
        <v>1464.1869999999999</v>
      </c>
      <c r="AA82" s="159">
        <f t="shared" si="340"/>
        <v>1796.7170000000001</v>
      </c>
      <c r="AB82" s="158">
        <f t="shared" si="340"/>
        <v>2079.203</v>
      </c>
      <c r="AC82" s="158">
        <f t="shared" si="340"/>
        <v>2379.951</v>
      </c>
      <c r="AD82" s="158">
        <f t="shared" si="340"/>
        <v>2675.2730000000001</v>
      </c>
      <c r="AE82" s="159">
        <f t="shared" si="340"/>
        <v>2930.03</v>
      </c>
      <c r="AF82" s="154">
        <f t="shared" si="340"/>
        <v>2267.8389999999999</v>
      </c>
      <c r="AG82" s="158">
        <f t="shared" ref="AG82:AL82" si="341">AG11+AG12+AG13</f>
        <v>2399.7869999999998</v>
      </c>
      <c r="AH82" s="158">
        <f t="shared" si="341"/>
        <v>2424.6979999999999</v>
      </c>
      <c r="AI82" s="159">
        <f t="shared" si="341"/>
        <v>2246.498</v>
      </c>
      <c r="AJ82" s="154">
        <f t="shared" si="341"/>
        <v>2202.681</v>
      </c>
      <c r="AK82" s="158">
        <f t="shared" si="341"/>
        <v>2134.1930000000002</v>
      </c>
      <c r="AL82" s="158">
        <f t="shared" si="341"/>
        <v>2016.799</v>
      </c>
      <c r="AM82" s="159">
        <f>AM11+AM12+AM13</f>
        <v>1918.99</v>
      </c>
      <c r="AN82" s="154">
        <f>AN11+AN12+AN13</f>
        <v>1732.643</v>
      </c>
      <c r="AO82" s="158">
        <f t="shared" si="340"/>
        <v>1726.1979999999999</v>
      </c>
      <c r="AP82" s="158">
        <f t="shared" si="340"/>
        <v>1804.0680000000002</v>
      </c>
      <c r="AQ82" s="159">
        <f t="shared" si="340"/>
        <v>1969.405</v>
      </c>
      <c r="AR82" s="154">
        <f t="shared" si="340"/>
        <v>2146.4450000000002</v>
      </c>
      <c r="AS82" s="158">
        <f t="shared" si="340"/>
        <v>2300.0039999999999</v>
      </c>
      <c r="AT82" s="158">
        <f t="shared" si="340"/>
        <v>2402.7780000000002</v>
      </c>
      <c r="AU82" s="159">
        <f t="shared" si="340"/>
        <v>2529.5550000000003</v>
      </c>
      <c r="AV82" s="154">
        <f>AV11+AV12+AV13</f>
        <v>2500.915</v>
      </c>
      <c r="AW82" s="158">
        <f t="shared" ref="AW82:AY82" si="342">AW11+AW12+AW13</f>
        <v>2337.6469999999999</v>
      </c>
      <c r="AX82" s="158">
        <f t="shared" si="342"/>
        <v>2303.752</v>
      </c>
      <c r="AY82" s="159">
        <f t="shared" si="342"/>
        <v>2282.7489999999998</v>
      </c>
      <c r="AZ82" s="154">
        <f>AZ11+AZ12+AZ13</f>
        <v>1615.24</v>
      </c>
      <c r="BA82" s="158">
        <f t="shared" ref="BA82:BC82" si="343">BA11+BA12+BA13</f>
        <v>1624.009</v>
      </c>
      <c r="BB82" s="158">
        <f t="shared" si="343"/>
        <v>1650.3719999999998</v>
      </c>
      <c r="BC82" s="159">
        <f t="shared" si="343"/>
        <v>1668.36</v>
      </c>
      <c r="BD82" s="158">
        <f t="shared" ref="BD82:BG82" si="344">BD11+BD12+BD13</f>
        <v>1649.4110000000001</v>
      </c>
      <c r="BE82" s="154">
        <f t="shared" si="344"/>
        <v>1573.5070000000001</v>
      </c>
      <c r="BF82" s="154">
        <f t="shared" si="344"/>
        <v>1732.075</v>
      </c>
      <c r="BG82" s="159">
        <f t="shared" si="344"/>
        <v>1841.2719999999999</v>
      </c>
      <c r="BH82" s="158">
        <f t="shared" ref="BH82:BK82" si="345">BH11+BH12+BH13</f>
        <v>1987.4494098336179</v>
      </c>
      <c r="BI82" s="154">
        <f t="shared" si="345"/>
        <v>2121.5532190306812</v>
      </c>
      <c r="BJ82" s="158">
        <f t="shared" si="345"/>
        <v>2263.038544600784</v>
      </c>
      <c r="BK82" s="159">
        <f t="shared" si="345"/>
        <v>2418.4030188752918</v>
      </c>
      <c r="BL82" s="158">
        <f t="shared" ref="BL82:BO82" si="346">BL11+BL12+BL13</f>
        <v>2588.8943862720903</v>
      </c>
      <c r="BM82" s="154">
        <f t="shared" si="346"/>
        <v>2723.0352454128665</v>
      </c>
      <c r="BN82" s="158">
        <f t="shared" si="346"/>
        <v>2870.9478997478463</v>
      </c>
      <c r="BO82" s="159">
        <f t="shared" si="346"/>
        <v>3034.2334188942</v>
      </c>
      <c r="BP82" s="247"/>
      <c r="BQ82" s="158">
        <f t="shared" si="340"/>
        <v>660.01400000000001</v>
      </c>
      <c r="BR82" s="158">
        <f t="shared" si="340"/>
        <v>921.02199999999993</v>
      </c>
      <c r="BS82" s="158">
        <f t="shared" si="340"/>
        <v>596.38</v>
      </c>
      <c r="BT82" s="158">
        <f t="shared" si="340"/>
        <v>630.90200000000004</v>
      </c>
      <c r="BU82" s="158">
        <f t="shared" si="340"/>
        <v>951.90899999999999</v>
      </c>
      <c r="BV82" s="158">
        <f t="shared" si="340"/>
        <v>1796.7170000000001</v>
      </c>
      <c r="BW82" s="158">
        <f t="shared" si="340"/>
        <v>2930.03</v>
      </c>
      <c r="BX82" s="158">
        <f t="shared" si="340"/>
        <v>2246.498</v>
      </c>
      <c r="BY82" s="158">
        <f t="shared" si="340"/>
        <v>1918.99</v>
      </c>
      <c r="BZ82" s="158">
        <f t="shared" si="340"/>
        <v>1969.405</v>
      </c>
      <c r="CA82" s="154">
        <f t="shared" si="340"/>
        <v>2529.5550000000003</v>
      </c>
      <c r="CB82" s="154">
        <f>CB11+CB12+CB13</f>
        <v>2282.7489999999998</v>
      </c>
      <c r="CC82" s="154">
        <f>CC11+CC12+CC13</f>
        <v>1668.36</v>
      </c>
      <c r="CD82" s="154">
        <f>CD11+CD12+CD13</f>
        <v>1841.2719999999999</v>
      </c>
      <c r="CE82" s="154">
        <f>CE11+CE12+CE13</f>
        <v>2418.4030188752918</v>
      </c>
      <c r="CF82" s="154">
        <f>CF11+CF12+CF13</f>
        <v>3034.2334188942</v>
      </c>
      <c r="CG82" s="154">
        <f t="shared" ref="CG82" si="347">CG11+CG12+CG13</f>
        <v>3773.4173023480735</v>
      </c>
      <c r="CH82" s="336"/>
    </row>
    <row r="83" spans="2:86" ht="14.25">
      <c r="B83" s="16" t="s">
        <v>143</v>
      </c>
      <c r="C83" s="17"/>
      <c r="D83" s="158">
        <f t="shared" ref="D83:BQ83" si="348">D82/D78</f>
        <v>0.71870629728420676</v>
      </c>
      <c r="E83" s="158">
        <f t="shared" si="348"/>
        <v>0.81482645046871049</v>
      </c>
      <c r="F83" s="158">
        <f t="shared" si="348"/>
        <v>0.96007470505473147</v>
      </c>
      <c r="G83" s="159">
        <f t="shared" si="348"/>
        <v>1.0713330346650045</v>
      </c>
      <c r="H83" s="158">
        <f t="shared" si="348"/>
        <v>1.169589146912567</v>
      </c>
      <c r="I83" s="158">
        <f t="shared" si="348"/>
        <v>1.3526944051867997</v>
      </c>
      <c r="J83" s="158">
        <f t="shared" si="348"/>
        <v>1.4466022794833846</v>
      </c>
      <c r="K83" s="159">
        <f t="shared" si="348"/>
        <v>1.4276378505650738</v>
      </c>
      <c r="L83" s="158">
        <f t="shared" si="348"/>
        <v>1.4407927244979017</v>
      </c>
      <c r="M83" s="158">
        <f t="shared" si="348"/>
        <v>1.2591703983849303</v>
      </c>
      <c r="N83" s="158">
        <f t="shared" si="348"/>
        <v>1.3866605858776844</v>
      </c>
      <c r="O83" s="159">
        <f t="shared" si="348"/>
        <v>0.94076633066742388</v>
      </c>
      <c r="P83" s="158">
        <f t="shared" si="348"/>
        <v>0.93559401730305281</v>
      </c>
      <c r="Q83" s="158">
        <f t="shared" si="348"/>
        <v>0.78769012055380483</v>
      </c>
      <c r="R83" s="158">
        <f t="shared" si="348"/>
        <v>0.83961795903351166</v>
      </c>
      <c r="S83" s="159">
        <f t="shared" si="348"/>
        <v>1.005355825356431</v>
      </c>
      <c r="T83" s="158">
        <f t="shared" si="348"/>
        <v>1.2391138958694707</v>
      </c>
      <c r="U83" s="158">
        <f t="shared" si="348"/>
        <v>1.3885841845701066</v>
      </c>
      <c r="V83" s="158">
        <f t="shared" si="348"/>
        <v>1.6512639317050037</v>
      </c>
      <c r="W83" s="159">
        <f t="shared" si="348"/>
        <v>1.5133880876068377</v>
      </c>
      <c r="X83" s="158">
        <f t="shared" si="348"/>
        <v>1.7023193345952354</v>
      </c>
      <c r="Y83" s="158">
        <f t="shared" si="348"/>
        <v>1.9628468104105647</v>
      </c>
      <c r="Z83" s="158">
        <f t="shared" si="348"/>
        <v>2.2049813564324827</v>
      </c>
      <c r="AA83" s="159">
        <f t="shared" si="348"/>
        <v>2.6728070084094369</v>
      </c>
      <c r="AB83" s="158">
        <f t="shared" si="348"/>
        <v>3.0515080668477723</v>
      </c>
      <c r="AC83" s="158">
        <f t="shared" si="348"/>
        <v>3.5084358982296777</v>
      </c>
      <c r="AD83" s="158">
        <f t="shared" si="348"/>
        <v>3.9487482638350757</v>
      </c>
      <c r="AE83" s="159">
        <f t="shared" si="348"/>
        <v>4.2761363387599332</v>
      </c>
      <c r="AF83" s="154">
        <f t="shared" si="348"/>
        <v>3.4208399452144058</v>
      </c>
      <c r="AG83" s="158">
        <f t="shared" si="348"/>
        <v>3.8410296793896057</v>
      </c>
      <c r="AH83" s="158">
        <f t="shared" si="348"/>
        <v>3.9422329962914002</v>
      </c>
      <c r="AI83" s="159">
        <f t="shared" si="348"/>
        <v>3.7089468826822651</v>
      </c>
      <c r="AJ83" s="154">
        <f t="shared" si="348"/>
        <v>3.6374702131770467</v>
      </c>
      <c r="AK83" s="158">
        <f t="shared" si="348"/>
        <v>3.6380749607501879</v>
      </c>
      <c r="AL83" s="158">
        <f t="shared" si="348"/>
        <v>3.4904794046382834</v>
      </c>
      <c r="AM83" s="159">
        <f t="shared" si="348"/>
        <v>3.5257533833812866</v>
      </c>
      <c r="AN83" s="154">
        <f t="shared" si="348"/>
        <v>3.3161837463946058</v>
      </c>
      <c r="AO83" s="158">
        <f t="shared" si="348"/>
        <v>3.3476415990815402</v>
      </c>
      <c r="AP83" s="158">
        <f t="shared" si="348"/>
        <v>3.508474279613305</v>
      </c>
      <c r="AQ83" s="159">
        <f t="shared" si="348"/>
        <v>3.7628515364524127</v>
      </c>
      <c r="AR83" s="154">
        <f t="shared" si="348"/>
        <v>4.0470251293422033</v>
      </c>
      <c r="AS83" s="158">
        <f t="shared" si="348"/>
        <v>4.3114027030573414</v>
      </c>
      <c r="AT83" s="158">
        <f t="shared" si="348"/>
        <v>4.5096169005202587</v>
      </c>
      <c r="AU83" s="159">
        <f t="shared" si="348"/>
        <v>4.7476632882882894</v>
      </c>
      <c r="AV83" s="154">
        <f>AV82/AV78</f>
        <v>4.6732098811570371</v>
      </c>
      <c r="AW83" s="450">
        <f t="shared" ref="AW83:AY83" si="349">AW82/AW78</f>
        <v>4.3863065774512044</v>
      </c>
      <c r="AX83" s="158">
        <f t="shared" si="349"/>
        <v>4.4430661227953445</v>
      </c>
      <c r="AY83" s="159">
        <f t="shared" si="349"/>
        <v>4.4020244210981003</v>
      </c>
      <c r="AZ83" s="154">
        <f>AZ82/AZ78</f>
        <v>3.0921791933961629</v>
      </c>
      <c r="BA83" s="450">
        <f t="shared" ref="BA83:BC83" si="350">BA82/BA78</f>
        <v>3.0848128892797648</v>
      </c>
      <c r="BB83" s="158">
        <f t="shared" si="350"/>
        <v>3.1031887949367372</v>
      </c>
      <c r="BC83" s="159">
        <f t="shared" si="350"/>
        <v>3.1589291496020948</v>
      </c>
      <c r="BD83" s="158">
        <f t="shared" ref="BD83:BG83" si="351">BD82/BD78</f>
        <v>3.1528211578235092</v>
      </c>
      <c r="BE83" s="154">
        <f t="shared" si="351"/>
        <v>3.0292489190240222</v>
      </c>
      <c r="BF83" s="154">
        <f t="shared" si="351"/>
        <v>3.3784983108239901</v>
      </c>
      <c r="BG83" s="159">
        <f t="shared" si="351"/>
        <v>3.5946687282687426</v>
      </c>
      <c r="BH83" s="158">
        <f t="shared" ref="BH83:BK83" si="352">BH82/BH78</f>
        <v>3.8800471861545032</v>
      </c>
      <c r="BI83" s="154">
        <f t="shared" si="352"/>
        <v>4.1418546590658396</v>
      </c>
      <c r="BJ83" s="158">
        <f t="shared" si="352"/>
        <v>4.4180728795871804</v>
      </c>
      <c r="BK83" s="159">
        <f t="shared" si="352"/>
        <v>4.7213870108825491</v>
      </c>
      <c r="BL83" s="158">
        <f t="shared" ref="BL83:BO83" si="353">BL82/BL78</f>
        <v>5.0542329928021399</v>
      </c>
      <c r="BM83" s="154">
        <f t="shared" si="353"/>
        <v>5.316112797380959</v>
      </c>
      <c r="BN83" s="158">
        <f t="shared" si="353"/>
        <v>5.6048789291926493</v>
      </c>
      <c r="BO83" s="159">
        <f t="shared" si="353"/>
        <v>5.9236571159323193</v>
      </c>
      <c r="BP83" s="247"/>
      <c r="BQ83" s="158">
        <f t="shared" si="348"/>
        <v>1.101968307395887</v>
      </c>
      <c r="BR83" s="158">
        <f t="shared" ref="BR83:CA83" si="354">BR82/BR78</f>
        <v>1.4589546150812067</v>
      </c>
      <c r="BS83" s="158">
        <f t="shared" si="354"/>
        <v>0.93974494933180397</v>
      </c>
      <c r="BT83" s="158">
        <f t="shared" si="354"/>
        <v>1.0006883775227293</v>
      </c>
      <c r="BU83" s="158">
        <f t="shared" si="354"/>
        <v>1.5098738056264036</v>
      </c>
      <c r="BV83" s="158">
        <f t="shared" si="354"/>
        <v>2.7352827893622305</v>
      </c>
      <c r="BW83" s="158">
        <f t="shared" si="354"/>
        <v>4.3287400651446557</v>
      </c>
      <c r="BX83" s="158">
        <f t="shared" si="354"/>
        <v>3.5822472502261333</v>
      </c>
      <c r="BY83" s="158">
        <f t="shared" si="354"/>
        <v>3.3168125593602791</v>
      </c>
      <c r="BZ83" s="158">
        <f t="shared" si="354"/>
        <v>3.7951429654706272</v>
      </c>
      <c r="CA83" s="154">
        <f t="shared" si="354"/>
        <v>4.7515471072920921</v>
      </c>
      <c r="CB83" s="154">
        <f>CB82/CB78</f>
        <v>4.3374047288230191</v>
      </c>
      <c r="CC83" s="154">
        <f>CC82/CC78</f>
        <v>3.1645855344396874</v>
      </c>
      <c r="CD83" s="154">
        <f>CD82/CD78</f>
        <v>3.5623313475125165</v>
      </c>
      <c r="CE83" s="154">
        <f>CE82/CE78</f>
        <v>4.7213870108825491</v>
      </c>
      <c r="CF83" s="154">
        <f>CF82/CF78</f>
        <v>5.9236571159323193</v>
      </c>
      <c r="CG83" s="154">
        <f t="shared" ref="CG83" si="355">CG82/CG78</f>
        <v>7.5134298953812824</v>
      </c>
      <c r="CH83" s="336"/>
    </row>
    <row r="84" spans="2:86" ht="14.25">
      <c r="B84" s="16" t="s">
        <v>345</v>
      </c>
      <c r="C84" s="17"/>
      <c r="D84" s="158"/>
      <c r="E84" s="158"/>
      <c r="F84" s="158"/>
      <c r="G84" s="159"/>
      <c r="H84" s="158"/>
      <c r="I84" s="158"/>
      <c r="J84" s="158"/>
      <c r="K84" s="159"/>
      <c r="L84" s="158"/>
      <c r="M84" s="158"/>
      <c r="N84" s="158"/>
      <c r="O84" s="159"/>
      <c r="P84" s="158"/>
      <c r="Q84" s="158"/>
      <c r="R84" s="158"/>
      <c r="S84" s="159"/>
      <c r="T84" s="158"/>
      <c r="U84" s="158"/>
      <c r="V84" s="158"/>
      <c r="W84" s="159"/>
      <c r="X84" s="158"/>
      <c r="Y84" s="158"/>
      <c r="Z84" s="158"/>
      <c r="AA84" s="159"/>
      <c r="AB84" s="158"/>
      <c r="AC84" s="158"/>
      <c r="AD84" s="158"/>
      <c r="AE84" s="159"/>
      <c r="AF84" s="154"/>
      <c r="AG84" s="158"/>
      <c r="AH84" s="158"/>
      <c r="AI84" s="159"/>
      <c r="AJ84" s="154"/>
      <c r="AK84" s="158"/>
      <c r="AL84" s="158"/>
      <c r="AM84" s="159"/>
      <c r="AN84" s="154"/>
      <c r="AO84" s="158"/>
      <c r="AP84" s="158"/>
      <c r="AQ84" s="159"/>
      <c r="AR84" s="154"/>
      <c r="AS84" s="158"/>
      <c r="AT84" s="158"/>
      <c r="AU84" s="159"/>
      <c r="AV84" s="154"/>
      <c r="AW84" s="450"/>
      <c r="AX84" s="452"/>
      <c r="AY84" s="159"/>
      <c r="AZ84" s="154"/>
      <c r="BA84" s="450"/>
      <c r="BB84" s="452"/>
      <c r="BC84" s="159"/>
      <c r="BD84" s="158"/>
      <c r="BE84" s="154"/>
      <c r="BF84" s="154"/>
      <c r="BG84" s="159"/>
      <c r="BH84" s="158"/>
      <c r="BI84" s="154"/>
      <c r="BJ84" s="158"/>
      <c r="BK84" s="159"/>
      <c r="BL84" s="158"/>
      <c r="BM84" s="154"/>
      <c r="BN84" s="158"/>
      <c r="BO84" s="159"/>
      <c r="BP84" s="247"/>
      <c r="BQ84" s="158"/>
      <c r="BR84" s="158"/>
      <c r="BS84" s="158"/>
      <c r="BT84" s="158"/>
      <c r="BU84" s="158"/>
      <c r="BV84" s="158"/>
      <c r="BW84" s="158"/>
      <c r="BX84" s="158"/>
      <c r="BY84" s="158"/>
      <c r="BZ84" s="158"/>
      <c r="CA84" s="154"/>
      <c r="CB84" s="154"/>
      <c r="CC84" s="154"/>
      <c r="CD84" s="154"/>
      <c r="CE84" s="154"/>
      <c r="CF84" s="154"/>
      <c r="CG84" s="154"/>
      <c r="CH84" s="336"/>
    </row>
    <row r="85" spans="2:86" ht="14.25">
      <c r="B85" s="16" t="s">
        <v>341</v>
      </c>
      <c r="C85" s="17"/>
      <c r="D85" s="158"/>
      <c r="E85" s="158"/>
      <c r="F85" s="158"/>
      <c r="G85" s="159"/>
      <c r="H85" s="158"/>
      <c r="I85" s="158"/>
      <c r="J85" s="158"/>
      <c r="K85" s="159"/>
      <c r="L85" s="158"/>
      <c r="M85" s="158"/>
      <c r="N85" s="158"/>
      <c r="O85" s="159"/>
      <c r="P85" s="158"/>
      <c r="Q85" s="158"/>
      <c r="R85" s="158"/>
      <c r="S85" s="159"/>
      <c r="T85" s="158"/>
      <c r="U85" s="158"/>
      <c r="V85" s="158"/>
      <c r="W85" s="159"/>
      <c r="X85" s="158"/>
      <c r="Y85" s="158"/>
      <c r="Z85" s="158"/>
      <c r="AA85" s="159"/>
      <c r="AB85" s="158"/>
      <c r="AC85" s="158"/>
      <c r="AD85" s="158"/>
      <c r="AE85" s="159"/>
      <c r="AF85" s="154"/>
      <c r="AG85" s="158"/>
      <c r="AH85" s="158"/>
      <c r="AI85" s="159"/>
      <c r="AJ85" s="154"/>
      <c r="AK85" s="158"/>
      <c r="AL85" s="158"/>
      <c r="AM85" s="159"/>
      <c r="AN85" s="154">
        <f t="shared" ref="AN85:AU85" si="356">AN82-AN39</f>
        <v>1679.415</v>
      </c>
      <c r="AO85" s="154">
        <f t="shared" si="356"/>
        <v>1678.5479999999998</v>
      </c>
      <c r="AP85" s="154">
        <f t="shared" si="356"/>
        <v>1759.5930000000003</v>
      </c>
      <c r="AQ85" s="159">
        <f t="shared" si="356"/>
        <v>1926.9359999999999</v>
      </c>
      <c r="AR85" s="154">
        <f t="shared" si="356"/>
        <v>2100.8560000000002</v>
      </c>
      <c r="AS85" s="154">
        <f t="shared" si="356"/>
        <v>2259.846</v>
      </c>
      <c r="AT85" s="154">
        <f t="shared" si="356"/>
        <v>2366.4560000000001</v>
      </c>
      <c r="AU85" s="159">
        <f t="shared" si="356"/>
        <v>2497.3620000000001</v>
      </c>
      <c r="AV85" s="154">
        <f>AV82-AV39</f>
        <v>2475.355</v>
      </c>
      <c r="AW85" s="154">
        <f t="shared" ref="AW85:AY85" si="357">AW82-AW39</f>
        <v>2310.21</v>
      </c>
      <c r="AX85" s="154">
        <f t="shared" si="357"/>
        <v>2278.806</v>
      </c>
      <c r="AY85" s="159">
        <f t="shared" si="357"/>
        <v>2255.7859999999996</v>
      </c>
      <c r="AZ85" s="154">
        <f>AZ82-AZ39</f>
        <v>1591.8920000000001</v>
      </c>
      <c r="BA85" s="154">
        <f t="shared" ref="BA85:BC85" si="358">BA82-BA39</f>
        <v>1600.6610000000001</v>
      </c>
      <c r="BB85" s="154">
        <f t="shared" si="358"/>
        <v>1620.1909999999998</v>
      </c>
      <c r="BC85" s="159">
        <f t="shared" si="358"/>
        <v>1584.3009999999999</v>
      </c>
      <c r="BD85" s="154">
        <f t="shared" ref="BD85:BG85" si="359">BD82-BD39</f>
        <v>1578</v>
      </c>
      <c r="BE85" s="154">
        <f t="shared" si="359"/>
        <v>1478.431</v>
      </c>
      <c r="BF85" s="154">
        <f t="shared" si="359"/>
        <v>1645.5420000000001</v>
      </c>
      <c r="BG85" s="159">
        <f t="shared" si="359"/>
        <v>1752.5159999999998</v>
      </c>
      <c r="BH85" s="154">
        <f t="shared" ref="BH85:BK85" si="360">BH82-BH39</f>
        <v>1898.6934098336178</v>
      </c>
      <c r="BI85" s="154">
        <f t="shared" si="360"/>
        <v>2032.7972190306812</v>
      </c>
      <c r="BJ85" s="154">
        <f t="shared" si="360"/>
        <v>2174.2825446007841</v>
      </c>
      <c r="BK85" s="159">
        <f t="shared" si="360"/>
        <v>2329.6470188752919</v>
      </c>
      <c r="BL85" s="154">
        <f t="shared" ref="BL85:BO85" si="361">BL82-BL39</f>
        <v>2500.1383862720904</v>
      </c>
      <c r="BM85" s="154">
        <f t="shared" si="361"/>
        <v>2634.2792454128667</v>
      </c>
      <c r="BN85" s="154">
        <f t="shared" si="361"/>
        <v>2782.1918997478465</v>
      </c>
      <c r="BO85" s="159">
        <f t="shared" si="361"/>
        <v>2945.4774188942001</v>
      </c>
      <c r="BP85" s="247"/>
      <c r="BQ85" s="158"/>
      <c r="BR85" s="158"/>
      <c r="BS85" s="158"/>
      <c r="BT85" s="158"/>
      <c r="BU85" s="158"/>
      <c r="BV85" s="158"/>
      <c r="BW85" s="158"/>
      <c r="BX85" s="158"/>
      <c r="BY85" s="158"/>
      <c r="BZ85" s="158"/>
      <c r="CA85" s="154"/>
      <c r="CB85" s="154"/>
      <c r="CC85" s="154"/>
      <c r="CD85" s="154"/>
      <c r="CE85" s="154"/>
      <c r="CF85" s="154"/>
      <c r="CG85" s="154"/>
      <c r="CH85" s="336"/>
    </row>
    <row r="86" spans="2:86" ht="14.25">
      <c r="B86" s="16" t="s">
        <v>342</v>
      </c>
      <c r="C86" s="17"/>
      <c r="D86" s="158"/>
      <c r="E86" s="158"/>
      <c r="F86" s="158"/>
      <c r="G86" s="159"/>
      <c r="H86" s="158"/>
      <c r="I86" s="158"/>
      <c r="J86" s="158"/>
      <c r="K86" s="159"/>
      <c r="L86" s="158"/>
      <c r="M86" s="158"/>
      <c r="N86" s="158"/>
      <c r="O86" s="159"/>
      <c r="P86" s="158"/>
      <c r="Q86" s="158"/>
      <c r="R86" s="158"/>
      <c r="S86" s="159"/>
      <c r="T86" s="158"/>
      <c r="U86" s="158"/>
      <c r="V86" s="158"/>
      <c r="W86" s="159"/>
      <c r="X86" s="158"/>
      <c r="Y86" s="158"/>
      <c r="Z86" s="158"/>
      <c r="AA86" s="159"/>
      <c r="AB86" s="158"/>
      <c r="AC86" s="158"/>
      <c r="AD86" s="158"/>
      <c r="AE86" s="159"/>
      <c r="AF86" s="154"/>
      <c r="AG86" s="158"/>
      <c r="AH86" s="158"/>
      <c r="AI86" s="159"/>
      <c r="AJ86" s="154"/>
      <c r="AK86" s="158"/>
      <c r="AL86" s="158"/>
      <c r="AM86" s="159"/>
      <c r="AN86" s="408">
        <f>AN85/IS!AN136</f>
        <v>3.2143082714969538</v>
      </c>
      <c r="AO86" s="408">
        <f>AO85/IS!AO136</f>
        <v>3.2552332414098042</v>
      </c>
      <c r="AP86" s="408">
        <f>AP85/IS!AP136</f>
        <v>3.421981201976652</v>
      </c>
      <c r="AQ86" s="411">
        <f>AQ85/IS!AQ136</f>
        <v>3.681707971821675</v>
      </c>
      <c r="AR86" s="408">
        <f>AR85/IS!AR136</f>
        <v>3.9610691283165158</v>
      </c>
      <c r="AS86" s="408">
        <f>AS85/IS!AS136</f>
        <v>4.2361257427784125</v>
      </c>
      <c r="AT86" s="408">
        <f>AT85/IS!AT136</f>
        <v>4.4414465139674029</v>
      </c>
      <c r="AU86" s="411">
        <f>AU85/IS!AU136</f>
        <v>4.6872409909909916</v>
      </c>
      <c r="AV86" s="408">
        <f>AV85/IS!AV136</f>
        <v>4.6254484640107636</v>
      </c>
      <c r="AW86" s="408">
        <f>AW85/IS!AW136</f>
        <v>4.3348244274236221</v>
      </c>
      <c r="AX86" s="408">
        <f>AX85/IS!AX136</f>
        <v>4.3949547256053458</v>
      </c>
      <c r="AY86" s="411">
        <f>AY85/IS!AY136</f>
        <v>4.3500293114885604</v>
      </c>
      <c r="AZ86" s="408">
        <f>AZ85/IS!AZ136</f>
        <v>3.0474823063654966</v>
      </c>
      <c r="BA86" s="408">
        <f>BA85/IS!BA136</f>
        <v>3.0404632512304044</v>
      </c>
      <c r="BB86" s="408">
        <f>BB85/IS!BB136</f>
        <v>3.0464395644481042</v>
      </c>
      <c r="BC86" s="411">
        <f>BC85/IS!BC136</f>
        <v>2.9997690010811509</v>
      </c>
      <c r="BD86" s="408">
        <f>BD85/IS!BD136</f>
        <v>3.0163202422231312</v>
      </c>
      <c r="BE86" s="408">
        <f>BE85/IS!BE136</f>
        <v>2.8462126375043799</v>
      </c>
      <c r="BF86" s="408">
        <f>BF85/IS!BF136</f>
        <v>3.2097113966715822</v>
      </c>
      <c r="BG86" s="411">
        <f>BG85/IS!BG136</f>
        <v>3.4213926356294038</v>
      </c>
      <c r="BH86" s="408">
        <f>BH85/IS!BH136</f>
        <v>3.7067710935151643</v>
      </c>
      <c r="BI86" s="408">
        <f>BI85/IS!BI136</f>
        <v>3.9685785664265003</v>
      </c>
      <c r="BJ86" s="408">
        <f>BJ85/IS!BJ136</f>
        <v>4.244796786947842</v>
      </c>
      <c r="BK86" s="411">
        <f>BK85/IS!BK136</f>
        <v>4.5481109182432107</v>
      </c>
      <c r="BL86" s="408">
        <f>BL85/IS!BL136</f>
        <v>4.8809569001628015</v>
      </c>
      <c r="BM86" s="408">
        <f>BM85/IS!BM136</f>
        <v>5.1428367047416197</v>
      </c>
      <c r="BN86" s="408">
        <f>BN85/IS!BN136</f>
        <v>5.4316028365533109</v>
      </c>
      <c r="BO86" s="411">
        <f>BO85/IS!BO136</f>
        <v>5.7503810232929808</v>
      </c>
      <c r="BP86" s="247"/>
      <c r="BQ86" s="158"/>
      <c r="BR86" s="158"/>
      <c r="BS86" s="158"/>
      <c r="BT86" s="158"/>
      <c r="BU86" s="158"/>
      <c r="BV86" s="158"/>
      <c r="BW86" s="158"/>
      <c r="BX86" s="158"/>
      <c r="BY86" s="158"/>
      <c r="BZ86" s="158"/>
      <c r="CA86" s="154"/>
      <c r="CB86" s="154"/>
      <c r="CC86" s="154"/>
      <c r="CD86" s="154"/>
      <c r="CE86" s="154"/>
      <c r="CF86" s="154"/>
      <c r="CG86" s="154"/>
      <c r="CH86" s="336"/>
    </row>
    <row r="87" spans="2:86" ht="14.25">
      <c r="B87" s="62" t="s">
        <v>144</v>
      </c>
      <c r="C87" s="63"/>
      <c r="D87" s="160">
        <f>D18-D34</f>
        <v>502.04600000000005</v>
      </c>
      <c r="E87" s="161">
        <f t="shared" ref="E87:AU87" si="362">E18-E34</f>
        <v>576.202</v>
      </c>
      <c r="F87" s="161">
        <f t="shared" si="362"/>
        <v>682.57399999999996</v>
      </c>
      <c r="G87" s="162">
        <f t="shared" si="362"/>
        <v>802.98900000000015</v>
      </c>
      <c r="H87" s="160">
        <f t="shared" si="362"/>
        <v>897.58999999999969</v>
      </c>
      <c r="I87" s="161">
        <f t="shared" si="362"/>
        <v>1025.3259999999998</v>
      </c>
      <c r="J87" s="161">
        <f t="shared" si="362"/>
        <v>1130.9490000000001</v>
      </c>
      <c r="K87" s="162">
        <f t="shared" si="362"/>
        <v>1124.3939999999998</v>
      </c>
      <c r="L87" s="160">
        <f t="shared" si="362"/>
        <v>1221.6040000000003</v>
      </c>
      <c r="M87" s="161">
        <f t="shared" si="362"/>
        <v>1084.0809999999997</v>
      </c>
      <c r="N87" s="161">
        <f t="shared" si="362"/>
        <v>1085.7919999999999</v>
      </c>
      <c r="O87" s="162">
        <f t="shared" si="362"/>
        <v>636.84900000000005</v>
      </c>
      <c r="P87" s="160">
        <f t="shared" si="362"/>
        <v>686.61599999999987</v>
      </c>
      <c r="Q87" s="161">
        <f t="shared" si="362"/>
        <v>730.51699999999983</v>
      </c>
      <c r="R87" s="161">
        <f t="shared" si="362"/>
        <v>817.01499999999987</v>
      </c>
      <c r="S87" s="162">
        <f t="shared" si="362"/>
        <v>920.52900000000022</v>
      </c>
      <c r="T87" s="160">
        <f t="shared" si="362"/>
        <v>1098.8050000000001</v>
      </c>
      <c r="U87" s="161">
        <f t="shared" si="362"/>
        <v>1224.9570000000001</v>
      </c>
      <c r="V87" s="161">
        <f t="shared" si="362"/>
        <v>1292.9230000000002</v>
      </c>
      <c r="W87" s="162">
        <f t="shared" si="362"/>
        <v>1150.6670000000001</v>
      </c>
      <c r="X87" s="160">
        <f t="shared" si="362"/>
        <v>1107.5049999999999</v>
      </c>
      <c r="Y87" s="161">
        <f t="shared" si="362"/>
        <v>1280.816</v>
      </c>
      <c r="Z87" s="161">
        <f t="shared" si="362"/>
        <v>1564.3999999999994</v>
      </c>
      <c r="AA87" s="162">
        <f t="shared" si="362"/>
        <v>1898.9349999999999</v>
      </c>
      <c r="AB87" s="160">
        <f t="shared" si="362"/>
        <v>2207.6279999999997</v>
      </c>
      <c r="AC87" s="161">
        <f t="shared" si="362"/>
        <v>2488.0510000000004</v>
      </c>
      <c r="AD87" s="161">
        <f t="shared" si="362"/>
        <v>2751.0670000000005</v>
      </c>
      <c r="AE87" s="162">
        <f t="shared" si="362"/>
        <v>3071.9610000000002</v>
      </c>
      <c r="AF87" s="160">
        <f t="shared" si="362"/>
        <v>2459.1549999999997</v>
      </c>
      <c r="AG87" s="161">
        <f t="shared" ref="AG87:AL87" si="363">AG18-AG34</f>
        <v>2569.4160000000002</v>
      </c>
      <c r="AH87" s="161">
        <f t="shared" si="363"/>
        <v>2585.7479999999996</v>
      </c>
      <c r="AI87" s="162">
        <f t="shared" si="363"/>
        <v>2489.4070000000002</v>
      </c>
      <c r="AJ87" s="160">
        <f t="shared" si="363"/>
        <v>2408.0820000000008</v>
      </c>
      <c r="AK87" s="161">
        <f t="shared" si="363"/>
        <v>2303.1329999999998</v>
      </c>
      <c r="AL87" s="161">
        <f t="shared" si="363"/>
        <v>2177.3609999999994</v>
      </c>
      <c r="AM87" s="162">
        <f>AM18-AM34</f>
        <v>1977.4580000000005</v>
      </c>
      <c r="AN87" s="160">
        <f>AN18-AN34</f>
        <v>1839.8190000000002</v>
      </c>
      <c r="AO87" s="161">
        <f t="shared" si="362"/>
        <v>1885.0480000000007</v>
      </c>
      <c r="AP87" s="161">
        <f t="shared" si="362"/>
        <v>1960.6869999999997</v>
      </c>
      <c r="AQ87" s="162">
        <f t="shared" si="362"/>
        <v>2187.9139999999998</v>
      </c>
      <c r="AR87" s="160">
        <f t="shared" si="362"/>
        <v>2297.223</v>
      </c>
      <c r="AS87" s="161">
        <f t="shared" si="362"/>
        <v>2497.0229999999992</v>
      </c>
      <c r="AT87" s="161">
        <f t="shared" si="362"/>
        <v>2580.9540000000006</v>
      </c>
      <c r="AU87" s="162">
        <f t="shared" si="362"/>
        <v>2706.6639999999998</v>
      </c>
      <c r="AV87" s="160">
        <f>AV18-AV34</f>
        <v>2709.2509999999997</v>
      </c>
      <c r="AW87" s="161">
        <f t="shared" ref="AW87:AY87" si="364">AW18-AW34</f>
        <v>1799.3379999999997</v>
      </c>
      <c r="AX87" s="161">
        <f t="shared" si="364"/>
        <v>1720.5409999999999</v>
      </c>
      <c r="AY87" s="162">
        <f t="shared" si="364"/>
        <v>1692.8409999999997</v>
      </c>
      <c r="AZ87" s="160">
        <f>AZ18-AZ34</f>
        <v>1665.0770000000002</v>
      </c>
      <c r="BA87" s="161">
        <f t="shared" ref="BA87:BC87" si="365">BA18-BA34</f>
        <v>1725.7910000000002</v>
      </c>
      <c r="BB87" s="161">
        <f t="shared" si="365"/>
        <v>1757.894</v>
      </c>
      <c r="BC87" s="162">
        <f t="shared" si="365"/>
        <v>1783.9139999999998</v>
      </c>
      <c r="BD87" s="161">
        <f t="shared" ref="BD87:BG87" si="366">BD18-BD34</f>
        <v>1728.7279999999998</v>
      </c>
      <c r="BE87" s="161">
        <f t="shared" si="366"/>
        <v>1746.3830000000003</v>
      </c>
      <c r="BF87" s="161">
        <f t="shared" si="366"/>
        <v>1880.3399999999997</v>
      </c>
      <c r="BG87" s="162">
        <f t="shared" si="366"/>
        <v>1942.8129999999999</v>
      </c>
      <c r="BH87" s="161">
        <f t="shared" ref="BH87:BK87" si="367">BH18-BH34</f>
        <v>2086.6252994002584</v>
      </c>
      <c r="BI87" s="161">
        <f t="shared" si="367"/>
        <v>2230.1345563996369</v>
      </c>
      <c r="BJ87" s="161">
        <f t="shared" si="367"/>
        <v>2381.0887980362613</v>
      </c>
      <c r="BK87" s="162">
        <f t="shared" si="367"/>
        <v>2533.294518416908</v>
      </c>
      <c r="BL87" s="161">
        <f t="shared" ref="BL87:BO87" si="368">BL18-BL34</f>
        <v>2678.9140815981646</v>
      </c>
      <c r="BM87" s="161">
        <f t="shared" si="368"/>
        <v>2831.6269890609929</v>
      </c>
      <c r="BN87" s="161">
        <f t="shared" si="368"/>
        <v>2990.6397588608961</v>
      </c>
      <c r="BO87" s="162">
        <f t="shared" si="368"/>
        <v>3150.0755264122663</v>
      </c>
      <c r="BP87" s="247"/>
      <c r="BQ87" s="161">
        <f t="shared" ref="BQ87:CA87" si="369">BQ18-BQ34</f>
        <v>802.98900000000015</v>
      </c>
      <c r="BR87" s="161">
        <f t="shared" si="369"/>
        <v>1124.3939999999998</v>
      </c>
      <c r="BS87" s="161">
        <f t="shared" si="369"/>
        <v>636.84900000000005</v>
      </c>
      <c r="BT87" s="161">
        <f t="shared" si="369"/>
        <v>920.52900000000022</v>
      </c>
      <c r="BU87" s="161">
        <f t="shared" si="369"/>
        <v>1150.6670000000001</v>
      </c>
      <c r="BV87" s="161">
        <f t="shared" si="369"/>
        <v>1898.9349999999999</v>
      </c>
      <c r="BW87" s="161">
        <f t="shared" si="369"/>
        <v>3071.9610000000002</v>
      </c>
      <c r="BX87" s="161">
        <f t="shared" si="369"/>
        <v>2489.4070000000002</v>
      </c>
      <c r="BY87" s="161">
        <f t="shared" si="369"/>
        <v>1977.4580000000005</v>
      </c>
      <c r="BZ87" s="161">
        <f t="shared" si="369"/>
        <v>2187.9139999999998</v>
      </c>
      <c r="CA87" s="161">
        <f t="shared" si="369"/>
        <v>2706.6639999999998</v>
      </c>
      <c r="CB87" s="161">
        <f t="shared" ref="CB87:CG87" si="370">CB18-CB34</f>
        <v>1692.8409999999997</v>
      </c>
      <c r="CC87" s="161">
        <f t="shared" si="370"/>
        <v>1783.9139999999998</v>
      </c>
      <c r="CD87" s="161">
        <f t="shared" si="370"/>
        <v>1942.8129999999999</v>
      </c>
      <c r="CE87" s="161">
        <f t="shared" si="370"/>
        <v>2533.294518416908</v>
      </c>
      <c r="CF87" s="161">
        <f t="shared" si="370"/>
        <v>3150.0755264122663</v>
      </c>
      <c r="CG87" s="161">
        <f t="shared" si="370"/>
        <v>3883.2872221862726</v>
      </c>
      <c r="CH87" s="336"/>
    </row>
    <row r="88" spans="2:86" ht="14.25"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8"/>
      <c r="AL88" s="68"/>
      <c r="AM88" s="68"/>
      <c r="AN88" s="68"/>
      <c r="AO88" s="68"/>
      <c r="AP88" s="68"/>
      <c r="AQ88" s="68"/>
      <c r="AR88" s="68"/>
      <c r="AS88" s="68"/>
      <c r="AT88" s="68"/>
      <c r="AU88" s="68"/>
      <c r="AV88" s="68"/>
      <c r="AW88" s="68"/>
      <c r="AX88" s="455"/>
      <c r="AY88" s="68"/>
      <c r="AZ88" s="68"/>
      <c r="BA88" s="68"/>
      <c r="BB88" s="68"/>
      <c r="BC88" s="68"/>
      <c r="BD88" s="68"/>
      <c r="BE88" s="68"/>
      <c r="BF88" s="68"/>
      <c r="BG88" s="68"/>
      <c r="BH88" s="68"/>
      <c r="BI88" s="68"/>
      <c r="BJ88" s="68"/>
      <c r="BK88" s="68"/>
      <c r="BL88" s="68"/>
      <c r="BM88" s="68"/>
      <c r="BN88" s="68"/>
      <c r="BO88" s="68"/>
      <c r="CH88" s="338"/>
    </row>
    <row r="89" spans="2:86" ht="14.25"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 t="s">
        <v>306</v>
      </c>
      <c r="AW89" s="68"/>
      <c r="AX89" s="68"/>
      <c r="AY89" s="68"/>
      <c r="AZ89" s="68"/>
      <c r="BA89" s="68"/>
      <c r="BB89" s="68"/>
      <c r="BC89" s="68"/>
      <c r="BD89" s="68"/>
      <c r="BE89" s="68"/>
      <c r="BF89" s="68"/>
      <c r="BG89" s="68"/>
      <c r="BH89" s="68"/>
      <c r="BI89" s="68"/>
      <c r="BJ89" s="68"/>
      <c r="BK89" s="68"/>
      <c r="BL89" s="68"/>
      <c r="BM89" s="68"/>
      <c r="BN89" s="68"/>
      <c r="BO89" s="68"/>
      <c r="CH89" s="338"/>
    </row>
    <row r="90" spans="2:86" ht="14.25"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  <c r="AS90" s="68"/>
      <c r="AT90" s="68"/>
      <c r="AU90" s="68"/>
      <c r="AV90" s="68" t="s">
        <v>306</v>
      </c>
      <c r="AW90" s="68"/>
      <c r="AX90" s="68"/>
      <c r="AY90" s="68"/>
      <c r="AZ90" s="68"/>
      <c r="BA90" s="68"/>
      <c r="BB90" s="68"/>
      <c r="BC90" s="68"/>
      <c r="BD90" s="68"/>
      <c r="BE90" s="68"/>
      <c r="BF90" s="68"/>
      <c r="BG90" s="68"/>
      <c r="BH90" s="68"/>
      <c r="BI90" s="68"/>
      <c r="BJ90" s="68"/>
      <c r="BK90" s="68"/>
      <c r="BL90" s="68"/>
      <c r="BM90" s="68"/>
      <c r="BN90" s="68"/>
      <c r="BO90" s="68"/>
      <c r="CH90" s="338"/>
    </row>
    <row r="91" spans="2:86" ht="14.25">
      <c r="B91" s="163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  <c r="AS91" s="68"/>
      <c r="AT91" s="68"/>
      <c r="AU91" s="68"/>
      <c r="AV91" s="68"/>
      <c r="AW91" s="68"/>
      <c r="AX91" s="68"/>
      <c r="AY91" s="68"/>
      <c r="AZ91" s="68"/>
      <c r="BA91" s="68"/>
      <c r="BB91" s="68"/>
      <c r="BC91" s="68"/>
      <c r="BD91" s="68"/>
      <c r="BE91" s="68"/>
      <c r="BF91" s="68"/>
      <c r="BG91" s="68"/>
      <c r="BH91" s="68"/>
      <c r="BI91" s="68"/>
      <c r="BJ91" s="68"/>
      <c r="BK91" s="68"/>
      <c r="BL91" s="68"/>
      <c r="BM91" s="68"/>
      <c r="BN91" s="68"/>
      <c r="BO91" s="68"/>
      <c r="CH91" s="338"/>
    </row>
    <row r="92" spans="2:86" ht="14.25"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68"/>
      <c r="BA92" s="68"/>
      <c r="BB92" s="68"/>
      <c r="BC92" s="68"/>
      <c r="BD92" s="68"/>
      <c r="BE92" s="68"/>
      <c r="BF92" s="68"/>
      <c r="BG92" s="68"/>
      <c r="BH92" s="68"/>
      <c r="BI92" s="68"/>
      <c r="BJ92" s="68"/>
      <c r="BK92" s="68"/>
      <c r="BL92" s="68"/>
      <c r="BM92" s="68"/>
      <c r="BN92" s="68"/>
      <c r="BO92" s="68"/>
    </row>
    <row r="93" spans="2:86" ht="14.25"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74"/>
      <c r="AH93" s="74"/>
      <c r="AI93" s="68"/>
      <c r="AJ93" s="68"/>
      <c r="AK93" s="68"/>
      <c r="AL93" s="68"/>
      <c r="AM93" s="68"/>
      <c r="AN93" s="68"/>
      <c r="AO93" s="68"/>
      <c r="AP93" s="68"/>
      <c r="AQ93" s="68"/>
      <c r="AR93" s="68"/>
      <c r="AS93" s="68"/>
      <c r="AT93" s="68"/>
      <c r="AU93" s="68"/>
      <c r="AV93" s="68"/>
      <c r="AW93" s="68"/>
      <c r="AX93" s="68"/>
      <c r="AY93" s="68"/>
      <c r="AZ93" s="68"/>
      <c r="BA93" s="68"/>
      <c r="BB93" s="68"/>
      <c r="BC93" s="68"/>
      <c r="BD93" s="68"/>
      <c r="BE93" s="68"/>
      <c r="BF93" s="68"/>
      <c r="BG93" s="68"/>
      <c r="BH93" s="68"/>
      <c r="BI93" s="68"/>
      <c r="BJ93" s="68"/>
      <c r="BK93" s="68"/>
      <c r="BL93" s="68"/>
      <c r="BM93" s="68"/>
      <c r="BN93" s="68"/>
      <c r="BO93" s="68"/>
    </row>
    <row r="94" spans="2:86" ht="14.25"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  <c r="AS94" s="68"/>
      <c r="AT94" s="68"/>
      <c r="AU94" s="68"/>
      <c r="AV94" s="68"/>
      <c r="AW94" s="68"/>
      <c r="AX94" s="68"/>
      <c r="AY94" s="68"/>
      <c r="AZ94" s="68"/>
      <c r="BA94" s="68"/>
      <c r="BB94" s="68"/>
      <c r="BC94" s="68"/>
      <c r="BD94" s="68"/>
      <c r="BE94" s="68"/>
      <c r="BF94" s="68"/>
      <c r="BG94" s="68"/>
      <c r="BH94" s="68"/>
      <c r="BI94" s="68"/>
      <c r="BJ94" s="68"/>
      <c r="BK94" s="68"/>
      <c r="BL94" s="68"/>
      <c r="BM94" s="68"/>
      <c r="BN94" s="68"/>
      <c r="BO94" s="68"/>
    </row>
    <row r="95" spans="2:86" ht="14.25"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68"/>
      <c r="BA95" s="68"/>
      <c r="BB95" s="68"/>
      <c r="BC95" s="68"/>
      <c r="BD95" s="68"/>
      <c r="BE95" s="68"/>
      <c r="BF95" s="68"/>
      <c r="BG95" s="68"/>
      <c r="BH95" s="68"/>
      <c r="BI95" s="68"/>
      <c r="BJ95" s="68"/>
      <c r="BK95" s="68"/>
      <c r="BL95" s="68"/>
      <c r="BM95" s="68"/>
      <c r="BN95" s="68"/>
      <c r="BO95" s="68"/>
    </row>
    <row r="96" spans="2:86" ht="14.25"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  <c r="AS96" s="68"/>
      <c r="AT96" s="68"/>
      <c r="AU96" s="68"/>
      <c r="AV96" s="68"/>
      <c r="AW96" s="68"/>
      <c r="AX96" s="68"/>
      <c r="AY96" s="68"/>
      <c r="AZ96" s="68"/>
      <c r="BA96" s="68"/>
      <c r="BB96" s="68"/>
      <c r="BC96" s="68"/>
      <c r="BD96" s="68"/>
      <c r="BE96" s="68"/>
      <c r="BF96" s="68"/>
      <c r="BG96" s="68"/>
      <c r="BH96" s="68"/>
      <c r="BI96" s="68"/>
      <c r="BJ96" s="68"/>
      <c r="BK96" s="68"/>
      <c r="BL96" s="68"/>
      <c r="BM96" s="68"/>
      <c r="BN96" s="68"/>
      <c r="BO96" s="68"/>
    </row>
    <row r="97" spans="2:67" ht="14.25"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  <c r="AS97" s="68"/>
      <c r="AT97" s="68"/>
      <c r="AU97" s="68"/>
      <c r="AV97" s="68"/>
      <c r="AW97" s="68"/>
      <c r="AX97" s="68"/>
      <c r="AY97" s="68"/>
      <c r="AZ97" s="68"/>
      <c r="BA97" s="68"/>
      <c r="BB97" s="68"/>
      <c r="BC97" s="68"/>
      <c r="BD97" s="68"/>
      <c r="BE97" s="68"/>
      <c r="BF97" s="68"/>
      <c r="BG97" s="68"/>
      <c r="BH97" s="68"/>
      <c r="BI97" s="68"/>
      <c r="BJ97" s="68"/>
      <c r="BK97" s="68"/>
      <c r="BL97" s="68"/>
      <c r="BM97" s="68"/>
      <c r="BN97" s="68"/>
      <c r="BO97" s="68"/>
    </row>
    <row r="98" spans="2:67" ht="14.25"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  <c r="AS98" s="68"/>
      <c r="AT98" s="68"/>
      <c r="AU98" s="68"/>
      <c r="AV98" s="68"/>
      <c r="AW98" s="68"/>
      <c r="AX98" s="68"/>
      <c r="AY98" s="68"/>
      <c r="AZ98" s="68"/>
      <c r="BA98" s="68"/>
      <c r="BB98" s="68"/>
      <c r="BC98" s="68"/>
      <c r="BD98" s="68"/>
      <c r="BE98" s="68"/>
      <c r="BF98" s="68"/>
      <c r="BG98" s="68"/>
      <c r="BH98" s="68"/>
      <c r="BI98" s="68"/>
      <c r="BJ98" s="68"/>
      <c r="BK98" s="68"/>
      <c r="BL98" s="68"/>
      <c r="BM98" s="68"/>
      <c r="BN98" s="68"/>
      <c r="BO98" s="68"/>
    </row>
    <row r="99" spans="2:67" ht="14.25"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  <c r="AS99" s="68"/>
      <c r="AT99" s="68"/>
      <c r="AU99" s="68"/>
      <c r="AV99" s="68"/>
      <c r="AW99" s="68"/>
      <c r="AX99" s="68"/>
      <c r="AY99" s="68"/>
      <c r="AZ99" s="68"/>
      <c r="BA99" s="68"/>
      <c r="BB99" s="68"/>
      <c r="BC99" s="68"/>
      <c r="BD99" s="68"/>
      <c r="BE99" s="68"/>
      <c r="BF99" s="68"/>
      <c r="BG99" s="68"/>
      <c r="BH99" s="68"/>
      <c r="BI99" s="68"/>
      <c r="BJ99" s="68"/>
      <c r="BK99" s="68"/>
      <c r="BL99" s="68"/>
      <c r="BM99" s="68"/>
      <c r="BN99" s="68"/>
      <c r="BO99" s="68"/>
    </row>
    <row r="100" spans="2:67" ht="14.25"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  <c r="AS100" s="68"/>
      <c r="AT100" s="68"/>
      <c r="AU100" s="68"/>
      <c r="AV100" s="68"/>
      <c r="AW100" s="68"/>
      <c r="AX100" s="68"/>
      <c r="AY100" s="68"/>
      <c r="AZ100" s="68"/>
      <c r="BA100" s="68"/>
      <c r="BB100" s="68"/>
      <c r="BC100" s="68"/>
      <c r="BD100" s="68"/>
      <c r="BE100" s="68"/>
      <c r="BF100" s="68"/>
      <c r="BG100" s="68"/>
      <c r="BH100" s="68"/>
      <c r="BI100" s="68"/>
      <c r="BJ100" s="68"/>
      <c r="BK100" s="68"/>
      <c r="BL100" s="68"/>
      <c r="BM100" s="68"/>
      <c r="BN100" s="68"/>
      <c r="BO100" s="68"/>
    </row>
    <row r="101" spans="2:67" ht="14.25"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8"/>
      <c r="AL101" s="68"/>
      <c r="AM101" s="68"/>
      <c r="AN101" s="68"/>
      <c r="AO101" s="68"/>
      <c r="AP101" s="68"/>
      <c r="AQ101" s="68"/>
      <c r="AR101" s="68"/>
      <c r="AS101" s="68"/>
      <c r="AT101" s="68"/>
      <c r="AU101" s="68"/>
      <c r="AV101" s="68"/>
      <c r="AW101" s="68"/>
      <c r="AX101" s="68"/>
      <c r="AY101" s="68"/>
      <c r="AZ101" s="68"/>
      <c r="BA101" s="68"/>
      <c r="BB101" s="68"/>
      <c r="BC101" s="68"/>
      <c r="BD101" s="68"/>
      <c r="BE101" s="68"/>
      <c r="BF101" s="68"/>
      <c r="BG101" s="68"/>
      <c r="BH101" s="68"/>
      <c r="BI101" s="68"/>
      <c r="BJ101" s="68"/>
      <c r="BK101" s="68"/>
      <c r="BL101" s="68"/>
      <c r="BM101" s="68"/>
      <c r="BN101" s="68"/>
      <c r="BO101" s="68"/>
    </row>
    <row r="102" spans="2:67" ht="14.25"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8"/>
      <c r="AL102" s="68"/>
      <c r="AM102" s="68"/>
      <c r="AN102" s="68"/>
      <c r="AO102" s="68"/>
      <c r="AP102" s="68"/>
      <c r="AQ102" s="68"/>
      <c r="AR102" s="68"/>
      <c r="AS102" s="68"/>
      <c r="AT102" s="68"/>
      <c r="AU102" s="68"/>
      <c r="AV102" s="68"/>
      <c r="AW102" s="68"/>
      <c r="AX102" s="68"/>
      <c r="AY102" s="68"/>
      <c r="AZ102" s="68"/>
      <c r="BA102" s="68"/>
      <c r="BB102" s="68"/>
      <c r="BC102" s="68"/>
      <c r="BD102" s="68"/>
      <c r="BE102" s="68"/>
      <c r="BF102" s="68"/>
      <c r="BG102" s="68"/>
      <c r="BH102" s="68"/>
      <c r="BI102" s="68"/>
      <c r="BJ102" s="68"/>
      <c r="BK102" s="68"/>
      <c r="BL102" s="68"/>
      <c r="BM102" s="68"/>
      <c r="BN102" s="68"/>
      <c r="BO102" s="68"/>
    </row>
    <row r="103" spans="2:67" ht="14.25"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8"/>
      <c r="AL103" s="68"/>
      <c r="AM103" s="68"/>
      <c r="AN103" s="68"/>
      <c r="AO103" s="68"/>
      <c r="AP103" s="68"/>
      <c r="AQ103" s="68"/>
      <c r="AR103" s="68"/>
      <c r="AS103" s="68"/>
      <c r="AT103" s="68"/>
      <c r="AU103" s="68"/>
      <c r="AV103" s="68"/>
      <c r="AW103" s="68"/>
      <c r="AX103" s="68"/>
      <c r="AY103" s="68"/>
      <c r="AZ103" s="68"/>
      <c r="BA103" s="68"/>
      <c r="BB103" s="68"/>
      <c r="BC103" s="68"/>
      <c r="BD103" s="68"/>
      <c r="BE103" s="68"/>
      <c r="BF103" s="68"/>
      <c r="BG103" s="68"/>
      <c r="BH103" s="68"/>
      <c r="BI103" s="68"/>
      <c r="BJ103" s="68"/>
      <c r="BK103" s="68"/>
      <c r="BL103" s="68"/>
      <c r="BM103" s="68"/>
      <c r="BN103" s="68"/>
      <c r="BO103" s="68"/>
    </row>
    <row r="104" spans="2:67" ht="14.25"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8"/>
      <c r="AL104" s="68"/>
      <c r="AM104" s="68"/>
      <c r="AN104" s="68"/>
      <c r="AO104" s="68"/>
      <c r="AP104" s="68"/>
      <c r="AQ104" s="68"/>
      <c r="AR104" s="68"/>
      <c r="AS104" s="68"/>
      <c r="AT104" s="68"/>
      <c r="AU104" s="68"/>
      <c r="AV104" s="68"/>
      <c r="AW104" s="68"/>
      <c r="AX104" s="68"/>
      <c r="AY104" s="68"/>
      <c r="AZ104" s="68"/>
      <c r="BA104" s="68"/>
      <c r="BB104" s="68"/>
      <c r="BC104" s="68"/>
      <c r="BD104" s="68"/>
      <c r="BE104" s="68"/>
      <c r="BF104" s="68"/>
      <c r="BG104" s="68"/>
      <c r="BH104" s="68"/>
      <c r="BI104" s="68"/>
      <c r="BJ104" s="68"/>
      <c r="BK104" s="68"/>
      <c r="BL104" s="68"/>
      <c r="BM104" s="68"/>
      <c r="BN104" s="68"/>
      <c r="BO104" s="68"/>
    </row>
    <row r="105" spans="2:67" ht="14.25"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8"/>
      <c r="AL105" s="68"/>
      <c r="AM105" s="68"/>
      <c r="AN105" s="68"/>
      <c r="AO105" s="68"/>
      <c r="AP105" s="68"/>
      <c r="AQ105" s="68"/>
      <c r="AR105" s="68"/>
      <c r="AS105" s="68"/>
      <c r="AT105" s="68"/>
      <c r="AU105" s="68"/>
      <c r="AV105" s="68"/>
      <c r="AW105" s="68"/>
      <c r="AX105" s="68"/>
      <c r="AY105" s="68"/>
      <c r="AZ105" s="68"/>
      <c r="BA105" s="68"/>
      <c r="BB105" s="68"/>
      <c r="BC105" s="68"/>
      <c r="BD105" s="68"/>
      <c r="BE105" s="68"/>
      <c r="BF105" s="68"/>
      <c r="BG105" s="68"/>
      <c r="BH105" s="68"/>
      <c r="BI105" s="68"/>
      <c r="BJ105" s="68"/>
      <c r="BK105" s="68"/>
      <c r="BL105" s="68"/>
      <c r="BM105" s="68"/>
      <c r="BN105" s="68"/>
      <c r="BO105" s="68"/>
    </row>
    <row r="106" spans="2:67" ht="14.25"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8"/>
      <c r="AL106" s="68"/>
      <c r="AM106" s="68"/>
      <c r="AN106" s="68"/>
      <c r="AO106" s="68"/>
      <c r="AP106" s="68"/>
      <c r="AQ106" s="68"/>
      <c r="AR106" s="68"/>
      <c r="AS106" s="68"/>
      <c r="AT106" s="68"/>
      <c r="AU106" s="68"/>
      <c r="AV106" s="68"/>
      <c r="AW106" s="68"/>
      <c r="AX106" s="68"/>
      <c r="AY106" s="68"/>
      <c r="AZ106" s="68"/>
      <c r="BA106" s="68"/>
      <c r="BB106" s="68"/>
      <c r="BC106" s="68"/>
      <c r="BD106" s="68"/>
      <c r="BE106" s="68"/>
      <c r="BF106" s="68"/>
      <c r="BG106" s="68"/>
      <c r="BH106" s="68"/>
      <c r="BI106" s="68"/>
      <c r="BJ106" s="68"/>
      <c r="BK106" s="68"/>
      <c r="BL106" s="68"/>
      <c r="BM106" s="68"/>
      <c r="BN106" s="68"/>
      <c r="BO106" s="68"/>
    </row>
    <row r="107" spans="2:67" ht="14.25"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8"/>
      <c r="AL107" s="68"/>
      <c r="AM107" s="68"/>
      <c r="AN107" s="68"/>
      <c r="AO107" s="68"/>
      <c r="AP107" s="68"/>
      <c r="AQ107" s="68"/>
      <c r="AR107" s="68"/>
      <c r="AS107" s="68"/>
      <c r="AT107" s="68"/>
      <c r="AU107" s="68"/>
      <c r="AV107" s="68"/>
      <c r="AW107" s="68"/>
      <c r="AX107" s="68"/>
      <c r="AY107" s="68"/>
      <c r="AZ107" s="68"/>
      <c r="BA107" s="68"/>
      <c r="BB107" s="68"/>
      <c r="BC107" s="68"/>
      <c r="BD107" s="68"/>
      <c r="BE107" s="68"/>
      <c r="BF107" s="68"/>
      <c r="BG107" s="68"/>
      <c r="BH107" s="68"/>
      <c r="BI107" s="68"/>
      <c r="BJ107" s="68"/>
      <c r="BK107" s="68"/>
      <c r="BL107" s="68"/>
      <c r="BM107" s="68"/>
      <c r="BN107" s="68"/>
      <c r="BO107" s="68"/>
    </row>
    <row r="108" spans="2:67" ht="14.25"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8"/>
      <c r="AL108" s="68"/>
      <c r="AM108" s="68"/>
      <c r="AN108" s="68"/>
      <c r="AO108" s="68"/>
      <c r="AP108" s="68"/>
      <c r="AQ108" s="68"/>
      <c r="AR108" s="68"/>
      <c r="AS108" s="68"/>
      <c r="AT108" s="68"/>
      <c r="AU108" s="68"/>
      <c r="AV108" s="68"/>
      <c r="AW108" s="68"/>
      <c r="AX108" s="68"/>
      <c r="AY108" s="68"/>
      <c r="AZ108" s="68"/>
      <c r="BA108" s="68"/>
      <c r="BB108" s="68"/>
      <c r="BC108" s="68"/>
      <c r="BD108" s="68"/>
      <c r="BE108" s="68"/>
      <c r="BF108" s="68"/>
      <c r="BG108" s="68"/>
      <c r="BH108" s="68"/>
      <c r="BI108" s="68"/>
      <c r="BJ108" s="68"/>
      <c r="BK108" s="68"/>
      <c r="BL108" s="68"/>
      <c r="BM108" s="68"/>
      <c r="BN108" s="68"/>
      <c r="BO108" s="68"/>
    </row>
    <row r="109" spans="2:67" ht="14.25"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8"/>
      <c r="AL109" s="68"/>
      <c r="AM109" s="68"/>
      <c r="AN109" s="68"/>
      <c r="AO109" s="68"/>
      <c r="AP109" s="68"/>
      <c r="AQ109" s="68"/>
      <c r="AR109" s="68"/>
      <c r="AS109" s="68"/>
      <c r="AT109" s="68"/>
      <c r="AU109" s="68"/>
      <c r="AV109" s="68"/>
      <c r="AW109" s="68"/>
      <c r="AX109" s="68"/>
      <c r="AY109" s="68"/>
      <c r="AZ109" s="68"/>
      <c r="BA109" s="68"/>
      <c r="BB109" s="68"/>
      <c r="BC109" s="68"/>
      <c r="BD109" s="68"/>
      <c r="BE109" s="68"/>
      <c r="BF109" s="68"/>
      <c r="BG109" s="68"/>
      <c r="BH109" s="68"/>
      <c r="BI109" s="68"/>
      <c r="BJ109" s="68"/>
      <c r="BK109" s="68"/>
      <c r="BL109" s="68"/>
      <c r="BM109" s="68"/>
      <c r="BN109" s="68"/>
      <c r="BO109" s="68"/>
    </row>
    <row r="110" spans="2:67" ht="14.25"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8"/>
      <c r="AL110" s="68"/>
      <c r="AM110" s="68"/>
      <c r="AN110" s="68"/>
      <c r="AO110" s="68"/>
      <c r="AP110" s="68"/>
      <c r="AQ110" s="68"/>
      <c r="AR110" s="68"/>
      <c r="AS110" s="68"/>
      <c r="AT110" s="68"/>
      <c r="AU110" s="68"/>
      <c r="AV110" s="68"/>
      <c r="AW110" s="68"/>
      <c r="AX110" s="68"/>
      <c r="AY110" s="68"/>
      <c r="AZ110" s="68"/>
      <c r="BA110" s="68"/>
      <c r="BB110" s="68"/>
      <c r="BC110" s="68"/>
      <c r="BD110" s="68"/>
      <c r="BE110" s="68"/>
      <c r="BF110" s="68"/>
      <c r="BG110" s="68"/>
      <c r="BH110" s="68"/>
      <c r="BI110" s="68"/>
      <c r="BJ110" s="68"/>
      <c r="BK110" s="68"/>
      <c r="BL110" s="68"/>
      <c r="BM110" s="68"/>
      <c r="BN110" s="68"/>
      <c r="BO110" s="68"/>
    </row>
    <row r="111" spans="2:67" ht="14.25"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8"/>
      <c r="AL111" s="68"/>
      <c r="AM111" s="68"/>
      <c r="AN111" s="68"/>
      <c r="AO111" s="68"/>
      <c r="AP111" s="68"/>
      <c r="AQ111" s="68"/>
      <c r="AR111" s="68"/>
      <c r="AS111" s="68"/>
      <c r="AT111" s="68"/>
      <c r="AU111" s="68"/>
      <c r="AV111" s="68"/>
      <c r="AW111" s="68"/>
      <c r="AX111" s="68"/>
      <c r="AY111" s="68"/>
      <c r="AZ111" s="68"/>
      <c r="BA111" s="68"/>
      <c r="BB111" s="68"/>
      <c r="BC111" s="68"/>
      <c r="BD111" s="68"/>
      <c r="BE111" s="68"/>
      <c r="BF111" s="68"/>
      <c r="BG111" s="68"/>
      <c r="BH111" s="68"/>
      <c r="BI111" s="68"/>
      <c r="BJ111" s="68"/>
      <c r="BK111" s="68"/>
      <c r="BL111" s="68"/>
      <c r="BM111" s="68"/>
      <c r="BN111" s="68"/>
      <c r="BO111" s="68"/>
    </row>
    <row r="112" spans="2:67" ht="14.25"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8"/>
      <c r="AL112" s="68"/>
      <c r="AM112" s="68"/>
      <c r="AN112" s="68"/>
      <c r="AO112" s="68"/>
      <c r="AP112" s="68"/>
      <c r="AQ112" s="68"/>
      <c r="AR112" s="68"/>
      <c r="AS112" s="68"/>
      <c r="AT112" s="68"/>
      <c r="AU112" s="68"/>
      <c r="AV112" s="68"/>
      <c r="AW112" s="68"/>
      <c r="AX112" s="68"/>
      <c r="AY112" s="68"/>
      <c r="AZ112" s="68"/>
      <c r="BA112" s="68"/>
      <c r="BB112" s="68"/>
      <c r="BC112" s="68"/>
      <c r="BD112" s="68"/>
      <c r="BE112" s="68"/>
      <c r="BF112" s="68"/>
      <c r="BG112" s="68"/>
      <c r="BH112" s="68"/>
      <c r="BI112" s="68"/>
      <c r="BJ112" s="68"/>
      <c r="BK112" s="68"/>
      <c r="BL112" s="68"/>
      <c r="BM112" s="68"/>
      <c r="BN112" s="68"/>
      <c r="BO112" s="68"/>
    </row>
    <row r="113" spans="2:67" ht="14.25"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8"/>
      <c r="AL113" s="68"/>
      <c r="AM113" s="68"/>
      <c r="AN113" s="68"/>
      <c r="AO113" s="68"/>
      <c r="AP113" s="68"/>
      <c r="AQ113" s="68"/>
      <c r="AR113" s="68"/>
      <c r="AS113" s="68"/>
      <c r="AT113" s="68"/>
      <c r="AU113" s="68"/>
      <c r="AV113" s="68"/>
      <c r="AW113" s="68"/>
      <c r="AX113" s="68"/>
      <c r="AY113" s="68"/>
      <c r="AZ113" s="68"/>
      <c r="BA113" s="68"/>
      <c r="BB113" s="68"/>
      <c r="BC113" s="68"/>
      <c r="BD113" s="68"/>
      <c r="BE113" s="68"/>
      <c r="BF113" s="68"/>
      <c r="BG113" s="68"/>
      <c r="BH113" s="68"/>
      <c r="BI113" s="68"/>
      <c r="BJ113" s="68"/>
      <c r="BK113" s="68"/>
      <c r="BL113" s="68"/>
      <c r="BM113" s="68"/>
      <c r="BN113" s="68"/>
      <c r="BO113" s="68"/>
    </row>
    <row r="114" spans="2:67" ht="14.25"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8"/>
      <c r="AL114" s="68"/>
      <c r="AM114" s="68"/>
      <c r="AN114" s="68"/>
      <c r="AO114" s="68"/>
      <c r="AP114" s="68"/>
      <c r="AQ114" s="68"/>
      <c r="AR114" s="68"/>
      <c r="AS114" s="68"/>
      <c r="AT114" s="68"/>
      <c r="AU114" s="68"/>
      <c r="AV114" s="68"/>
      <c r="AW114" s="68"/>
      <c r="AX114" s="68"/>
      <c r="AY114" s="68"/>
      <c r="AZ114" s="68"/>
      <c r="BA114" s="68"/>
      <c r="BB114" s="68"/>
      <c r="BC114" s="68"/>
      <c r="BD114" s="68"/>
      <c r="BE114" s="68"/>
      <c r="BF114" s="68"/>
      <c r="BG114" s="68"/>
      <c r="BH114" s="68"/>
      <c r="BI114" s="68"/>
      <c r="BJ114" s="68"/>
      <c r="BK114" s="68"/>
      <c r="BL114" s="68"/>
      <c r="BM114" s="68"/>
      <c r="BN114" s="68"/>
      <c r="BO114" s="68"/>
    </row>
    <row r="115" spans="2:67" ht="14.25"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8"/>
      <c r="AL115" s="68"/>
      <c r="AM115" s="68"/>
      <c r="AN115" s="68"/>
      <c r="AO115" s="68"/>
      <c r="AP115" s="68"/>
      <c r="AQ115" s="68"/>
      <c r="AR115" s="68"/>
      <c r="AS115" s="68"/>
      <c r="AT115" s="68"/>
      <c r="AU115" s="68"/>
      <c r="AV115" s="68"/>
      <c r="AW115" s="68"/>
      <c r="AX115" s="68"/>
      <c r="AY115" s="68"/>
      <c r="AZ115" s="68"/>
      <c r="BA115" s="68"/>
      <c r="BB115" s="68"/>
      <c r="BC115" s="68"/>
      <c r="BD115" s="68"/>
      <c r="BE115" s="68"/>
      <c r="BF115" s="68"/>
      <c r="BG115" s="68"/>
      <c r="BH115" s="68"/>
      <c r="BI115" s="68"/>
      <c r="BJ115" s="68"/>
      <c r="BK115" s="68"/>
      <c r="BL115" s="68"/>
      <c r="BM115" s="68"/>
      <c r="BN115" s="68"/>
      <c r="BO115" s="68"/>
    </row>
    <row r="116" spans="2:67" ht="14.25"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8"/>
      <c r="AL116" s="68"/>
      <c r="AM116" s="68"/>
      <c r="AN116" s="68"/>
      <c r="AO116" s="68"/>
      <c r="AP116" s="68"/>
      <c r="AQ116" s="68"/>
      <c r="AR116" s="68"/>
      <c r="AS116" s="68"/>
      <c r="AT116" s="68"/>
      <c r="AU116" s="68"/>
      <c r="AV116" s="68"/>
      <c r="AW116" s="68"/>
      <c r="AX116" s="68"/>
      <c r="AY116" s="68"/>
      <c r="AZ116" s="68"/>
      <c r="BA116" s="68"/>
      <c r="BB116" s="68"/>
      <c r="BC116" s="68"/>
      <c r="BD116" s="68"/>
      <c r="BE116" s="68"/>
      <c r="BF116" s="68"/>
      <c r="BG116" s="68"/>
      <c r="BH116" s="68"/>
      <c r="BI116" s="68"/>
      <c r="BJ116" s="68"/>
      <c r="BK116" s="68"/>
      <c r="BL116" s="68"/>
      <c r="BM116" s="68"/>
      <c r="BN116" s="68"/>
      <c r="BO116" s="68"/>
    </row>
    <row r="117" spans="2:67" ht="14.25"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8"/>
      <c r="AL117" s="68"/>
      <c r="AM117" s="68"/>
      <c r="AN117" s="68"/>
      <c r="AO117" s="68"/>
      <c r="AP117" s="68"/>
      <c r="AQ117" s="68"/>
      <c r="AR117" s="68"/>
      <c r="AS117" s="68"/>
      <c r="AT117" s="68"/>
      <c r="AU117" s="68"/>
      <c r="AV117" s="68"/>
      <c r="AW117" s="68"/>
      <c r="AX117" s="68"/>
      <c r="AY117" s="68"/>
      <c r="AZ117" s="68"/>
      <c r="BA117" s="68"/>
      <c r="BB117" s="68"/>
      <c r="BC117" s="68"/>
      <c r="BD117" s="68"/>
      <c r="BE117" s="68"/>
      <c r="BF117" s="68"/>
      <c r="BG117" s="68"/>
      <c r="BH117" s="68"/>
      <c r="BI117" s="68"/>
      <c r="BJ117" s="68"/>
      <c r="BK117" s="68"/>
      <c r="BL117" s="68"/>
      <c r="BM117" s="68"/>
      <c r="BN117" s="68"/>
      <c r="BO117" s="68"/>
    </row>
    <row r="118" spans="2:67" ht="14.25"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8"/>
      <c r="AL118" s="68"/>
      <c r="AM118" s="68"/>
      <c r="AN118" s="68"/>
      <c r="AO118" s="68"/>
      <c r="AP118" s="68"/>
      <c r="AQ118" s="68"/>
      <c r="AR118" s="68"/>
      <c r="AS118" s="68"/>
      <c r="AT118" s="68"/>
      <c r="AU118" s="68"/>
      <c r="AV118" s="68"/>
      <c r="AW118" s="68"/>
      <c r="AX118" s="68"/>
      <c r="AY118" s="68"/>
      <c r="AZ118" s="68"/>
      <c r="BA118" s="68"/>
      <c r="BB118" s="68"/>
      <c r="BC118" s="68"/>
      <c r="BD118" s="68"/>
      <c r="BE118" s="68"/>
      <c r="BF118" s="68"/>
      <c r="BG118" s="68"/>
      <c r="BH118" s="68"/>
      <c r="BI118" s="68"/>
      <c r="BJ118" s="68"/>
      <c r="BK118" s="68"/>
      <c r="BL118" s="68"/>
      <c r="BM118" s="68"/>
      <c r="BN118" s="68"/>
      <c r="BO118" s="68"/>
    </row>
    <row r="119" spans="2:67" ht="14.25"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8"/>
      <c r="AL119" s="68"/>
      <c r="AM119" s="68"/>
      <c r="AN119" s="68"/>
      <c r="AO119" s="68"/>
      <c r="AP119" s="68"/>
      <c r="AQ119" s="68"/>
      <c r="AR119" s="68"/>
      <c r="AS119" s="68"/>
      <c r="AT119" s="68"/>
      <c r="AU119" s="68"/>
      <c r="AV119" s="68"/>
      <c r="AW119" s="68"/>
      <c r="AX119" s="68"/>
      <c r="AY119" s="68"/>
      <c r="AZ119" s="68"/>
      <c r="BA119" s="68"/>
      <c r="BB119" s="68"/>
      <c r="BC119" s="68"/>
      <c r="BD119" s="68"/>
      <c r="BE119" s="68"/>
      <c r="BF119" s="68"/>
      <c r="BG119" s="68"/>
      <c r="BH119" s="68"/>
      <c r="BI119" s="68"/>
      <c r="BJ119" s="68"/>
      <c r="BK119" s="68"/>
      <c r="BL119" s="68"/>
      <c r="BM119" s="68"/>
      <c r="BN119" s="68"/>
      <c r="BO119" s="68"/>
    </row>
    <row r="120" spans="2:67" ht="14.25"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8"/>
      <c r="AL120" s="68"/>
      <c r="AM120" s="68"/>
      <c r="AN120" s="68"/>
      <c r="AO120" s="68"/>
      <c r="AP120" s="68"/>
      <c r="AQ120" s="68"/>
      <c r="AR120" s="68"/>
      <c r="AS120" s="68"/>
      <c r="AT120" s="68"/>
      <c r="AU120" s="68"/>
      <c r="AV120" s="68"/>
      <c r="AW120" s="68"/>
      <c r="AX120" s="68"/>
      <c r="AY120" s="68"/>
      <c r="AZ120" s="68"/>
      <c r="BA120" s="68"/>
      <c r="BB120" s="68"/>
      <c r="BC120" s="68"/>
      <c r="BD120" s="68"/>
      <c r="BE120" s="68"/>
      <c r="BF120" s="68"/>
      <c r="BG120" s="68"/>
      <c r="BH120" s="68"/>
      <c r="BI120" s="68"/>
      <c r="BJ120" s="68"/>
      <c r="BK120" s="68"/>
      <c r="BL120" s="68"/>
      <c r="BM120" s="68"/>
      <c r="BN120" s="68"/>
      <c r="BO120" s="68"/>
    </row>
    <row r="121" spans="2:67" ht="14.25"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8"/>
      <c r="AL121" s="68"/>
      <c r="AM121" s="68"/>
      <c r="AN121" s="68"/>
      <c r="AO121" s="68"/>
      <c r="AP121" s="68"/>
      <c r="AQ121" s="68"/>
      <c r="AR121" s="68"/>
      <c r="AS121" s="68"/>
      <c r="AT121" s="68"/>
      <c r="AU121" s="68"/>
      <c r="AV121" s="68"/>
      <c r="AW121" s="68"/>
      <c r="AX121" s="68"/>
      <c r="AY121" s="68"/>
      <c r="AZ121" s="68"/>
      <c r="BA121" s="68"/>
      <c r="BB121" s="68"/>
      <c r="BC121" s="68"/>
      <c r="BD121" s="68"/>
      <c r="BE121" s="68"/>
      <c r="BF121" s="68"/>
      <c r="BG121" s="68"/>
      <c r="BH121" s="68"/>
      <c r="BI121" s="68"/>
      <c r="BJ121" s="68"/>
      <c r="BK121" s="68"/>
      <c r="BL121" s="68"/>
      <c r="BM121" s="68"/>
      <c r="BN121" s="68"/>
      <c r="BO121" s="68"/>
    </row>
    <row r="122" spans="2:67" ht="14.25"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8"/>
      <c r="AL122" s="68"/>
      <c r="AM122" s="68"/>
      <c r="AN122" s="68"/>
      <c r="AO122" s="68"/>
      <c r="AP122" s="68"/>
      <c r="AQ122" s="68"/>
      <c r="AR122" s="68"/>
      <c r="AS122" s="68"/>
      <c r="AT122" s="68"/>
      <c r="AU122" s="68"/>
      <c r="AV122" s="68"/>
      <c r="AW122" s="68"/>
      <c r="AX122" s="68"/>
      <c r="AY122" s="68"/>
      <c r="AZ122" s="68"/>
      <c r="BA122" s="68"/>
      <c r="BB122" s="68"/>
      <c r="BC122" s="68"/>
      <c r="BD122" s="68"/>
      <c r="BE122" s="68"/>
      <c r="BF122" s="68"/>
      <c r="BG122" s="68"/>
      <c r="BH122" s="68"/>
      <c r="BI122" s="68"/>
      <c r="BJ122" s="68"/>
      <c r="BK122" s="68"/>
      <c r="BL122" s="68"/>
      <c r="BM122" s="68"/>
      <c r="BN122" s="68"/>
      <c r="BO122" s="68"/>
    </row>
    <row r="123" spans="2:67" ht="14.25"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8"/>
      <c r="AL123" s="68"/>
      <c r="AM123" s="68"/>
      <c r="AN123" s="68"/>
      <c r="AO123" s="68"/>
      <c r="AP123" s="68"/>
      <c r="AQ123" s="68"/>
      <c r="AR123" s="68"/>
      <c r="AS123" s="68"/>
      <c r="AT123" s="68"/>
      <c r="AU123" s="68"/>
      <c r="AV123" s="68"/>
      <c r="AW123" s="68"/>
      <c r="AX123" s="68"/>
      <c r="AY123" s="68"/>
      <c r="AZ123" s="68"/>
      <c r="BA123" s="68"/>
      <c r="BB123" s="68"/>
      <c r="BC123" s="68"/>
      <c r="BD123" s="68"/>
      <c r="BE123" s="68"/>
      <c r="BF123" s="68"/>
      <c r="BG123" s="68"/>
      <c r="BH123" s="68"/>
      <c r="BI123" s="68"/>
      <c r="BJ123" s="68"/>
      <c r="BK123" s="68"/>
      <c r="BL123" s="68"/>
      <c r="BM123" s="68"/>
      <c r="BN123" s="68"/>
      <c r="BO123" s="68"/>
    </row>
    <row r="124" spans="2:67" ht="14.25"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8"/>
      <c r="AL124" s="68"/>
      <c r="AM124" s="68"/>
      <c r="AN124" s="68"/>
      <c r="AO124" s="68"/>
      <c r="AP124" s="68"/>
      <c r="AQ124" s="68"/>
      <c r="AR124" s="68"/>
      <c r="AS124" s="68"/>
      <c r="AT124" s="68"/>
      <c r="AU124" s="68"/>
      <c r="AV124" s="68"/>
      <c r="AW124" s="68"/>
      <c r="AX124" s="68"/>
      <c r="AY124" s="68"/>
      <c r="AZ124" s="68"/>
      <c r="BA124" s="68"/>
      <c r="BB124" s="68"/>
      <c r="BC124" s="68"/>
      <c r="BD124" s="68"/>
      <c r="BE124" s="68"/>
      <c r="BF124" s="68"/>
      <c r="BG124" s="68"/>
      <c r="BH124" s="68"/>
      <c r="BI124" s="68"/>
      <c r="BJ124" s="68"/>
      <c r="BK124" s="68"/>
      <c r="BL124" s="68"/>
      <c r="BM124" s="68"/>
      <c r="BN124" s="68"/>
      <c r="BO124" s="68"/>
    </row>
    <row r="125" spans="2:67" ht="14.25"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8"/>
      <c r="AL125" s="68"/>
      <c r="AM125" s="68"/>
      <c r="AN125" s="68"/>
      <c r="AO125" s="68"/>
      <c r="AP125" s="68"/>
      <c r="AQ125" s="68"/>
      <c r="AR125" s="68"/>
      <c r="AS125" s="68"/>
      <c r="AT125" s="68"/>
      <c r="AU125" s="68"/>
      <c r="AV125" s="68"/>
      <c r="AW125" s="68"/>
      <c r="AX125" s="68"/>
      <c r="AY125" s="68"/>
      <c r="AZ125" s="68"/>
      <c r="BA125" s="68"/>
      <c r="BB125" s="68"/>
      <c r="BC125" s="68"/>
      <c r="BD125" s="68"/>
      <c r="BE125" s="68"/>
      <c r="BF125" s="68"/>
      <c r="BG125" s="68"/>
      <c r="BH125" s="68"/>
      <c r="BI125" s="68"/>
      <c r="BJ125" s="68"/>
      <c r="BK125" s="68"/>
      <c r="BL125" s="68"/>
      <c r="BM125" s="68"/>
      <c r="BN125" s="68"/>
      <c r="BO125" s="68"/>
    </row>
    <row r="126" spans="2:67" ht="14.25"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8"/>
      <c r="AL126" s="68"/>
      <c r="AM126" s="68"/>
      <c r="AN126" s="68"/>
      <c r="AO126" s="68"/>
      <c r="AP126" s="68"/>
      <c r="AQ126" s="68"/>
      <c r="AR126" s="68"/>
      <c r="AS126" s="68"/>
      <c r="AT126" s="68"/>
      <c r="AU126" s="68"/>
      <c r="AV126" s="68"/>
      <c r="AW126" s="68"/>
      <c r="AX126" s="68"/>
      <c r="AY126" s="68"/>
      <c r="AZ126" s="68"/>
      <c r="BA126" s="68"/>
      <c r="BB126" s="68"/>
      <c r="BC126" s="68"/>
      <c r="BD126" s="68"/>
      <c r="BE126" s="68"/>
      <c r="BF126" s="68"/>
      <c r="BG126" s="68"/>
      <c r="BH126" s="68"/>
      <c r="BI126" s="68"/>
      <c r="BJ126" s="68"/>
      <c r="BK126" s="68"/>
      <c r="BL126" s="68"/>
      <c r="BM126" s="68"/>
      <c r="BN126" s="68"/>
      <c r="BO126" s="68"/>
    </row>
    <row r="127" spans="2:67" ht="14.25"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8"/>
      <c r="AL127" s="68"/>
      <c r="AM127" s="68"/>
      <c r="AN127" s="68"/>
      <c r="AO127" s="68"/>
      <c r="AP127" s="68"/>
      <c r="AQ127" s="68"/>
      <c r="AR127" s="68"/>
      <c r="AS127" s="68"/>
      <c r="AT127" s="68"/>
      <c r="AU127" s="68"/>
      <c r="AV127" s="68"/>
      <c r="AW127" s="68"/>
      <c r="AX127" s="68"/>
      <c r="AY127" s="68"/>
      <c r="AZ127" s="68"/>
      <c r="BA127" s="68"/>
      <c r="BB127" s="68"/>
      <c r="BC127" s="68"/>
      <c r="BD127" s="68"/>
      <c r="BE127" s="68"/>
      <c r="BF127" s="68"/>
      <c r="BG127" s="68"/>
      <c r="BH127" s="68"/>
      <c r="BI127" s="68"/>
      <c r="BJ127" s="68"/>
      <c r="BK127" s="68"/>
      <c r="BL127" s="68"/>
      <c r="BM127" s="68"/>
      <c r="BN127" s="68"/>
      <c r="BO127" s="68"/>
    </row>
    <row r="128" spans="2:67" ht="14.25"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8"/>
      <c r="AL128" s="68"/>
      <c r="AM128" s="68"/>
      <c r="AN128" s="68"/>
      <c r="AO128" s="68"/>
      <c r="AP128" s="68"/>
      <c r="AQ128" s="68"/>
      <c r="AR128" s="68"/>
      <c r="AS128" s="68"/>
      <c r="AT128" s="68"/>
      <c r="AU128" s="68"/>
      <c r="AV128" s="68"/>
      <c r="AW128" s="68"/>
      <c r="AX128" s="68"/>
      <c r="AY128" s="68"/>
      <c r="AZ128" s="68"/>
      <c r="BA128" s="68"/>
      <c r="BB128" s="68"/>
      <c r="BC128" s="68"/>
      <c r="BD128" s="68"/>
      <c r="BE128" s="68"/>
      <c r="BF128" s="68"/>
      <c r="BG128" s="68"/>
      <c r="BH128" s="68"/>
      <c r="BI128" s="68"/>
      <c r="BJ128" s="68"/>
      <c r="BK128" s="68"/>
      <c r="BL128" s="68"/>
      <c r="BM128" s="68"/>
      <c r="BN128" s="68"/>
      <c r="BO128" s="68"/>
    </row>
    <row r="129" spans="2:67" ht="14.25"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8"/>
      <c r="AL129" s="68"/>
      <c r="AM129" s="68"/>
      <c r="AN129" s="68"/>
      <c r="AO129" s="68"/>
      <c r="AP129" s="68"/>
      <c r="AQ129" s="68"/>
      <c r="AR129" s="68"/>
      <c r="AS129" s="68"/>
      <c r="AT129" s="68"/>
      <c r="AU129" s="68"/>
      <c r="AV129" s="68"/>
      <c r="AW129" s="68"/>
      <c r="AX129" s="68"/>
      <c r="AY129" s="68"/>
      <c r="AZ129" s="68"/>
      <c r="BA129" s="68"/>
      <c r="BB129" s="68"/>
      <c r="BC129" s="68"/>
      <c r="BD129" s="68"/>
      <c r="BE129" s="68"/>
      <c r="BF129" s="68"/>
      <c r="BG129" s="68"/>
      <c r="BH129" s="68"/>
      <c r="BI129" s="68"/>
      <c r="BJ129" s="68"/>
      <c r="BK129" s="68"/>
      <c r="BL129" s="68"/>
      <c r="BM129" s="68"/>
      <c r="BN129" s="68"/>
      <c r="BO129" s="68"/>
    </row>
    <row r="130" spans="2:67" ht="14.25"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8"/>
      <c r="AL130" s="68"/>
      <c r="AM130" s="68"/>
      <c r="AN130" s="68"/>
      <c r="AO130" s="68"/>
      <c r="AP130" s="68"/>
      <c r="AQ130" s="68"/>
      <c r="AR130" s="68"/>
      <c r="AS130" s="68"/>
      <c r="AT130" s="68"/>
      <c r="AU130" s="68"/>
      <c r="AV130" s="68"/>
      <c r="AW130" s="68"/>
      <c r="AX130" s="68"/>
      <c r="AY130" s="68"/>
      <c r="AZ130" s="68"/>
      <c r="BA130" s="68"/>
      <c r="BB130" s="68"/>
      <c r="BC130" s="68"/>
      <c r="BD130" s="68"/>
      <c r="BE130" s="68"/>
      <c r="BF130" s="68"/>
      <c r="BG130" s="68"/>
      <c r="BH130" s="68"/>
      <c r="BI130" s="68"/>
      <c r="BJ130" s="68"/>
      <c r="BK130" s="68"/>
      <c r="BL130" s="68"/>
      <c r="BM130" s="68"/>
      <c r="BN130" s="68"/>
      <c r="BO130" s="68"/>
    </row>
    <row r="131" spans="2:67" ht="14.25"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8"/>
      <c r="AL131" s="68"/>
      <c r="AM131" s="68"/>
      <c r="AN131" s="68"/>
      <c r="AO131" s="68"/>
      <c r="AP131" s="68"/>
      <c r="AQ131" s="68"/>
      <c r="AR131" s="68"/>
      <c r="AS131" s="68"/>
      <c r="AT131" s="68"/>
      <c r="AU131" s="68"/>
      <c r="AV131" s="68"/>
      <c r="AW131" s="68"/>
      <c r="AX131" s="68"/>
      <c r="AY131" s="68"/>
      <c r="AZ131" s="68"/>
      <c r="BA131" s="68"/>
      <c r="BB131" s="68"/>
      <c r="BC131" s="68"/>
      <c r="BD131" s="68"/>
      <c r="BE131" s="68"/>
      <c r="BF131" s="68"/>
      <c r="BG131" s="68"/>
      <c r="BH131" s="68"/>
      <c r="BI131" s="68"/>
      <c r="BJ131" s="68"/>
      <c r="BK131" s="68"/>
      <c r="BL131" s="68"/>
      <c r="BM131" s="68"/>
      <c r="BN131" s="68"/>
      <c r="BO131" s="68"/>
    </row>
    <row r="132" spans="2:67" ht="14.25"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8"/>
      <c r="AL132" s="68"/>
      <c r="AM132" s="68"/>
      <c r="AN132" s="68"/>
      <c r="AO132" s="68"/>
      <c r="AP132" s="68"/>
      <c r="AQ132" s="68"/>
      <c r="AR132" s="68"/>
      <c r="AS132" s="68"/>
      <c r="AT132" s="68"/>
      <c r="AU132" s="68"/>
      <c r="AV132" s="68"/>
      <c r="AW132" s="68"/>
      <c r="AX132" s="68"/>
      <c r="AY132" s="68"/>
      <c r="AZ132" s="68"/>
      <c r="BA132" s="68"/>
      <c r="BB132" s="68"/>
      <c r="BC132" s="68"/>
      <c r="BD132" s="68"/>
      <c r="BE132" s="68"/>
      <c r="BF132" s="68"/>
      <c r="BG132" s="68"/>
      <c r="BH132" s="68"/>
      <c r="BI132" s="68"/>
      <c r="BJ132" s="68"/>
      <c r="BK132" s="68"/>
      <c r="BL132" s="68"/>
      <c r="BM132" s="68"/>
      <c r="BN132" s="68"/>
      <c r="BO132" s="68"/>
    </row>
    <row r="133" spans="2:67" ht="14.25"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8"/>
      <c r="AL133" s="68"/>
      <c r="AM133" s="68"/>
      <c r="AN133" s="68"/>
      <c r="AO133" s="68"/>
      <c r="AP133" s="68"/>
      <c r="AQ133" s="68"/>
      <c r="AR133" s="68"/>
      <c r="AS133" s="68"/>
      <c r="AT133" s="68"/>
      <c r="AU133" s="68"/>
      <c r="AV133" s="68"/>
      <c r="AW133" s="68"/>
      <c r="AX133" s="68"/>
      <c r="AY133" s="68"/>
      <c r="AZ133" s="68"/>
      <c r="BA133" s="68"/>
      <c r="BB133" s="68"/>
      <c r="BC133" s="68"/>
      <c r="BD133" s="68"/>
      <c r="BE133" s="68"/>
      <c r="BF133" s="68"/>
      <c r="BG133" s="68"/>
      <c r="BH133" s="68"/>
      <c r="BI133" s="68"/>
      <c r="BJ133" s="68"/>
      <c r="BK133" s="68"/>
      <c r="BL133" s="68"/>
      <c r="BM133" s="68"/>
      <c r="BN133" s="68"/>
      <c r="BO133" s="68"/>
    </row>
    <row r="134" spans="2:67" ht="14.25"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8"/>
      <c r="AL134" s="68"/>
      <c r="AM134" s="68"/>
      <c r="AN134" s="68"/>
      <c r="AO134" s="68"/>
      <c r="AP134" s="68"/>
      <c r="AQ134" s="68"/>
      <c r="AR134" s="68"/>
      <c r="AS134" s="68"/>
      <c r="AT134" s="68"/>
      <c r="AU134" s="68"/>
      <c r="AV134" s="68"/>
      <c r="AW134" s="68"/>
      <c r="AX134" s="68"/>
      <c r="AY134" s="68"/>
      <c r="AZ134" s="68"/>
      <c r="BA134" s="68"/>
      <c r="BB134" s="68"/>
      <c r="BC134" s="68"/>
      <c r="BD134" s="68"/>
      <c r="BE134" s="68"/>
      <c r="BF134" s="68"/>
      <c r="BG134" s="68"/>
      <c r="BH134" s="68"/>
      <c r="BI134" s="68"/>
      <c r="BJ134" s="68"/>
      <c r="BK134" s="68"/>
      <c r="BL134" s="68"/>
      <c r="BM134" s="68"/>
      <c r="BN134" s="68"/>
      <c r="BO134" s="68"/>
    </row>
    <row r="135" spans="2:67" ht="14.25"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8"/>
      <c r="AL135" s="68"/>
      <c r="AM135" s="68"/>
      <c r="AN135" s="68"/>
      <c r="AO135" s="68"/>
      <c r="AP135" s="68"/>
      <c r="AQ135" s="68"/>
      <c r="AR135" s="68"/>
      <c r="AS135" s="68"/>
      <c r="AT135" s="68"/>
      <c r="AU135" s="68"/>
      <c r="AV135" s="68"/>
      <c r="AW135" s="68"/>
      <c r="AX135" s="68"/>
      <c r="AY135" s="68"/>
      <c r="AZ135" s="68"/>
      <c r="BA135" s="68"/>
      <c r="BB135" s="68"/>
      <c r="BC135" s="68"/>
      <c r="BD135" s="68"/>
      <c r="BE135" s="68"/>
      <c r="BF135" s="68"/>
      <c r="BG135" s="68"/>
      <c r="BH135" s="68"/>
      <c r="BI135" s="68"/>
      <c r="BJ135" s="68"/>
      <c r="BK135" s="68"/>
      <c r="BL135" s="68"/>
      <c r="BM135" s="68"/>
      <c r="BN135" s="68"/>
      <c r="BO135" s="68"/>
    </row>
    <row r="136" spans="2:67" ht="14.25"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8"/>
      <c r="AL136" s="68"/>
      <c r="AM136" s="68"/>
      <c r="AN136" s="68"/>
      <c r="AO136" s="68"/>
      <c r="AP136" s="68"/>
      <c r="AQ136" s="68"/>
      <c r="AR136" s="68"/>
      <c r="AS136" s="68"/>
      <c r="AT136" s="68"/>
      <c r="AU136" s="68"/>
      <c r="AV136" s="68"/>
      <c r="AW136" s="68"/>
      <c r="AX136" s="68"/>
      <c r="AY136" s="68"/>
      <c r="AZ136" s="68"/>
      <c r="BA136" s="68"/>
      <c r="BB136" s="68"/>
      <c r="BC136" s="68"/>
      <c r="BD136" s="68"/>
      <c r="BE136" s="68"/>
      <c r="BF136" s="68"/>
      <c r="BG136" s="68"/>
      <c r="BH136" s="68"/>
      <c r="BI136" s="68"/>
      <c r="BJ136" s="68"/>
      <c r="BK136" s="68"/>
      <c r="BL136" s="68"/>
      <c r="BM136" s="68"/>
      <c r="BN136" s="68"/>
      <c r="BO136" s="68"/>
    </row>
    <row r="137" spans="2:67" ht="14.25"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8"/>
      <c r="AL137" s="68"/>
      <c r="AM137" s="68"/>
      <c r="AN137" s="68"/>
      <c r="AO137" s="68"/>
      <c r="AP137" s="68"/>
      <c r="AQ137" s="68"/>
      <c r="AR137" s="68"/>
      <c r="AS137" s="68"/>
      <c r="AT137" s="68"/>
      <c r="AU137" s="68"/>
      <c r="AV137" s="68"/>
      <c r="AW137" s="68"/>
      <c r="AX137" s="68"/>
      <c r="AY137" s="68"/>
      <c r="AZ137" s="68"/>
      <c r="BA137" s="68"/>
      <c r="BB137" s="68"/>
      <c r="BC137" s="68"/>
      <c r="BD137" s="68"/>
      <c r="BE137" s="68"/>
      <c r="BF137" s="68"/>
      <c r="BG137" s="68"/>
      <c r="BH137" s="68"/>
      <c r="BI137" s="68"/>
      <c r="BJ137" s="68"/>
      <c r="BK137" s="68"/>
      <c r="BL137" s="68"/>
      <c r="BM137" s="68"/>
      <c r="BN137" s="68"/>
      <c r="BO137" s="68"/>
    </row>
    <row r="138" spans="2:67" ht="14.25"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8"/>
      <c r="AL138" s="68"/>
      <c r="AM138" s="68"/>
      <c r="AN138" s="68"/>
      <c r="AO138" s="68"/>
      <c r="AP138" s="68"/>
      <c r="AQ138" s="68"/>
      <c r="AR138" s="68"/>
      <c r="AS138" s="68"/>
      <c r="AT138" s="68"/>
      <c r="AU138" s="68"/>
      <c r="AV138" s="68"/>
      <c r="AW138" s="68"/>
      <c r="AX138" s="68"/>
      <c r="AY138" s="68"/>
      <c r="AZ138" s="68"/>
      <c r="BA138" s="68"/>
      <c r="BB138" s="68"/>
      <c r="BC138" s="68"/>
      <c r="BD138" s="68"/>
      <c r="BE138" s="68"/>
      <c r="BF138" s="68"/>
      <c r="BG138" s="68"/>
      <c r="BH138" s="68"/>
      <c r="BI138" s="68"/>
      <c r="BJ138" s="68"/>
      <c r="BK138" s="68"/>
      <c r="BL138" s="68"/>
      <c r="BM138" s="68"/>
      <c r="BN138" s="68"/>
      <c r="BO138" s="68"/>
    </row>
    <row r="139" spans="2:67" ht="14.25"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8"/>
      <c r="AL139" s="68"/>
      <c r="AM139" s="68"/>
      <c r="AN139" s="68"/>
      <c r="AO139" s="68"/>
      <c r="AP139" s="68"/>
      <c r="AQ139" s="68"/>
      <c r="AR139" s="68"/>
      <c r="AS139" s="68"/>
      <c r="AT139" s="68"/>
      <c r="AU139" s="68"/>
      <c r="AV139" s="68"/>
      <c r="AW139" s="68"/>
      <c r="AX139" s="68"/>
      <c r="AY139" s="68"/>
      <c r="AZ139" s="68"/>
      <c r="BA139" s="68"/>
      <c r="BB139" s="68"/>
      <c r="BC139" s="68"/>
      <c r="BD139" s="68"/>
      <c r="BE139" s="68"/>
      <c r="BF139" s="68"/>
      <c r="BG139" s="68"/>
      <c r="BH139" s="68"/>
      <c r="BI139" s="68"/>
      <c r="BJ139" s="68"/>
      <c r="BK139" s="68"/>
      <c r="BL139" s="68"/>
      <c r="BM139" s="68"/>
      <c r="BN139" s="68"/>
      <c r="BO139" s="68"/>
    </row>
    <row r="140" spans="2:67" ht="14.25"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8"/>
      <c r="AL140" s="68"/>
      <c r="AM140" s="68"/>
      <c r="AN140" s="68"/>
      <c r="AO140" s="68"/>
      <c r="AP140" s="68"/>
      <c r="AQ140" s="68"/>
      <c r="AR140" s="68"/>
      <c r="AS140" s="68"/>
      <c r="AT140" s="68"/>
      <c r="AU140" s="68"/>
      <c r="AV140" s="68"/>
      <c r="AW140" s="68"/>
      <c r="AX140" s="68"/>
      <c r="AY140" s="68"/>
      <c r="AZ140" s="68"/>
      <c r="BA140" s="68"/>
      <c r="BB140" s="68"/>
      <c r="BC140" s="68"/>
      <c r="BD140" s="68"/>
      <c r="BE140" s="68"/>
      <c r="BF140" s="68"/>
      <c r="BG140" s="68"/>
      <c r="BH140" s="68"/>
      <c r="BI140" s="68"/>
      <c r="BJ140" s="68"/>
      <c r="BK140" s="68"/>
      <c r="BL140" s="68"/>
      <c r="BM140" s="68"/>
      <c r="BN140" s="68"/>
      <c r="BO140" s="68"/>
    </row>
    <row r="141" spans="2:67" ht="14.25"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8"/>
      <c r="AL141" s="68"/>
      <c r="AM141" s="68"/>
      <c r="AN141" s="68"/>
      <c r="AO141" s="68"/>
      <c r="AP141" s="68"/>
      <c r="AQ141" s="68"/>
      <c r="AR141" s="68"/>
      <c r="AS141" s="68"/>
      <c r="AT141" s="68"/>
      <c r="AU141" s="68"/>
      <c r="AV141" s="68"/>
      <c r="AW141" s="68"/>
      <c r="AX141" s="68"/>
      <c r="AY141" s="68"/>
      <c r="AZ141" s="68"/>
      <c r="BA141" s="68"/>
      <c r="BB141" s="68"/>
      <c r="BC141" s="68"/>
      <c r="BD141" s="68"/>
      <c r="BE141" s="68"/>
      <c r="BF141" s="68"/>
      <c r="BG141" s="68"/>
      <c r="BH141" s="68"/>
      <c r="BI141" s="68"/>
      <c r="BJ141" s="68"/>
      <c r="BK141" s="68"/>
      <c r="BL141" s="68"/>
      <c r="BM141" s="68"/>
      <c r="BN141" s="68"/>
      <c r="BO141" s="68"/>
    </row>
    <row r="142" spans="2:67" ht="14.25"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8"/>
      <c r="AL142" s="68"/>
      <c r="AM142" s="68"/>
      <c r="AN142" s="68"/>
      <c r="AO142" s="68"/>
      <c r="AP142" s="68"/>
      <c r="AQ142" s="68"/>
      <c r="AR142" s="68"/>
      <c r="AS142" s="68"/>
      <c r="AT142" s="68"/>
      <c r="AU142" s="68"/>
      <c r="AV142" s="68"/>
      <c r="AW142" s="68"/>
      <c r="AX142" s="68"/>
      <c r="AY142" s="68"/>
      <c r="AZ142" s="68"/>
      <c r="BA142" s="68"/>
      <c r="BB142" s="68"/>
      <c r="BC142" s="68"/>
      <c r="BD142" s="68"/>
      <c r="BE142" s="68"/>
      <c r="BF142" s="68"/>
      <c r="BG142" s="68"/>
      <c r="BH142" s="68"/>
      <c r="BI142" s="68"/>
      <c r="BJ142" s="68"/>
      <c r="BK142" s="68"/>
      <c r="BL142" s="68"/>
      <c r="BM142" s="68"/>
      <c r="BN142" s="68"/>
      <c r="BO142" s="68"/>
    </row>
    <row r="143" spans="2:67" ht="14.25"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8"/>
      <c r="AL143" s="68"/>
      <c r="AM143" s="68"/>
      <c r="AN143" s="68"/>
      <c r="AO143" s="68"/>
      <c r="AP143" s="68"/>
      <c r="AQ143" s="68"/>
      <c r="AR143" s="68"/>
      <c r="AS143" s="68"/>
      <c r="AT143" s="68"/>
      <c r="AU143" s="68"/>
      <c r="AV143" s="68"/>
      <c r="AW143" s="68"/>
      <c r="AX143" s="68"/>
      <c r="AY143" s="68"/>
      <c r="AZ143" s="68"/>
      <c r="BA143" s="68"/>
      <c r="BB143" s="68"/>
      <c r="BC143" s="68"/>
      <c r="BD143" s="68"/>
      <c r="BE143" s="68"/>
      <c r="BF143" s="68"/>
      <c r="BG143" s="68"/>
      <c r="BH143" s="68"/>
      <c r="BI143" s="68"/>
      <c r="BJ143" s="68"/>
      <c r="BK143" s="68"/>
      <c r="BL143" s="68"/>
      <c r="BM143" s="68"/>
      <c r="BN143" s="68"/>
      <c r="BO143" s="68"/>
    </row>
    <row r="144" spans="2:67" ht="14.25"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8"/>
      <c r="AL144" s="68"/>
      <c r="AM144" s="68"/>
      <c r="AN144" s="68"/>
      <c r="AO144" s="68"/>
      <c r="AP144" s="68"/>
      <c r="AQ144" s="68"/>
      <c r="AR144" s="68"/>
      <c r="AS144" s="68"/>
      <c r="AT144" s="68"/>
      <c r="AU144" s="68"/>
      <c r="AV144" s="68"/>
      <c r="AW144" s="68"/>
      <c r="AX144" s="68"/>
      <c r="AY144" s="68"/>
      <c r="AZ144" s="68"/>
      <c r="BA144" s="68"/>
      <c r="BB144" s="68"/>
      <c r="BC144" s="68"/>
      <c r="BD144" s="68"/>
      <c r="BE144" s="68"/>
      <c r="BF144" s="68"/>
      <c r="BG144" s="68"/>
      <c r="BH144" s="68"/>
      <c r="BI144" s="68"/>
      <c r="BJ144" s="68"/>
      <c r="BK144" s="68"/>
      <c r="BL144" s="68"/>
      <c r="BM144" s="68"/>
      <c r="BN144" s="68"/>
      <c r="BO144" s="68"/>
    </row>
    <row r="145" spans="2:67" ht="14.25"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8"/>
      <c r="AL145" s="68"/>
      <c r="AM145" s="68"/>
      <c r="AN145" s="68"/>
      <c r="AO145" s="68"/>
      <c r="AP145" s="68"/>
      <c r="AQ145" s="68"/>
      <c r="AR145" s="68"/>
      <c r="AS145" s="68"/>
      <c r="AT145" s="68"/>
      <c r="AU145" s="68"/>
      <c r="AV145" s="68"/>
      <c r="AW145" s="68"/>
      <c r="AX145" s="68"/>
      <c r="AY145" s="68"/>
      <c r="AZ145" s="68"/>
      <c r="BA145" s="68"/>
      <c r="BB145" s="68"/>
      <c r="BC145" s="68"/>
      <c r="BD145" s="68"/>
      <c r="BE145" s="68"/>
      <c r="BF145" s="68"/>
      <c r="BG145" s="68"/>
      <c r="BH145" s="68"/>
      <c r="BI145" s="68"/>
      <c r="BJ145" s="68"/>
      <c r="BK145" s="68"/>
      <c r="BL145" s="68"/>
      <c r="BM145" s="68"/>
      <c r="BN145" s="68"/>
      <c r="BO145" s="68"/>
    </row>
    <row r="146" spans="2:67" ht="14.25"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8"/>
      <c r="AL146" s="68"/>
      <c r="AM146" s="68"/>
      <c r="AN146" s="68"/>
      <c r="AO146" s="68"/>
      <c r="AP146" s="68"/>
      <c r="AQ146" s="68"/>
      <c r="AR146" s="68"/>
      <c r="AS146" s="68"/>
      <c r="AT146" s="68"/>
      <c r="AU146" s="68"/>
      <c r="AV146" s="68"/>
      <c r="AW146" s="68"/>
      <c r="AX146" s="68"/>
      <c r="AY146" s="68"/>
      <c r="AZ146" s="68"/>
      <c r="BA146" s="68"/>
      <c r="BB146" s="68"/>
      <c r="BC146" s="68"/>
      <c r="BD146" s="68"/>
      <c r="BE146" s="68"/>
      <c r="BF146" s="68"/>
      <c r="BG146" s="68"/>
      <c r="BH146" s="68"/>
      <c r="BI146" s="68"/>
      <c r="BJ146" s="68"/>
      <c r="BK146" s="68"/>
      <c r="BL146" s="68"/>
      <c r="BM146" s="68"/>
      <c r="BN146" s="68"/>
      <c r="BO146" s="68"/>
    </row>
    <row r="147" spans="2:67" ht="14.25"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8"/>
      <c r="AL147" s="68"/>
      <c r="AM147" s="68"/>
      <c r="AN147" s="68"/>
      <c r="AO147" s="68"/>
      <c r="AP147" s="68"/>
      <c r="AQ147" s="68"/>
      <c r="AR147" s="68"/>
      <c r="AS147" s="68"/>
      <c r="AT147" s="68"/>
      <c r="AU147" s="68"/>
      <c r="AV147" s="68"/>
      <c r="AW147" s="68"/>
      <c r="AX147" s="68"/>
      <c r="AY147" s="68"/>
      <c r="AZ147" s="68"/>
      <c r="BA147" s="68"/>
      <c r="BB147" s="68"/>
      <c r="BC147" s="68"/>
      <c r="BD147" s="68"/>
      <c r="BE147" s="68"/>
      <c r="BF147" s="68"/>
      <c r="BG147" s="68"/>
      <c r="BH147" s="68"/>
      <c r="BI147" s="68"/>
      <c r="BJ147" s="68"/>
      <c r="BK147" s="68"/>
      <c r="BL147" s="68"/>
      <c r="BM147" s="68"/>
      <c r="BN147" s="68"/>
      <c r="BO147" s="68"/>
    </row>
    <row r="148" spans="2:67" ht="14.25"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8"/>
      <c r="AL148" s="68"/>
      <c r="AM148" s="68"/>
      <c r="AN148" s="68"/>
      <c r="AO148" s="68"/>
      <c r="AP148" s="68"/>
      <c r="AQ148" s="68"/>
      <c r="AR148" s="68"/>
      <c r="AS148" s="68"/>
      <c r="AT148" s="68"/>
      <c r="AU148" s="68"/>
      <c r="AV148" s="68"/>
      <c r="AW148" s="68"/>
      <c r="AX148" s="68"/>
      <c r="AY148" s="68"/>
      <c r="AZ148" s="68"/>
      <c r="BA148" s="68"/>
      <c r="BB148" s="68"/>
      <c r="BC148" s="68"/>
      <c r="BD148" s="68"/>
      <c r="BE148" s="68"/>
      <c r="BF148" s="68"/>
      <c r="BG148" s="68"/>
      <c r="BH148" s="68"/>
      <c r="BI148" s="68"/>
      <c r="BJ148" s="68"/>
      <c r="BK148" s="68"/>
      <c r="BL148" s="68"/>
      <c r="BM148" s="68"/>
      <c r="BN148" s="68"/>
      <c r="BO148" s="68"/>
    </row>
    <row r="149" spans="2:67" ht="14.25"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8"/>
      <c r="AL149" s="68"/>
      <c r="AM149" s="68"/>
      <c r="AN149" s="68"/>
      <c r="AO149" s="68"/>
      <c r="AP149" s="68"/>
      <c r="AQ149" s="68"/>
      <c r="AR149" s="68"/>
      <c r="AS149" s="68"/>
      <c r="AT149" s="68"/>
      <c r="AU149" s="68"/>
      <c r="AV149" s="68"/>
      <c r="AW149" s="68"/>
      <c r="AX149" s="68"/>
      <c r="AY149" s="68"/>
      <c r="AZ149" s="68"/>
      <c r="BA149" s="68"/>
      <c r="BB149" s="68"/>
      <c r="BC149" s="68"/>
      <c r="BD149" s="68"/>
      <c r="BE149" s="68"/>
      <c r="BF149" s="68"/>
      <c r="BG149" s="68"/>
      <c r="BH149" s="68"/>
      <c r="BI149" s="68"/>
      <c r="BJ149" s="68"/>
      <c r="BK149" s="68"/>
      <c r="BL149" s="68"/>
      <c r="BM149" s="68"/>
      <c r="BN149" s="68"/>
      <c r="BO149" s="68"/>
    </row>
    <row r="150" spans="2:67" ht="14.25"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8"/>
      <c r="AL150" s="68"/>
      <c r="AM150" s="68"/>
      <c r="AN150" s="68"/>
      <c r="AO150" s="68"/>
      <c r="AP150" s="68"/>
      <c r="AQ150" s="68"/>
      <c r="AR150" s="68"/>
      <c r="AS150" s="68"/>
      <c r="AT150" s="68"/>
      <c r="AU150" s="68"/>
      <c r="AV150" s="68"/>
      <c r="AW150" s="68"/>
      <c r="AX150" s="68"/>
      <c r="AY150" s="68"/>
      <c r="AZ150" s="68"/>
      <c r="BA150" s="68"/>
      <c r="BB150" s="68"/>
      <c r="BC150" s="68"/>
      <c r="BD150" s="68"/>
      <c r="BE150" s="68"/>
      <c r="BF150" s="68"/>
      <c r="BG150" s="68"/>
      <c r="BH150" s="68"/>
      <c r="BI150" s="68"/>
      <c r="BJ150" s="68"/>
      <c r="BK150" s="68"/>
      <c r="BL150" s="68"/>
      <c r="BM150" s="68"/>
      <c r="BN150" s="68"/>
      <c r="BO150" s="68"/>
    </row>
    <row r="151" spans="2:67" ht="14.25"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8"/>
      <c r="AL151" s="68"/>
      <c r="AM151" s="68"/>
      <c r="AN151" s="68"/>
      <c r="AO151" s="68"/>
      <c r="AP151" s="68"/>
      <c r="AQ151" s="68"/>
      <c r="AR151" s="68"/>
      <c r="AS151" s="68"/>
      <c r="AT151" s="68"/>
      <c r="AU151" s="68"/>
      <c r="AV151" s="68"/>
      <c r="AW151" s="68"/>
      <c r="AX151" s="68"/>
      <c r="AY151" s="68"/>
      <c r="AZ151" s="68"/>
      <c r="BA151" s="68"/>
      <c r="BB151" s="68"/>
      <c r="BC151" s="68"/>
      <c r="BD151" s="68"/>
      <c r="BE151" s="68"/>
      <c r="BF151" s="68"/>
      <c r="BG151" s="68"/>
      <c r="BH151" s="68"/>
      <c r="BI151" s="68"/>
      <c r="BJ151" s="68"/>
      <c r="BK151" s="68"/>
      <c r="BL151" s="68"/>
      <c r="BM151" s="68"/>
      <c r="BN151" s="68"/>
      <c r="BO151" s="68"/>
    </row>
    <row r="152" spans="2:67" ht="14.25"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8"/>
      <c r="AL152" s="68"/>
      <c r="AM152" s="68"/>
      <c r="AN152" s="68"/>
      <c r="AO152" s="68"/>
      <c r="AP152" s="68"/>
      <c r="AQ152" s="68"/>
      <c r="AR152" s="68"/>
      <c r="AS152" s="68"/>
      <c r="AT152" s="68"/>
      <c r="AU152" s="68"/>
      <c r="AV152" s="68"/>
      <c r="AW152" s="68"/>
      <c r="AX152" s="68"/>
      <c r="AY152" s="68"/>
      <c r="AZ152" s="68"/>
      <c r="BA152" s="68"/>
      <c r="BB152" s="68"/>
      <c r="BC152" s="68"/>
      <c r="BD152" s="68"/>
      <c r="BE152" s="68"/>
      <c r="BF152" s="68"/>
      <c r="BG152" s="68"/>
      <c r="BH152" s="68"/>
      <c r="BI152" s="68"/>
      <c r="BJ152" s="68"/>
      <c r="BK152" s="68"/>
      <c r="BL152" s="68"/>
      <c r="BM152" s="68"/>
      <c r="BN152" s="68"/>
      <c r="BO152" s="68"/>
    </row>
    <row r="153" spans="2:67" ht="14.25"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8"/>
      <c r="AL153" s="68"/>
      <c r="AM153" s="68"/>
      <c r="AN153" s="68"/>
      <c r="AO153" s="68"/>
      <c r="AP153" s="68"/>
      <c r="AQ153" s="68"/>
      <c r="AR153" s="68"/>
      <c r="AS153" s="68"/>
      <c r="AT153" s="68"/>
      <c r="AU153" s="68"/>
      <c r="AV153" s="68"/>
      <c r="AW153" s="68"/>
      <c r="AX153" s="68"/>
      <c r="AY153" s="68"/>
      <c r="AZ153" s="68"/>
      <c r="BA153" s="68"/>
      <c r="BB153" s="68"/>
      <c r="BC153" s="68"/>
      <c r="BD153" s="68"/>
      <c r="BE153" s="68"/>
      <c r="BF153" s="68"/>
      <c r="BG153" s="68"/>
      <c r="BH153" s="68"/>
      <c r="BI153" s="68"/>
      <c r="BJ153" s="68"/>
      <c r="BK153" s="68"/>
      <c r="BL153" s="68"/>
      <c r="BM153" s="68"/>
      <c r="BN153" s="68"/>
      <c r="BO153" s="68"/>
    </row>
    <row r="154" spans="2:67" ht="14.25"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8"/>
      <c r="AL154" s="68"/>
      <c r="AM154" s="68"/>
      <c r="AN154" s="68"/>
      <c r="AO154" s="68"/>
      <c r="AP154" s="68"/>
      <c r="AQ154" s="68"/>
      <c r="AR154" s="68"/>
      <c r="AS154" s="68"/>
      <c r="AT154" s="68"/>
      <c r="AU154" s="68"/>
      <c r="AV154" s="68"/>
      <c r="AW154" s="68"/>
      <c r="AX154" s="68"/>
      <c r="AY154" s="68"/>
      <c r="AZ154" s="68"/>
      <c r="BA154" s="68"/>
      <c r="BB154" s="68"/>
      <c r="BC154" s="68"/>
      <c r="BD154" s="68"/>
      <c r="BE154" s="68"/>
      <c r="BF154" s="68"/>
      <c r="BG154" s="68"/>
      <c r="BH154" s="68"/>
      <c r="BI154" s="68"/>
      <c r="BJ154" s="68"/>
      <c r="BK154" s="68"/>
      <c r="BL154" s="68"/>
      <c r="BM154" s="68"/>
      <c r="BN154" s="68"/>
      <c r="BO154" s="68"/>
    </row>
    <row r="155" spans="2:67" ht="14.25"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8"/>
      <c r="AL155" s="68"/>
      <c r="AM155" s="68"/>
      <c r="AN155" s="68"/>
      <c r="AO155" s="68"/>
      <c r="AP155" s="68"/>
      <c r="AQ155" s="68"/>
      <c r="AR155" s="68"/>
      <c r="AS155" s="68"/>
      <c r="AT155" s="68"/>
      <c r="AU155" s="68"/>
      <c r="AV155" s="68"/>
      <c r="AW155" s="68"/>
      <c r="AX155" s="68"/>
      <c r="AY155" s="68"/>
      <c r="AZ155" s="68"/>
      <c r="BA155" s="68"/>
      <c r="BB155" s="68"/>
      <c r="BC155" s="68"/>
      <c r="BD155" s="68"/>
      <c r="BE155" s="68"/>
      <c r="BF155" s="68"/>
      <c r="BG155" s="68"/>
      <c r="BH155" s="68"/>
      <c r="BI155" s="68"/>
      <c r="BJ155" s="68"/>
      <c r="BK155" s="68"/>
      <c r="BL155" s="68"/>
      <c r="BM155" s="68"/>
      <c r="BN155" s="68"/>
      <c r="BO155" s="68"/>
    </row>
    <row r="156" spans="2:67" ht="14.25"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  <c r="AR156" s="68"/>
      <c r="AS156" s="68"/>
      <c r="AT156" s="68"/>
      <c r="AU156" s="68"/>
      <c r="AV156" s="68"/>
      <c r="AW156" s="68"/>
      <c r="AX156" s="68"/>
      <c r="AY156" s="68"/>
      <c r="AZ156" s="68"/>
      <c r="BA156" s="68"/>
      <c r="BB156" s="68"/>
      <c r="BC156" s="68"/>
      <c r="BD156" s="68"/>
      <c r="BE156" s="68"/>
      <c r="BF156" s="68"/>
      <c r="BG156" s="68"/>
      <c r="BH156" s="68"/>
      <c r="BI156" s="68"/>
      <c r="BJ156" s="68"/>
      <c r="BK156" s="68"/>
      <c r="BL156" s="68"/>
      <c r="BM156" s="68"/>
      <c r="BN156" s="68"/>
      <c r="BO156" s="68"/>
    </row>
    <row r="157" spans="2:67" ht="14.25"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8"/>
      <c r="AL157" s="68"/>
      <c r="AM157" s="68"/>
      <c r="AN157" s="68"/>
      <c r="AO157" s="68"/>
      <c r="AP157" s="68"/>
      <c r="AQ157" s="68"/>
      <c r="AR157" s="68"/>
      <c r="AS157" s="68"/>
      <c r="AT157" s="68"/>
      <c r="AU157" s="68"/>
      <c r="AV157" s="68"/>
      <c r="AW157" s="68"/>
      <c r="AX157" s="68"/>
      <c r="AY157" s="68"/>
      <c r="AZ157" s="68"/>
      <c r="BA157" s="68"/>
      <c r="BB157" s="68"/>
      <c r="BC157" s="68"/>
      <c r="BD157" s="68"/>
      <c r="BE157" s="68"/>
      <c r="BF157" s="68"/>
      <c r="BG157" s="68"/>
      <c r="BH157" s="68"/>
      <c r="BI157" s="68"/>
      <c r="BJ157" s="68"/>
      <c r="BK157" s="68"/>
      <c r="BL157" s="68"/>
      <c r="BM157" s="68"/>
      <c r="BN157" s="68"/>
      <c r="BO157" s="68"/>
    </row>
    <row r="158" spans="2:67" ht="14.25"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8"/>
      <c r="AL158" s="68"/>
      <c r="AM158" s="68"/>
      <c r="AN158" s="68"/>
      <c r="AO158" s="68"/>
      <c r="AP158" s="68"/>
      <c r="AQ158" s="68"/>
      <c r="AR158" s="68"/>
      <c r="AS158" s="68"/>
      <c r="AT158" s="68"/>
      <c r="AU158" s="68"/>
      <c r="AV158" s="68"/>
      <c r="AW158" s="68"/>
      <c r="AX158" s="68"/>
      <c r="AY158" s="68"/>
      <c r="AZ158" s="68"/>
      <c r="BA158" s="68"/>
      <c r="BB158" s="68"/>
      <c r="BC158" s="68"/>
      <c r="BD158" s="68"/>
      <c r="BE158" s="68"/>
      <c r="BF158" s="68"/>
      <c r="BG158" s="68"/>
      <c r="BH158" s="68"/>
      <c r="BI158" s="68"/>
      <c r="BJ158" s="68"/>
      <c r="BK158" s="68"/>
      <c r="BL158" s="68"/>
      <c r="BM158" s="68"/>
      <c r="BN158" s="68"/>
      <c r="BO158" s="68"/>
    </row>
    <row r="159" spans="2:67" ht="14.25"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8"/>
      <c r="AL159" s="68"/>
      <c r="AM159" s="68"/>
      <c r="AN159" s="68"/>
      <c r="AO159" s="68"/>
      <c r="AP159" s="68"/>
      <c r="AQ159" s="68"/>
      <c r="AR159" s="68"/>
      <c r="AS159" s="68"/>
      <c r="AT159" s="68"/>
      <c r="AU159" s="68"/>
      <c r="AV159" s="68"/>
      <c r="AW159" s="68"/>
      <c r="AX159" s="68"/>
      <c r="AY159" s="68"/>
      <c r="AZ159" s="68"/>
      <c r="BA159" s="68"/>
      <c r="BB159" s="68"/>
      <c r="BC159" s="68"/>
      <c r="BD159" s="68"/>
      <c r="BE159" s="68"/>
      <c r="BF159" s="68"/>
      <c r="BG159" s="68"/>
      <c r="BH159" s="68"/>
      <c r="BI159" s="68"/>
      <c r="BJ159" s="68"/>
      <c r="BK159" s="68"/>
      <c r="BL159" s="68"/>
      <c r="BM159" s="68"/>
      <c r="BN159" s="68"/>
      <c r="BO159" s="68"/>
    </row>
    <row r="160" spans="2:67" ht="14.25"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8"/>
      <c r="AL160" s="68"/>
      <c r="AM160" s="68"/>
      <c r="AN160" s="68"/>
      <c r="AO160" s="68"/>
      <c r="AP160" s="68"/>
      <c r="AQ160" s="68"/>
      <c r="AR160" s="68"/>
      <c r="AS160" s="68"/>
      <c r="AT160" s="68"/>
      <c r="AU160" s="68"/>
      <c r="AV160" s="68"/>
      <c r="AW160" s="68"/>
      <c r="AX160" s="68"/>
      <c r="AY160" s="68"/>
      <c r="AZ160" s="68"/>
      <c r="BA160" s="68"/>
      <c r="BB160" s="68"/>
      <c r="BC160" s="68"/>
      <c r="BD160" s="68"/>
      <c r="BE160" s="68"/>
      <c r="BF160" s="68"/>
      <c r="BG160" s="68"/>
      <c r="BH160" s="68"/>
      <c r="BI160" s="68"/>
      <c r="BJ160" s="68"/>
      <c r="BK160" s="68"/>
      <c r="BL160" s="68"/>
      <c r="BM160" s="68"/>
      <c r="BN160" s="68"/>
      <c r="BO160" s="68"/>
    </row>
    <row r="161" spans="2:67" ht="14.25"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8"/>
      <c r="AL161" s="68"/>
      <c r="AM161" s="68"/>
      <c r="AN161" s="68"/>
      <c r="AO161" s="68"/>
      <c r="AP161" s="68"/>
      <c r="AQ161" s="68"/>
      <c r="AR161" s="68"/>
      <c r="AS161" s="68"/>
      <c r="AT161" s="68"/>
      <c r="AU161" s="68"/>
      <c r="AV161" s="68"/>
      <c r="AW161" s="68"/>
      <c r="AX161" s="68"/>
      <c r="AY161" s="68"/>
      <c r="AZ161" s="68"/>
      <c r="BA161" s="68"/>
      <c r="BB161" s="68"/>
      <c r="BC161" s="68"/>
      <c r="BD161" s="68"/>
      <c r="BE161" s="68"/>
      <c r="BF161" s="68"/>
      <c r="BG161" s="68"/>
      <c r="BH161" s="68"/>
      <c r="BI161" s="68"/>
      <c r="BJ161" s="68"/>
      <c r="BK161" s="68"/>
      <c r="BL161" s="68"/>
      <c r="BM161" s="68"/>
      <c r="BN161" s="68"/>
      <c r="BO161" s="68"/>
    </row>
    <row r="162" spans="2:67" ht="14.25"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8"/>
      <c r="AL162" s="68"/>
      <c r="AM162" s="68"/>
      <c r="AN162" s="68"/>
      <c r="AO162" s="68"/>
      <c r="AP162" s="68"/>
      <c r="AQ162" s="68"/>
      <c r="AR162" s="68"/>
      <c r="AS162" s="68"/>
      <c r="AT162" s="68"/>
      <c r="AU162" s="68"/>
      <c r="AV162" s="68"/>
      <c r="AW162" s="68"/>
      <c r="AX162" s="68"/>
      <c r="AY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  <c r="BK162" s="68"/>
      <c r="BL162" s="68"/>
      <c r="BM162" s="68"/>
      <c r="BN162" s="68"/>
      <c r="BO162" s="68"/>
    </row>
    <row r="163" spans="2:67" ht="14.25"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8"/>
      <c r="AL163" s="68"/>
      <c r="AM163" s="68"/>
      <c r="AN163" s="68"/>
      <c r="AO163" s="68"/>
      <c r="AP163" s="68"/>
      <c r="AQ163" s="68"/>
      <c r="AR163" s="68"/>
      <c r="AS163" s="68"/>
      <c r="AT163" s="68"/>
      <c r="AU163" s="68"/>
      <c r="AV163" s="68"/>
      <c r="AW163" s="68"/>
      <c r="AX163" s="68"/>
      <c r="AY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  <c r="BJ163" s="68"/>
      <c r="BK163" s="68"/>
      <c r="BL163" s="68"/>
      <c r="BM163" s="68"/>
      <c r="BN163" s="68"/>
      <c r="BO163" s="68"/>
    </row>
    <row r="164" spans="2:67" ht="14.25"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8"/>
      <c r="AL164" s="68"/>
      <c r="AM164" s="68"/>
      <c r="AN164" s="68"/>
      <c r="AO164" s="68"/>
      <c r="AP164" s="68"/>
      <c r="AQ164" s="68"/>
      <c r="AR164" s="68"/>
      <c r="AS164" s="68"/>
      <c r="AT164" s="68"/>
      <c r="AU164" s="68"/>
      <c r="AV164" s="68"/>
      <c r="AW164" s="68"/>
      <c r="AX164" s="68"/>
      <c r="AY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  <c r="BJ164" s="68"/>
      <c r="BK164" s="68"/>
      <c r="BL164" s="68"/>
      <c r="BM164" s="68"/>
      <c r="BN164" s="68"/>
      <c r="BO164" s="68"/>
    </row>
    <row r="165" spans="2:67" ht="14.25"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8"/>
      <c r="AL165" s="68"/>
      <c r="AM165" s="68"/>
      <c r="AN165" s="68"/>
      <c r="AO165" s="68"/>
      <c r="AP165" s="68"/>
      <c r="AQ165" s="68"/>
      <c r="AR165" s="68"/>
      <c r="AS165" s="68"/>
      <c r="AT165" s="68"/>
      <c r="AU165" s="68"/>
      <c r="AV165" s="68"/>
      <c r="AW165" s="68"/>
      <c r="AX165" s="68"/>
      <c r="AY165" s="68"/>
      <c r="AZ165" s="68"/>
      <c r="BA165" s="68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  <c r="BM165" s="68"/>
      <c r="BN165" s="68"/>
      <c r="BO165" s="68"/>
    </row>
    <row r="166" spans="2:67" ht="14.25"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8"/>
      <c r="AL166" s="68"/>
      <c r="AM166" s="68"/>
      <c r="AN166" s="68"/>
      <c r="AO166" s="68"/>
      <c r="AP166" s="68"/>
      <c r="AQ166" s="68"/>
      <c r="AR166" s="68"/>
      <c r="AS166" s="68"/>
      <c r="AT166" s="68"/>
      <c r="AU166" s="68"/>
      <c r="AV166" s="68"/>
      <c r="AW166" s="68"/>
      <c r="AX166" s="68"/>
      <c r="AY166" s="68"/>
      <c r="AZ166" s="68"/>
      <c r="BA166" s="68"/>
      <c r="BB166" s="68"/>
      <c r="BC166" s="68"/>
      <c r="BD166" s="68"/>
      <c r="BE166" s="68"/>
      <c r="BF166" s="68"/>
      <c r="BG166" s="68"/>
      <c r="BH166" s="68"/>
      <c r="BI166" s="68"/>
      <c r="BJ166" s="68"/>
      <c r="BK166" s="68"/>
      <c r="BL166" s="68"/>
      <c r="BM166" s="68"/>
      <c r="BN166" s="68"/>
      <c r="BO166" s="68"/>
    </row>
    <row r="167" spans="2:67" ht="14.25"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8"/>
      <c r="AL167" s="68"/>
      <c r="AM167" s="68"/>
      <c r="AN167" s="68"/>
      <c r="AO167" s="68"/>
      <c r="AP167" s="68"/>
      <c r="AQ167" s="68"/>
      <c r="AR167" s="68"/>
      <c r="AS167" s="68"/>
      <c r="AT167" s="68"/>
      <c r="AU167" s="68"/>
      <c r="AV167" s="68"/>
      <c r="AW167" s="68"/>
      <c r="AX167" s="68"/>
      <c r="AY167" s="68"/>
      <c r="AZ167" s="68"/>
      <c r="BA167" s="68"/>
      <c r="BB167" s="68"/>
      <c r="BC167" s="68"/>
      <c r="BD167" s="68"/>
      <c r="BE167" s="68"/>
      <c r="BF167" s="68"/>
      <c r="BG167" s="68"/>
      <c r="BH167" s="68"/>
      <c r="BI167" s="68"/>
      <c r="BJ167" s="68"/>
      <c r="BK167" s="68"/>
      <c r="BL167" s="68"/>
      <c r="BM167" s="68"/>
      <c r="BN167" s="68"/>
      <c r="BO167" s="68"/>
    </row>
    <row r="168" spans="2:67" ht="14.25"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8"/>
      <c r="AL168" s="68"/>
      <c r="AM168" s="68"/>
      <c r="AN168" s="68"/>
      <c r="AO168" s="68"/>
      <c r="AP168" s="68"/>
      <c r="AQ168" s="68"/>
      <c r="AR168" s="68"/>
      <c r="AS168" s="68"/>
      <c r="AT168" s="68"/>
      <c r="AU168" s="68"/>
      <c r="AV168" s="68"/>
      <c r="AW168" s="68"/>
      <c r="AX168" s="68"/>
      <c r="AY168" s="68"/>
      <c r="AZ168" s="68"/>
      <c r="BA168" s="68"/>
      <c r="BB168" s="68"/>
      <c r="BC168" s="68"/>
      <c r="BD168" s="68"/>
      <c r="BE168" s="68"/>
      <c r="BF168" s="68"/>
      <c r="BG168" s="68"/>
      <c r="BH168" s="68"/>
      <c r="BI168" s="68"/>
      <c r="BJ168" s="68"/>
      <c r="BK168" s="68"/>
      <c r="BL168" s="68"/>
      <c r="BM168" s="68"/>
      <c r="BN168" s="68"/>
      <c r="BO168" s="68"/>
    </row>
    <row r="169" spans="2:67" ht="14.25"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8"/>
      <c r="AL169" s="68"/>
      <c r="AM169" s="68"/>
      <c r="AN169" s="68"/>
      <c r="AO169" s="68"/>
      <c r="AP169" s="68"/>
      <c r="AQ169" s="68"/>
      <c r="AR169" s="68"/>
      <c r="AS169" s="68"/>
      <c r="AT169" s="68"/>
      <c r="AU169" s="68"/>
      <c r="AV169" s="68"/>
      <c r="AW169" s="68"/>
      <c r="AX169" s="68"/>
      <c r="AY169" s="68"/>
      <c r="AZ169" s="68"/>
      <c r="BA169" s="68"/>
      <c r="BB169" s="68"/>
      <c r="BC169" s="68"/>
      <c r="BD169" s="68"/>
      <c r="BE169" s="68"/>
      <c r="BF169" s="68"/>
      <c r="BG169" s="68"/>
      <c r="BH169" s="68"/>
      <c r="BI169" s="68"/>
      <c r="BJ169" s="68"/>
      <c r="BK169" s="68"/>
      <c r="BL169" s="68"/>
      <c r="BM169" s="68"/>
      <c r="BN169" s="68"/>
      <c r="BO169" s="68"/>
    </row>
    <row r="170" spans="2:67" ht="14.25"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  <c r="AM170" s="68"/>
      <c r="AN170" s="68"/>
      <c r="AO170" s="68"/>
      <c r="AP170" s="68"/>
      <c r="AQ170" s="68"/>
      <c r="AR170" s="68"/>
      <c r="AS170" s="68"/>
      <c r="AT170" s="68"/>
      <c r="AU170" s="68"/>
      <c r="AV170" s="68"/>
      <c r="AW170" s="68"/>
      <c r="AX170" s="68"/>
      <c r="AY170" s="68"/>
      <c r="AZ170" s="68"/>
      <c r="BA170" s="68"/>
      <c r="BB170" s="68"/>
      <c r="BC170" s="68"/>
      <c r="BD170" s="68"/>
      <c r="BE170" s="68"/>
      <c r="BF170" s="68"/>
      <c r="BG170" s="68"/>
      <c r="BH170" s="68"/>
      <c r="BI170" s="68"/>
      <c r="BJ170" s="68"/>
      <c r="BK170" s="68"/>
      <c r="BL170" s="68"/>
      <c r="BM170" s="68"/>
      <c r="BN170" s="68"/>
      <c r="BO170" s="68"/>
    </row>
    <row r="171" spans="2:67" ht="14.25"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8"/>
      <c r="AL171" s="68"/>
      <c r="AM171" s="68"/>
      <c r="AN171" s="68"/>
      <c r="AO171" s="68"/>
      <c r="AP171" s="68"/>
      <c r="AQ171" s="68"/>
      <c r="AR171" s="68"/>
      <c r="AS171" s="68"/>
      <c r="AT171" s="68"/>
      <c r="AU171" s="68"/>
      <c r="AV171" s="68"/>
      <c r="AW171" s="68"/>
      <c r="AX171" s="68"/>
      <c r="AY171" s="68"/>
      <c r="AZ171" s="68"/>
      <c r="BA171" s="68"/>
      <c r="BB171" s="68"/>
      <c r="BC171" s="68"/>
      <c r="BD171" s="68"/>
      <c r="BE171" s="68"/>
      <c r="BF171" s="68"/>
      <c r="BG171" s="68"/>
      <c r="BH171" s="68"/>
      <c r="BI171" s="68"/>
      <c r="BJ171" s="68"/>
      <c r="BK171" s="68"/>
      <c r="BL171" s="68"/>
      <c r="BM171" s="68"/>
      <c r="BN171" s="68"/>
      <c r="BO171" s="68"/>
    </row>
    <row r="172" spans="2:67" ht="14.25"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  <c r="AU172" s="68"/>
      <c r="AV172" s="68"/>
      <c r="AW172" s="68"/>
      <c r="AX172" s="68"/>
      <c r="AY172" s="68"/>
      <c r="AZ172" s="68"/>
      <c r="BA172" s="68"/>
      <c r="BB172" s="68"/>
      <c r="BC172" s="68"/>
      <c r="BD172" s="68"/>
      <c r="BE172" s="68"/>
      <c r="BF172" s="68"/>
      <c r="BG172" s="68"/>
      <c r="BH172" s="68"/>
      <c r="BI172" s="68"/>
      <c r="BJ172" s="68"/>
      <c r="BK172" s="68"/>
      <c r="BL172" s="68"/>
      <c r="BM172" s="68"/>
      <c r="BN172" s="68"/>
      <c r="BO172" s="68"/>
    </row>
    <row r="173" spans="2:67" ht="14.25"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8"/>
      <c r="AL173" s="68"/>
      <c r="AM173" s="68"/>
      <c r="AN173" s="68"/>
      <c r="AO173" s="68"/>
      <c r="AP173" s="68"/>
      <c r="AQ173" s="68"/>
      <c r="AR173" s="68"/>
      <c r="AS173" s="68"/>
      <c r="AT173" s="68"/>
      <c r="AU173" s="68"/>
      <c r="AV173" s="68"/>
      <c r="AW173" s="68"/>
      <c r="AX173" s="68"/>
      <c r="AY173" s="68"/>
      <c r="AZ173" s="68"/>
      <c r="BA173" s="68"/>
      <c r="BB173" s="68"/>
      <c r="BC173" s="68"/>
      <c r="BD173" s="68"/>
      <c r="BE173" s="68"/>
      <c r="BF173" s="68"/>
      <c r="BG173" s="68"/>
      <c r="BH173" s="68"/>
      <c r="BI173" s="68"/>
      <c r="BJ173" s="68"/>
      <c r="BK173" s="68"/>
      <c r="BL173" s="68"/>
      <c r="BM173" s="68"/>
      <c r="BN173" s="68"/>
      <c r="BO173" s="68"/>
    </row>
    <row r="174" spans="2:67" ht="14.25"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8"/>
      <c r="AL174" s="68"/>
      <c r="AM174" s="68"/>
      <c r="AN174" s="68"/>
      <c r="AO174" s="68"/>
      <c r="AP174" s="68"/>
      <c r="AQ174" s="68"/>
      <c r="AR174" s="68"/>
      <c r="AS174" s="68"/>
      <c r="AT174" s="68"/>
      <c r="AU174" s="68"/>
      <c r="AV174" s="68"/>
      <c r="AW174" s="68"/>
      <c r="AX174" s="68"/>
      <c r="AY174" s="68"/>
      <c r="AZ174" s="68"/>
      <c r="BA174" s="68"/>
      <c r="BB174" s="68"/>
      <c r="BC174" s="68"/>
      <c r="BD174" s="68"/>
      <c r="BE174" s="68"/>
      <c r="BF174" s="68"/>
      <c r="BG174" s="68"/>
      <c r="BH174" s="68"/>
      <c r="BI174" s="68"/>
      <c r="BJ174" s="68"/>
      <c r="BK174" s="68"/>
      <c r="BL174" s="68"/>
      <c r="BM174" s="68"/>
      <c r="BN174" s="68"/>
      <c r="BO174" s="68"/>
    </row>
    <row r="175" spans="2:67" ht="14.25"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8"/>
      <c r="AL175" s="68"/>
      <c r="AM175" s="68"/>
      <c r="AN175" s="68"/>
      <c r="AO175" s="68"/>
      <c r="AP175" s="68"/>
      <c r="AQ175" s="68"/>
      <c r="AR175" s="68"/>
      <c r="AS175" s="68"/>
      <c r="AT175" s="68"/>
      <c r="AU175" s="68"/>
      <c r="AV175" s="68"/>
      <c r="AW175" s="68"/>
      <c r="AX175" s="68"/>
      <c r="AY175" s="68"/>
      <c r="AZ175" s="68"/>
      <c r="BA175" s="68"/>
      <c r="BB175" s="68"/>
      <c r="BC175" s="68"/>
      <c r="BD175" s="68"/>
      <c r="BE175" s="68"/>
      <c r="BF175" s="68"/>
      <c r="BG175" s="68"/>
      <c r="BH175" s="68"/>
      <c r="BI175" s="68"/>
      <c r="BJ175" s="68"/>
      <c r="BK175" s="68"/>
      <c r="BL175" s="68"/>
      <c r="BM175" s="68"/>
      <c r="BN175" s="68"/>
      <c r="BO175" s="68"/>
    </row>
    <row r="176" spans="2:67" ht="14.25"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8"/>
      <c r="AL176" s="68"/>
      <c r="AM176" s="68"/>
      <c r="AN176" s="68"/>
      <c r="AO176" s="68"/>
      <c r="AP176" s="68"/>
      <c r="AQ176" s="68"/>
      <c r="AR176" s="68"/>
      <c r="AS176" s="68"/>
      <c r="AT176" s="68"/>
      <c r="AU176" s="68"/>
      <c r="AV176" s="68"/>
      <c r="AW176" s="68"/>
      <c r="AX176" s="68"/>
      <c r="AY176" s="68"/>
      <c r="AZ176" s="68"/>
      <c r="BA176" s="68"/>
      <c r="BB176" s="68"/>
      <c r="BC176" s="68"/>
      <c r="BD176" s="68"/>
      <c r="BE176" s="68"/>
      <c r="BF176" s="68"/>
      <c r="BG176" s="68"/>
      <c r="BH176" s="68"/>
      <c r="BI176" s="68"/>
      <c r="BJ176" s="68"/>
      <c r="BK176" s="68"/>
      <c r="BL176" s="68"/>
      <c r="BM176" s="68"/>
      <c r="BN176" s="68"/>
      <c r="BO176" s="68"/>
    </row>
    <row r="177" spans="2:67" ht="14.25"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8"/>
      <c r="AL177" s="68"/>
      <c r="AM177" s="68"/>
      <c r="AN177" s="68"/>
      <c r="AO177" s="68"/>
      <c r="AP177" s="68"/>
      <c r="AQ177" s="68"/>
      <c r="AR177" s="68"/>
      <c r="AS177" s="68"/>
      <c r="AT177" s="68"/>
      <c r="AU177" s="68"/>
      <c r="AV177" s="68"/>
      <c r="AW177" s="68"/>
      <c r="AX177" s="68"/>
      <c r="AY177" s="68"/>
      <c r="AZ177" s="68"/>
      <c r="BA177" s="68"/>
      <c r="BB177" s="68"/>
      <c r="BC177" s="68"/>
      <c r="BD177" s="68"/>
      <c r="BE177" s="68"/>
      <c r="BF177" s="68"/>
      <c r="BG177" s="68"/>
      <c r="BH177" s="68"/>
      <c r="BI177" s="68"/>
      <c r="BJ177" s="68"/>
      <c r="BK177" s="68"/>
      <c r="BL177" s="68"/>
      <c r="BM177" s="68"/>
      <c r="BN177" s="68"/>
      <c r="BO177" s="68"/>
    </row>
    <row r="178" spans="2:67" ht="14.25"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  <c r="AL178" s="68"/>
      <c r="AM178" s="68"/>
      <c r="AN178" s="68"/>
      <c r="AO178" s="68"/>
      <c r="AP178" s="68"/>
      <c r="AQ178" s="68"/>
      <c r="AR178" s="68"/>
      <c r="AS178" s="68"/>
      <c r="AT178" s="68"/>
      <c r="AU178" s="68"/>
      <c r="AV178" s="68"/>
      <c r="AW178" s="68"/>
      <c r="AX178" s="68"/>
      <c r="AY178" s="68"/>
      <c r="AZ178" s="68"/>
      <c r="BA178" s="68"/>
      <c r="BB178" s="68"/>
      <c r="BC178" s="68"/>
      <c r="BD178" s="68"/>
      <c r="BE178" s="68"/>
      <c r="BF178" s="68"/>
      <c r="BG178" s="68"/>
      <c r="BH178" s="68"/>
      <c r="BI178" s="68"/>
      <c r="BJ178" s="68"/>
      <c r="BK178" s="68"/>
      <c r="BL178" s="68"/>
      <c r="BM178" s="68"/>
      <c r="BN178" s="68"/>
      <c r="BO178" s="68"/>
    </row>
    <row r="179" spans="2:67" ht="14.25"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8"/>
      <c r="AL179" s="68"/>
      <c r="AM179" s="68"/>
      <c r="AN179" s="68"/>
      <c r="AO179" s="68"/>
      <c r="AP179" s="68"/>
      <c r="AQ179" s="68"/>
      <c r="AR179" s="68"/>
      <c r="AS179" s="68"/>
      <c r="AT179" s="68"/>
      <c r="AU179" s="68"/>
      <c r="AV179" s="68"/>
      <c r="AW179" s="68"/>
      <c r="AX179" s="68"/>
      <c r="AY179" s="68"/>
      <c r="AZ179" s="68"/>
      <c r="BA179" s="68"/>
      <c r="BB179" s="68"/>
      <c r="BC179" s="68"/>
      <c r="BD179" s="68"/>
      <c r="BE179" s="68"/>
      <c r="BF179" s="68"/>
      <c r="BG179" s="68"/>
      <c r="BH179" s="68"/>
      <c r="BI179" s="68"/>
      <c r="BJ179" s="68"/>
      <c r="BK179" s="68"/>
      <c r="BL179" s="68"/>
      <c r="BM179" s="68"/>
      <c r="BN179" s="68"/>
      <c r="BO179" s="68"/>
    </row>
    <row r="180" spans="2:67" ht="14.25"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8"/>
      <c r="AL180" s="68"/>
      <c r="AM180" s="68"/>
      <c r="AN180" s="68"/>
      <c r="AO180" s="68"/>
      <c r="AP180" s="68"/>
      <c r="AQ180" s="68"/>
      <c r="AR180" s="68"/>
      <c r="AS180" s="68"/>
      <c r="AT180" s="68"/>
      <c r="AU180" s="68"/>
      <c r="AV180" s="68"/>
      <c r="AW180" s="68"/>
      <c r="AX180" s="68"/>
      <c r="AY180" s="68"/>
      <c r="AZ180" s="68"/>
      <c r="BA180" s="68"/>
      <c r="BB180" s="68"/>
      <c r="BC180" s="68"/>
      <c r="BD180" s="68"/>
      <c r="BE180" s="68"/>
      <c r="BF180" s="68"/>
      <c r="BG180" s="68"/>
      <c r="BH180" s="68"/>
      <c r="BI180" s="68"/>
      <c r="BJ180" s="68"/>
      <c r="BK180" s="68"/>
      <c r="BL180" s="68"/>
      <c r="BM180" s="68"/>
      <c r="BN180" s="68"/>
      <c r="BO180" s="68"/>
    </row>
    <row r="181" spans="2:67" ht="14.25"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8"/>
      <c r="AL181" s="68"/>
      <c r="AM181" s="68"/>
      <c r="AN181" s="68"/>
      <c r="AO181" s="68"/>
      <c r="AP181" s="68"/>
      <c r="AQ181" s="68"/>
      <c r="AR181" s="68"/>
      <c r="AS181" s="68"/>
      <c r="AT181" s="68"/>
      <c r="AU181" s="68"/>
      <c r="AV181" s="68"/>
      <c r="AW181" s="68"/>
      <c r="AX181" s="68"/>
      <c r="AY181" s="68"/>
      <c r="AZ181" s="68"/>
      <c r="BA181" s="68"/>
      <c r="BB181" s="68"/>
      <c r="BC181" s="68"/>
      <c r="BD181" s="68"/>
      <c r="BE181" s="68"/>
      <c r="BF181" s="68"/>
      <c r="BG181" s="68"/>
      <c r="BH181" s="68"/>
      <c r="BI181" s="68"/>
      <c r="BJ181" s="68"/>
      <c r="BK181" s="68"/>
      <c r="BL181" s="68"/>
      <c r="BM181" s="68"/>
      <c r="BN181" s="68"/>
      <c r="BO181" s="68"/>
    </row>
    <row r="182" spans="2:67" ht="14.25"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8"/>
      <c r="AL182" s="68"/>
      <c r="AM182" s="68"/>
      <c r="AN182" s="68"/>
      <c r="AO182" s="68"/>
      <c r="AP182" s="68"/>
      <c r="AQ182" s="68"/>
      <c r="AR182" s="68"/>
      <c r="AS182" s="68"/>
      <c r="AT182" s="68"/>
      <c r="AU182" s="68"/>
      <c r="AV182" s="68"/>
      <c r="AW182" s="68"/>
      <c r="AX182" s="68"/>
      <c r="AY182" s="68"/>
      <c r="AZ182" s="68"/>
      <c r="BA182" s="68"/>
      <c r="BB182" s="68"/>
      <c r="BC182" s="68"/>
      <c r="BD182" s="68"/>
      <c r="BE182" s="68"/>
      <c r="BF182" s="68"/>
      <c r="BG182" s="68"/>
      <c r="BH182" s="68"/>
      <c r="BI182" s="68"/>
      <c r="BJ182" s="68"/>
      <c r="BK182" s="68"/>
      <c r="BL182" s="68"/>
      <c r="BM182" s="68"/>
      <c r="BN182" s="68"/>
      <c r="BO182" s="68"/>
    </row>
    <row r="183" spans="2:67" ht="14.25"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8"/>
      <c r="AL183" s="68"/>
      <c r="AM183" s="68"/>
      <c r="AN183" s="68"/>
      <c r="AO183" s="68"/>
      <c r="AP183" s="68"/>
      <c r="AQ183" s="68"/>
      <c r="AR183" s="68"/>
      <c r="AS183" s="68"/>
      <c r="AT183" s="68"/>
      <c r="AU183" s="68"/>
      <c r="AV183" s="68"/>
      <c r="AW183" s="68"/>
      <c r="AX183" s="68"/>
      <c r="AY183" s="68"/>
      <c r="AZ183" s="68"/>
      <c r="BA183" s="68"/>
      <c r="BB183" s="68"/>
      <c r="BC183" s="68"/>
      <c r="BD183" s="68"/>
      <c r="BE183" s="68"/>
      <c r="BF183" s="68"/>
      <c r="BG183" s="68"/>
      <c r="BH183" s="68"/>
      <c r="BI183" s="68"/>
      <c r="BJ183" s="68"/>
      <c r="BK183" s="68"/>
      <c r="BL183" s="68"/>
      <c r="BM183" s="68"/>
      <c r="BN183" s="68"/>
      <c r="BO183" s="68"/>
    </row>
    <row r="184" spans="2:67" ht="14.25"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8"/>
      <c r="AL184" s="68"/>
      <c r="AM184" s="68"/>
      <c r="AN184" s="68"/>
      <c r="AO184" s="68"/>
      <c r="AP184" s="68"/>
      <c r="AQ184" s="68"/>
      <c r="AR184" s="68"/>
      <c r="AS184" s="68"/>
      <c r="AT184" s="68"/>
      <c r="AU184" s="68"/>
      <c r="AV184" s="68"/>
      <c r="AW184" s="68"/>
      <c r="AX184" s="68"/>
      <c r="AY184" s="68"/>
      <c r="AZ184" s="68"/>
      <c r="BA184" s="68"/>
      <c r="BB184" s="68"/>
      <c r="BC184" s="68"/>
      <c r="BD184" s="68"/>
      <c r="BE184" s="68"/>
      <c r="BF184" s="68"/>
      <c r="BG184" s="68"/>
      <c r="BH184" s="68"/>
      <c r="BI184" s="68"/>
      <c r="BJ184" s="68"/>
      <c r="BK184" s="68"/>
      <c r="BL184" s="68"/>
      <c r="BM184" s="68"/>
      <c r="BN184" s="68"/>
      <c r="BO184" s="68"/>
    </row>
    <row r="185" spans="2:67" ht="14.25"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8"/>
      <c r="AL185" s="68"/>
      <c r="AM185" s="68"/>
      <c r="AN185" s="68"/>
      <c r="AO185" s="68"/>
      <c r="AP185" s="68"/>
      <c r="AQ185" s="68"/>
      <c r="AR185" s="68"/>
      <c r="AS185" s="68"/>
      <c r="AT185" s="68"/>
      <c r="AU185" s="68"/>
      <c r="AV185" s="68"/>
      <c r="AW185" s="68"/>
      <c r="AX185" s="68"/>
      <c r="AY185" s="68"/>
      <c r="AZ185" s="68"/>
      <c r="BA185" s="68"/>
      <c r="BB185" s="68"/>
      <c r="BC185" s="68"/>
      <c r="BD185" s="68"/>
      <c r="BE185" s="68"/>
      <c r="BF185" s="68"/>
      <c r="BG185" s="68"/>
      <c r="BH185" s="68"/>
      <c r="BI185" s="68"/>
      <c r="BJ185" s="68"/>
      <c r="BK185" s="68"/>
      <c r="BL185" s="68"/>
      <c r="BM185" s="68"/>
      <c r="BN185" s="68"/>
      <c r="BO185" s="68"/>
    </row>
    <row r="186" spans="2:67" ht="14.25"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8"/>
      <c r="AL186" s="68"/>
      <c r="AM186" s="68"/>
      <c r="AN186" s="68"/>
      <c r="AO186" s="68"/>
      <c r="AP186" s="68"/>
      <c r="AQ186" s="68"/>
      <c r="AR186" s="68"/>
      <c r="AS186" s="68"/>
      <c r="AT186" s="68"/>
      <c r="AU186" s="68"/>
      <c r="AV186" s="68"/>
      <c r="AW186" s="68"/>
      <c r="AX186" s="68"/>
      <c r="AY186" s="68"/>
      <c r="AZ186" s="68"/>
      <c r="BA186" s="68"/>
      <c r="BB186" s="68"/>
      <c r="BC186" s="68"/>
      <c r="BD186" s="68"/>
      <c r="BE186" s="68"/>
      <c r="BF186" s="68"/>
      <c r="BG186" s="68"/>
      <c r="BH186" s="68"/>
      <c r="BI186" s="68"/>
      <c r="BJ186" s="68"/>
      <c r="BK186" s="68"/>
      <c r="BL186" s="68"/>
      <c r="BM186" s="68"/>
      <c r="BN186" s="68"/>
      <c r="BO186" s="68"/>
    </row>
    <row r="187" spans="2:67" ht="14.25"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  <c r="AQ187" s="68"/>
      <c r="AR187" s="68"/>
      <c r="AS187" s="68"/>
      <c r="AT187" s="68"/>
      <c r="AU187" s="68"/>
      <c r="AV187" s="68"/>
      <c r="AW187" s="68"/>
      <c r="AX187" s="68"/>
      <c r="AY187" s="68"/>
      <c r="AZ187" s="68"/>
      <c r="BA187" s="68"/>
      <c r="BB187" s="68"/>
      <c r="BC187" s="68"/>
      <c r="BD187" s="68"/>
      <c r="BE187" s="68"/>
      <c r="BF187" s="68"/>
      <c r="BG187" s="68"/>
      <c r="BH187" s="68"/>
      <c r="BI187" s="68"/>
      <c r="BJ187" s="68"/>
      <c r="BK187" s="68"/>
      <c r="BL187" s="68"/>
      <c r="BM187" s="68"/>
      <c r="BN187" s="68"/>
      <c r="BO187" s="68"/>
    </row>
    <row r="188" spans="2:67" ht="14.25"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8"/>
      <c r="AL188" s="68"/>
      <c r="AM188" s="68"/>
      <c r="AN188" s="68"/>
      <c r="AO188" s="68"/>
      <c r="AP188" s="68"/>
      <c r="AQ188" s="68"/>
      <c r="AR188" s="68"/>
      <c r="AS188" s="68"/>
      <c r="AT188" s="68"/>
      <c r="AU188" s="68"/>
      <c r="AV188" s="68"/>
      <c r="AW188" s="68"/>
      <c r="AX188" s="68"/>
      <c r="AY188" s="68"/>
      <c r="AZ188" s="68"/>
      <c r="BA188" s="68"/>
      <c r="BB188" s="68"/>
      <c r="BC188" s="68"/>
      <c r="BD188" s="68"/>
      <c r="BE188" s="68"/>
      <c r="BF188" s="68"/>
      <c r="BG188" s="68"/>
      <c r="BH188" s="68"/>
      <c r="BI188" s="68"/>
      <c r="BJ188" s="68"/>
      <c r="BK188" s="68"/>
      <c r="BL188" s="68"/>
      <c r="BM188" s="68"/>
      <c r="BN188" s="68"/>
      <c r="BO188" s="68"/>
    </row>
    <row r="189" spans="2:67" ht="14.25"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8"/>
      <c r="AL189" s="68"/>
      <c r="AM189" s="68"/>
      <c r="AN189" s="68"/>
      <c r="AO189" s="68"/>
      <c r="AP189" s="68"/>
      <c r="AQ189" s="68"/>
      <c r="AR189" s="68"/>
      <c r="AS189" s="68"/>
      <c r="AT189" s="68"/>
      <c r="AU189" s="68"/>
      <c r="AV189" s="68"/>
      <c r="AW189" s="68"/>
      <c r="AX189" s="68"/>
      <c r="AY189" s="68"/>
      <c r="AZ189" s="68"/>
      <c r="BA189" s="68"/>
      <c r="BB189" s="68"/>
      <c r="BC189" s="68"/>
      <c r="BD189" s="68"/>
      <c r="BE189" s="68"/>
      <c r="BF189" s="68"/>
      <c r="BG189" s="68"/>
      <c r="BH189" s="68"/>
      <c r="BI189" s="68"/>
      <c r="BJ189" s="68"/>
      <c r="BK189" s="68"/>
      <c r="BL189" s="68"/>
      <c r="BM189" s="68"/>
      <c r="BN189" s="68"/>
      <c r="BO189" s="68"/>
    </row>
    <row r="190" spans="2:67" ht="14.25"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8"/>
      <c r="AL190" s="68"/>
      <c r="AM190" s="68"/>
      <c r="AN190" s="68"/>
      <c r="AO190" s="68"/>
      <c r="AP190" s="68"/>
      <c r="AQ190" s="68"/>
      <c r="AR190" s="68"/>
      <c r="AS190" s="68"/>
      <c r="AT190" s="68"/>
      <c r="AU190" s="68"/>
      <c r="AV190" s="68"/>
      <c r="AW190" s="68"/>
      <c r="AX190" s="68"/>
      <c r="AY190" s="68"/>
      <c r="AZ190" s="68"/>
      <c r="BA190" s="68"/>
      <c r="BB190" s="68"/>
      <c r="BC190" s="68"/>
      <c r="BD190" s="68"/>
      <c r="BE190" s="68"/>
      <c r="BF190" s="68"/>
      <c r="BG190" s="68"/>
      <c r="BH190" s="68"/>
      <c r="BI190" s="68"/>
      <c r="BJ190" s="68"/>
      <c r="BK190" s="68"/>
      <c r="BL190" s="68"/>
      <c r="BM190" s="68"/>
      <c r="BN190" s="68"/>
      <c r="BO190" s="68"/>
    </row>
    <row r="191" spans="2:67" ht="14.25"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8"/>
      <c r="AL191" s="68"/>
      <c r="AM191" s="68"/>
      <c r="AN191" s="68"/>
      <c r="AO191" s="68"/>
      <c r="AP191" s="68"/>
      <c r="AQ191" s="68"/>
      <c r="AR191" s="68"/>
      <c r="AS191" s="68"/>
      <c r="AT191" s="68"/>
      <c r="AU191" s="68"/>
      <c r="AV191" s="68"/>
      <c r="AW191" s="68"/>
      <c r="AX191" s="68"/>
      <c r="AY191" s="68"/>
      <c r="AZ191" s="68"/>
      <c r="BA191" s="68"/>
      <c r="BB191" s="68"/>
      <c r="BC191" s="68"/>
      <c r="BD191" s="68"/>
      <c r="BE191" s="68"/>
      <c r="BF191" s="68"/>
      <c r="BG191" s="68"/>
      <c r="BH191" s="68"/>
      <c r="BI191" s="68"/>
      <c r="BJ191" s="68"/>
      <c r="BK191" s="68"/>
      <c r="BL191" s="68"/>
      <c r="BM191" s="68"/>
      <c r="BN191" s="68"/>
      <c r="BO191" s="68"/>
    </row>
    <row r="192" spans="2:67" ht="14.25"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8"/>
      <c r="AL192" s="68"/>
      <c r="AM192" s="68"/>
      <c r="AN192" s="68"/>
      <c r="AO192" s="68"/>
      <c r="AP192" s="68"/>
      <c r="AQ192" s="68"/>
      <c r="AR192" s="68"/>
      <c r="AS192" s="68"/>
      <c r="AT192" s="68"/>
      <c r="AU192" s="68"/>
      <c r="AV192" s="68"/>
      <c r="AW192" s="68"/>
      <c r="AX192" s="68"/>
      <c r="AY192" s="68"/>
      <c r="AZ192" s="68"/>
      <c r="BA192" s="68"/>
      <c r="BB192" s="68"/>
      <c r="BC192" s="68"/>
      <c r="BD192" s="68"/>
      <c r="BE192" s="68"/>
      <c r="BF192" s="68"/>
      <c r="BG192" s="68"/>
      <c r="BH192" s="68"/>
      <c r="BI192" s="68"/>
      <c r="BJ192" s="68"/>
      <c r="BK192" s="68"/>
      <c r="BL192" s="68"/>
      <c r="BM192" s="68"/>
      <c r="BN192" s="68"/>
      <c r="BO192" s="68"/>
    </row>
    <row r="193" spans="2:67" ht="14.25"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8"/>
      <c r="AL193" s="68"/>
      <c r="AM193" s="68"/>
      <c r="AN193" s="68"/>
      <c r="AO193" s="68"/>
      <c r="AP193" s="68"/>
      <c r="AQ193" s="68"/>
      <c r="AR193" s="68"/>
      <c r="AS193" s="68"/>
      <c r="AT193" s="68"/>
      <c r="AU193" s="68"/>
      <c r="AV193" s="68"/>
      <c r="AW193" s="68"/>
      <c r="AX193" s="68"/>
      <c r="AY193" s="68"/>
      <c r="AZ193" s="68"/>
      <c r="BA193" s="68"/>
      <c r="BB193" s="68"/>
      <c r="BC193" s="68"/>
      <c r="BD193" s="68"/>
      <c r="BE193" s="68"/>
      <c r="BF193" s="68"/>
      <c r="BG193" s="68"/>
      <c r="BH193" s="68"/>
      <c r="BI193" s="68"/>
      <c r="BJ193" s="68"/>
      <c r="BK193" s="68"/>
      <c r="BL193" s="68"/>
      <c r="BM193" s="68"/>
      <c r="BN193" s="68"/>
      <c r="BO193" s="68"/>
    </row>
    <row r="194" spans="2:67" ht="14.25"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8"/>
      <c r="AL194" s="68"/>
      <c r="AM194" s="68"/>
      <c r="AN194" s="68"/>
      <c r="AO194" s="68"/>
      <c r="AP194" s="68"/>
      <c r="AQ194" s="68"/>
      <c r="AR194" s="68"/>
      <c r="AS194" s="68"/>
      <c r="AT194" s="68"/>
      <c r="AU194" s="68"/>
      <c r="AV194" s="68"/>
      <c r="AW194" s="68"/>
      <c r="AX194" s="68"/>
      <c r="AY194" s="68"/>
      <c r="AZ194" s="68"/>
      <c r="BA194" s="68"/>
      <c r="BB194" s="68"/>
      <c r="BC194" s="68"/>
      <c r="BD194" s="68"/>
      <c r="BE194" s="68"/>
      <c r="BF194" s="68"/>
      <c r="BG194" s="68"/>
      <c r="BH194" s="68"/>
      <c r="BI194" s="68"/>
      <c r="BJ194" s="68"/>
      <c r="BK194" s="68"/>
      <c r="BL194" s="68"/>
      <c r="BM194" s="68"/>
      <c r="BN194" s="68"/>
      <c r="BO194" s="68"/>
    </row>
    <row r="195" spans="2:67" ht="14.25"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8"/>
      <c r="AL195" s="68"/>
      <c r="AM195" s="68"/>
      <c r="AN195" s="68"/>
      <c r="AO195" s="68"/>
      <c r="AP195" s="68"/>
      <c r="AQ195" s="68"/>
      <c r="AR195" s="68"/>
      <c r="AS195" s="68"/>
      <c r="AT195" s="68"/>
      <c r="AU195" s="68"/>
      <c r="AV195" s="68"/>
      <c r="AW195" s="68"/>
      <c r="AX195" s="68"/>
      <c r="AY195" s="68"/>
      <c r="AZ195" s="68"/>
      <c r="BA195" s="68"/>
      <c r="BB195" s="68"/>
      <c r="BC195" s="68"/>
      <c r="BD195" s="68"/>
      <c r="BE195" s="68"/>
      <c r="BF195" s="68"/>
      <c r="BG195" s="68"/>
      <c r="BH195" s="68"/>
      <c r="BI195" s="68"/>
      <c r="BJ195" s="68"/>
      <c r="BK195" s="68"/>
      <c r="BL195" s="68"/>
      <c r="BM195" s="68"/>
      <c r="BN195" s="68"/>
      <c r="BO195" s="68"/>
    </row>
    <row r="196" spans="2:67" ht="14.25"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8"/>
      <c r="AL196" s="68"/>
      <c r="AM196" s="68"/>
      <c r="AN196" s="68"/>
      <c r="AO196" s="68"/>
      <c r="AP196" s="68"/>
      <c r="AQ196" s="68"/>
      <c r="AR196" s="68"/>
      <c r="AS196" s="68"/>
      <c r="AT196" s="68"/>
      <c r="AU196" s="68"/>
      <c r="AV196" s="68"/>
      <c r="AW196" s="68"/>
      <c r="AX196" s="68"/>
      <c r="AY196" s="68"/>
      <c r="AZ196" s="68"/>
      <c r="BA196" s="68"/>
      <c r="BB196" s="68"/>
      <c r="BC196" s="68"/>
      <c r="BD196" s="68"/>
      <c r="BE196" s="68"/>
      <c r="BF196" s="68"/>
      <c r="BG196" s="68"/>
      <c r="BH196" s="68"/>
      <c r="BI196" s="68"/>
      <c r="BJ196" s="68"/>
      <c r="BK196" s="68"/>
      <c r="BL196" s="68"/>
      <c r="BM196" s="68"/>
      <c r="BN196" s="68"/>
      <c r="BO196" s="68"/>
    </row>
    <row r="197" spans="2:67" ht="14.25"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8"/>
      <c r="AL197" s="68"/>
      <c r="AM197" s="68"/>
      <c r="AN197" s="68"/>
      <c r="AO197" s="68"/>
      <c r="AP197" s="68"/>
      <c r="AQ197" s="68"/>
      <c r="AR197" s="68"/>
      <c r="AS197" s="68"/>
      <c r="AT197" s="68"/>
      <c r="AU197" s="68"/>
      <c r="AV197" s="68"/>
      <c r="AW197" s="68"/>
      <c r="AX197" s="68"/>
      <c r="AY197" s="68"/>
      <c r="AZ197" s="68"/>
      <c r="BA197" s="68"/>
      <c r="BB197" s="68"/>
      <c r="BC197" s="68"/>
      <c r="BD197" s="68"/>
      <c r="BE197" s="68"/>
      <c r="BF197" s="68"/>
      <c r="BG197" s="68"/>
      <c r="BH197" s="68"/>
      <c r="BI197" s="68"/>
      <c r="BJ197" s="68"/>
      <c r="BK197" s="68"/>
      <c r="BL197" s="68"/>
      <c r="BM197" s="68"/>
      <c r="BN197" s="68"/>
      <c r="BO197" s="68"/>
    </row>
    <row r="198" spans="2:67" ht="14.25"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8"/>
      <c r="AL198" s="68"/>
      <c r="AM198" s="68"/>
      <c r="AN198" s="68"/>
      <c r="AO198" s="68"/>
      <c r="AP198" s="68"/>
      <c r="AQ198" s="68"/>
      <c r="AR198" s="68"/>
      <c r="AS198" s="68"/>
      <c r="AT198" s="68"/>
      <c r="AU198" s="68"/>
      <c r="AV198" s="68"/>
      <c r="AW198" s="68"/>
      <c r="AX198" s="68"/>
      <c r="AY198" s="68"/>
      <c r="AZ198" s="68"/>
      <c r="BA198" s="68"/>
      <c r="BB198" s="68"/>
      <c r="BC198" s="68"/>
      <c r="BD198" s="68"/>
      <c r="BE198" s="68"/>
      <c r="BF198" s="68"/>
      <c r="BG198" s="68"/>
      <c r="BH198" s="68"/>
      <c r="BI198" s="68"/>
      <c r="BJ198" s="68"/>
      <c r="BK198" s="68"/>
      <c r="BL198" s="68"/>
      <c r="BM198" s="68"/>
      <c r="BN198" s="68"/>
      <c r="BO198" s="68"/>
    </row>
    <row r="199" spans="2:67" ht="14.25"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8"/>
      <c r="AL199" s="68"/>
      <c r="AM199" s="68"/>
      <c r="AN199" s="68"/>
      <c r="AO199" s="68"/>
      <c r="AP199" s="68"/>
      <c r="AQ199" s="68"/>
      <c r="AR199" s="68"/>
      <c r="AS199" s="68"/>
      <c r="AT199" s="68"/>
      <c r="AU199" s="68"/>
      <c r="AV199" s="68"/>
      <c r="AW199" s="68"/>
      <c r="AX199" s="68"/>
      <c r="AY199" s="68"/>
      <c r="AZ199" s="68"/>
      <c r="BA199" s="68"/>
      <c r="BB199" s="68"/>
      <c r="BC199" s="68"/>
      <c r="BD199" s="68"/>
      <c r="BE199" s="68"/>
      <c r="BF199" s="68"/>
      <c r="BG199" s="68"/>
      <c r="BH199" s="68"/>
      <c r="BI199" s="68"/>
      <c r="BJ199" s="68"/>
      <c r="BK199" s="68"/>
      <c r="BL199" s="68"/>
      <c r="BM199" s="68"/>
      <c r="BN199" s="68"/>
      <c r="BO199" s="68"/>
    </row>
    <row r="200" spans="2:67" ht="14.25"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8"/>
      <c r="AL200" s="68"/>
      <c r="AM200" s="68"/>
      <c r="AN200" s="68"/>
      <c r="AO200" s="68"/>
      <c r="AP200" s="68"/>
      <c r="AQ200" s="68"/>
      <c r="AR200" s="68"/>
      <c r="AS200" s="68"/>
      <c r="AT200" s="68"/>
      <c r="AU200" s="68"/>
      <c r="AV200" s="68"/>
      <c r="AW200" s="68"/>
      <c r="AX200" s="68"/>
      <c r="AY200" s="68"/>
      <c r="AZ200" s="68"/>
      <c r="BA200" s="68"/>
      <c r="BB200" s="68"/>
      <c r="BC200" s="68"/>
      <c r="BD200" s="68"/>
      <c r="BE200" s="68"/>
      <c r="BF200" s="68"/>
      <c r="BG200" s="68"/>
      <c r="BH200" s="68"/>
      <c r="BI200" s="68"/>
      <c r="BJ200" s="68"/>
      <c r="BK200" s="68"/>
      <c r="BL200" s="68"/>
      <c r="BM200" s="68"/>
      <c r="BN200" s="68"/>
      <c r="BO200" s="68"/>
    </row>
    <row r="201" spans="2:67" ht="14.25"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8"/>
      <c r="AL201" s="68"/>
      <c r="AM201" s="68"/>
      <c r="AN201" s="68"/>
      <c r="AO201" s="68"/>
      <c r="AP201" s="68"/>
      <c r="AQ201" s="68"/>
      <c r="AR201" s="68"/>
      <c r="AS201" s="68"/>
      <c r="AT201" s="68"/>
      <c r="AU201" s="68"/>
      <c r="AV201" s="68"/>
      <c r="AW201" s="68"/>
      <c r="AX201" s="68"/>
      <c r="AY201" s="68"/>
      <c r="AZ201" s="68"/>
      <c r="BA201" s="68"/>
      <c r="BB201" s="68"/>
      <c r="BC201" s="68"/>
      <c r="BD201" s="68"/>
      <c r="BE201" s="68"/>
      <c r="BF201" s="68"/>
      <c r="BG201" s="68"/>
      <c r="BH201" s="68"/>
      <c r="BI201" s="68"/>
      <c r="BJ201" s="68"/>
      <c r="BK201" s="68"/>
      <c r="BL201" s="68"/>
      <c r="BM201" s="68"/>
      <c r="BN201" s="68"/>
      <c r="BO201" s="68"/>
    </row>
    <row r="202" spans="2:67" ht="14.25"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8"/>
      <c r="AL202" s="68"/>
      <c r="AM202" s="68"/>
      <c r="AN202" s="68"/>
      <c r="AO202" s="68"/>
      <c r="AP202" s="68"/>
      <c r="AQ202" s="68"/>
      <c r="AR202" s="68"/>
      <c r="AS202" s="68"/>
      <c r="AT202" s="68"/>
      <c r="AU202" s="68"/>
      <c r="AV202" s="68"/>
      <c r="AW202" s="68"/>
      <c r="AX202" s="68"/>
      <c r="AY202" s="68"/>
      <c r="AZ202" s="68"/>
      <c r="BA202" s="68"/>
      <c r="BB202" s="68"/>
      <c r="BC202" s="68"/>
      <c r="BD202" s="68"/>
      <c r="BE202" s="68"/>
      <c r="BF202" s="68"/>
      <c r="BG202" s="68"/>
      <c r="BH202" s="68"/>
      <c r="BI202" s="68"/>
      <c r="BJ202" s="68"/>
      <c r="BK202" s="68"/>
      <c r="BL202" s="68"/>
      <c r="BM202" s="68"/>
      <c r="BN202" s="68"/>
      <c r="BO202" s="68"/>
    </row>
    <row r="203" spans="2:67" ht="14.25"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  <c r="AD203" s="68"/>
      <c r="AE203" s="68"/>
      <c r="AF203" s="68"/>
      <c r="AG203" s="68"/>
      <c r="AH203" s="68"/>
      <c r="AI203" s="68"/>
      <c r="AJ203" s="68"/>
      <c r="AK203" s="68"/>
      <c r="AL203" s="68"/>
      <c r="AM203" s="68"/>
      <c r="AN203" s="68"/>
      <c r="AO203" s="68"/>
      <c r="AP203" s="68"/>
      <c r="AQ203" s="68"/>
      <c r="AR203" s="68"/>
      <c r="AS203" s="68"/>
      <c r="AT203" s="68"/>
      <c r="AU203" s="68"/>
      <c r="AV203" s="68"/>
      <c r="AW203" s="68"/>
      <c r="AX203" s="68"/>
      <c r="AY203" s="68"/>
      <c r="AZ203" s="68"/>
      <c r="BA203" s="68"/>
      <c r="BB203" s="68"/>
      <c r="BC203" s="68"/>
      <c r="BD203" s="68"/>
      <c r="BE203" s="68"/>
      <c r="BF203" s="68"/>
      <c r="BG203" s="68"/>
      <c r="BH203" s="68"/>
      <c r="BI203" s="68"/>
      <c r="BJ203" s="68"/>
      <c r="BK203" s="68"/>
      <c r="BL203" s="68"/>
      <c r="BM203" s="68"/>
      <c r="BN203" s="68"/>
      <c r="BO203" s="68"/>
    </row>
    <row r="204" spans="2:67" ht="14.25"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  <c r="AD204" s="68"/>
      <c r="AE204" s="68"/>
      <c r="AF204" s="68"/>
      <c r="AG204" s="68"/>
      <c r="AH204" s="68"/>
      <c r="AI204" s="68"/>
      <c r="AJ204" s="68"/>
      <c r="AK204" s="68"/>
      <c r="AL204" s="68"/>
      <c r="AM204" s="68"/>
      <c r="AN204" s="68"/>
      <c r="AO204" s="68"/>
      <c r="AP204" s="68"/>
      <c r="AQ204" s="68"/>
      <c r="AR204" s="68"/>
      <c r="AS204" s="68"/>
      <c r="AT204" s="68"/>
      <c r="AU204" s="68"/>
      <c r="AV204" s="68"/>
      <c r="AW204" s="68"/>
      <c r="AX204" s="68"/>
      <c r="AY204" s="68"/>
      <c r="AZ204" s="68"/>
      <c r="BA204" s="68"/>
      <c r="BB204" s="68"/>
      <c r="BC204" s="68"/>
      <c r="BD204" s="68"/>
      <c r="BE204" s="68"/>
      <c r="BF204" s="68"/>
      <c r="BG204" s="68"/>
      <c r="BH204" s="68"/>
      <c r="BI204" s="68"/>
      <c r="BJ204" s="68"/>
      <c r="BK204" s="68"/>
      <c r="BL204" s="68"/>
      <c r="BM204" s="68"/>
      <c r="BN204" s="68"/>
      <c r="BO204" s="68"/>
    </row>
    <row r="205" spans="2:67" ht="14.25"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  <c r="AD205" s="68"/>
      <c r="AE205" s="68"/>
      <c r="AF205" s="68"/>
      <c r="AG205" s="68"/>
      <c r="AH205" s="68"/>
      <c r="AI205" s="68"/>
      <c r="AJ205" s="68"/>
      <c r="AK205" s="68"/>
      <c r="AL205" s="68"/>
      <c r="AM205" s="68"/>
      <c r="AN205" s="68"/>
      <c r="AO205" s="68"/>
      <c r="AP205" s="68"/>
      <c r="AQ205" s="68"/>
      <c r="AR205" s="68"/>
      <c r="AS205" s="68"/>
      <c r="AT205" s="68"/>
      <c r="AU205" s="68"/>
      <c r="AV205" s="68"/>
      <c r="AW205" s="68"/>
      <c r="AX205" s="68"/>
      <c r="AY205" s="68"/>
      <c r="AZ205" s="68"/>
      <c r="BA205" s="68"/>
      <c r="BB205" s="68"/>
      <c r="BC205" s="68"/>
      <c r="BD205" s="68"/>
      <c r="BE205" s="68"/>
      <c r="BF205" s="68"/>
      <c r="BG205" s="68"/>
      <c r="BH205" s="68"/>
      <c r="BI205" s="68"/>
      <c r="BJ205" s="68"/>
      <c r="BK205" s="68"/>
      <c r="BL205" s="68"/>
      <c r="BM205" s="68"/>
      <c r="BN205" s="68"/>
      <c r="BO205" s="68"/>
    </row>
    <row r="206" spans="2:67" ht="14.25"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  <c r="AD206" s="68"/>
      <c r="AE206" s="68"/>
      <c r="AF206" s="68"/>
      <c r="AG206" s="68"/>
      <c r="AH206" s="68"/>
      <c r="AI206" s="68"/>
      <c r="AJ206" s="68"/>
      <c r="AK206" s="68"/>
      <c r="AL206" s="68"/>
      <c r="AM206" s="68"/>
      <c r="AN206" s="68"/>
      <c r="AO206" s="68"/>
      <c r="AP206" s="68"/>
      <c r="AQ206" s="68"/>
      <c r="AR206" s="68"/>
      <c r="AS206" s="68"/>
      <c r="AT206" s="68"/>
      <c r="AU206" s="68"/>
      <c r="AV206" s="68"/>
      <c r="AW206" s="68"/>
      <c r="AX206" s="68"/>
      <c r="AY206" s="68"/>
      <c r="AZ206" s="68"/>
      <c r="BA206" s="68"/>
      <c r="BB206" s="68"/>
      <c r="BC206" s="68"/>
      <c r="BD206" s="68"/>
      <c r="BE206" s="68"/>
      <c r="BF206" s="68"/>
      <c r="BG206" s="68"/>
      <c r="BH206" s="68"/>
      <c r="BI206" s="68"/>
      <c r="BJ206" s="68"/>
      <c r="BK206" s="68"/>
      <c r="BL206" s="68"/>
      <c r="BM206" s="68"/>
      <c r="BN206" s="68"/>
      <c r="BO206" s="68"/>
    </row>
    <row r="207" spans="2:67" ht="14.25"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  <c r="AD207" s="68"/>
      <c r="AE207" s="68"/>
      <c r="AF207" s="68"/>
      <c r="AG207" s="68"/>
      <c r="AH207" s="68"/>
      <c r="AI207" s="68"/>
      <c r="AJ207" s="68"/>
      <c r="AK207" s="68"/>
      <c r="AL207" s="68"/>
      <c r="AM207" s="68"/>
      <c r="AN207" s="68"/>
      <c r="AO207" s="68"/>
      <c r="AP207" s="68"/>
      <c r="AQ207" s="68"/>
      <c r="AR207" s="68"/>
      <c r="AS207" s="68"/>
      <c r="AT207" s="68"/>
      <c r="AU207" s="68"/>
      <c r="AV207" s="68"/>
      <c r="AW207" s="68"/>
      <c r="AX207" s="68"/>
      <c r="AY207" s="68"/>
      <c r="AZ207" s="68"/>
      <c r="BA207" s="68"/>
      <c r="BB207" s="68"/>
      <c r="BC207" s="68"/>
      <c r="BD207" s="68"/>
      <c r="BE207" s="68"/>
      <c r="BF207" s="68"/>
      <c r="BG207" s="68"/>
      <c r="BH207" s="68"/>
      <c r="BI207" s="68"/>
      <c r="BJ207" s="68"/>
      <c r="BK207" s="68"/>
      <c r="BL207" s="68"/>
      <c r="BM207" s="68"/>
      <c r="BN207" s="68"/>
      <c r="BO207" s="68"/>
    </row>
    <row r="208" spans="2:67" ht="14.25"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  <c r="AD208" s="68"/>
      <c r="AE208" s="68"/>
      <c r="AF208" s="68"/>
      <c r="AG208" s="68"/>
      <c r="AH208" s="68"/>
      <c r="AI208" s="68"/>
      <c r="AJ208" s="68"/>
      <c r="AK208" s="68"/>
      <c r="AL208" s="68"/>
      <c r="AM208" s="68"/>
      <c r="AN208" s="68"/>
      <c r="AO208" s="68"/>
      <c r="AP208" s="68"/>
      <c r="AQ208" s="68"/>
      <c r="AR208" s="68"/>
      <c r="AS208" s="68"/>
      <c r="AT208" s="68"/>
      <c r="AU208" s="68"/>
      <c r="AV208" s="68"/>
      <c r="AW208" s="68"/>
      <c r="AX208" s="68"/>
      <c r="AY208" s="68"/>
      <c r="AZ208" s="68"/>
      <c r="BA208" s="68"/>
      <c r="BB208" s="68"/>
      <c r="BC208" s="68"/>
      <c r="BD208" s="68"/>
      <c r="BE208" s="68"/>
      <c r="BF208" s="68"/>
      <c r="BG208" s="68"/>
      <c r="BH208" s="68"/>
      <c r="BI208" s="68"/>
      <c r="BJ208" s="68"/>
      <c r="BK208" s="68"/>
      <c r="BL208" s="68"/>
      <c r="BM208" s="68"/>
      <c r="BN208" s="68"/>
      <c r="BO208" s="68"/>
    </row>
    <row r="209" spans="2:67" ht="14.25"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  <c r="AD209" s="68"/>
      <c r="AE209" s="68"/>
      <c r="AF209" s="68"/>
      <c r="AG209" s="68"/>
      <c r="AH209" s="68"/>
      <c r="AI209" s="68"/>
      <c r="AJ209" s="68"/>
      <c r="AK209" s="68"/>
      <c r="AL209" s="68"/>
      <c r="AM209" s="68"/>
      <c r="AN209" s="68"/>
      <c r="AO209" s="68"/>
      <c r="AP209" s="68"/>
      <c r="AQ209" s="68"/>
      <c r="AR209" s="68"/>
      <c r="AS209" s="68"/>
      <c r="AT209" s="68"/>
      <c r="AU209" s="68"/>
      <c r="AV209" s="68"/>
      <c r="AW209" s="68"/>
      <c r="AX209" s="68"/>
      <c r="AY209" s="68"/>
      <c r="AZ209" s="68"/>
      <c r="BA209" s="68"/>
      <c r="BB209" s="68"/>
      <c r="BC209" s="68"/>
      <c r="BD209" s="68"/>
      <c r="BE209" s="68"/>
      <c r="BF209" s="68"/>
      <c r="BG209" s="68"/>
      <c r="BH209" s="68"/>
      <c r="BI209" s="68"/>
      <c r="BJ209" s="68"/>
      <c r="BK209" s="68"/>
      <c r="BL209" s="68"/>
      <c r="BM209" s="68"/>
      <c r="BN209" s="68"/>
      <c r="BO209" s="68"/>
    </row>
    <row r="210" spans="2:67" ht="14.25"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  <c r="AD210" s="68"/>
      <c r="AE210" s="68"/>
      <c r="AF210" s="68"/>
      <c r="AG210" s="68"/>
      <c r="AH210" s="68"/>
      <c r="AI210" s="68"/>
      <c r="AJ210" s="68"/>
      <c r="AK210" s="68"/>
      <c r="AL210" s="68"/>
      <c r="AM210" s="68"/>
      <c r="AN210" s="68"/>
      <c r="AO210" s="68"/>
      <c r="AP210" s="68"/>
      <c r="AQ210" s="68"/>
      <c r="AR210" s="68"/>
      <c r="AS210" s="68"/>
      <c r="AT210" s="68"/>
      <c r="AU210" s="68"/>
      <c r="AV210" s="68"/>
      <c r="AW210" s="68"/>
      <c r="AX210" s="68"/>
      <c r="AY210" s="68"/>
      <c r="AZ210" s="68"/>
      <c r="BA210" s="68"/>
      <c r="BB210" s="68"/>
      <c r="BC210" s="68"/>
      <c r="BD210" s="68"/>
      <c r="BE210" s="68"/>
      <c r="BF210" s="68"/>
      <c r="BG210" s="68"/>
      <c r="BH210" s="68"/>
      <c r="BI210" s="68"/>
      <c r="BJ210" s="68"/>
      <c r="BK210" s="68"/>
      <c r="BL210" s="68"/>
      <c r="BM210" s="68"/>
      <c r="BN210" s="68"/>
      <c r="BO210" s="68"/>
    </row>
    <row r="211" spans="2:67" ht="14.25"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  <c r="AD211" s="68"/>
      <c r="AE211" s="68"/>
      <c r="AF211" s="68"/>
      <c r="AG211" s="68"/>
      <c r="AH211" s="68"/>
      <c r="AI211" s="68"/>
      <c r="AJ211" s="68"/>
      <c r="AK211" s="68"/>
      <c r="AL211" s="68"/>
      <c r="AM211" s="68"/>
      <c r="AN211" s="68"/>
      <c r="AO211" s="68"/>
      <c r="AP211" s="68"/>
      <c r="AQ211" s="68"/>
      <c r="AR211" s="68"/>
      <c r="AS211" s="68"/>
      <c r="AT211" s="68"/>
      <c r="AU211" s="68"/>
      <c r="AV211" s="68"/>
      <c r="AW211" s="68"/>
      <c r="AX211" s="68"/>
      <c r="AY211" s="68"/>
      <c r="AZ211" s="68"/>
      <c r="BA211" s="68"/>
      <c r="BB211" s="68"/>
      <c r="BC211" s="68"/>
      <c r="BD211" s="68"/>
      <c r="BE211" s="68"/>
      <c r="BF211" s="68"/>
      <c r="BG211" s="68"/>
      <c r="BH211" s="68"/>
      <c r="BI211" s="68"/>
      <c r="BJ211" s="68"/>
      <c r="BK211" s="68"/>
      <c r="BL211" s="68"/>
      <c r="BM211" s="68"/>
      <c r="BN211" s="68"/>
      <c r="BO211" s="68"/>
    </row>
    <row r="212" spans="2:67" ht="14.25"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  <c r="AD212" s="68"/>
      <c r="AE212" s="68"/>
      <c r="AF212" s="68"/>
      <c r="AG212" s="68"/>
      <c r="AH212" s="68"/>
      <c r="AI212" s="68"/>
      <c r="AJ212" s="68"/>
      <c r="AK212" s="68"/>
      <c r="AL212" s="68"/>
      <c r="AM212" s="68"/>
      <c r="AN212" s="68"/>
      <c r="AO212" s="68"/>
      <c r="AP212" s="68"/>
      <c r="AQ212" s="68"/>
      <c r="AR212" s="68"/>
      <c r="AS212" s="68"/>
      <c r="AT212" s="68"/>
      <c r="AU212" s="68"/>
      <c r="AV212" s="68"/>
      <c r="AW212" s="68"/>
      <c r="AX212" s="68"/>
      <c r="AY212" s="68"/>
      <c r="AZ212" s="68"/>
      <c r="BA212" s="68"/>
      <c r="BB212" s="68"/>
      <c r="BC212" s="68"/>
      <c r="BD212" s="68"/>
      <c r="BE212" s="68"/>
      <c r="BF212" s="68"/>
      <c r="BG212" s="68"/>
      <c r="BH212" s="68"/>
      <c r="BI212" s="68"/>
      <c r="BJ212" s="68"/>
      <c r="BK212" s="68"/>
      <c r="BL212" s="68"/>
      <c r="BM212" s="68"/>
      <c r="BN212" s="68"/>
      <c r="BO212" s="68"/>
    </row>
    <row r="213" spans="2:67" ht="14.25"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  <c r="AD213" s="68"/>
      <c r="AE213" s="68"/>
      <c r="AF213" s="68"/>
      <c r="AG213" s="68"/>
      <c r="AH213" s="68"/>
      <c r="AI213" s="68"/>
      <c r="AJ213" s="68"/>
      <c r="AK213" s="68"/>
      <c r="AL213" s="68"/>
      <c r="AM213" s="68"/>
      <c r="AN213" s="68"/>
      <c r="AO213" s="68"/>
      <c r="AP213" s="68"/>
      <c r="AQ213" s="68"/>
      <c r="AR213" s="68"/>
      <c r="AS213" s="68"/>
      <c r="AT213" s="68"/>
      <c r="AU213" s="68"/>
      <c r="AV213" s="68"/>
      <c r="AW213" s="68"/>
      <c r="AX213" s="68"/>
      <c r="AY213" s="68"/>
      <c r="AZ213" s="68"/>
      <c r="BA213" s="68"/>
      <c r="BB213" s="68"/>
      <c r="BC213" s="68"/>
      <c r="BD213" s="68"/>
      <c r="BE213" s="68"/>
      <c r="BF213" s="68"/>
      <c r="BG213" s="68"/>
      <c r="BH213" s="68"/>
      <c r="BI213" s="68"/>
      <c r="BJ213" s="68"/>
      <c r="BK213" s="68"/>
      <c r="BL213" s="68"/>
      <c r="BM213" s="68"/>
      <c r="BN213" s="68"/>
      <c r="BO213" s="68"/>
    </row>
    <row r="214" spans="2:67" ht="14.25"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  <c r="AD214" s="68"/>
      <c r="AE214" s="68"/>
      <c r="AF214" s="68"/>
      <c r="AG214" s="68"/>
      <c r="AH214" s="68"/>
      <c r="AI214" s="68"/>
      <c r="AJ214" s="68"/>
      <c r="AK214" s="68"/>
      <c r="AL214" s="68"/>
      <c r="AM214" s="68"/>
      <c r="AN214" s="68"/>
      <c r="AO214" s="68"/>
      <c r="AP214" s="68"/>
      <c r="AQ214" s="68"/>
      <c r="AR214" s="68"/>
      <c r="AS214" s="68"/>
      <c r="AT214" s="68"/>
      <c r="AU214" s="68"/>
      <c r="AV214" s="68"/>
      <c r="AW214" s="68"/>
      <c r="AX214" s="68"/>
      <c r="AY214" s="68"/>
      <c r="AZ214" s="68"/>
      <c r="BA214" s="68"/>
      <c r="BB214" s="68"/>
      <c r="BC214" s="68"/>
      <c r="BD214" s="68"/>
      <c r="BE214" s="68"/>
      <c r="BF214" s="68"/>
      <c r="BG214" s="68"/>
      <c r="BH214" s="68"/>
      <c r="BI214" s="68"/>
      <c r="BJ214" s="68"/>
      <c r="BK214" s="68"/>
      <c r="BL214" s="68"/>
      <c r="BM214" s="68"/>
      <c r="BN214" s="68"/>
      <c r="BO214" s="68"/>
    </row>
    <row r="215" spans="2:67" ht="14.25"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  <c r="AD215" s="68"/>
      <c r="AE215" s="68"/>
      <c r="AF215" s="68"/>
      <c r="AG215" s="68"/>
      <c r="AH215" s="68"/>
      <c r="AI215" s="68"/>
      <c r="AJ215" s="68"/>
      <c r="AK215" s="68"/>
      <c r="AL215" s="68"/>
      <c r="AM215" s="68"/>
      <c r="AN215" s="68"/>
      <c r="AO215" s="68"/>
      <c r="AP215" s="68"/>
      <c r="AQ215" s="68"/>
      <c r="AR215" s="68"/>
      <c r="AS215" s="68"/>
      <c r="AT215" s="68"/>
      <c r="AU215" s="68"/>
      <c r="AV215" s="68"/>
      <c r="AW215" s="68"/>
      <c r="AX215" s="68"/>
      <c r="AY215" s="68"/>
      <c r="AZ215" s="68"/>
      <c r="BA215" s="68"/>
      <c r="BB215" s="68"/>
      <c r="BC215" s="68"/>
      <c r="BD215" s="68"/>
      <c r="BE215" s="68"/>
      <c r="BF215" s="68"/>
      <c r="BG215" s="68"/>
      <c r="BH215" s="68"/>
      <c r="BI215" s="68"/>
      <c r="BJ215" s="68"/>
      <c r="BK215" s="68"/>
      <c r="BL215" s="68"/>
      <c r="BM215" s="68"/>
      <c r="BN215" s="68"/>
      <c r="BO215" s="68"/>
    </row>
    <row r="216" spans="2:67" ht="14.25"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  <c r="AD216" s="68"/>
      <c r="AE216" s="68"/>
      <c r="AF216" s="68"/>
      <c r="AG216" s="68"/>
      <c r="AH216" s="68"/>
      <c r="AI216" s="68"/>
      <c r="AJ216" s="68"/>
      <c r="AK216" s="68"/>
      <c r="AL216" s="68"/>
      <c r="AM216" s="68"/>
      <c r="AN216" s="68"/>
      <c r="AO216" s="68"/>
      <c r="AP216" s="68"/>
      <c r="AQ216" s="68"/>
      <c r="AR216" s="68"/>
      <c r="AS216" s="68"/>
      <c r="AT216" s="68"/>
      <c r="AU216" s="68"/>
      <c r="AV216" s="68"/>
      <c r="AW216" s="68"/>
      <c r="AX216" s="68"/>
      <c r="AY216" s="68"/>
      <c r="AZ216" s="68"/>
      <c r="BA216" s="68"/>
      <c r="BB216" s="68"/>
      <c r="BC216" s="68"/>
      <c r="BD216" s="68"/>
      <c r="BE216" s="68"/>
      <c r="BF216" s="68"/>
      <c r="BG216" s="68"/>
      <c r="BH216" s="68"/>
      <c r="BI216" s="68"/>
      <c r="BJ216" s="68"/>
      <c r="BK216" s="68"/>
      <c r="BL216" s="68"/>
      <c r="BM216" s="68"/>
      <c r="BN216" s="68"/>
      <c r="BO216" s="68"/>
    </row>
    <row r="217" spans="2:67" ht="14.25"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  <c r="AD217" s="68"/>
      <c r="AE217" s="68"/>
      <c r="AF217" s="68"/>
      <c r="AG217" s="68"/>
      <c r="AH217" s="68"/>
      <c r="AI217" s="68"/>
      <c r="AJ217" s="68"/>
      <c r="AK217" s="68"/>
      <c r="AL217" s="68"/>
      <c r="AM217" s="68"/>
      <c r="AN217" s="68"/>
      <c r="AO217" s="68"/>
      <c r="AP217" s="68"/>
      <c r="AQ217" s="68"/>
      <c r="AR217" s="68"/>
      <c r="AS217" s="68"/>
      <c r="AT217" s="68"/>
      <c r="AU217" s="68"/>
      <c r="AV217" s="68"/>
      <c r="AW217" s="68"/>
      <c r="AX217" s="68"/>
      <c r="AY217" s="68"/>
      <c r="AZ217" s="68"/>
      <c r="BA217" s="68"/>
      <c r="BB217" s="68"/>
      <c r="BC217" s="68"/>
      <c r="BD217" s="68"/>
      <c r="BE217" s="68"/>
      <c r="BF217" s="68"/>
      <c r="BG217" s="68"/>
      <c r="BH217" s="68"/>
      <c r="BI217" s="68"/>
      <c r="BJ217" s="68"/>
      <c r="BK217" s="68"/>
      <c r="BL217" s="68"/>
      <c r="BM217" s="68"/>
      <c r="BN217" s="68"/>
      <c r="BO217" s="68"/>
    </row>
    <row r="218" spans="2:67" ht="14.25"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  <c r="AD218" s="68"/>
      <c r="AE218" s="68"/>
      <c r="AF218" s="68"/>
      <c r="AG218" s="68"/>
      <c r="AH218" s="68"/>
      <c r="AI218" s="68"/>
      <c r="AJ218" s="68"/>
      <c r="AK218" s="68"/>
      <c r="AL218" s="68"/>
      <c r="AM218" s="68"/>
      <c r="AN218" s="68"/>
      <c r="AO218" s="68"/>
      <c r="AP218" s="68"/>
      <c r="AQ218" s="68"/>
      <c r="AR218" s="68"/>
      <c r="AS218" s="68"/>
      <c r="AT218" s="68"/>
      <c r="AU218" s="68"/>
      <c r="AV218" s="68"/>
      <c r="AW218" s="68"/>
      <c r="AX218" s="68"/>
      <c r="AY218" s="68"/>
      <c r="AZ218" s="68"/>
      <c r="BA218" s="68"/>
      <c r="BB218" s="68"/>
      <c r="BC218" s="68"/>
      <c r="BD218" s="68"/>
      <c r="BE218" s="68"/>
      <c r="BF218" s="68"/>
      <c r="BG218" s="68"/>
      <c r="BH218" s="68"/>
      <c r="BI218" s="68"/>
      <c r="BJ218" s="68"/>
      <c r="BK218" s="68"/>
      <c r="BL218" s="68"/>
      <c r="BM218" s="68"/>
      <c r="BN218" s="68"/>
      <c r="BO218" s="68"/>
    </row>
    <row r="219" spans="2:67" ht="14.25"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  <c r="AD219" s="68"/>
      <c r="AE219" s="68"/>
      <c r="AF219" s="68"/>
      <c r="AG219" s="68"/>
      <c r="AH219" s="68"/>
      <c r="AI219" s="68"/>
      <c r="AJ219" s="68"/>
      <c r="AK219" s="68"/>
      <c r="AL219" s="68"/>
      <c r="AM219" s="68"/>
      <c r="AN219" s="68"/>
      <c r="AO219" s="68"/>
      <c r="AP219" s="68"/>
      <c r="AQ219" s="68"/>
      <c r="AR219" s="68"/>
      <c r="AS219" s="68"/>
      <c r="AT219" s="68"/>
      <c r="AU219" s="68"/>
      <c r="AV219" s="68"/>
      <c r="AW219" s="68"/>
      <c r="AX219" s="68"/>
      <c r="AY219" s="68"/>
      <c r="AZ219" s="68"/>
      <c r="BA219" s="68"/>
      <c r="BB219" s="68"/>
      <c r="BC219" s="68"/>
      <c r="BD219" s="68"/>
      <c r="BE219" s="68"/>
      <c r="BF219" s="68"/>
      <c r="BG219" s="68"/>
      <c r="BH219" s="68"/>
      <c r="BI219" s="68"/>
      <c r="BJ219" s="68"/>
      <c r="BK219" s="68"/>
      <c r="BL219" s="68"/>
      <c r="BM219" s="68"/>
      <c r="BN219" s="68"/>
      <c r="BO219" s="68"/>
    </row>
    <row r="220" spans="2:67" ht="14.25"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  <c r="AD220" s="68"/>
      <c r="AE220" s="68"/>
      <c r="AF220" s="68"/>
      <c r="AG220" s="68"/>
      <c r="AH220" s="68"/>
      <c r="AI220" s="68"/>
      <c r="AJ220" s="68"/>
      <c r="AK220" s="68"/>
      <c r="AL220" s="68"/>
      <c r="AM220" s="68"/>
      <c r="AN220" s="68"/>
      <c r="AO220" s="68"/>
      <c r="AP220" s="68"/>
      <c r="AQ220" s="68"/>
      <c r="AR220" s="68"/>
      <c r="AS220" s="68"/>
      <c r="AT220" s="68"/>
      <c r="AU220" s="68"/>
      <c r="AV220" s="68"/>
      <c r="AW220" s="68"/>
      <c r="AX220" s="68"/>
      <c r="AY220" s="68"/>
      <c r="AZ220" s="68"/>
      <c r="BA220" s="68"/>
      <c r="BB220" s="68"/>
      <c r="BC220" s="68"/>
      <c r="BD220" s="68"/>
      <c r="BE220" s="68"/>
      <c r="BF220" s="68"/>
      <c r="BG220" s="68"/>
      <c r="BH220" s="68"/>
      <c r="BI220" s="68"/>
      <c r="BJ220" s="68"/>
      <c r="BK220" s="68"/>
      <c r="BL220" s="68"/>
      <c r="BM220" s="68"/>
      <c r="BN220" s="68"/>
      <c r="BO220" s="68"/>
    </row>
    <row r="221" spans="2:67" ht="14.25"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  <c r="AD221" s="68"/>
      <c r="AE221" s="68"/>
      <c r="AF221" s="68"/>
      <c r="AG221" s="68"/>
      <c r="AH221" s="68"/>
      <c r="AI221" s="68"/>
      <c r="AJ221" s="68"/>
      <c r="AK221" s="68"/>
      <c r="AL221" s="68"/>
      <c r="AM221" s="68"/>
      <c r="AN221" s="68"/>
      <c r="AO221" s="68"/>
      <c r="AP221" s="68"/>
      <c r="AQ221" s="68"/>
      <c r="AR221" s="68"/>
      <c r="AS221" s="68"/>
      <c r="AT221" s="68"/>
      <c r="AU221" s="68"/>
      <c r="AV221" s="68"/>
      <c r="AW221" s="68"/>
      <c r="AX221" s="68"/>
      <c r="AY221" s="68"/>
      <c r="AZ221" s="68"/>
      <c r="BA221" s="68"/>
      <c r="BB221" s="68"/>
      <c r="BC221" s="68"/>
      <c r="BD221" s="68"/>
      <c r="BE221" s="68"/>
      <c r="BF221" s="68"/>
      <c r="BG221" s="68"/>
      <c r="BH221" s="68"/>
      <c r="BI221" s="68"/>
      <c r="BJ221" s="68"/>
      <c r="BK221" s="68"/>
      <c r="BL221" s="68"/>
      <c r="BM221" s="68"/>
      <c r="BN221" s="68"/>
      <c r="BO221" s="68"/>
    </row>
    <row r="222" spans="2:67" ht="14.25"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  <c r="AD222" s="68"/>
      <c r="AE222" s="68"/>
      <c r="AF222" s="68"/>
      <c r="AG222" s="68"/>
      <c r="AH222" s="68"/>
      <c r="AI222" s="68"/>
      <c r="AJ222" s="68"/>
      <c r="AK222" s="68"/>
      <c r="AL222" s="68"/>
      <c r="AM222" s="68"/>
      <c r="AN222" s="68"/>
      <c r="AO222" s="68"/>
      <c r="AP222" s="68"/>
      <c r="AQ222" s="68"/>
      <c r="AR222" s="68"/>
      <c r="AS222" s="68"/>
      <c r="AT222" s="68"/>
      <c r="AU222" s="68"/>
      <c r="AV222" s="68"/>
      <c r="AW222" s="68"/>
      <c r="AX222" s="68"/>
      <c r="AY222" s="68"/>
      <c r="AZ222" s="68"/>
      <c r="BA222" s="68"/>
      <c r="BB222" s="68"/>
      <c r="BC222" s="68"/>
      <c r="BD222" s="68"/>
      <c r="BE222" s="68"/>
      <c r="BF222" s="68"/>
      <c r="BG222" s="68"/>
      <c r="BH222" s="68"/>
      <c r="BI222" s="68"/>
      <c r="BJ222" s="68"/>
      <c r="BK222" s="68"/>
      <c r="BL222" s="68"/>
      <c r="BM222" s="68"/>
      <c r="BN222" s="68"/>
      <c r="BO222" s="68"/>
    </row>
    <row r="223" spans="2:67" ht="14.25"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  <c r="AD223" s="68"/>
      <c r="AE223" s="68"/>
      <c r="AF223" s="68"/>
      <c r="AG223" s="68"/>
      <c r="AH223" s="68"/>
      <c r="AI223" s="68"/>
      <c r="AJ223" s="68"/>
      <c r="AK223" s="68"/>
      <c r="AL223" s="68"/>
      <c r="AM223" s="68"/>
      <c r="AN223" s="68"/>
      <c r="AO223" s="68"/>
      <c r="AP223" s="68"/>
      <c r="AQ223" s="68"/>
      <c r="AR223" s="68"/>
      <c r="AS223" s="68"/>
      <c r="AT223" s="68"/>
      <c r="AU223" s="68"/>
      <c r="AV223" s="68"/>
      <c r="AW223" s="68"/>
      <c r="AX223" s="68"/>
      <c r="AY223" s="68"/>
      <c r="AZ223" s="68"/>
      <c r="BA223" s="68"/>
      <c r="BB223" s="68"/>
      <c r="BC223" s="68"/>
      <c r="BD223" s="68"/>
      <c r="BE223" s="68"/>
      <c r="BF223" s="68"/>
      <c r="BG223" s="68"/>
      <c r="BH223" s="68"/>
      <c r="BI223" s="68"/>
      <c r="BJ223" s="68"/>
      <c r="BK223" s="68"/>
      <c r="BL223" s="68"/>
      <c r="BM223" s="68"/>
      <c r="BN223" s="68"/>
      <c r="BO223" s="68"/>
    </row>
    <row r="224" spans="2:67" ht="14.25"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  <c r="AD224" s="68"/>
      <c r="AE224" s="68"/>
      <c r="AF224" s="68"/>
      <c r="AG224" s="68"/>
      <c r="AH224" s="68"/>
      <c r="AI224" s="68"/>
      <c r="AJ224" s="68"/>
      <c r="AK224" s="68"/>
      <c r="AL224" s="68"/>
      <c r="AM224" s="68"/>
      <c r="AN224" s="68"/>
      <c r="AO224" s="68"/>
      <c r="AP224" s="68"/>
      <c r="AQ224" s="68"/>
      <c r="AR224" s="68"/>
      <c r="AS224" s="68"/>
      <c r="AT224" s="68"/>
      <c r="AU224" s="68"/>
      <c r="AV224" s="68"/>
      <c r="AW224" s="68"/>
      <c r="AX224" s="68"/>
      <c r="AY224" s="68"/>
      <c r="AZ224" s="68"/>
      <c r="BA224" s="68"/>
      <c r="BB224" s="68"/>
      <c r="BC224" s="68"/>
      <c r="BD224" s="68"/>
      <c r="BE224" s="68"/>
      <c r="BF224" s="68"/>
      <c r="BG224" s="68"/>
      <c r="BH224" s="68"/>
      <c r="BI224" s="68"/>
      <c r="BJ224" s="68"/>
      <c r="BK224" s="68"/>
      <c r="BL224" s="68"/>
      <c r="BM224" s="68"/>
      <c r="BN224" s="68"/>
      <c r="BO224" s="68"/>
    </row>
    <row r="225" spans="2:67" ht="14.25"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  <c r="AD225" s="68"/>
      <c r="AE225" s="68"/>
      <c r="AF225" s="68"/>
      <c r="AG225" s="68"/>
      <c r="AH225" s="68"/>
      <c r="AI225" s="68"/>
      <c r="AJ225" s="68"/>
      <c r="AK225" s="68"/>
      <c r="AL225" s="68"/>
      <c r="AM225" s="68"/>
      <c r="AN225" s="68"/>
      <c r="AO225" s="68"/>
      <c r="AP225" s="68"/>
      <c r="AQ225" s="68"/>
      <c r="AR225" s="68"/>
      <c r="AS225" s="68"/>
      <c r="AT225" s="68"/>
      <c r="AU225" s="68"/>
      <c r="AV225" s="68"/>
      <c r="AW225" s="68"/>
      <c r="AX225" s="68"/>
      <c r="AY225" s="68"/>
      <c r="AZ225" s="68"/>
      <c r="BA225" s="68"/>
      <c r="BB225" s="68"/>
      <c r="BC225" s="68"/>
      <c r="BD225" s="68"/>
      <c r="BE225" s="68"/>
      <c r="BF225" s="68"/>
      <c r="BG225" s="68"/>
      <c r="BH225" s="68"/>
      <c r="BI225" s="68"/>
      <c r="BJ225" s="68"/>
      <c r="BK225" s="68"/>
      <c r="BL225" s="68"/>
      <c r="BM225" s="68"/>
      <c r="BN225" s="68"/>
      <c r="BO225" s="68"/>
    </row>
    <row r="226" spans="2:67" ht="14.25"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  <c r="AD226" s="68"/>
      <c r="AE226" s="68"/>
      <c r="AF226" s="68"/>
      <c r="AG226" s="68"/>
      <c r="AH226" s="68"/>
      <c r="AI226" s="68"/>
      <c r="AJ226" s="68"/>
      <c r="AK226" s="68"/>
      <c r="AL226" s="68"/>
      <c r="AM226" s="68"/>
      <c r="AN226" s="68"/>
      <c r="AO226" s="68"/>
      <c r="AP226" s="68"/>
      <c r="AQ226" s="68"/>
      <c r="AR226" s="68"/>
      <c r="AS226" s="68"/>
      <c r="AT226" s="68"/>
      <c r="AU226" s="68"/>
      <c r="AV226" s="68"/>
      <c r="AW226" s="68"/>
      <c r="AX226" s="68"/>
      <c r="AY226" s="68"/>
      <c r="AZ226" s="68"/>
      <c r="BA226" s="68"/>
      <c r="BB226" s="68"/>
      <c r="BC226" s="68"/>
      <c r="BD226" s="68"/>
      <c r="BE226" s="68"/>
      <c r="BF226" s="68"/>
      <c r="BG226" s="68"/>
      <c r="BH226" s="68"/>
      <c r="BI226" s="68"/>
      <c r="BJ226" s="68"/>
      <c r="BK226" s="68"/>
      <c r="BL226" s="68"/>
      <c r="BM226" s="68"/>
      <c r="BN226" s="68"/>
      <c r="BO226" s="68"/>
    </row>
    <row r="227" spans="2:67" ht="14.25"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  <c r="AX227" s="68"/>
      <c r="AY227" s="68"/>
      <c r="AZ227" s="68"/>
      <c r="BA227" s="68"/>
      <c r="BB227" s="68"/>
      <c r="BC227" s="68"/>
      <c r="BD227" s="68"/>
      <c r="BE227" s="68"/>
      <c r="BF227" s="68"/>
      <c r="BG227" s="68"/>
      <c r="BH227" s="68"/>
      <c r="BI227" s="68"/>
      <c r="BJ227" s="68"/>
      <c r="BK227" s="68"/>
      <c r="BL227" s="68"/>
      <c r="BM227" s="68"/>
      <c r="BN227" s="68"/>
      <c r="BO227" s="68"/>
    </row>
    <row r="228" spans="2:67" ht="14.25"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68"/>
      <c r="AX228" s="68"/>
      <c r="AY228" s="68"/>
      <c r="AZ228" s="68"/>
      <c r="BA228" s="68"/>
      <c r="BB228" s="68"/>
      <c r="BC228" s="68"/>
      <c r="BD228" s="68"/>
      <c r="BE228" s="68"/>
      <c r="BF228" s="68"/>
      <c r="BG228" s="68"/>
      <c r="BH228" s="68"/>
      <c r="BI228" s="68"/>
      <c r="BJ228" s="68"/>
      <c r="BK228" s="68"/>
      <c r="BL228" s="68"/>
      <c r="BM228" s="68"/>
      <c r="BN228" s="68"/>
      <c r="BO228" s="68"/>
    </row>
    <row r="229" spans="2:67" ht="14.25"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  <c r="AX229" s="68"/>
      <c r="AY229" s="68"/>
      <c r="AZ229" s="68"/>
      <c r="BA229" s="68"/>
      <c r="BB229" s="68"/>
      <c r="BC229" s="68"/>
      <c r="BD229" s="68"/>
      <c r="BE229" s="68"/>
      <c r="BF229" s="68"/>
      <c r="BG229" s="68"/>
      <c r="BH229" s="68"/>
      <c r="BI229" s="68"/>
      <c r="BJ229" s="68"/>
      <c r="BK229" s="68"/>
      <c r="BL229" s="68"/>
      <c r="BM229" s="68"/>
      <c r="BN229" s="68"/>
      <c r="BO229" s="68"/>
    </row>
    <row r="230" spans="2:67" ht="14.25"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68"/>
      <c r="AY230" s="68"/>
      <c r="AZ230" s="68"/>
      <c r="BA230" s="68"/>
      <c r="BB230" s="68"/>
      <c r="BC230" s="68"/>
      <c r="BD230" s="68"/>
      <c r="BE230" s="68"/>
      <c r="BF230" s="68"/>
      <c r="BG230" s="68"/>
      <c r="BH230" s="68"/>
      <c r="BI230" s="68"/>
      <c r="BJ230" s="68"/>
      <c r="BK230" s="68"/>
      <c r="BL230" s="68"/>
      <c r="BM230" s="68"/>
      <c r="BN230" s="68"/>
      <c r="BO230" s="68"/>
    </row>
    <row r="231" spans="2:67" ht="14.25"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68"/>
      <c r="AY231" s="68"/>
      <c r="AZ231" s="68"/>
      <c r="BA231" s="68"/>
      <c r="BB231" s="68"/>
      <c r="BC231" s="68"/>
      <c r="BD231" s="68"/>
      <c r="BE231" s="68"/>
      <c r="BF231" s="68"/>
      <c r="BG231" s="68"/>
      <c r="BH231" s="68"/>
      <c r="BI231" s="68"/>
      <c r="BJ231" s="68"/>
      <c r="BK231" s="68"/>
      <c r="BL231" s="68"/>
      <c r="BM231" s="68"/>
      <c r="BN231" s="68"/>
      <c r="BO231" s="68"/>
    </row>
    <row r="232" spans="2:67" ht="14.25"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68"/>
      <c r="AY232" s="68"/>
      <c r="AZ232" s="68"/>
      <c r="BA232" s="68"/>
      <c r="BB232" s="68"/>
      <c r="BC232" s="68"/>
      <c r="BD232" s="68"/>
      <c r="BE232" s="68"/>
      <c r="BF232" s="68"/>
      <c r="BG232" s="68"/>
      <c r="BH232" s="68"/>
      <c r="BI232" s="68"/>
      <c r="BJ232" s="68"/>
      <c r="BK232" s="68"/>
      <c r="BL232" s="68"/>
      <c r="BM232" s="68"/>
      <c r="BN232" s="68"/>
      <c r="BO232" s="68"/>
    </row>
    <row r="233" spans="2:67" ht="14.25">
      <c r="B233" s="68"/>
      <c r="C233" s="68"/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68"/>
      <c r="AY233" s="68"/>
      <c r="AZ233" s="68"/>
      <c r="BA233" s="68"/>
      <c r="BB233" s="68"/>
      <c r="BC233" s="68"/>
      <c r="BD233" s="68"/>
      <c r="BE233" s="68"/>
      <c r="BF233" s="68"/>
      <c r="BG233" s="68"/>
      <c r="BH233" s="68"/>
      <c r="BI233" s="68"/>
      <c r="BJ233" s="68"/>
      <c r="BK233" s="68"/>
      <c r="BL233" s="68"/>
      <c r="BM233" s="68"/>
      <c r="BN233" s="68"/>
      <c r="BO233" s="68"/>
    </row>
    <row r="234" spans="2:67" ht="14.25"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68"/>
      <c r="AY234" s="68"/>
      <c r="AZ234" s="68"/>
      <c r="BA234" s="68"/>
      <c r="BB234" s="68"/>
      <c r="BC234" s="68"/>
      <c r="BD234" s="68"/>
      <c r="BE234" s="68"/>
      <c r="BF234" s="68"/>
      <c r="BG234" s="68"/>
      <c r="BH234" s="68"/>
      <c r="BI234" s="68"/>
      <c r="BJ234" s="68"/>
      <c r="BK234" s="68"/>
      <c r="BL234" s="68"/>
      <c r="BM234" s="68"/>
      <c r="BN234" s="68"/>
      <c r="BO234" s="68"/>
    </row>
    <row r="235" spans="2:67" ht="14.25"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68"/>
      <c r="AY235" s="68"/>
      <c r="AZ235" s="68"/>
      <c r="BA235" s="68"/>
      <c r="BB235" s="68"/>
      <c r="BC235" s="68"/>
      <c r="BD235" s="68"/>
      <c r="BE235" s="68"/>
      <c r="BF235" s="68"/>
      <c r="BG235" s="68"/>
      <c r="BH235" s="68"/>
      <c r="BI235" s="68"/>
      <c r="BJ235" s="68"/>
      <c r="BK235" s="68"/>
      <c r="BL235" s="68"/>
      <c r="BM235" s="68"/>
      <c r="BN235" s="68"/>
      <c r="BO235" s="68"/>
    </row>
    <row r="236" spans="2:67" ht="14.25"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68"/>
      <c r="AY236" s="68"/>
      <c r="AZ236" s="68"/>
      <c r="BA236" s="68"/>
      <c r="BB236" s="68"/>
      <c r="BC236" s="68"/>
      <c r="BD236" s="68"/>
      <c r="BE236" s="68"/>
      <c r="BF236" s="68"/>
      <c r="BG236" s="68"/>
      <c r="BH236" s="68"/>
      <c r="BI236" s="68"/>
      <c r="BJ236" s="68"/>
      <c r="BK236" s="68"/>
      <c r="BL236" s="68"/>
      <c r="BM236" s="68"/>
      <c r="BN236" s="68"/>
      <c r="BO236" s="68"/>
    </row>
    <row r="237" spans="2:67" ht="14.25"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68"/>
      <c r="AY237" s="68"/>
      <c r="AZ237" s="68"/>
      <c r="BA237" s="68"/>
      <c r="BB237" s="68"/>
      <c r="BC237" s="68"/>
      <c r="BD237" s="68"/>
      <c r="BE237" s="68"/>
      <c r="BF237" s="68"/>
      <c r="BG237" s="68"/>
      <c r="BH237" s="68"/>
      <c r="BI237" s="68"/>
      <c r="BJ237" s="68"/>
      <c r="BK237" s="68"/>
      <c r="BL237" s="68"/>
      <c r="BM237" s="68"/>
      <c r="BN237" s="68"/>
      <c r="BO237" s="68"/>
    </row>
    <row r="238" spans="2:67" ht="14.25"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  <c r="AX238" s="68"/>
      <c r="AY238" s="68"/>
      <c r="AZ238" s="68"/>
      <c r="BA238" s="68"/>
      <c r="BB238" s="68"/>
      <c r="BC238" s="68"/>
      <c r="BD238" s="68"/>
      <c r="BE238" s="68"/>
      <c r="BF238" s="68"/>
      <c r="BG238" s="68"/>
      <c r="BH238" s="68"/>
      <c r="BI238" s="68"/>
      <c r="BJ238" s="68"/>
      <c r="BK238" s="68"/>
      <c r="BL238" s="68"/>
      <c r="BM238" s="68"/>
      <c r="BN238" s="68"/>
      <c r="BO238" s="68"/>
    </row>
    <row r="239" spans="2:67" ht="14.25"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68"/>
      <c r="AY239" s="68"/>
      <c r="AZ239" s="68"/>
      <c r="BA239" s="68"/>
      <c r="BB239" s="68"/>
      <c r="BC239" s="68"/>
      <c r="BD239" s="68"/>
      <c r="BE239" s="68"/>
      <c r="BF239" s="68"/>
      <c r="BG239" s="68"/>
      <c r="BH239" s="68"/>
      <c r="BI239" s="68"/>
      <c r="BJ239" s="68"/>
      <c r="BK239" s="68"/>
      <c r="BL239" s="68"/>
      <c r="BM239" s="68"/>
      <c r="BN239" s="68"/>
      <c r="BO239" s="68"/>
    </row>
    <row r="240" spans="2:67" ht="14.25"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68"/>
      <c r="AY240" s="68"/>
      <c r="AZ240" s="68"/>
      <c r="BA240" s="68"/>
      <c r="BB240" s="68"/>
      <c r="BC240" s="68"/>
      <c r="BD240" s="68"/>
      <c r="BE240" s="68"/>
      <c r="BF240" s="68"/>
      <c r="BG240" s="68"/>
      <c r="BH240" s="68"/>
      <c r="BI240" s="68"/>
      <c r="BJ240" s="68"/>
      <c r="BK240" s="68"/>
      <c r="BL240" s="68"/>
      <c r="BM240" s="68"/>
      <c r="BN240" s="68"/>
      <c r="BO240" s="68"/>
    </row>
    <row r="241" spans="2:67" ht="14.25"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  <c r="AL241" s="68"/>
      <c r="AM241" s="68"/>
      <c r="AN241" s="68"/>
      <c r="AO241" s="68"/>
      <c r="AP241" s="68"/>
      <c r="AQ241" s="68"/>
      <c r="AR241" s="68"/>
      <c r="AS241" s="68"/>
      <c r="AT241" s="68"/>
      <c r="AU241" s="68"/>
      <c r="AV241" s="68"/>
      <c r="AW241" s="68"/>
      <c r="AX241" s="68"/>
      <c r="AY241" s="68"/>
      <c r="AZ241" s="68"/>
      <c r="BA241" s="68"/>
      <c r="BB241" s="68"/>
      <c r="BC241" s="68"/>
      <c r="BD241" s="68"/>
      <c r="BE241" s="68"/>
      <c r="BF241" s="68"/>
      <c r="BG241" s="68"/>
      <c r="BH241" s="68"/>
      <c r="BI241" s="68"/>
      <c r="BJ241" s="68"/>
      <c r="BK241" s="68"/>
      <c r="BL241" s="68"/>
      <c r="BM241" s="68"/>
      <c r="BN241" s="68"/>
      <c r="BO241" s="68"/>
    </row>
    <row r="242" spans="2:67" ht="14.25"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8"/>
      <c r="AT242" s="68"/>
      <c r="AU242" s="68"/>
      <c r="AV242" s="68"/>
      <c r="AW242" s="68"/>
      <c r="AX242" s="68"/>
      <c r="AY242" s="68"/>
      <c r="AZ242" s="68"/>
      <c r="BA242" s="68"/>
      <c r="BB242" s="68"/>
      <c r="BC242" s="68"/>
      <c r="BD242" s="68"/>
      <c r="BE242" s="68"/>
      <c r="BF242" s="68"/>
      <c r="BG242" s="68"/>
      <c r="BH242" s="68"/>
      <c r="BI242" s="68"/>
      <c r="BJ242" s="68"/>
      <c r="BK242" s="68"/>
      <c r="BL242" s="68"/>
      <c r="BM242" s="68"/>
      <c r="BN242" s="68"/>
      <c r="BO242" s="68"/>
    </row>
    <row r="243" spans="2:67" ht="14.25"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  <c r="AX243" s="68"/>
      <c r="AY243" s="68"/>
      <c r="AZ243" s="68"/>
      <c r="BA243" s="68"/>
      <c r="BB243" s="68"/>
      <c r="BC243" s="68"/>
      <c r="BD243" s="68"/>
      <c r="BE243" s="68"/>
      <c r="BF243" s="68"/>
      <c r="BG243" s="68"/>
      <c r="BH243" s="68"/>
      <c r="BI243" s="68"/>
      <c r="BJ243" s="68"/>
      <c r="BK243" s="68"/>
      <c r="BL243" s="68"/>
      <c r="BM243" s="68"/>
      <c r="BN243" s="68"/>
      <c r="BO243" s="68"/>
    </row>
    <row r="244" spans="2:67" ht="14.25"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  <c r="AX244" s="68"/>
      <c r="AY244" s="68"/>
      <c r="AZ244" s="68"/>
      <c r="BA244" s="68"/>
      <c r="BB244" s="68"/>
      <c r="BC244" s="68"/>
      <c r="BD244" s="68"/>
      <c r="BE244" s="68"/>
      <c r="BF244" s="68"/>
      <c r="BG244" s="68"/>
      <c r="BH244" s="68"/>
      <c r="BI244" s="68"/>
      <c r="BJ244" s="68"/>
      <c r="BK244" s="68"/>
      <c r="BL244" s="68"/>
      <c r="BM244" s="68"/>
      <c r="BN244" s="68"/>
      <c r="BO244" s="68"/>
    </row>
    <row r="245" spans="2:67" ht="14.25"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68"/>
      <c r="AY245" s="68"/>
      <c r="AZ245" s="68"/>
      <c r="BA245" s="68"/>
      <c r="BB245" s="68"/>
      <c r="BC245" s="68"/>
      <c r="BD245" s="68"/>
      <c r="BE245" s="68"/>
      <c r="BF245" s="68"/>
      <c r="BG245" s="68"/>
      <c r="BH245" s="68"/>
      <c r="BI245" s="68"/>
      <c r="BJ245" s="68"/>
      <c r="BK245" s="68"/>
      <c r="BL245" s="68"/>
      <c r="BM245" s="68"/>
      <c r="BN245" s="68"/>
      <c r="BO245" s="68"/>
    </row>
    <row r="246" spans="2:67" ht="14.25"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  <c r="AJ246" s="68"/>
      <c r="AK246" s="68"/>
      <c r="AL246" s="68"/>
      <c r="AM246" s="68"/>
      <c r="AN246" s="68"/>
      <c r="AO246" s="68"/>
      <c r="AP246" s="68"/>
      <c r="AQ246" s="68"/>
      <c r="AR246" s="68"/>
      <c r="AS246" s="68"/>
      <c r="AT246" s="68"/>
      <c r="AU246" s="68"/>
      <c r="AV246" s="68"/>
      <c r="AW246" s="68"/>
      <c r="AX246" s="68"/>
      <c r="AY246" s="68"/>
      <c r="AZ246" s="68"/>
      <c r="BA246" s="68"/>
      <c r="BB246" s="68"/>
      <c r="BC246" s="68"/>
      <c r="BD246" s="68"/>
      <c r="BE246" s="68"/>
      <c r="BF246" s="68"/>
      <c r="BG246" s="68"/>
      <c r="BH246" s="68"/>
      <c r="BI246" s="68"/>
      <c r="BJ246" s="68"/>
      <c r="BK246" s="68"/>
      <c r="BL246" s="68"/>
      <c r="BM246" s="68"/>
      <c r="BN246" s="68"/>
      <c r="BO246" s="68"/>
    </row>
    <row r="247" spans="2:67" ht="14.25"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8"/>
      <c r="AT247" s="68"/>
      <c r="AU247" s="68"/>
      <c r="AV247" s="68"/>
      <c r="AW247" s="68"/>
      <c r="AX247" s="68"/>
      <c r="AY247" s="68"/>
      <c r="AZ247" s="68"/>
      <c r="BA247" s="68"/>
      <c r="BB247" s="68"/>
      <c r="BC247" s="68"/>
      <c r="BD247" s="68"/>
      <c r="BE247" s="68"/>
      <c r="BF247" s="68"/>
      <c r="BG247" s="68"/>
      <c r="BH247" s="68"/>
      <c r="BI247" s="68"/>
      <c r="BJ247" s="68"/>
      <c r="BK247" s="68"/>
      <c r="BL247" s="68"/>
      <c r="BM247" s="68"/>
      <c r="BN247" s="68"/>
      <c r="BO247" s="68"/>
    </row>
    <row r="248" spans="2:67" ht="14.25"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8"/>
      <c r="AT248" s="68"/>
      <c r="AU248" s="68"/>
      <c r="AV248" s="68"/>
      <c r="AW248" s="68"/>
      <c r="AX248" s="68"/>
      <c r="AY248" s="68"/>
      <c r="AZ248" s="68"/>
      <c r="BA248" s="68"/>
      <c r="BB248" s="68"/>
      <c r="BC248" s="68"/>
      <c r="BD248" s="68"/>
      <c r="BE248" s="68"/>
      <c r="BF248" s="68"/>
      <c r="BG248" s="68"/>
      <c r="BH248" s="68"/>
      <c r="BI248" s="68"/>
      <c r="BJ248" s="68"/>
      <c r="BK248" s="68"/>
      <c r="BL248" s="68"/>
      <c r="BM248" s="68"/>
      <c r="BN248" s="68"/>
      <c r="BO248" s="68"/>
    </row>
    <row r="249" spans="2:67" ht="14.25"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  <c r="AJ249" s="68"/>
      <c r="AK249" s="68"/>
      <c r="AL249" s="68"/>
      <c r="AM249" s="68"/>
      <c r="AN249" s="68"/>
      <c r="AO249" s="68"/>
      <c r="AP249" s="68"/>
      <c r="AQ249" s="68"/>
      <c r="AR249" s="68"/>
      <c r="AS249" s="68"/>
      <c r="AT249" s="68"/>
      <c r="AU249" s="68"/>
      <c r="AV249" s="68"/>
      <c r="AW249" s="68"/>
      <c r="AX249" s="68"/>
      <c r="AY249" s="68"/>
      <c r="AZ249" s="68"/>
      <c r="BA249" s="68"/>
      <c r="BB249" s="68"/>
      <c r="BC249" s="68"/>
      <c r="BD249" s="68"/>
      <c r="BE249" s="68"/>
      <c r="BF249" s="68"/>
      <c r="BG249" s="68"/>
      <c r="BH249" s="68"/>
      <c r="BI249" s="68"/>
      <c r="BJ249" s="68"/>
      <c r="BK249" s="68"/>
      <c r="BL249" s="68"/>
      <c r="BM249" s="68"/>
      <c r="BN249" s="68"/>
      <c r="BO249" s="68"/>
    </row>
    <row r="250" spans="2:67" ht="14.25"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  <c r="AJ250" s="68"/>
      <c r="AK250" s="68"/>
      <c r="AL250" s="68"/>
      <c r="AM250" s="68"/>
      <c r="AN250" s="68"/>
      <c r="AO250" s="68"/>
      <c r="AP250" s="68"/>
      <c r="AQ250" s="68"/>
      <c r="AR250" s="68"/>
      <c r="AS250" s="68"/>
      <c r="AT250" s="68"/>
      <c r="AU250" s="68"/>
      <c r="AV250" s="68"/>
      <c r="AW250" s="68"/>
      <c r="AX250" s="68"/>
      <c r="AY250" s="68"/>
      <c r="AZ250" s="68"/>
      <c r="BA250" s="68"/>
      <c r="BB250" s="68"/>
      <c r="BC250" s="68"/>
      <c r="BD250" s="68"/>
      <c r="BE250" s="68"/>
      <c r="BF250" s="68"/>
      <c r="BG250" s="68"/>
      <c r="BH250" s="68"/>
      <c r="BI250" s="68"/>
      <c r="BJ250" s="68"/>
      <c r="BK250" s="68"/>
      <c r="BL250" s="68"/>
      <c r="BM250" s="68"/>
      <c r="BN250" s="68"/>
      <c r="BO250" s="68"/>
    </row>
    <row r="251" spans="2:67" ht="14.25"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/>
      <c r="AL251" s="68"/>
      <c r="AM251" s="68"/>
      <c r="AN251" s="68"/>
      <c r="AO251" s="68"/>
      <c r="AP251" s="68"/>
      <c r="AQ251" s="68"/>
      <c r="AR251" s="68"/>
      <c r="AS251" s="68"/>
      <c r="AT251" s="68"/>
      <c r="AU251" s="68"/>
      <c r="AV251" s="68"/>
      <c r="AW251" s="68"/>
      <c r="AX251" s="68"/>
      <c r="AY251" s="68"/>
      <c r="AZ251" s="68"/>
      <c r="BA251" s="68"/>
      <c r="BB251" s="68"/>
      <c r="BC251" s="68"/>
      <c r="BD251" s="68"/>
      <c r="BE251" s="68"/>
      <c r="BF251" s="68"/>
      <c r="BG251" s="68"/>
      <c r="BH251" s="68"/>
      <c r="BI251" s="68"/>
      <c r="BJ251" s="68"/>
      <c r="BK251" s="68"/>
      <c r="BL251" s="68"/>
      <c r="BM251" s="68"/>
      <c r="BN251" s="68"/>
      <c r="BO251" s="68"/>
    </row>
    <row r="252" spans="2:67" ht="14.25"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  <c r="AJ252" s="68"/>
      <c r="AK252" s="68"/>
      <c r="AL252" s="68"/>
      <c r="AM252" s="68"/>
      <c r="AN252" s="68"/>
      <c r="AO252" s="68"/>
      <c r="AP252" s="68"/>
      <c r="AQ252" s="68"/>
      <c r="AR252" s="68"/>
      <c r="AS252" s="68"/>
      <c r="AT252" s="68"/>
      <c r="AU252" s="68"/>
      <c r="AV252" s="68"/>
      <c r="AW252" s="68"/>
      <c r="AX252" s="68"/>
      <c r="AY252" s="68"/>
      <c r="AZ252" s="68"/>
      <c r="BA252" s="68"/>
      <c r="BB252" s="68"/>
      <c r="BC252" s="68"/>
      <c r="BD252" s="68"/>
      <c r="BE252" s="68"/>
      <c r="BF252" s="68"/>
      <c r="BG252" s="68"/>
      <c r="BH252" s="68"/>
      <c r="BI252" s="68"/>
      <c r="BJ252" s="68"/>
      <c r="BK252" s="68"/>
      <c r="BL252" s="68"/>
      <c r="BM252" s="68"/>
      <c r="BN252" s="68"/>
      <c r="BO252" s="68"/>
    </row>
    <row r="253" spans="2:67" ht="14.25"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8"/>
      <c r="AT253" s="68"/>
      <c r="AU253" s="68"/>
      <c r="AV253" s="68"/>
      <c r="AW253" s="68"/>
      <c r="AX253" s="68"/>
      <c r="AY253" s="68"/>
      <c r="AZ253" s="68"/>
      <c r="BA253" s="68"/>
      <c r="BB253" s="68"/>
      <c r="BC253" s="68"/>
      <c r="BD253" s="68"/>
      <c r="BE253" s="68"/>
      <c r="BF253" s="68"/>
      <c r="BG253" s="68"/>
      <c r="BH253" s="68"/>
      <c r="BI253" s="68"/>
      <c r="BJ253" s="68"/>
      <c r="BK253" s="68"/>
      <c r="BL253" s="68"/>
      <c r="BM253" s="68"/>
      <c r="BN253" s="68"/>
      <c r="BO253" s="68"/>
    </row>
    <row r="254" spans="2:67" ht="14.25"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8"/>
      <c r="AT254" s="68"/>
      <c r="AU254" s="68"/>
      <c r="AV254" s="68"/>
      <c r="AW254" s="68"/>
      <c r="AX254" s="68"/>
      <c r="AY254" s="68"/>
      <c r="AZ254" s="68"/>
      <c r="BA254" s="68"/>
      <c r="BB254" s="68"/>
      <c r="BC254" s="68"/>
      <c r="BD254" s="68"/>
      <c r="BE254" s="68"/>
      <c r="BF254" s="68"/>
      <c r="BG254" s="68"/>
      <c r="BH254" s="68"/>
      <c r="BI254" s="68"/>
      <c r="BJ254" s="68"/>
      <c r="BK254" s="68"/>
      <c r="BL254" s="68"/>
      <c r="BM254" s="68"/>
      <c r="BN254" s="68"/>
      <c r="BO254" s="68"/>
    </row>
    <row r="255" spans="2:67" ht="14.25"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  <c r="AJ255" s="68"/>
      <c r="AK255" s="68"/>
      <c r="AL255" s="68"/>
      <c r="AM255" s="68"/>
      <c r="AN255" s="68"/>
      <c r="AO255" s="68"/>
      <c r="AP255" s="68"/>
      <c r="AQ255" s="68"/>
      <c r="AR255" s="68"/>
      <c r="AS255" s="68"/>
      <c r="AT255" s="68"/>
      <c r="AU255" s="68"/>
      <c r="AV255" s="68"/>
      <c r="AW255" s="68"/>
      <c r="AX255" s="68"/>
      <c r="AY255" s="68"/>
      <c r="AZ255" s="68"/>
      <c r="BA255" s="68"/>
      <c r="BB255" s="68"/>
      <c r="BC255" s="68"/>
      <c r="BD255" s="68"/>
      <c r="BE255" s="68"/>
      <c r="BF255" s="68"/>
      <c r="BG255" s="68"/>
      <c r="BH255" s="68"/>
      <c r="BI255" s="68"/>
      <c r="BJ255" s="68"/>
      <c r="BK255" s="68"/>
      <c r="BL255" s="68"/>
      <c r="BM255" s="68"/>
      <c r="BN255" s="68"/>
      <c r="BO255" s="68"/>
    </row>
    <row r="256" spans="2:67" ht="14.25"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  <c r="AJ256" s="68"/>
      <c r="AK256" s="68"/>
      <c r="AL256" s="68"/>
      <c r="AM256" s="68"/>
      <c r="AN256" s="68"/>
      <c r="AO256" s="68"/>
      <c r="AP256" s="68"/>
      <c r="AQ256" s="68"/>
      <c r="AR256" s="68"/>
      <c r="AS256" s="68"/>
      <c r="AT256" s="68"/>
      <c r="AU256" s="68"/>
      <c r="AV256" s="68"/>
      <c r="AW256" s="68"/>
      <c r="AX256" s="68"/>
      <c r="AY256" s="68"/>
      <c r="AZ256" s="68"/>
      <c r="BA256" s="68"/>
      <c r="BB256" s="68"/>
      <c r="BC256" s="68"/>
      <c r="BD256" s="68"/>
      <c r="BE256" s="68"/>
      <c r="BF256" s="68"/>
      <c r="BG256" s="68"/>
      <c r="BH256" s="68"/>
      <c r="BI256" s="68"/>
      <c r="BJ256" s="68"/>
      <c r="BK256" s="68"/>
      <c r="BL256" s="68"/>
      <c r="BM256" s="68"/>
      <c r="BN256" s="68"/>
      <c r="BO256" s="68"/>
    </row>
    <row r="257" spans="2:67" ht="14.25"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8"/>
      <c r="AT257" s="68"/>
      <c r="AU257" s="68"/>
      <c r="AV257" s="68"/>
      <c r="AW257" s="68"/>
      <c r="AX257" s="68"/>
      <c r="AY257" s="68"/>
      <c r="AZ257" s="68"/>
      <c r="BA257" s="68"/>
      <c r="BB257" s="68"/>
      <c r="BC257" s="68"/>
      <c r="BD257" s="68"/>
      <c r="BE257" s="68"/>
      <c r="BF257" s="68"/>
      <c r="BG257" s="68"/>
      <c r="BH257" s="68"/>
      <c r="BI257" s="68"/>
      <c r="BJ257" s="68"/>
      <c r="BK257" s="68"/>
      <c r="BL257" s="68"/>
      <c r="BM257" s="68"/>
      <c r="BN257" s="68"/>
      <c r="BO257" s="68"/>
    </row>
    <row r="258" spans="2:67" ht="14.25"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  <c r="AJ258" s="68"/>
      <c r="AK258" s="68"/>
      <c r="AL258" s="68"/>
      <c r="AM258" s="68"/>
      <c r="AN258" s="68"/>
      <c r="AO258" s="68"/>
      <c r="AP258" s="68"/>
      <c r="AQ258" s="68"/>
      <c r="AR258" s="68"/>
      <c r="AS258" s="68"/>
      <c r="AT258" s="68"/>
      <c r="AU258" s="68"/>
      <c r="AV258" s="68"/>
      <c r="AW258" s="68"/>
      <c r="AX258" s="68"/>
      <c r="AY258" s="68"/>
      <c r="AZ258" s="68"/>
      <c r="BA258" s="68"/>
      <c r="BB258" s="68"/>
      <c r="BC258" s="68"/>
      <c r="BD258" s="68"/>
      <c r="BE258" s="68"/>
      <c r="BF258" s="68"/>
      <c r="BG258" s="68"/>
      <c r="BH258" s="68"/>
      <c r="BI258" s="68"/>
      <c r="BJ258" s="68"/>
      <c r="BK258" s="68"/>
      <c r="BL258" s="68"/>
      <c r="BM258" s="68"/>
      <c r="BN258" s="68"/>
      <c r="BO258" s="68"/>
    </row>
    <row r="259" spans="2:67" ht="14.25"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  <c r="AJ259" s="68"/>
      <c r="AK259" s="68"/>
      <c r="AL259" s="68"/>
      <c r="AM259" s="68"/>
      <c r="AN259" s="68"/>
      <c r="AO259" s="68"/>
      <c r="AP259" s="68"/>
      <c r="AQ259" s="68"/>
      <c r="AR259" s="68"/>
      <c r="AS259" s="68"/>
      <c r="AT259" s="68"/>
      <c r="AU259" s="68"/>
      <c r="AV259" s="68"/>
      <c r="AW259" s="68"/>
      <c r="AX259" s="68"/>
      <c r="AY259" s="68"/>
      <c r="AZ259" s="68"/>
      <c r="BA259" s="68"/>
      <c r="BB259" s="68"/>
      <c r="BC259" s="68"/>
      <c r="BD259" s="68"/>
      <c r="BE259" s="68"/>
      <c r="BF259" s="68"/>
      <c r="BG259" s="68"/>
      <c r="BH259" s="68"/>
      <c r="BI259" s="68"/>
      <c r="BJ259" s="68"/>
      <c r="BK259" s="68"/>
      <c r="BL259" s="68"/>
      <c r="BM259" s="68"/>
      <c r="BN259" s="68"/>
      <c r="BO259" s="68"/>
    </row>
    <row r="260" spans="2:67" ht="14.25"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  <c r="AJ260" s="68"/>
      <c r="AK260" s="68"/>
      <c r="AL260" s="68"/>
      <c r="AM260" s="68"/>
      <c r="AN260" s="68"/>
      <c r="AO260" s="68"/>
      <c r="AP260" s="68"/>
      <c r="AQ260" s="68"/>
      <c r="AR260" s="68"/>
      <c r="AS260" s="68"/>
      <c r="AT260" s="68"/>
      <c r="AU260" s="68"/>
      <c r="AV260" s="68"/>
      <c r="AW260" s="68"/>
      <c r="AX260" s="68"/>
      <c r="AY260" s="68"/>
      <c r="AZ260" s="68"/>
      <c r="BA260" s="68"/>
      <c r="BB260" s="68"/>
      <c r="BC260" s="68"/>
      <c r="BD260" s="68"/>
      <c r="BE260" s="68"/>
      <c r="BF260" s="68"/>
      <c r="BG260" s="68"/>
      <c r="BH260" s="68"/>
      <c r="BI260" s="68"/>
      <c r="BJ260" s="68"/>
      <c r="BK260" s="68"/>
      <c r="BL260" s="68"/>
      <c r="BM260" s="68"/>
      <c r="BN260" s="68"/>
      <c r="BO260" s="68"/>
    </row>
    <row r="261" spans="2:67" ht="14.25"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  <c r="AJ261" s="68"/>
      <c r="AK261" s="68"/>
      <c r="AL261" s="68"/>
      <c r="AM261" s="68"/>
      <c r="AN261" s="68"/>
      <c r="AO261" s="68"/>
      <c r="AP261" s="68"/>
      <c r="AQ261" s="68"/>
      <c r="AR261" s="68"/>
      <c r="AS261" s="68"/>
      <c r="AT261" s="68"/>
      <c r="AU261" s="68"/>
      <c r="AV261" s="68"/>
      <c r="AW261" s="68"/>
      <c r="AX261" s="68"/>
      <c r="AY261" s="68"/>
      <c r="AZ261" s="68"/>
      <c r="BA261" s="68"/>
      <c r="BB261" s="68"/>
      <c r="BC261" s="68"/>
      <c r="BD261" s="68"/>
      <c r="BE261" s="68"/>
      <c r="BF261" s="68"/>
      <c r="BG261" s="68"/>
      <c r="BH261" s="68"/>
      <c r="BI261" s="68"/>
      <c r="BJ261" s="68"/>
      <c r="BK261" s="68"/>
      <c r="BL261" s="68"/>
      <c r="BM261" s="68"/>
      <c r="BN261" s="68"/>
      <c r="BO261" s="68"/>
    </row>
    <row r="262" spans="2:67" ht="14.25"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  <c r="AJ262" s="68"/>
      <c r="AK262" s="68"/>
      <c r="AL262" s="68"/>
      <c r="AM262" s="68"/>
      <c r="AN262" s="68"/>
      <c r="AO262" s="68"/>
      <c r="AP262" s="68"/>
      <c r="AQ262" s="68"/>
      <c r="AR262" s="68"/>
      <c r="AS262" s="68"/>
      <c r="AT262" s="68"/>
      <c r="AU262" s="68"/>
      <c r="AV262" s="68"/>
      <c r="AW262" s="68"/>
      <c r="AX262" s="68"/>
      <c r="AY262" s="68"/>
      <c r="AZ262" s="68"/>
      <c r="BA262" s="68"/>
      <c r="BB262" s="68"/>
      <c r="BC262" s="68"/>
      <c r="BD262" s="68"/>
      <c r="BE262" s="68"/>
      <c r="BF262" s="68"/>
      <c r="BG262" s="68"/>
      <c r="BH262" s="68"/>
      <c r="BI262" s="68"/>
      <c r="BJ262" s="68"/>
      <c r="BK262" s="68"/>
      <c r="BL262" s="68"/>
      <c r="BM262" s="68"/>
      <c r="BN262" s="68"/>
      <c r="BO262" s="68"/>
    </row>
    <row r="263" spans="2:67" ht="14.25"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8"/>
      <c r="AT263" s="68"/>
      <c r="AU263" s="68"/>
      <c r="AV263" s="68"/>
      <c r="AW263" s="68"/>
      <c r="AX263" s="68"/>
      <c r="AY263" s="68"/>
      <c r="AZ263" s="68"/>
      <c r="BA263" s="68"/>
      <c r="BB263" s="68"/>
      <c r="BC263" s="68"/>
      <c r="BD263" s="68"/>
      <c r="BE263" s="68"/>
      <c r="BF263" s="68"/>
      <c r="BG263" s="68"/>
      <c r="BH263" s="68"/>
      <c r="BI263" s="68"/>
      <c r="BJ263" s="68"/>
      <c r="BK263" s="68"/>
      <c r="BL263" s="68"/>
      <c r="BM263" s="68"/>
      <c r="BN263" s="68"/>
      <c r="BO263" s="68"/>
    </row>
    <row r="264" spans="2:67" ht="14.25"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  <c r="AJ264" s="68"/>
      <c r="AK264" s="68"/>
      <c r="AL264" s="68"/>
      <c r="AM264" s="68"/>
      <c r="AN264" s="68"/>
      <c r="AO264" s="68"/>
      <c r="AP264" s="68"/>
      <c r="AQ264" s="68"/>
      <c r="AR264" s="68"/>
      <c r="AS264" s="68"/>
      <c r="AT264" s="68"/>
      <c r="AU264" s="68"/>
      <c r="AV264" s="68"/>
      <c r="AW264" s="68"/>
      <c r="AX264" s="68"/>
      <c r="AY264" s="68"/>
      <c r="AZ264" s="68"/>
      <c r="BA264" s="68"/>
      <c r="BB264" s="68"/>
      <c r="BC264" s="68"/>
      <c r="BD264" s="68"/>
      <c r="BE264" s="68"/>
      <c r="BF264" s="68"/>
      <c r="BG264" s="68"/>
      <c r="BH264" s="68"/>
      <c r="BI264" s="68"/>
      <c r="BJ264" s="68"/>
      <c r="BK264" s="68"/>
      <c r="BL264" s="68"/>
      <c r="BM264" s="68"/>
      <c r="BN264" s="68"/>
      <c r="BO264" s="68"/>
    </row>
    <row r="265" spans="2:67" ht="14.25"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  <c r="AJ265" s="68"/>
      <c r="AK265" s="68"/>
      <c r="AL265" s="68"/>
      <c r="AM265" s="68"/>
      <c r="AN265" s="68"/>
      <c r="AO265" s="68"/>
      <c r="AP265" s="68"/>
      <c r="AQ265" s="68"/>
      <c r="AR265" s="68"/>
      <c r="AS265" s="68"/>
      <c r="AT265" s="68"/>
      <c r="AU265" s="68"/>
      <c r="AV265" s="68"/>
      <c r="AW265" s="68"/>
      <c r="AX265" s="68"/>
      <c r="AY265" s="68"/>
      <c r="AZ265" s="68"/>
      <c r="BA265" s="68"/>
      <c r="BB265" s="68"/>
      <c r="BC265" s="68"/>
      <c r="BD265" s="68"/>
      <c r="BE265" s="68"/>
      <c r="BF265" s="68"/>
      <c r="BG265" s="68"/>
      <c r="BH265" s="68"/>
      <c r="BI265" s="68"/>
      <c r="BJ265" s="68"/>
      <c r="BK265" s="68"/>
      <c r="BL265" s="68"/>
      <c r="BM265" s="68"/>
      <c r="BN265" s="68"/>
      <c r="BO265" s="68"/>
    </row>
    <row r="266" spans="2:67" ht="14.25"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  <c r="AX266" s="68"/>
      <c r="AY266" s="68"/>
      <c r="AZ266" s="68"/>
      <c r="BA266" s="68"/>
      <c r="BB266" s="68"/>
      <c r="BC266" s="68"/>
      <c r="BD266" s="68"/>
      <c r="BE266" s="68"/>
      <c r="BF266" s="68"/>
      <c r="BG266" s="68"/>
      <c r="BH266" s="68"/>
      <c r="BI266" s="68"/>
      <c r="BJ266" s="68"/>
      <c r="BK266" s="68"/>
      <c r="BL266" s="68"/>
      <c r="BM266" s="68"/>
      <c r="BN266" s="68"/>
      <c r="BO266" s="68"/>
    </row>
    <row r="267" spans="2:67" ht="14.25"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8"/>
      <c r="AT267" s="68"/>
      <c r="AU267" s="68"/>
      <c r="AV267" s="68"/>
      <c r="AW267" s="68"/>
      <c r="AX267" s="68"/>
      <c r="AY267" s="68"/>
      <c r="AZ267" s="68"/>
      <c r="BA267" s="68"/>
      <c r="BB267" s="68"/>
      <c r="BC267" s="68"/>
      <c r="BD267" s="68"/>
      <c r="BE267" s="68"/>
      <c r="BF267" s="68"/>
      <c r="BG267" s="68"/>
      <c r="BH267" s="68"/>
      <c r="BI267" s="68"/>
      <c r="BJ267" s="68"/>
      <c r="BK267" s="68"/>
      <c r="BL267" s="68"/>
      <c r="BM267" s="68"/>
      <c r="BN267" s="68"/>
      <c r="BO267" s="68"/>
    </row>
    <row r="268" spans="2:67" ht="14.25"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  <c r="AJ268" s="68"/>
      <c r="AK268" s="68"/>
      <c r="AL268" s="68"/>
      <c r="AM268" s="68"/>
      <c r="AN268" s="68"/>
      <c r="AO268" s="68"/>
      <c r="AP268" s="68"/>
      <c r="AQ268" s="68"/>
      <c r="AR268" s="68"/>
      <c r="AS268" s="68"/>
      <c r="AT268" s="68"/>
      <c r="AU268" s="68"/>
      <c r="AV268" s="68"/>
      <c r="AW268" s="68"/>
      <c r="AX268" s="68"/>
      <c r="AY268" s="68"/>
      <c r="AZ268" s="68"/>
      <c r="BA268" s="68"/>
      <c r="BB268" s="68"/>
      <c r="BC268" s="68"/>
      <c r="BD268" s="68"/>
      <c r="BE268" s="68"/>
      <c r="BF268" s="68"/>
      <c r="BG268" s="68"/>
      <c r="BH268" s="68"/>
      <c r="BI268" s="68"/>
      <c r="BJ268" s="68"/>
      <c r="BK268" s="68"/>
      <c r="BL268" s="68"/>
      <c r="BM268" s="68"/>
      <c r="BN268" s="68"/>
      <c r="BO268" s="68"/>
    </row>
    <row r="269" spans="2:67" ht="14.25"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8"/>
      <c r="AT269" s="68"/>
      <c r="AU269" s="68"/>
      <c r="AV269" s="68"/>
      <c r="AW269" s="68"/>
      <c r="AX269" s="68"/>
      <c r="AY269" s="68"/>
      <c r="AZ269" s="68"/>
      <c r="BA269" s="68"/>
      <c r="BB269" s="68"/>
      <c r="BC269" s="68"/>
      <c r="BD269" s="68"/>
      <c r="BE269" s="68"/>
      <c r="BF269" s="68"/>
      <c r="BG269" s="68"/>
      <c r="BH269" s="68"/>
      <c r="BI269" s="68"/>
      <c r="BJ269" s="68"/>
      <c r="BK269" s="68"/>
      <c r="BL269" s="68"/>
      <c r="BM269" s="68"/>
      <c r="BN269" s="68"/>
      <c r="BO269" s="68"/>
    </row>
    <row r="270" spans="2:67" ht="14.25"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  <c r="AJ270" s="68"/>
      <c r="AK270" s="68"/>
      <c r="AL270" s="68"/>
      <c r="AM270" s="68"/>
      <c r="AN270" s="68"/>
      <c r="AO270" s="68"/>
      <c r="AP270" s="68"/>
      <c r="AQ270" s="68"/>
      <c r="AR270" s="68"/>
      <c r="AS270" s="68"/>
      <c r="AT270" s="68"/>
      <c r="AU270" s="68"/>
      <c r="AV270" s="68"/>
      <c r="AW270" s="68"/>
      <c r="AX270" s="68"/>
      <c r="AY270" s="68"/>
      <c r="AZ270" s="68"/>
      <c r="BA270" s="68"/>
      <c r="BB270" s="68"/>
      <c r="BC270" s="68"/>
      <c r="BD270" s="68"/>
      <c r="BE270" s="68"/>
      <c r="BF270" s="68"/>
      <c r="BG270" s="68"/>
      <c r="BH270" s="68"/>
      <c r="BI270" s="68"/>
      <c r="BJ270" s="68"/>
      <c r="BK270" s="68"/>
      <c r="BL270" s="68"/>
      <c r="BM270" s="68"/>
      <c r="BN270" s="68"/>
      <c r="BO270" s="68"/>
    </row>
    <row r="271" spans="2:67" ht="14.25"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  <c r="AJ271" s="68"/>
      <c r="AK271" s="68"/>
      <c r="AL271" s="68"/>
      <c r="AM271" s="68"/>
      <c r="AN271" s="68"/>
      <c r="AO271" s="68"/>
      <c r="AP271" s="68"/>
      <c r="AQ271" s="68"/>
      <c r="AR271" s="68"/>
      <c r="AS271" s="68"/>
      <c r="AT271" s="68"/>
      <c r="AU271" s="68"/>
      <c r="AV271" s="68"/>
      <c r="AW271" s="68"/>
      <c r="AX271" s="68"/>
      <c r="AY271" s="68"/>
      <c r="AZ271" s="68"/>
      <c r="BA271" s="68"/>
      <c r="BB271" s="68"/>
      <c r="BC271" s="68"/>
      <c r="BD271" s="68"/>
      <c r="BE271" s="68"/>
      <c r="BF271" s="68"/>
      <c r="BG271" s="68"/>
      <c r="BH271" s="68"/>
      <c r="BI271" s="68"/>
      <c r="BJ271" s="68"/>
      <c r="BK271" s="68"/>
      <c r="BL271" s="68"/>
      <c r="BM271" s="68"/>
      <c r="BN271" s="68"/>
      <c r="BO271" s="68"/>
    </row>
    <row r="272" spans="2:67" ht="14.25"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8"/>
      <c r="AT272" s="68"/>
      <c r="AU272" s="68"/>
      <c r="AV272" s="68"/>
      <c r="AW272" s="68"/>
      <c r="AX272" s="68"/>
      <c r="AY272" s="68"/>
      <c r="AZ272" s="68"/>
      <c r="BA272" s="68"/>
      <c r="BB272" s="68"/>
      <c r="BC272" s="68"/>
      <c r="BD272" s="68"/>
      <c r="BE272" s="68"/>
      <c r="BF272" s="68"/>
      <c r="BG272" s="68"/>
      <c r="BH272" s="68"/>
      <c r="BI272" s="68"/>
      <c r="BJ272" s="68"/>
      <c r="BK272" s="68"/>
      <c r="BL272" s="68"/>
      <c r="BM272" s="68"/>
      <c r="BN272" s="68"/>
      <c r="BO272" s="68"/>
    </row>
    <row r="273" spans="2:67" ht="14.25"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68"/>
      <c r="AY273" s="68"/>
      <c r="AZ273" s="68"/>
      <c r="BA273" s="68"/>
      <c r="BB273" s="68"/>
      <c r="BC273" s="68"/>
      <c r="BD273" s="68"/>
      <c r="BE273" s="68"/>
      <c r="BF273" s="68"/>
      <c r="BG273" s="68"/>
      <c r="BH273" s="68"/>
      <c r="BI273" s="68"/>
      <c r="BJ273" s="68"/>
      <c r="BK273" s="68"/>
      <c r="BL273" s="68"/>
      <c r="BM273" s="68"/>
      <c r="BN273" s="68"/>
      <c r="BO273" s="68"/>
    </row>
    <row r="274" spans="2:67" ht="14.25"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  <c r="AJ274" s="68"/>
      <c r="AK274" s="68"/>
      <c r="AL274" s="68"/>
      <c r="AM274" s="68"/>
      <c r="AN274" s="68"/>
      <c r="AO274" s="68"/>
      <c r="AP274" s="68"/>
      <c r="AQ274" s="68"/>
      <c r="AR274" s="68"/>
      <c r="AS274" s="68"/>
      <c r="AT274" s="68"/>
      <c r="AU274" s="68"/>
      <c r="AV274" s="68"/>
      <c r="AW274" s="68"/>
      <c r="AX274" s="68"/>
      <c r="AY274" s="68"/>
      <c r="AZ274" s="68"/>
      <c r="BA274" s="68"/>
      <c r="BB274" s="68"/>
      <c r="BC274" s="68"/>
      <c r="BD274" s="68"/>
      <c r="BE274" s="68"/>
      <c r="BF274" s="68"/>
      <c r="BG274" s="68"/>
      <c r="BH274" s="68"/>
      <c r="BI274" s="68"/>
      <c r="BJ274" s="68"/>
      <c r="BK274" s="68"/>
      <c r="BL274" s="68"/>
      <c r="BM274" s="68"/>
      <c r="BN274" s="68"/>
      <c r="BO274" s="68"/>
    </row>
    <row r="275" spans="2:67" ht="14.25"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  <c r="AJ275" s="68"/>
      <c r="AK275" s="68"/>
      <c r="AL275" s="68"/>
      <c r="AM275" s="68"/>
      <c r="AN275" s="68"/>
      <c r="AO275" s="68"/>
      <c r="AP275" s="68"/>
      <c r="AQ275" s="68"/>
      <c r="AR275" s="68"/>
      <c r="AS275" s="68"/>
      <c r="AT275" s="68"/>
      <c r="AU275" s="68"/>
      <c r="AV275" s="68"/>
      <c r="AW275" s="68"/>
      <c r="AX275" s="68"/>
      <c r="AY275" s="68"/>
      <c r="AZ275" s="68"/>
      <c r="BA275" s="68"/>
      <c r="BB275" s="68"/>
      <c r="BC275" s="68"/>
      <c r="BD275" s="68"/>
      <c r="BE275" s="68"/>
      <c r="BF275" s="68"/>
      <c r="BG275" s="68"/>
      <c r="BH275" s="68"/>
      <c r="BI275" s="68"/>
      <c r="BJ275" s="68"/>
      <c r="BK275" s="68"/>
      <c r="BL275" s="68"/>
      <c r="BM275" s="68"/>
      <c r="BN275" s="68"/>
      <c r="BO275" s="68"/>
    </row>
    <row r="276" spans="2:67" ht="14.25"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  <c r="AJ276" s="68"/>
      <c r="AK276" s="68"/>
      <c r="AL276" s="68"/>
      <c r="AM276" s="68"/>
      <c r="AN276" s="68"/>
      <c r="AO276" s="68"/>
      <c r="AP276" s="68"/>
      <c r="AQ276" s="68"/>
      <c r="AR276" s="68"/>
      <c r="AS276" s="68"/>
      <c r="AT276" s="68"/>
      <c r="AU276" s="68"/>
      <c r="AV276" s="68"/>
      <c r="AW276" s="68"/>
      <c r="AX276" s="68"/>
      <c r="AY276" s="68"/>
      <c r="AZ276" s="68"/>
      <c r="BA276" s="68"/>
      <c r="BB276" s="68"/>
      <c r="BC276" s="68"/>
      <c r="BD276" s="68"/>
      <c r="BE276" s="68"/>
      <c r="BF276" s="68"/>
      <c r="BG276" s="68"/>
      <c r="BH276" s="68"/>
      <c r="BI276" s="68"/>
      <c r="BJ276" s="68"/>
      <c r="BK276" s="68"/>
      <c r="BL276" s="68"/>
      <c r="BM276" s="68"/>
      <c r="BN276" s="68"/>
      <c r="BO276" s="68"/>
    </row>
    <row r="277" spans="2:67" ht="14.25"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8"/>
      <c r="AT277" s="68"/>
      <c r="AU277" s="68"/>
      <c r="AV277" s="68"/>
      <c r="AW277" s="68"/>
      <c r="AX277" s="68"/>
      <c r="AY277" s="68"/>
      <c r="AZ277" s="68"/>
      <c r="BA277" s="68"/>
      <c r="BB277" s="68"/>
      <c r="BC277" s="68"/>
      <c r="BD277" s="68"/>
      <c r="BE277" s="68"/>
      <c r="BF277" s="68"/>
      <c r="BG277" s="68"/>
      <c r="BH277" s="68"/>
      <c r="BI277" s="68"/>
      <c r="BJ277" s="68"/>
      <c r="BK277" s="68"/>
      <c r="BL277" s="68"/>
      <c r="BM277" s="68"/>
      <c r="BN277" s="68"/>
      <c r="BO277" s="68"/>
    </row>
    <row r="278" spans="2:67" ht="14.25"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  <c r="AJ278" s="68"/>
      <c r="AK278" s="68"/>
      <c r="AL278" s="68"/>
      <c r="AM278" s="68"/>
      <c r="AN278" s="68"/>
      <c r="AO278" s="68"/>
      <c r="AP278" s="68"/>
      <c r="AQ278" s="68"/>
      <c r="AR278" s="68"/>
      <c r="AS278" s="68"/>
      <c r="AT278" s="68"/>
      <c r="AU278" s="68"/>
      <c r="AV278" s="68"/>
      <c r="AW278" s="68"/>
      <c r="AX278" s="68"/>
      <c r="AY278" s="68"/>
      <c r="AZ278" s="68"/>
      <c r="BA278" s="68"/>
      <c r="BB278" s="68"/>
      <c r="BC278" s="68"/>
      <c r="BD278" s="68"/>
      <c r="BE278" s="68"/>
      <c r="BF278" s="68"/>
      <c r="BG278" s="68"/>
      <c r="BH278" s="68"/>
      <c r="BI278" s="68"/>
      <c r="BJ278" s="68"/>
      <c r="BK278" s="68"/>
      <c r="BL278" s="68"/>
      <c r="BM278" s="68"/>
      <c r="BN278" s="68"/>
      <c r="BO278" s="68"/>
    </row>
    <row r="279" spans="2:67" ht="14.25"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  <c r="AJ279" s="68"/>
      <c r="AK279" s="68"/>
      <c r="AL279" s="68"/>
      <c r="AM279" s="68"/>
      <c r="AN279" s="68"/>
      <c r="AO279" s="68"/>
      <c r="AP279" s="68"/>
      <c r="AQ279" s="68"/>
      <c r="AR279" s="68"/>
      <c r="AS279" s="68"/>
      <c r="AT279" s="68"/>
      <c r="AU279" s="68"/>
      <c r="AV279" s="68"/>
      <c r="AW279" s="68"/>
      <c r="AX279" s="68"/>
      <c r="AY279" s="68"/>
      <c r="AZ279" s="68"/>
      <c r="BA279" s="68"/>
      <c r="BB279" s="68"/>
      <c r="BC279" s="68"/>
      <c r="BD279" s="68"/>
      <c r="BE279" s="68"/>
      <c r="BF279" s="68"/>
      <c r="BG279" s="68"/>
      <c r="BH279" s="68"/>
      <c r="BI279" s="68"/>
      <c r="BJ279" s="68"/>
      <c r="BK279" s="68"/>
      <c r="BL279" s="68"/>
      <c r="BM279" s="68"/>
      <c r="BN279" s="68"/>
      <c r="BO279" s="68"/>
    </row>
    <row r="280" spans="2:67" ht="14.25"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  <c r="AK280" s="68"/>
      <c r="AL280" s="68"/>
      <c r="AM280" s="68"/>
      <c r="AN280" s="68"/>
      <c r="AO280" s="68"/>
      <c r="AP280" s="68"/>
      <c r="AQ280" s="68"/>
      <c r="AR280" s="68"/>
      <c r="AS280" s="68"/>
      <c r="AT280" s="68"/>
      <c r="AU280" s="68"/>
      <c r="AV280" s="68"/>
      <c r="AW280" s="68"/>
      <c r="AX280" s="68"/>
      <c r="AY280" s="68"/>
      <c r="AZ280" s="68"/>
      <c r="BA280" s="68"/>
      <c r="BB280" s="68"/>
      <c r="BC280" s="68"/>
      <c r="BD280" s="68"/>
      <c r="BE280" s="68"/>
      <c r="BF280" s="68"/>
      <c r="BG280" s="68"/>
      <c r="BH280" s="68"/>
      <c r="BI280" s="68"/>
      <c r="BJ280" s="68"/>
      <c r="BK280" s="68"/>
      <c r="BL280" s="68"/>
      <c r="BM280" s="68"/>
      <c r="BN280" s="68"/>
      <c r="BO280" s="68"/>
    </row>
    <row r="281" spans="2:67" ht="14.25"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68"/>
      <c r="AY281" s="68"/>
      <c r="AZ281" s="68"/>
      <c r="BA281" s="68"/>
      <c r="BB281" s="68"/>
      <c r="BC281" s="68"/>
      <c r="BD281" s="68"/>
      <c r="BE281" s="68"/>
      <c r="BF281" s="68"/>
      <c r="BG281" s="68"/>
      <c r="BH281" s="68"/>
      <c r="BI281" s="68"/>
      <c r="BJ281" s="68"/>
      <c r="BK281" s="68"/>
      <c r="BL281" s="68"/>
      <c r="BM281" s="68"/>
      <c r="BN281" s="68"/>
      <c r="BO281" s="68"/>
    </row>
    <row r="282" spans="2:67" ht="14.25"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  <c r="AX282" s="68"/>
      <c r="AY282" s="68"/>
      <c r="AZ282" s="68"/>
      <c r="BA282" s="68"/>
      <c r="BB282" s="68"/>
      <c r="BC282" s="68"/>
      <c r="BD282" s="68"/>
      <c r="BE282" s="68"/>
      <c r="BF282" s="68"/>
      <c r="BG282" s="68"/>
      <c r="BH282" s="68"/>
      <c r="BI282" s="68"/>
      <c r="BJ282" s="68"/>
      <c r="BK282" s="68"/>
      <c r="BL282" s="68"/>
      <c r="BM282" s="68"/>
      <c r="BN282" s="68"/>
      <c r="BO282" s="68"/>
    </row>
    <row r="283" spans="2:67" ht="14.25"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  <c r="AX283" s="68"/>
      <c r="AY283" s="68"/>
      <c r="AZ283" s="68"/>
      <c r="BA283" s="68"/>
      <c r="BB283" s="68"/>
      <c r="BC283" s="68"/>
      <c r="BD283" s="68"/>
      <c r="BE283" s="68"/>
      <c r="BF283" s="68"/>
      <c r="BG283" s="68"/>
      <c r="BH283" s="68"/>
      <c r="BI283" s="68"/>
      <c r="BJ283" s="68"/>
      <c r="BK283" s="68"/>
      <c r="BL283" s="68"/>
      <c r="BM283" s="68"/>
      <c r="BN283" s="68"/>
      <c r="BO283" s="68"/>
    </row>
    <row r="284" spans="2:67" ht="14.25"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  <c r="AX284" s="68"/>
      <c r="AY284" s="68"/>
      <c r="AZ284" s="68"/>
      <c r="BA284" s="68"/>
      <c r="BB284" s="68"/>
      <c r="BC284" s="68"/>
      <c r="BD284" s="68"/>
      <c r="BE284" s="68"/>
      <c r="BF284" s="68"/>
      <c r="BG284" s="68"/>
      <c r="BH284" s="68"/>
      <c r="BI284" s="68"/>
      <c r="BJ284" s="68"/>
      <c r="BK284" s="68"/>
      <c r="BL284" s="68"/>
      <c r="BM284" s="68"/>
      <c r="BN284" s="68"/>
      <c r="BO284" s="68"/>
    </row>
    <row r="285" spans="2:67" ht="14.25"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68"/>
      <c r="AY285" s="68"/>
      <c r="AZ285" s="68"/>
      <c r="BA285" s="68"/>
      <c r="BB285" s="68"/>
      <c r="BC285" s="68"/>
      <c r="BD285" s="68"/>
      <c r="BE285" s="68"/>
      <c r="BF285" s="68"/>
      <c r="BG285" s="68"/>
      <c r="BH285" s="68"/>
      <c r="BI285" s="68"/>
      <c r="BJ285" s="68"/>
      <c r="BK285" s="68"/>
      <c r="BL285" s="68"/>
      <c r="BM285" s="68"/>
      <c r="BN285" s="68"/>
      <c r="BO285" s="68"/>
    </row>
    <row r="286" spans="2:67" ht="14.25"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68"/>
      <c r="AY286" s="68"/>
      <c r="AZ286" s="68"/>
      <c r="BA286" s="68"/>
      <c r="BB286" s="68"/>
      <c r="BC286" s="68"/>
      <c r="BD286" s="68"/>
      <c r="BE286" s="68"/>
      <c r="BF286" s="68"/>
      <c r="BG286" s="68"/>
      <c r="BH286" s="68"/>
      <c r="BI286" s="68"/>
      <c r="BJ286" s="68"/>
      <c r="BK286" s="68"/>
      <c r="BL286" s="68"/>
      <c r="BM286" s="68"/>
      <c r="BN286" s="68"/>
      <c r="BO286" s="68"/>
    </row>
    <row r="287" spans="2:67" ht="14.25"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8"/>
      <c r="AT287" s="68"/>
      <c r="AU287" s="68"/>
      <c r="AV287" s="68"/>
      <c r="AW287" s="68"/>
      <c r="AX287" s="68"/>
      <c r="AY287" s="68"/>
      <c r="AZ287" s="68"/>
      <c r="BA287" s="68"/>
      <c r="BB287" s="68"/>
      <c r="BC287" s="68"/>
      <c r="BD287" s="68"/>
      <c r="BE287" s="68"/>
      <c r="BF287" s="68"/>
      <c r="BG287" s="68"/>
      <c r="BH287" s="68"/>
      <c r="BI287" s="68"/>
      <c r="BJ287" s="68"/>
      <c r="BK287" s="68"/>
      <c r="BL287" s="68"/>
      <c r="BM287" s="68"/>
      <c r="BN287" s="68"/>
      <c r="BO287" s="68"/>
    </row>
    <row r="288" spans="2:67" ht="14.25"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  <c r="AJ288" s="68"/>
      <c r="AK288" s="68"/>
      <c r="AL288" s="68"/>
      <c r="AM288" s="68"/>
      <c r="AN288" s="68"/>
      <c r="AO288" s="68"/>
      <c r="AP288" s="68"/>
      <c r="AQ288" s="68"/>
      <c r="AR288" s="68"/>
      <c r="AS288" s="68"/>
      <c r="AT288" s="68"/>
      <c r="AU288" s="68"/>
      <c r="AV288" s="68"/>
      <c r="AW288" s="68"/>
      <c r="AX288" s="68"/>
      <c r="AY288" s="68"/>
      <c r="AZ288" s="68"/>
      <c r="BA288" s="68"/>
      <c r="BB288" s="68"/>
      <c r="BC288" s="68"/>
      <c r="BD288" s="68"/>
      <c r="BE288" s="68"/>
      <c r="BF288" s="68"/>
      <c r="BG288" s="68"/>
      <c r="BH288" s="68"/>
      <c r="BI288" s="68"/>
      <c r="BJ288" s="68"/>
      <c r="BK288" s="68"/>
      <c r="BL288" s="68"/>
      <c r="BM288" s="68"/>
      <c r="BN288" s="68"/>
      <c r="BO288" s="68"/>
    </row>
    <row r="289" spans="2:85" ht="14.25"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  <c r="AJ289" s="68"/>
      <c r="AK289" s="68"/>
      <c r="AL289" s="68"/>
      <c r="AM289" s="68"/>
      <c r="AN289" s="68"/>
      <c r="AO289" s="68"/>
      <c r="AP289" s="68"/>
      <c r="AQ289" s="68"/>
      <c r="AR289" s="68"/>
      <c r="AS289" s="68"/>
      <c r="AT289" s="68"/>
      <c r="AU289" s="68"/>
      <c r="AV289" s="68"/>
      <c r="AW289" s="68"/>
      <c r="AX289" s="68"/>
      <c r="AY289" s="68"/>
      <c r="AZ289" s="68"/>
      <c r="BA289" s="68"/>
      <c r="BB289" s="68"/>
      <c r="BC289" s="68"/>
      <c r="BD289" s="68"/>
      <c r="BE289" s="68"/>
      <c r="BF289" s="68"/>
      <c r="BG289" s="68"/>
      <c r="BH289" s="68"/>
      <c r="BI289" s="68"/>
      <c r="BJ289" s="68"/>
      <c r="BK289" s="68"/>
      <c r="BL289" s="68"/>
      <c r="BM289" s="68"/>
      <c r="BN289" s="68"/>
      <c r="BO289" s="68"/>
    </row>
    <row r="290" spans="2:85" ht="14.25"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  <c r="AJ290" s="68"/>
      <c r="AK290" s="68"/>
      <c r="AL290" s="68"/>
      <c r="AM290" s="68"/>
      <c r="AN290" s="68"/>
      <c r="AO290" s="68"/>
      <c r="AP290" s="68"/>
      <c r="AQ290" s="68"/>
      <c r="AR290" s="68"/>
      <c r="AS290" s="68"/>
      <c r="AT290" s="68"/>
      <c r="AU290" s="68"/>
      <c r="AV290" s="68"/>
      <c r="AW290" s="68"/>
      <c r="AX290" s="68"/>
      <c r="AY290" s="68"/>
      <c r="AZ290" s="68"/>
      <c r="BA290" s="68"/>
      <c r="BB290" s="68"/>
      <c r="BC290" s="68"/>
      <c r="BD290" s="68"/>
      <c r="BE290" s="68"/>
      <c r="BF290" s="68"/>
      <c r="BG290" s="68"/>
      <c r="BH290" s="68"/>
      <c r="BI290" s="68"/>
      <c r="BJ290" s="68"/>
      <c r="BK290" s="68"/>
      <c r="BL290" s="68"/>
      <c r="BM290" s="68"/>
      <c r="BN290" s="68"/>
      <c r="BO290" s="68"/>
    </row>
    <row r="291" spans="2:85" ht="14.25"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  <c r="AJ291" s="68"/>
      <c r="AK291" s="68"/>
      <c r="AL291" s="68"/>
      <c r="AM291" s="68"/>
      <c r="AN291" s="68"/>
      <c r="AO291" s="68"/>
      <c r="AP291" s="68"/>
      <c r="AQ291" s="68"/>
      <c r="AR291" s="68"/>
      <c r="AS291" s="68"/>
      <c r="AT291" s="68"/>
      <c r="AU291" s="68"/>
      <c r="AV291" s="68"/>
      <c r="AW291" s="68"/>
      <c r="AX291" s="68"/>
      <c r="AY291" s="68"/>
      <c r="AZ291" s="68"/>
      <c r="BA291" s="68"/>
      <c r="BB291" s="68"/>
      <c r="BC291" s="68"/>
      <c r="BD291" s="68"/>
      <c r="BE291" s="68"/>
      <c r="BF291" s="68"/>
      <c r="BG291" s="68"/>
      <c r="BH291" s="68"/>
      <c r="BI291" s="68"/>
      <c r="BJ291" s="68"/>
      <c r="BK291" s="68"/>
      <c r="BL291" s="68"/>
      <c r="BM291" s="68"/>
      <c r="BN291" s="68"/>
      <c r="BO291" s="68"/>
    </row>
    <row r="292" spans="2:85" ht="14.25"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  <c r="AJ292" s="68"/>
      <c r="AK292" s="68"/>
      <c r="AL292" s="68"/>
      <c r="AM292" s="68"/>
      <c r="AN292" s="68"/>
      <c r="AO292" s="68"/>
      <c r="AP292" s="68"/>
      <c r="AQ292" s="68"/>
      <c r="AR292" s="68"/>
      <c r="AS292" s="68"/>
      <c r="AT292" s="68"/>
      <c r="AU292" s="68"/>
      <c r="AV292" s="68"/>
      <c r="AW292" s="68"/>
      <c r="AX292" s="68"/>
      <c r="AY292" s="68"/>
      <c r="AZ292" s="68"/>
      <c r="BA292" s="68"/>
      <c r="BB292" s="68"/>
      <c r="BC292" s="68"/>
      <c r="BD292" s="68"/>
      <c r="BE292" s="68"/>
      <c r="BF292" s="68"/>
      <c r="BG292" s="68"/>
      <c r="BH292" s="68"/>
      <c r="BI292" s="68"/>
      <c r="BJ292" s="68"/>
      <c r="BK292" s="68"/>
      <c r="BL292" s="68"/>
      <c r="BM292" s="68"/>
      <c r="BN292" s="68"/>
      <c r="BO292" s="68"/>
    </row>
    <row r="293" spans="2:85" ht="14.25"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  <c r="AJ293" s="68"/>
      <c r="AK293" s="68"/>
      <c r="AL293" s="68"/>
      <c r="AM293" s="68"/>
      <c r="AN293" s="68"/>
      <c r="AO293" s="68"/>
      <c r="AP293" s="68"/>
      <c r="AQ293" s="68"/>
      <c r="AR293" s="68"/>
      <c r="AS293" s="68"/>
      <c r="AT293" s="68"/>
      <c r="AU293" s="68"/>
      <c r="AV293" s="68"/>
      <c r="AW293" s="68"/>
      <c r="AX293" s="68"/>
      <c r="AY293" s="68"/>
      <c r="AZ293" s="68"/>
      <c r="BA293" s="68"/>
      <c r="BB293" s="68"/>
      <c r="BC293" s="68"/>
      <c r="BD293" s="68"/>
      <c r="BE293" s="68"/>
      <c r="BF293" s="68"/>
      <c r="BG293" s="68"/>
      <c r="BH293" s="68"/>
      <c r="BI293" s="68"/>
      <c r="BJ293" s="68"/>
      <c r="BK293" s="68"/>
      <c r="BL293" s="68"/>
      <c r="BM293" s="68"/>
      <c r="BN293" s="68"/>
      <c r="BO293" s="68"/>
    </row>
    <row r="294" spans="2:85" ht="14.25"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  <c r="AJ294" s="68"/>
      <c r="AK294" s="68"/>
      <c r="AL294" s="68"/>
      <c r="AM294" s="68"/>
      <c r="AN294" s="68"/>
      <c r="AO294" s="68"/>
      <c r="AP294" s="68"/>
      <c r="AQ294" s="68"/>
      <c r="AR294" s="68"/>
      <c r="AS294" s="68"/>
      <c r="AT294" s="68"/>
      <c r="AU294" s="68"/>
      <c r="AV294" s="68"/>
      <c r="AW294" s="68"/>
      <c r="AX294" s="68"/>
      <c r="AY294" s="68"/>
      <c r="AZ294" s="68"/>
      <c r="BA294" s="68"/>
      <c r="BB294" s="68"/>
      <c r="BC294" s="68"/>
      <c r="BD294" s="68"/>
      <c r="BE294" s="68"/>
      <c r="BF294" s="68"/>
      <c r="BG294" s="68"/>
      <c r="BH294" s="68"/>
      <c r="BI294" s="68"/>
      <c r="BJ294" s="68"/>
      <c r="BK294" s="68"/>
      <c r="BL294" s="68"/>
      <c r="BM294" s="68"/>
      <c r="BN294" s="68"/>
      <c r="BO294" s="68"/>
    </row>
    <row r="295" spans="2:85" ht="14.25"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  <c r="AJ295" s="68"/>
      <c r="AK295" s="68"/>
      <c r="AL295" s="68"/>
      <c r="AM295" s="68"/>
      <c r="AN295" s="68"/>
      <c r="AO295" s="68"/>
      <c r="AP295" s="68"/>
      <c r="AQ295" s="68"/>
      <c r="AR295" s="68"/>
      <c r="AS295" s="68"/>
      <c r="AT295" s="68"/>
      <c r="AU295" s="68"/>
      <c r="AV295" s="68"/>
      <c r="AW295" s="68"/>
      <c r="AX295" s="68"/>
      <c r="AY295" s="68"/>
      <c r="AZ295" s="68"/>
      <c r="BA295" s="68"/>
      <c r="BB295" s="68"/>
      <c r="BC295" s="68"/>
      <c r="BD295" s="68"/>
      <c r="BE295" s="68"/>
      <c r="BF295" s="68"/>
      <c r="BG295" s="68"/>
      <c r="BH295" s="68"/>
      <c r="BI295" s="68"/>
      <c r="BJ295" s="68"/>
      <c r="BK295" s="68"/>
      <c r="BL295" s="68"/>
      <c r="BM295" s="68"/>
      <c r="BN295" s="68"/>
      <c r="BO295" s="68"/>
    </row>
    <row r="296" spans="2:85" ht="14.25"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  <c r="AJ296" s="68"/>
      <c r="AK296" s="68"/>
      <c r="AL296" s="68"/>
      <c r="AM296" s="68"/>
      <c r="AN296" s="68"/>
      <c r="AO296" s="68"/>
      <c r="AP296" s="68"/>
      <c r="AQ296" s="68"/>
      <c r="AR296" s="68"/>
      <c r="AS296" s="68"/>
      <c r="AT296" s="68"/>
      <c r="AU296" s="68"/>
      <c r="AV296" s="68"/>
      <c r="AW296" s="68"/>
      <c r="AX296" s="68"/>
      <c r="AY296" s="68"/>
      <c r="AZ296" s="68"/>
      <c r="BA296" s="68"/>
      <c r="BB296" s="68"/>
      <c r="BC296" s="68"/>
      <c r="BD296" s="68"/>
      <c r="BE296" s="68"/>
      <c r="BF296" s="68"/>
      <c r="BG296" s="68"/>
      <c r="BH296" s="68"/>
      <c r="BI296" s="68"/>
      <c r="BJ296" s="68"/>
      <c r="BK296" s="68"/>
      <c r="BL296" s="68"/>
      <c r="BM296" s="68"/>
      <c r="BN296" s="68"/>
      <c r="BO296" s="68"/>
    </row>
    <row r="297" spans="2:85" ht="14.25"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  <c r="AJ297" s="68"/>
      <c r="AK297" s="68"/>
      <c r="AL297" s="68"/>
      <c r="AM297" s="68"/>
      <c r="AN297" s="68"/>
      <c r="AO297" s="68"/>
      <c r="AP297" s="68"/>
      <c r="AQ297" s="68"/>
      <c r="AR297" s="68"/>
      <c r="AS297" s="68"/>
      <c r="AT297" s="68"/>
      <c r="AU297" s="68"/>
      <c r="AV297" s="68"/>
      <c r="AW297" s="68"/>
      <c r="AX297" s="68"/>
      <c r="AY297" s="68"/>
      <c r="AZ297" s="68"/>
      <c r="BA297" s="68"/>
      <c r="BB297" s="68"/>
      <c r="BC297" s="68"/>
      <c r="BD297" s="68"/>
      <c r="BE297" s="68"/>
      <c r="BF297" s="68"/>
      <c r="BG297" s="68"/>
      <c r="BH297" s="68"/>
      <c r="BI297" s="68"/>
      <c r="BJ297" s="68"/>
      <c r="BK297" s="68"/>
      <c r="BL297" s="68"/>
      <c r="BM297" s="68"/>
      <c r="BN297" s="68"/>
      <c r="BO297" s="68"/>
    </row>
    <row r="298" spans="2:85" ht="14.25"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8"/>
      <c r="AT298" s="68"/>
      <c r="AU298" s="68"/>
      <c r="AV298" s="68"/>
      <c r="AW298" s="68"/>
      <c r="AX298" s="68"/>
      <c r="AY298" s="68"/>
      <c r="AZ298" s="68"/>
      <c r="BA298" s="68"/>
      <c r="BB298" s="68"/>
      <c r="BC298" s="68"/>
      <c r="BD298" s="68"/>
      <c r="BE298" s="68"/>
      <c r="BF298" s="68"/>
      <c r="BG298" s="68"/>
      <c r="BH298" s="68"/>
      <c r="BI298" s="68"/>
      <c r="BJ298" s="68"/>
      <c r="BK298" s="68"/>
      <c r="BL298" s="68"/>
      <c r="BM298" s="68"/>
      <c r="BN298" s="68"/>
      <c r="BO298" s="68"/>
    </row>
    <row r="299" spans="2:85" ht="14.25"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8"/>
      <c r="AT299" s="68"/>
      <c r="AU299" s="68"/>
      <c r="AV299" s="68"/>
      <c r="AW299" s="68"/>
      <c r="AX299" s="68"/>
      <c r="AY299" s="68"/>
      <c r="AZ299" s="68"/>
      <c r="BA299" s="68"/>
      <c r="BB299" s="68"/>
      <c r="BC299" s="68"/>
      <c r="BD299" s="68"/>
      <c r="BE299" s="68"/>
      <c r="BF299" s="68"/>
      <c r="BG299" s="68"/>
      <c r="BH299" s="68"/>
      <c r="BI299" s="68"/>
      <c r="BJ299" s="68"/>
      <c r="BK299" s="68"/>
      <c r="BL299" s="68"/>
      <c r="BM299" s="68"/>
      <c r="BN299" s="68"/>
      <c r="BO299" s="68"/>
    </row>
    <row r="300" spans="2:85" ht="14.25"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  <c r="AJ300" s="68"/>
      <c r="AK300" s="68"/>
      <c r="AL300" s="68"/>
      <c r="AM300" s="68"/>
      <c r="AN300" s="68"/>
      <c r="AO300" s="68"/>
      <c r="AP300" s="68"/>
      <c r="AQ300" s="68"/>
      <c r="AR300" s="68"/>
      <c r="AS300" s="68"/>
      <c r="AT300" s="68"/>
      <c r="AU300" s="68"/>
      <c r="AV300" s="68"/>
      <c r="AW300" s="68"/>
      <c r="AX300" s="68"/>
      <c r="AY300" s="68"/>
      <c r="AZ300" s="68"/>
      <c r="BA300" s="68"/>
      <c r="BB300" s="68"/>
      <c r="BC300" s="68"/>
      <c r="BD300" s="68"/>
      <c r="BE300" s="68"/>
      <c r="BF300" s="68"/>
      <c r="BG300" s="68"/>
      <c r="BH300" s="68"/>
      <c r="BI300" s="68"/>
      <c r="BJ300" s="68"/>
      <c r="BK300" s="68"/>
      <c r="BL300" s="68"/>
      <c r="BM300" s="68"/>
      <c r="BN300" s="68"/>
      <c r="BO300" s="68"/>
    </row>
    <row r="301" spans="2:85" ht="15">
      <c r="B301" s="97" t="s">
        <v>145</v>
      </c>
      <c r="C301" s="68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  <c r="AX301" s="68"/>
      <c r="AY301" s="68"/>
      <c r="AZ301" s="68"/>
      <c r="BA301" s="68"/>
      <c r="BB301" s="68"/>
      <c r="BC301" s="68"/>
      <c r="BD301" s="68"/>
      <c r="BE301" s="68"/>
      <c r="BF301" s="68"/>
      <c r="BG301" s="68"/>
      <c r="BH301" s="68"/>
      <c r="BI301" s="68"/>
      <c r="BJ301" s="68"/>
      <c r="BK301" s="68"/>
      <c r="BL301" s="68"/>
      <c r="BM301" s="68"/>
      <c r="BN301" s="68"/>
      <c r="BO301" s="68"/>
    </row>
    <row r="303" spans="2:85" ht="14.25">
      <c r="B303" s="90" t="s">
        <v>72</v>
      </c>
      <c r="C303" s="90"/>
      <c r="D303" s="92" t="e">
        <f>IS!D300</f>
        <v>#NAME?</v>
      </c>
      <c r="E303" s="92" t="e">
        <f>IS!E300</f>
        <v>#NAME?</v>
      </c>
      <c r="F303" s="92" t="e">
        <f>IS!F300</f>
        <v>#NAME?</v>
      </c>
      <c r="G303" s="92" t="e">
        <f>IS!G300</f>
        <v>#NAME?</v>
      </c>
      <c r="H303" s="92" t="e">
        <f>IS!H300</f>
        <v>#NAME?</v>
      </c>
      <c r="I303" s="92" t="e">
        <f>IS!I300</f>
        <v>#NAME?</v>
      </c>
      <c r="J303" s="92" t="e">
        <f>IS!J300</f>
        <v>#NAME?</v>
      </c>
      <c r="K303" s="92" t="e">
        <f>IS!K300</f>
        <v>#NAME?</v>
      </c>
      <c r="L303" s="92" t="e">
        <f>IS!L300</f>
        <v>#NAME?</v>
      </c>
      <c r="M303" s="92" t="e">
        <f>IS!M300</f>
        <v>#NAME?</v>
      </c>
      <c r="N303" s="92" t="e">
        <f>IS!N300</f>
        <v>#NAME?</v>
      </c>
      <c r="O303" s="92" t="e">
        <f>IS!O300</f>
        <v>#NAME?</v>
      </c>
      <c r="P303" s="92" t="e">
        <f>IS!P300</f>
        <v>#NAME?</v>
      </c>
      <c r="Q303" s="92" t="e">
        <f>IS!Q300</f>
        <v>#NAME?</v>
      </c>
      <c r="R303" s="92" t="e">
        <f>IS!R300</f>
        <v>#NAME?</v>
      </c>
      <c r="S303" s="92" t="e">
        <f>IS!S300</f>
        <v>#NAME?</v>
      </c>
      <c r="T303" s="92" t="e">
        <f>IS!T300</f>
        <v>#NAME?</v>
      </c>
      <c r="U303" s="92" t="e">
        <f>IS!U300</f>
        <v>#NAME?</v>
      </c>
      <c r="V303" s="92" t="e">
        <f>IS!V300</f>
        <v>#NAME?</v>
      </c>
      <c r="W303" s="92" t="e">
        <f>IS!W300</f>
        <v>#NAME?</v>
      </c>
      <c r="X303" s="92" t="e">
        <f>IS!X300</f>
        <v>#NAME?</v>
      </c>
      <c r="Y303" s="92" t="e">
        <f>IS!Y300</f>
        <v>#NAME?</v>
      </c>
      <c r="Z303" s="92" t="e">
        <f>IS!Z300</f>
        <v>#NAME?</v>
      </c>
      <c r="AA303" s="92" t="e">
        <f>IS!AA300</f>
        <v>#NAME?</v>
      </c>
      <c r="AB303" s="92" t="e">
        <f>IS!AB300</f>
        <v>#NAME?</v>
      </c>
      <c r="AC303" s="92" t="e">
        <f>IS!AC300</f>
        <v>#NAME?</v>
      </c>
      <c r="AD303" s="92" t="e">
        <f>IS!AD300</f>
        <v>#NAME?</v>
      </c>
      <c r="AE303" s="92" t="e">
        <f>IS!AE300</f>
        <v>#NAME?</v>
      </c>
      <c r="AF303" s="359" t="e">
        <f>IS!AF300</f>
        <v>#NAME?</v>
      </c>
      <c r="AG303" s="92" t="e">
        <f>IS!AG300</f>
        <v>#NAME?</v>
      </c>
      <c r="AH303" s="92" t="e">
        <f>IS!AH300</f>
        <v>#NAME?</v>
      </c>
      <c r="AI303" s="92" t="e">
        <f>IS!AI300</f>
        <v>#NAME?</v>
      </c>
      <c r="AJ303" s="92" t="e">
        <f>IS!AJ300</f>
        <v>#NAME?</v>
      </c>
      <c r="AK303" s="92" t="e">
        <f>IS!AK300</f>
        <v>#NAME?</v>
      </c>
      <c r="AL303" s="92" t="e">
        <f>IS!AL300</f>
        <v>#NAME?</v>
      </c>
      <c r="AM303" s="92" t="e">
        <f>IS!AM300</f>
        <v>#NAME?</v>
      </c>
      <c r="AN303" s="92" t="e">
        <f>IS!AN300</f>
        <v>#NAME?</v>
      </c>
      <c r="AO303" s="92" t="e">
        <f>IS!AO300</f>
        <v>#NAME?</v>
      </c>
      <c r="AP303" s="92" t="str">
        <f>IS!AP300</f>
        <v>A</v>
      </c>
      <c r="AQ303" s="92" t="e">
        <f>IS!AQ300</f>
        <v>#NAME?</v>
      </c>
      <c r="AR303" s="92" t="e">
        <f>IS!AR300</f>
        <v>#NAME?</v>
      </c>
      <c r="AS303" s="92" t="e">
        <f>IS!AS300</f>
        <v>#NAME?</v>
      </c>
      <c r="AT303" s="92" t="e">
        <f>IS!AT300</f>
        <v>#NAME?</v>
      </c>
      <c r="AU303" s="92" t="e">
        <f>IS!AU300</f>
        <v>#NAME?</v>
      </c>
      <c r="AV303" s="92" t="e">
        <f>IS!AV300</f>
        <v>#NAME?</v>
      </c>
      <c r="AW303" s="92" t="e">
        <f>IS!AW300</f>
        <v>#NAME?</v>
      </c>
      <c r="AX303" s="92" t="e">
        <f>IS!AX300</f>
        <v>#NAME?</v>
      </c>
      <c r="AY303" s="92" t="e">
        <f>IS!AY300</f>
        <v>#NAME?</v>
      </c>
      <c r="AZ303" s="92" t="e">
        <f>IS!AZ300</f>
        <v>#NAME?</v>
      </c>
      <c r="BA303" s="92" t="e">
        <f>IS!BA300</f>
        <v>#NAME?</v>
      </c>
      <c r="BB303" s="92" t="e">
        <f>IS!BB300</f>
        <v>#NAME?</v>
      </c>
      <c r="BC303" s="92" t="e">
        <f>IS!BC300</f>
        <v>#NAME?</v>
      </c>
      <c r="BD303" s="92" t="e">
        <f>IS!BD300</f>
        <v>#NAME?</v>
      </c>
      <c r="BE303" s="92" t="e">
        <f>IS!BE300</f>
        <v>#NAME?</v>
      </c>
      <c r="BF303" s="92" t="e">
        <f>IS!BF300</f>
        <v>#NAME?</v>
      </c>
      <c r="BG303" s="92" t="e">
        <f>IS!BG300</f>
        <v>#NAME?</v>
      </c>
      <c r="BH303" s="92" t="e">
        <f>IS!BH300</f>
        <v>#NAME?</v>
      </c>
      <c r="BI303" s="92" t="e">
        <f>IS!BI300</f>
        <v>#NAME?</v>
      </c>
      <c r="BJ303" s="92" t="e">
        <f>IS!BJ300</f>
        <v>#NAME?</v>
      </c>
      <c r="BK303" s="92" t="e">
        <f>IS!BK300</f>
        <v>#NAME?</v>
      </c>
      <c r="BL303" s="92" t="e">
        <f>IS!BL300</f>
        <v>#NAME?</v>
      </c>
      <c r="BM303" s="92" t="e">
        <f>IS!BM300</f>
        <v>#NAME?</v>
      </c>
      <c r="BN303" s="92" t="e">
        <f>IS!BN300</f>
        <v>#NAME?</v>
      </c>
      <c r="BO303" s="92" t="e">
        <f>IS!BO300</f>
        <v>#NAME?</v>
      </c>
      <c r="BQ303" s="92" t="e">
        <f>IS!BQ300</f>
        <v>#NAME?</v>
      </c>
      <c r="BR303" s="92" t="e">
        <f>IS!BR300</f>
        <v>#NAME?</v>
      </c>
      <c r="BS303" s="92" t="e">
        <f>IS!BS300</f>
        <v>#NAME?</v>
      </c>
      <c r="BT303" s="92" t="e">
        <f>IS!BT300</f>
        <v>#NAME?</v>
      </c>
      <c r="BU303" s="92" t="e">
        <f>IS!BU300</f>
        <v>#NAME?</v>
      </c>
      <c r="BV303" s="92" t="e">
        <f>IS!BV300</f>
        <v>#NAME?</v>
      </c>
      <c r="BW303" s="92" t="e">
        <f>IS!BW300</f>
        <v>#NAME?</v>
      </c>
      <c r="BX303" s="92" t="e">
        <f>IS!BX300</f>
        <v>#NAME?</v>
      </c>
      <c r="BY303" s="92" t="e">
        <f>IS!BY300</f>
        <v>#NAME?</v>
      </c>
      <c r="BZ303" s="92" t="e">
        <f>IS!BZ300</f>
        <v>#NAME?</v>
      </c>
      <c r="CA303" s="92" t="e">
        <f>IS!CA300</f>
        <v>#NAME?</v>
      </c>
      <c r="CB303" s="92" t="e">
        <f>IS!CB300</f>
        <v>#NAME?</v>
      </c>
      <c r="CC303" s="92" t="e">
        <f>IS!CC300</f>
        <v>#NAME?</v>
      </c>
      <c r="CD303" s="92" t="e">
        <f>IS!CD300</f>
        <v>#NAME?</v>
      </c>
      <c r="CE303" s="92" t="e">
        <f>IS!CE300</f>
        <v>#NAME?</v>
      </c>
      <c r="CF303" s="92" t="e">
        <f>IS!CF300</f>
        <v>#NAME?</v>
      </c>
      <c r="CG303" s="92" t="e">
        <f>IS!CG300</f>
        <v>#NAME?</v>
      </c>
    </row>
    <row r="304" spans="2:85" ht="14.25">
      <c r="B304" s="68" t="s">
        <v>146</v>
      </c>
      <c r="C304" s="68"/>
      <c r="D304" s="164" t="s">
        <v>147</v>
      </c>
      <c r="E304" s="164" t="s">
        <v>147</v>
      </c>
      <c r="F304" s="164" t="s">
        <v>147</v>
      </c>
      <c r="G304" s="164" t="s">
        <v>147</v>
      </c>
      <c r="H304" s="164" t="s">
        <v>147</v>
      </c>
      <c r="I304" s="164" t="s">
        <v>147</v>
      </c>
      <c r="J304" s="164" t="s">
        <v>147</v>
      </c>
      <c r="K304" s="164" t="s">
        <v>147</v>
      </c>
      <c r="L304" s="164" t="s">
        <v>147</v>
      </c>
      <c r="M304" s="164" t="s">
        <v>147</v>
      </c>
      <c r="N304" s="164" t="s">
        <v>147</v>
      </c>
      <c r="O304" s="164" t="s">
        <v>147</v>
      </c>
      <c r="P304" s="164" t="s">
        <v>147</v>
      </c>
      <c r="Q304" s="164" t="s">
        <v>147</v>
      </c>
      <c r="R304" s="164" t="s">
        <v>147</v>
      </c>
      <c r="S304" s="164" t="s">
        <v>147</v>
      </c>
      <c r="T304" s="164" t="s">
        <v>147</v>
      </c>
      <c r="U304" s="164" t="s">
        <v>147</v>
      </c>
      <c r="V304" s="164" t="s">
        <v>147</v>
      </c>
      <c r="W304" s="164" t="s">
        <v>147</v>
      </c>
      <c r="X304" s="164" t="s">
        <v>147</v>
      </c>
      <c r="Y304" s="164" t="s">
        <v>147</v>
      </c>
      <c r="Z304" s="164" t="s">
        <v>147</v>
      </c>
      <c r="AA304" s="164" t="s">
        <v>147</v>
      </c>
      <c r="AB304" s="164" t="s">
        <v>147</v>
      </c>
      <c r="AC304" s="164" t="s">
        <v>147</v>
      </c>
      <c r="AD304" s="164" t="s">
        <v>147</v>
      </c>
      <c r="AE304" s="164" t="s">
        <v>147</v>
      </c>
      <c r="AF304" s="164" t="s">
        <v>147</v>
      </c>
      <c r="AG304" s="164" t="s">
        <v>147</v>
      </c>
      <c r="AH304" s="164" t="s">
        <v>147</v>
      </c>
      <c r="AI304" s="164" t="s">
        <v>147</v>
      </c>
      <c r="AJ304" s="164" t="s">
        <v>147</v>
      </c>
      <c r="AK304" s="164" t="s">
        <v>147</v>
      </c>
      <c r="AL304" s="164" t="s">
        <v>147</v>
      </c>
      <c r="AM304" s="164" t="s">
        <v>147</v>
      </c>
      <c r="AN304" s="164" t="s">
        <v>147</v>
      </c>
      <c r="AO304" s="164" t="s">
        <v>147</v>
      </c>
      <c r="AP304" s="164" t="s">
        <v>147</v>
      </c>
      <c r="AQ304" s="164" t="s">
        <v>147</v>
      </c>
      <c r="AR304" s="164" t="s">
        <v>147</v>
      </c>
      <c r="AS304" s="164" t="s">
        <v>147</v>
      </c>
      <c r="AT304" s="164" t="s">
        <v>147</v>
      </c>
      <c r="AU304" s="164" t="s">
        <v>147</v>
      </c>
      <c r="AV304" s="164" t="s">
        <v>147</v>
      </c>
      <c r="AW304" s="164" t="s">
        <v>147</v>
      </c>
      <c r="AX304" s="164" t="s">
        <v>147</v>
      </c>
      <c r="AY304" s="164" t="s">
        <v>147</v>
      </c>
      <c r="AZ304" s="164"/>
      <c r="BA304" s="164"/>
      <c r="BB304" s="164"/>
      <c r="BC304" s="164"/>
      <c r="BD304" s="164"/>
      <c r="BE304" s="164"/>
      <c r="BF304" s="164"/>
      <c r="BG304" s="164"/>
      <c r="BH304" s="164"/>
      <c r="BI304" s="164"/>
      <c r="BJ304" s="164"/>
      <c r="BK304" s="164"/>
      <c r="BL304" s="164"/>
      <c r="BM304" s="164"/>
      <c r="BN304" s="164"/>
      <c r="BO304" s="164"/>
      <c r="BQ304" s="164" t="s">
        <v>147</v>
      </c>
      <c r="BR304" s="164" t="s">
        <v>147</v>
      </c>
      <c r="BS304" s="164" t="s">
        <v>147</v>
      </c>
      <c r="BT304" s="164" t="s">
        <v>147</v>
      </c>
      <c r="BU304" s="164" t="s">
        <v>147</v>
      </c>
      <c r="BV304" s="164" t="s">
        <v>147</v>
      </c>
      <c r="BW304" s="164" t="s">
        <v>147</v>
      </c>
      <c r="BX304" s="164" t="s">
        <v>147</v>
      </c>
      <c r="BY304" s="164" t="s">
        <v>147</v>
      </c>
      <c r="BZ304" s="164" t="s">
        <v>147</v>
      </c>
      <c r="CA304" s="164" t="s">
        <v>147</v>
      </c>
      <c r="CB304" s="164" t="s">
        <v>147</v>
      </c>
      <c r="CC304" s="164" t="s">
        <v>147</v>
      </c>
      <c r="CD304" s="164" t="s">
        <v>147</v>
      </c>
      <c r="CE304" s="164" t="s">
        <v>147</v>
      </c>
      <c r="CF304" s="164" t="s">
        <v>147</v>
      </c>
      <c r="CG304" s="164" t="s">
        <v>147</v>
      </c>
    </row>
    <row r="305" spans="2:85" ht="14.25">
      <c r="B305" s="68" t="s">
        <v>148</v>
      </c>
      <c r="C305" s="68"/>
      <c r="D305" s="138">
        <f>D62+D63+D64+D65+D66+D69-(C62+C63+C64+C65+C66+C69)-IS!D106</f>
        <v>2216.5279999999998</v>
      </c>
      <c r="E305" s="138">
        <f>E62+E63+E64+E65+E66+E69-(D62+D63+D64+D65+D66+D69)-IS!E106</f>
        <v>41.666000000000423</v>
      </c>
      <c r="F305" s="138">
        <f>F62+F63+F64+F65+F66+F69-(E62+E63+E64+E65+E66+E69)-IS!F106</f>
        <v>47.505999999999617</v>
      </c>
      <c r="G305" s="138">
        <f>G62+G63+G64+G65+G66+G69-(F62+F63+F64+F65+F66+F69)-IS!G106</f>
        <v>51.876000000000069</v>
      </c>
      <c r="H305" s="138">
        <f>H62+H63+H64+H65+H66+H69-(G62+G63+G64+G65+G66+G69)-IS!H106</f>
        <v>30.576000000000612</v>
      </c>
      <c r="I305" s="138">
        <f>I62+I63+I64+I65+I66+I69-(H62+H63+H64+H65+H66+H69)-IS!I106</f>
        <v>62.205999999999825</v>
      </c>
      <c r="J305" s="138">
        <f>J62+J63+J64+J65+J66+J69-(I62+I63+I64+I65+I66+I69)-IS!J106</f>
        <v>24.282000000000181</v>
      </c>
      <c r="K305" s="138">
        <f>K62+K63+K64+K65+K66+K69-(J62+J63+J64+J65+J66+J69)-IS!K106</f>
        <v>193.19299999999959</v>
      </c>
      <c r="L305" s="138">
        <f>L62+L63+L64+L65+L66+L69-(K62+K63+K64+K65+K66+K69)-IS!L106</f>
        <v>51.632000000000133</v>
      </c>
      <c r="M305" s="138">
        <f>M62+M63+M64+M65+M66+M69-(L62+L63+L64+L65+L66+L69)-IS!M106</f>
        <v>78.559000000000026</v>
      </c>
      <c r="N305" s="138">
        <f>N62+N63+N64+N65+N66+N69-(M62+M63+M64+M65+M66+M69)-IS!N106</f>
        <v>45.192999999999941</v>
      </c>
      <c r="O305" s="138">
        <f>O62+O63+O64+O65+O66+O69-(N62+N63+N64+N65+N66+N69)-IS!O106</f>
        <v>54.883000000000266</v>
      </c>
      <c r="P305" s="138">
        <f>P62+P63+P64+P65+P66+P69-(O62+O63+O64+O65+O66+O69)-IS!P106</f>
        <v>46.768000000000555</v>
      </c>
      <c r="Q305" s="138">
        <f>Q62+Q63+Q64+Q65+Q66+Q69-(P62+P63+P64+P65+P66+P69)-IS!Q106</f>
        <v>62.505999999999638</v>
      </c>
      <c r="R305" s="138">
        <f>R62+R63+R64+R65+R66+R69-(Q62+Q63+Q64+Q65+Q66+Q69)-IS!R106</f>
        <v>85.263999999999541</v>
      </c>
      <c r="S305" s="138">
        <f>S62+S63+S64+S65+S66+S69-(R62+R63+R64+R65+R66+R69)-IS!S106</f>
        <v>103.63699999999966</v>
      </c>
      <c r="T305" s="138">
        <f>T62+T63+T64+T65+T66+T69-(S62+S63+S64+S65+S66+S69)-IS!T106</f>
        <v>57.973000000000681</v>
      </c>
      <c r="U305" s="138">
        <f>U62+U63+U64+U65+U66+U69-(T62+T63+T64+T65+T66+T69)-IS!U106</f>
        <v>97.772999999999371</v>
      </c>
      <c r="V305" s="138">
        <f>V62+V63+V64+V65+V66+V69-(U62+U63+U64+U65+U66+U69)-IS!V106</f>
        <v>53.132999999999711</v>
      </c>
      <c r="W305" s="138">
        <f>W62+W63+W64+W65+W66+W69-(V62+V63+V64+V65+V66+V69)-IS!W106</f>
        <v>62.760000000001753</v>
      </c>
      <c r="X305" s="138">
        <f>X62+X63+X64+X65+X66+X69-(W62+W63+W64+W65+W66+W69)-IS!X106</f>
        <v>29.906999999999812</v>
      </c>
      <c r="Y305" s="138">
        <f>Y62+Y63+Y64+Y65+Y66+Y69-(X62+X63+X64+X65+X66+X69)-IS!Y106</f>
        <v>51.016999999998937</v>
      </c>
      <c r="Z305" s="138">
        <f>Z62+Z63+Z64+Z65+Z66+Z69-(Y62+Y63+Y64+Y65+Y66+Y69)-IS!Z106</f>
        <v>48.085000000000719</v>
      </c>
      <c r="AA305" s="138">
        <f>AA62+AA63+AA64+AA65+AA66+AA69-(Z62+Z63+Z64+Z65+Z66+Z69)-IS!AA106</f>
        <v>106.61400000000052</v>
      </c>
      <c r="AB305" s="138">
        <f>AB62+AB63+AB64+AB65+AB66+AB69-(AA62+AA63+AA64+AA65+AA66+AA69)-IS!AB106</f>
        <v>75.656999999999101</v>
      </c>
      <c r="AC305" s="138">
        <f>AC62+AC63+AC64+AC65+AC66+AC69-(AB62+AB63+AB64+AB65+AB66+AB69)-IS!AC106</f>
        <v>62.309000000001134</v>
      </c>
      <c r="AD305" s="138">
        <f>AD62+AD63+AD64+AD65+AD66+AD69-(AC62+AC63+AC64+AC65+AC66+AC69)-IS!AD106</f>
        <v>-13.702000000001163</v>
      </c>
      <c r="AE305" s="138">
        <f>AE62+AE63+AE64+AE65+AE66+AE69-(AD62+AD63+AD64+AD65+AD66+AD69)-IS!AE106</f>
        <v>73.520000000000493</v>
      </c>
      <c r="AF305" s="138">
        <f>AF62+AF63+AF64+AF65+AF66+AF69-(AE62+AE63+AE64+AE65+AE66+AE69)-IS!AF106</f>
        <v>-770.81400000000042</v>
      </c>
      <c r="AG305" s="138">
        <f>AG62+AG63+AG64+AG65+AG66+AG69-(AF62+AF63+AF64+AF65+AF66+AF69)-IS!AG106</f>
        <v>-68.836999999999733</v>
      </c>
      <c r="AH305" s="138">
        <f>AH62+AH63+AH64+AH65+AH66+AH69-(AG62+AG63+AG64+AG65+AG66+AG69)-IS!AH106</f>
        <v>-175.90599999999989</v>
      </c>
      <c r="AI305" s="138">
        <f>AI62+AI63+AI64+AI65+AI66+AI69-(AH62+AH63+AH64+AH65+AH66+AH69)-IS!AI106</f>
        <v>-107.0689999999998</v>
      </c>
      <c r="AJ305" s="138">
        <f>AJ62+AJ63+AJ64+AJ65+AJ66+AJ69-(AI62+AI63+AI64+AI65+AI66+AI69)-IS!AJ106</f>
        <v>-187.57199999999955</v>
      </c>
      <c r="AK305" s="138">
        <f>AK62+AK63+AK64+AK65+AK66+AK69-(AJ62+AJ63+AJ64+AJ65+AJ66+AJ69)-IS!AK106</f>
        <v>-211.55100000000078</v>
      </c>
      <c r="AL305" s="138">
        <f>AL62+AL63+AL64+AL65+AL66+AL69-(AK62+AK63+AK64+AK65+AK66+AK69)-IS!AL106</f>
        <v>-197.63299999999998</v>
      </c>
      <c r="AM305" s="138">
        <f>AM62+AM63+AM64+AM65+AM66+AM69-(AL62+AL63+AL64+AL65+AL66+AL69)-IS!AM106</f>
        <v>-239.62399999999965</v>
      </c>
      <c r="AN305" s="138">
        <f>AN62+AN63+AN64+AN65+AN66+AN69-(AM62+AM63+AM64+AM65+AM66+AM69)-IS!AN106</f>
        <v>-186.39100000000079</v>
      </c>
      <c r="AO305" s="138">
        <f>AO62+AO63+AO64+AO65+AO66+AO69-(AN62+AN63+AN64+AN65+AN66+AN69)-IS!AO106</f>
        <v>-18.009000000000029</v>
      </c>
      <c r="AP305" s="138">
        <f>AP62+AP63+AP64+AP65+AP66+AP69-(AO62+AO63+AO64+AO65+AO66+AO69)-IS!AP106</f>
        <v>-34.075999999999212</v>
      </c>
      <c r="AQ305" s="138">
        <f>AQ62+AQ63+AQ64+AQ65+AQ66+AQ69-(AP62+AP63+AP64+AP65+AP66+AP69)-IS!AQ106</f>
        <v>115.02199999999979</v>
      </c>
      <c r="AR305" s="138">
        <f>AR62+AR63+AR64+AR65+AR66+AR69-(AQ62+AQ63+AQ64+AQ65+AQ66+AQ69)-IS!AR106</f>
        <v>-5.713999999999686</v>
      </c>
      <c r="AS305" s="138">
        <f>AS62+AS63+AS64+AS65+AS66+AS69-(AR62+AR63+AR64+AR65+AR66+AR69)-IS!AS106</f>
        <v>52.958999999999776</v>
      </c>
      <c r="AT305" s="138">
        <f>AT62+AT63+AT64+AT65+AT66+AT69-(AS62+AS63+AS64+AS65+AS66+AS69)-IS!AT106</f>
        <v>-39.337000000000316</v>
      </c>
      <c r="AU305" s="138">
        <f>AU62+AU63+AU64+AU65+AU66+AU69-(AT62+AT63+AT64+AT65+AT66+AT69)-IS!AU106</f>
        <v>27.214000000000183</v>
      </c>
      <c r="AV305" s="138">
        <f>AV62+AV63+AV64+AV65+AV66+AV69-(AU62+AU63+AU64+AU65+AU66+AU69)-IS!AV106</f>
        <v>-28.679000000000009</v>
      </c>
      <c r="AW305" s="138">
        <f>AW62+AW63+AW64+AW65+AW66+AW69-(AV62+AV63+AV64+AV65+AV66+AV69)-IS!AW106</f>
        <v>-143.9770000000002</v>
      </c>
      <c r="AX305" s="138">
        <f>AX62+AX63+AX64+AX65+AX66+AX69-(AW62+AW63+AW64+AW65+AW66+AW69)-IS!AX106</f>
        <v>-43.859999999999602</v>
      </c>
      <c r="AY305" s="138">
        <f>AY62+AY63+AY64+AY65+AY66+AY69-(AX62+AX63+AX64+AX65+AX66+AX69)-IS!AY106</f>
        <v>23.05299999999972</v>
      </c>
      <c r="AZ305" s="138"/>
      <c r="BA305" s="138"/>
      <c r="BB305" s="138"/>
      <c r="BC305" s="138"/>
      <c r="BD305" s="138"/>
      <c r="BE305" s="138"/>
      <c r="BF305" s="138"/>
      <c r="BG305" s="138"/>
      <c r="BH305" s="138"/>
      <c r="BI305" s="138"/>
      <c r="BJ305" s="138"/>
      <c r="BK305" s="138"/>
      <c r="BL305" s="138"/>
      <c r="BM305" s="138"/>
      <c r="BN305" s="138"/>
      <c r="BO305" s="138"/>
      <c r="BP305" s="138"/>
      <c r="BQ305" s="138">
        <f>BQ62+BQ63+BQ64+BQ65+BQ66+BQ69-(BP62+BP63+BP64+BP65+BP66+BP69)-IS!BQ106</f>
        <v>2357.5759999999996</v>
      </c>
      <c r="BR305" s="138">
        <f>BR62+BR63+BR64+BR65+BR66+BR69-(BQ62+BQ63+BQ64+BQ65+BQ66+BQ69)-IS!BR106</f>
        <v>310.25700000000029</v>
      </c>
      <c r="BS305" s="138">
        <f>BS62+BS63+BS64+BS65+BS66+BS69-(BR62+BR63+BR64+BR65+BR66+BR69)-IS!BS106</f>
        <v>230.26700000000022</v>
      </c>
      <c r="BT305" s="138">
        <f>BT62+BT63+BT64+BT65+BT66+BT69-(BS62+BS63+BS64+BS65+BS66+BS69)-IS!BT106</f>
        <v>298.17499999999905</v>
      </c>
      <c r="BU305" s="138">
        <f>BU62+BU63+BU64+BU65+BU66+BU69-(BT62+BT63+BT64+BT65+BT66+BT69)-IS!BU106</f>
        <v>271.63900000000172</v>
      </c>
      <c r="BV305" s="138">
        <f>BV62+BV63+BV64+BV65+BV66+BV69-(BU62+BU63+BU64+BU65+BU66+BU69)-IS!BV106</f>
        <v>235.62300000000016</v>
      </c>
      <c r="BW305" s="138">
        <f>BW62+BW63+BW64+BW65+BW66+BW69-(BV62+BV63+BV64+BV65+BV66+BV69)-IS!BW106</f>
        <v>197.78399999999931</v>
      </c>
      <c r="BX305" s="138">
        <f>BX62+BX63+BX64+BX65+BX66+BX69-(BW62+BW63+BW64+BW65+BW66+BW69)-IS!BX106</f>
        <v>-1122.6259999999997</v>
      </c>
      <c r="BY305" s="138">
        <f>BY62+BY63+BY64+BY65+BY66+BY69-(BX62+BX63+BX64+BX65+BX66+BX69)-IS!BY106</f>
        <v>-836.37999999999977</v>
      </c>
      <c r="BZ305" s="138">
        <f>BZ62+BZ63+BZ64+BZ65+BZ66+BZ69-(BY62+BY63+BY64+BY65+BY66+BY69)-IS!BZ106</f>
        <v>-123.45400000000075</v>
      </c>
      <c r="CA305" s="138">
        <f>CA62+CA63+CA64+CA65+CA66+CA69-(BZ62+BZ63+BZ64+BZ65+BZ66+BZ69)-IS!CA106</f>
        <v>35.122000000000128</v>
      </c>
      <c r="CB305" s="138">
        <f>CB62+CB63+CB64+CB65+CB66+CB69-(CA62+CA63+CA64+CA65+CA66+CA69)-IS!CB106</f>
        <v>-193.46300000000019</v>
      </c>
      <c r="CC305" s="138">
        <f>CC62+CC63+CC64+CC65+CC66+CC69-(CB62+CB63+CB64+CB65+CB66+CB69)-IS!CC106</f>
        <v>-137.65499999999992</v>
      </c>
      <c r="CD305" s="138">
        <f>CD62+CD63+CD64+CD65+CD66+CD69-(CC62+CC63+CC64+CC65+CC66+CC69)-IS!CD106</f>
        <v>-314.41300000000041</v>
      </c>
      <c r="CE305" s="138">
        <f>CE62+CE63+CE64+CE65+CE66+CE69-(CD62+CD63+CD64+CD65+CD66+CD69)-IS!CE106</f>
        <v>-35.811409673379558</v>
      </c>
      <c r="CF305" s="138">
        <f>CF62+CF63+CF64+CF65+CF66+CF69-(CE62+CE63+CE64+CE65+CE66+CE69)-IS!CF106</f>
        <v>-35.534658006479731</v>
      </c>
      <c r="CG305" s="138">
        <f>CG62+CG63+CG64+CG65+CG66+CG69-(CF62+CF63+CF64+CF65+CF66+CF69)-IS!CG106</f>
        <v>85.744029029885724</v>
      </c>
    </row>
    <row r="306" spans="2:85">
      <c r="AF306" s="338"/>
    </row>
    <row r="307" spans="2:85">
      <c r="AF307" s="338"/>
    </row>
    <row r="308" spans="2:85">
      <c r="AF308" s="338"/>
    </row>
    <row r="309" spans="2:85">
      <c r="AF309" s="338"/>
    </row>
    <row r="310" spans="2:85">
      <c r="AF310" s="338"/>
    </row>
    <row r="311" spans="2:85">
      <c r="AF311" s="338"/>
    </row>
    <row r="312" spans="2:85">
      <c r="AF312" s="338"/>
    </row>
    <row r="313" spans="2:85">
      <c r="AF313" s="338"/>
    </row>
    <row r="314" spans="2:85">
      <c r="AF314" s="338"/>
    </row>
    <row r="315" spans="2:85">
      <c r="AF315" s="338"/>
    </row>
    <row r="316" spans="2:85">
      <c r="AF316" s="338"/>
    </row>
    <row r="317" spans="2:85">
      <c r="AF317" s="338"/>
    </row>
    <row r="318" spans="2:85">
      <c r="AF318" s="338"/>
    </row>
    <row r="319" spans="2:85">
      <c r="AF319" s="338"/>
    </row>
    <row r="320" spans="2:85">
      <c r="AF320" s="338"/>
    </row>
    <row r="321" spans="32:32">
      <c r="AF321" s="338"/>
    </row>
    <row r="322" spans="32:32">
      <c r="AF322" s="338"/>
    </row>
    <row r="323" spans="32:32">
      <c r="AF323" s="338"/>
    </row>
    <row r="324" spans="32:32">
      <c r="AF324" s="338"/>
    </row>
    <row r="325" spans="32:32">
      <c r="AF325" s="338"/>
    </row>
    <row r="326" spans="32:32">
      <c r="AF326" s="338"/>
    </row>
    <row r="327" spans="32:32">
      <c r="AF327" s="338"/>
    </row>
    <row r="328" spans="32:32">
      <c r="AF328" s="338"/>
    </row>
    <row r="329" spans="32:32">
      <c r="AF329" s="338"/>
    </row>
    <row r="330" spans="32:32">
      <c r="AF330" s="338"/>
    </row>
    <row r="331" spans="32:32">
      <c r="AF331" s="338"/>
    </row>
    <row r="332" spans="32:32">
      <c r="AF332" s="338"/>
    </row>
    <row r="333" spans="32:32">
      <c r="AF333" s="338"/>
    </row>
    <row r="334" spans="32:32">
      <c r="AF334" s="338"/>
    </row>
    <row r="335" spans="32:32">
      <c r="AF335" s="338"/>
    </row>
    <row r="336" spans="32:32">
      <c r="AF336" s="338"/>
    </row>
    <row r="337" spans="32:32">
      <c r="AF337" s="338"/>
    </row>
    <row r="338" spans="32:32">
      <c r="AF338" s="338"/>
    </row>
    <row r="339" spans="32:32">
      <c r="AF339" s="338"/>
    </row>
    <row r="340" spans="32:32">
      <c r="AF340" s="338"/>
    </row>
    <row r="341" spans="32:32">
      <c r="AF341" s="338"/>
    </row>
    <row r="342" spans="32:32">
      <c r="AF342" s="338"/>
    </row>
    <row r="343" spans="32:32">
      <c r="AF343" s="338"/>
    </row>
    <row r="344" spans="32:32">
      <c r="AF344" s="338"/>
    </row>
    <row r="345" spans="32:32">
      <c r="AF345" s="338"/>
    </row>
    <row r="346" spans="32:32">
      <c r="AF346" s="338"/>
    </row>
    <row r="347" spans="32:32">
      <c r="AF347" s="338"/>
    </row>
    <row r="348" spans="32:32">
      <c r="AF348" s="338"/>
    </row>
    <row r="349" spans="32:32">
      <c r="AF349" s="338"/>
    </row>
    <row r="350" spans="32:32">
      <c r="AF350" s="338"/>
    </row>
    <row r="351" spans="32:32">
      <c r="AF351" s="338"/>
    </row>
    <row r="352" spans="32:32">
      <c r="AF352" s="338"/>
    </row>
    <row r="353" spans="32:32">
      <c r="AF353" s="338"/>
    </row>
    <row r="354" spans="32:32">
      <c r="AF354" s="338"/>
    </row>
    <row r="355" spans="32:32">
      <c r="AF355" s="338"/>
    </row>
    <row r="356" spans="32:32">
      <c r="AF356" s="338"/>
    </row>
    <row r="357" spans="32:32">
      <c r="AF357" s="338"/>
    </row>
    <row r="358" spans="32:32">
      <c r="AF358" s="338"/>
    </row>
    <row r="359" spans="32:32">
      <c r="AF359" s="338"/>
    </row>
    <row r="360" spans="32:32">
      <c r="AF360" s="338"/>
    </row>
    <row r="361" spans="32:32">
      <c r="AF361" s="338"/>
    </row>
    <row r="362" spans="32:32">
      <c r="AF362" s="338"/>
    </row>
    <row r="363" spans="32:32">
      <c r="AF363" s="338"/>
    </row>
    <row r="364" spans="32:32">
      <c r="AF364" s="338"/>
    </row>
    <row r="365" spans="32:32">
      <c r="AF365" s="338"/>
    </row>
    <row r="366" spans="32:32">
      <c r="AF366" s="338"/>
    </row>
    <row r="367" spans="32:32">
      <c r="AF367" s="338"/>
    </row>
    <row r="368" spans="32:32">
      <c r="AF368" s="338"/>
    </row>
    <row r="369" spans="32:32">
      <c r="AF369" s="338"/>
    </row>
    <row r="370" spans="32:32">
      <c r="AF370" s="338"/>
    </row>
    <row r="371" spans="32:32">
      <c r="AF371" s="338"/>
    </row>
    <row r="372" spans="32:32">
      <c r="AF372" s="338"/>
    </row>
  </sheetData>
  <phoneticPr fontId="17" type="noConversion"/>
  <conditionalFormatting sqref="D48:AP48 AT48 AV48:AW48 D7:AT9 D61:AX61 D77:AX77 BQ7:BQ9 BQ77 BQ48 BQ61 AX7:AY9 BZ61:CD61 BZ48:CD48 BZ77:CD77 BZ7:CD9">
    <cfRule type="expression" dxfId="227" priority="139" stopIfTrue="1">
      <formula>D$303="A"</formula>
    </cfRule>
    <cfRule type="expression" dxfId="226" priority="140" stopIfTrue="1">
      <formula>D$303="E"</formula>
    </cfRule>
  </conditionalFormatting>
  <conditionalFormatting sqref="AQ48">
    <cfRule type="expression" dxfId="225" priority="137" stopIfTrue="1">
      <formula>AQ$303="A"</formula>
    </cfRule>
    <cfRule type="expression" dxfId="224" priority="138" stopIfTrue="1">
      <formula>AQ$303="E"</formula>
    </cfRule>
  </conditionalFormatting>
  <conditionalFormatting sqref="AV7:AW9">
    <cfRule type="expression" dxfId="223" priority="135" stopIfTrue="1">
      <formula>AV$303="A"</formula>
    </cfRule>
    <cfRule type="expression" dxfId="222" priority="136" stopIfTrue="1">
      <formula>AV$303="E"</formula>
    </cfRule>
  </conditionalFormatting>
  <conditionalFormatting sqref="CB7:CB9">
    <cfRule type="expression" dxfId="221" priority="133" stopIfTrue="1">
      <formula>CB$303="A"</formula>
    </cfRule>
    <cfRule type="expression" dxfId="220" priority="134" stopIfTrue="1">
      <formula>CB$303="E"</formula>
    </cfRule>
  </conditionalFormatting>
  <conditionalFormatting sqref="AZ7:AZ9 BB7:BE9 BG7:BK9">
    <cfRule type="expression" dxfId="219" priority="129" stopIfTrue="1">
      <formula>AZ$303="A"</formula>
    </cfRule>
    <cfRule type="expression" dxfId="218" priority="130" stopIfTrue="1">
      <formula>AZ$303="E"</formula>
    </cfRule>
  </conditionalFormatting>
  <conditionalFormatting sqref="CC77">
    <cfRule type="expression" dxfId="217" priority="127" stopIfTrue="1">
      <formula>CC$303="A"</formula>
    </cfRule>
    <cfRule type="expression" dxfId="216" priority="128" stopIfTrue="1">
      <formula>CC$303="E"</formula>
    </cfRule>
  </conditionalFormatting>
  <conditionalFormatting sqref="AR48">
    <cfRule type="expression" dxfId="215" priority="125" stopIfTrue="1">
      <formula>AR$303="A"</formula>
    </cfRule>
    <cfRule type="expression" dxfId="214" priority="126" stopIfTrue="1">
      <formula>AR$303="E"</formula>
    </cfRule>
  </conditionalFormatting>
  <conditionalFormatting sqref="AS48">
    <cfRule type="expression" dxfId="213" priority="123" stopIfTrue="1">
      <formula>AS$303="A"</formula>
    </cfRule>
    <cfRule type="expression" dxfId="212" priority="124" stopIfTrue="1">
      <formula>AS$303="E"</formula>
    </cfRule>
  </conditionalFormatting>
  <conditionalFormatting sqref="AU7:AU9">
    <cfRule type="expression" dxfId="211" priority="121" stopIfTrue="1">
      <formula>AU$303="A"</formula>
    </cfRule>
    <cfRule type="expression" dxfId="210" priority="122" stopIfTrue="1">
      <formula>AU$303="E"</formula>
    </cfRule>
  </conditionalFormatting>
  <conditionalFormatting sqref="AU48">
    <cfRule type="expression" dxfId="209" priority="119" stopIfTrue="1">
      <formula>AU$303="A"</formula>
    </cfRule>
    <cfRule type="expression" dxfId="208" priority="120" stopIfTrue="1">
      <formula>AU$303="E"</formula>
    </cfRule>
  </conditionalFormatting>
  <conditionalFormatting sqref="CC7:CC9">
    <cfRule type="expression" dxfId="207" priority="117" stopIfTrue="1">
      <formula>CC$303="A"</formula>
    </cfRule>
    <cfRule type="expression" dxfId="206" priority="118" stopIfTrue="1">
      <formula>CC$303="E"</formula>
    </cfRule>
  </conditionalFormatting>
  <conditionalFormatting sqref="AX48">
    <cfRule type="expression" dxfId="205" priority="115" stopIfTrue="1">
      <formula>AX$303="A"</formula>
    </cfRule>
    <cfRule type="expression" dxfId="204" priority="116" stopIfTrue="1">
      <formula>AX$303="E"</formula>
    </cfRule>
  </conditionalFormatting>
  <conditionalFormatting sqref="CC7:CC9">
    <cfRule type="expression" dxfId="203" priority="113" stopIfTrue="1">
      <formula>CC$303="A"</formula>
    </cfRule>
    <cfRule type="expression" dxfId="202" priority="114" stopIfTrue="1">
      <formula>CC$303="E"</formula>
    </cfRule>
  </conditionalFormatting>
  <conditionalFormatting sqref="CD77">
    <cfRule type="expression" dxfId="201" priority="111" stopIfTrue="1">
      <formula>CD$303="A"</formula>
    </cfRule>
    <cfRule type="expression" dxfId="200" priority="112" stopIfTrue="1">
      <formula>CD$303="E"</formula>
    </cfRule>
  </conditionalFormatting>
  <conditionalFormatting sqref="CD7:CD9">
    <cfRule type="expression" dxfId="199" priority="109" stopIfTrue="1">
      <formula>CD$303="A"</formula>
    </cfRule>
    <cfRule type="expression" dxfId="198" priority="110" stopIfTrue="1">
      <formula>CD$303="E"</formula>
    </cfRule>
  </conditionalFormatting>
  <conditionalFormatting sqref="AY61 AY77">
    <cfRule type="expression" dxfId="197" priority="107" stopIfTrue="1">
      <formula>AY$303="A"</formula>
    </cfRule>
    <cfRule type="expression" dxfId="196" priority="108" stopIfTrue="1">
      <formula>AY$303="E"</formula>
    </cfRule>
  </conditionalFormatting>
  <conditionalFormatting sqref="AY48">
    <cfRule type="expression" dxfId="195" priority="105" stopIfTrue="1">
      <formula>AY$303="A"</formula>
    </cfRule>
    <cfRule type="expression" dxfId="194" priority="106" stopIfTrue="1">
      <formula>AY$303="E"</formula>
    </cfRule>
  </conditionalFormatting>
  <conditionalFormatting sqref="AZ48 AZ61 AZ77">
    <cfRule type="expression" dxfId="193" priority="103" stopIfTrue="1">
      <formula>AZ$303="A"</formula>
    </cfRule>
    <cfRule type="expression" dxfId="192" priority="104" stopIfTrue="1">
      <formula>AZ$303="E"</formula>
    </cfRule>
  </conditionalFormatting>
  <conditionalFormatting sqref="BA48 BA61 BA77">
    <cfRule type="expression" dxfId="191" priority="101" stopIfTrue="1">
      <formula>BA$303="A"</formula>
    </cfRule>
    <cfRule type="expression" dxfId="190" priority="102" stopIfTrue="1">
      <formula>BA$303="E"</formula>
    </cfRule>
  </conditionalFormatting>
  <conditionalFormatting sqref="BA7:BA9">
    <cfRule type="expression" dxfId="189" priority="99" stopIfTrue="1">
      <formula>BA$303="A"</formula>
    </cfRule>
    <cfRule type="expression" dxfId="188" priority="100" stopIfTrue="1">
      <formula>BA$303="E"</formula>
    </cfRule>
  </conditionalFormatting>
  <conditionalFormatting sqref="BD48:BE48 BD61:BE61">
    <cfRule type="expression" dxfId="187" priority="97" stopIfTrue="1">
      <formula>BD$303="A"</formula>
    </cfRule>
    <cfRule type="expression" dxfId="186" priority="98" stopIfTrue="1">
      <formula>BD$303="E"</formula>
    </cfRule>
  </conditionalFormatting>
  <conditionalFormatting sqref="BD77:BE77">
    <cfRule type="expression" dxfId="185" priority="95" stopIfTrue="1">
      <formula>BD$303="A"</formula>
    </cfRule>
    <cfRule type="expression" dxfId="184" priority="96" stopIfTrue="1">
      <formula>BD$303="E"</formula>
    </cfRule>
  </conditionalFormatting>
  <conditionalFormatting sqref="BG48 BG61">
    <cfRule type="expression" dxfId="183" priority="93" stopIfTrue="1">
      <formula>BG$303="A"</formula>
    </cfRule>
    <cfRule type="expression" dxfId="182" priority="94" stopIfTrue="1">
      <formula>BG$303="E"</formula>
    </cfRule>
  </conditionalFormatting>
  <conditionalFormatting sqref="BG77">
    <cfRule type="expression" dxfId="181" priority="91" stopIfTrue="1">
      <formula>BG$303="A"</formula>
    </cfRule>
    <cfRule type="expression" dxfId="180" priority="92" stopIfTrue="1">
      <formula>BG$303="E"</formula>
    </cfRule>
  </conditionalFormatting>
  <conditionalFormatting sqref="BB61 BB77">
    <cfRule type="expression" dxfId="179" priority="89" stopIfTrue="1">
      <formula>BB$303="A"</formula>
    </cfRule>
    <cfRule type="expression" dxfId="178" priority="90" stopIfTrue="1">
      <formula>BB$303="E"</formula>
    </cfRule>
  </conditionalFormatting>
  <conditionalFormatting sqref="BB48">
    <cfRule type="expression" dxfId="177" priority="87" stopIfTrue="1">
      <formula>BB$303="A"</formula>
    </cfRule>
    <cfRule type="expression" dxfId="176" priority="88" stopIfTrue="1">
      <formula>BB$303="E"</formula>
    </cfRule>
  </conditionalFormatting>
  <conditionalFormatting sqref="BH48:BI48 BH61:BI61">
    <cfRule type="expression" dxfId="175" priority="77" stopIfTrue="1">
      <formula>BH$303="A"</formula>
    </cfRule>
    <cfRule type="expression" dxfId="174" priority="78" stopIfTrue="1">
      <formula>BH$303="E"</formula>
    </cfRule>
  </conditionalFormatting>
  <conditionalFormatting sqref="BH77:BI77">
    <cfRule type="expression" dxfId="173" priority="75" stopIfTrue="1">
      <formula>BH$303="A"</formula>
    </cfRule>
    <cfRule type="expression" dxfId="172" priority="76" stopIfTrue="1">
      <formula>BH$303="E"</formula>
    </cfRule>
  </conditionalFormatting>
  <conditionalFormatting sqref="BJ48:BK48 BJ61:BK61">
    <cfRule type="expression" dxfId="171" priority="73" stopIfTrue="1">
      <formula>BJ$303="A"</formula>
    </cfRule>
    <cfRule type="expression" dxfId="170" priority="74" stopIfTrue="1">
      <formula>BJ$303="E"</formula>
    </cfRule>
  </conditionalFormatting>
  <conditionalFormatting sqref="BJ77:BK77">
    <cfRule type="expression" dxfId="169" priority="71" stopIfTrue="1">
      <formula>BJ$303="A"</formula>
    </cfRule>
    <cfRule type="expression" dxfId="168" priority="72" stopIfTrue="1">
      <formula>BJ$303="E"</formula>
    </cfRule>
  </conditionalFormatting>
  <conditionalFormatting sqref="BC61 BC77">
    <cfRule type="expression" dxfId="167" priority="59" stopIfTrue="1">
      <formula>BC$303="A"</formula>
    </cfRule>
    <cfRule type="expression" dxfId="166" priority="60" stopIfTrue="1">
      <formula>BC$303="E"</formula>
    </cfRule>
  </conditionalFormatting>
  <conditionalFormatting sqref="BC48">
    <cfRule type="expression" dxfId="165" priority="57" stopIfTrue="1">
      <formula>BC$303="A"</formula>
    </cfRule>
    <cfRule type="expression" dxfId="164" priority="58" stopIfTrue="1">
      <formula>BC$303="E"</formula>
    </cfRule>
  </conditionalFormatting>
  <conditionalFormatting sqref="CE7:CE9 CE77 CE48 CE61">
    <cfRule type="expression" dxfId="163" priority="45" stopIfTrue="1">
      <formula>CE$303="A"</formula>
    </cfRule>
    <cfRule type="expression" dxfId="162" priority="46" stopIfTrue="1">
      <formula>CE$303="E"</formula>
    </cfRule>
  </conditionalFormatting>
  <conditionalFormatting sqref="CE77">
    <cfRule type="expression" dxfId="161" priority="43" stopIfTrue="1">
      <formula>CE$303="A"</formula>
    </cfRule>
    <cfRule type="expression" dxfId="160" priority="44" stopIfTrue="1">
      <formula>CE$303="E"</formula>
    </cfRule>
  </conditionalFormatting>
  <conditionalFormatting sqref="CE7:CE9">
    <cfRule type="expression" dxfId="159" priority="41" stopIfTrue="1">
      <formula>CE$303="A"</formula>
    </cfRule>
    <cfRule type="expression" dxfId="158" priority="42" stopIfTrue="1">
      <formula>CE$303="E"</formula>
    </cfRule>
  </conditionalFormatting>
  <conditionalFormatting sqref="BL7:BO9">
    <cfRule type="expression" dxfId="157" priority="39" stopIfTrue="1">
      <formula>BL$303="A"</formula>
    </cfRule>
    <cfRule type="expression" dxfId="156" priority="40" stopIfTrue="1">
      <formula>BL$303="E"</formula>
    </cfRule>
  </conditionalFormatting>
  <conditionalFormatting sqref="BL48:BM48 BL61:BM61">
    <cfRule type="expression" dxfId="155" priority="37" stopIfTrue="1">
      <formula>BL$303="A"</formula>
    </cfRule>
    <cfRule type="expression" dxfId="154" priority="38" stopIfTrue="1">
      <formula>BL$303="E"</formula>
    </cfRule>
  </conditionalFormatting>
  <conditionalFormatting sqref="BL77:BM77">
    <cfRule type="expression" dxfId="153" priority="35" stopIfTrue="1">
      <formula>BL$303="A"</formula>
    </cfRule>
    <cfRule type="expression" dxfId="152" priority="36" stopIfTrue="1">
      <formula>BL$303="E"</formula>
    </cfRule>
  </conditionalFormatting>
  <conditionalFormatting sqref="BN48:BO48 BN61:BO61">
    <cfRule type="expression" dxfId="151" priority="33" stopIfTrue="1">
      <formula>BN$303="A"</formula>
    </cfRule>
    <cfRule type="expression" dxfId="150" priority="34" stopIfTrue="1">
      <formula>BN$303="E"</formula>
    </cfRule>
  </conditionalFormatting>
  <conditionalFormatting sqref="BN77:BO77">
    <cfRule type="expression" dxfId="149" priority="31" stopIfTrue="1">
      <formula>BN$303="A"</formula>
    </cfRule>
    <cfRule type="expression" dxfId="148" priority="32" stopIfTrue="1">
      <formula>BN$303="E"</formula>
    </cfRule>
  </conditionalFormatting>
  <conditionalFormatting sqref="CF77 CF48 CF61">
    <cfRule type="expression" dxfId="147" priority="29" stopIfTrue="1">
      <formula>CF$303="A"</formula>
    </cfRule>
    <cfRule type="expression" dxfId="146" priority="30" stopIfTrue="1">
      <formula>CF$303="E"</formula>
    </cfRule>
  </conditionalFormatting>
  <conditionalFormatting sqref="CF77">
    <cfRule type="expression" dxfId="145" priority="27" stopIfTrue="1">
      <formula>CF$303="A"</formula>
    </cfRule>
    <cfRule type="expression" dxfId="144" priority="28" stopIfTrue="1">
      <formula>CF$303="E"</formula>
    </cfRule>
  </conditionalFormatting>
  <conditionalFormatting sqref="BF7:BF9">
    <cfRule type="expression" dxfId="143" priority="25" stopIfTrue="1">
      <formula>BF$303="A"</formula>
    </cfRule>
    <cfRule type="expression" dxfId="142" priority="26" stopIfTrue="1">
      <formula>BF$303="E"</formula>
    </cfRule>
  </conditionalFormatting>
  <conditionalFormatting sqref="BF48 BF61">
    <cfRule type="expression" dxfId="141" priority="23" stopIfTrue="1">
      <formula>BF$303="A"</formula>
    </cfRule>
    <cfRule type="expression" dxfId="140" priority="24" stopIfTrue="1">
      <formula>BF$303="E"</formula>
    </cfRule>
  </conditionalFormatting>
  <conditionalFormatting sqref="BF77">
    <cfRule type="expression" dxfId="139" priority="21" stopIfTrue="1">
      <formula>BF$303="A"</formula>
    </cfRule>
    <cfRule type="expression" dxfId="138" priority="22" stopIfTrue="1">
      <formula>BF$303="E"</formula>
    </cfRule>
  </conditionalFormatting>
  <conditionalFormatting sqref="BS61:BY61 BS48:BY48 BS77:BY77 BS7:BY9">
    <cfRule type="expression" dxfId="137" priority="19" stopIfTrue="1">
      <formula>BS$303="A"</formula>
    </cfRule>
    <cfRule type="expression" dxfId="136" priority="20" stopIfTrue="1">
      <formula>BS$303="E"</formula>
    </cfRule>
  </conditionalFormatting>
  <conditionalFormatting sqref="BR61 BR48 BR77 BR7:BR9">
    <cfRule type="expression" dxfId="135" priority="17" stopIfTrue="1">
      <formula>BR$303="A"</formula>
    </cfRule>
    <cfRule type="expression" dxfId="134" priority="18" stopIfTrue="1">
      <formula>BR$303="E"</formula>
    </cfRule>
  </conditionalFormatting>
  <conditionalFormatting sqref="CF7:CF9">
    <cfRule type="expression" dxfId="133" priority="3" stopIfTrue="1">
      <formula>CF$303="A"</formula>
    </cfRule>
    <cfRule type="expression" dxfId="132" priority="4" stopIfTrue="1">
      <formula>CF$303="E"</formula>
    </cfRule>
  </conditionalFormatting>
  <conditionalFormatting sqref="CF7:CF9">
    <cfRule type="expression" dxfId="131" priority="1" stopIfTrue="1">
      <formula>CF$303="A"</formula>
    </cfRule>
    <cfRule type="expression" dxfId="130" priority="2" stopIfTrue="1">
      <formula>CF$303="E"</formula>
    </cfRule>
  </conditionalFormatting>
  <conditionalFormatting sqref="CG7:CG9">
    <cfRule type="expression" dxfId="129" priority="5" stopIfTrue="1">
      <formula>CG$303="A"</formula>
    </cfRule>
    <cfRule type="expression" dxfId="128" priority="6" stopIfTrue="1">
      <formula>CG$303="E"</formula>
    </cfRule>
  </conditionalFormatting>
  <conditionalFormatting sqref="CG77 CG48 CG61">
    <cfRule type="expression" dxfId="127" priority="9" stopIfTrue="1">
      <formula>CG$303="A"</formula>
    </cfRule>
    <cfRule type="expression" dxfId="126" priority="10" stopIfTrue="1">
      <formula>CG$303="E"</formula>
    </cfRule>
  </conditionalFormatting>
  <conditionalFormatting sqref="CG77">
    <cfRule type="expression" dxfId="125" priority="7" stopIfTrue="1">
      <formula>CG$303="A"</formula>
    </cfRule>
    <cfRule type="expression" dxfId="124" priority="8" stopIfTrue="1">
      <formula>CG$303="E"</formula>
    </cfRule>
  </conditionalFormatting>
  <pageMargins left="0" right="0" top="0" bottom="0" header="0" footer="0"/>
  <pageSetup paperSize="5" scale="95" orientation="landscape" r:id="rId1"/>
  <headerFooter alignWithMargins="0"/>
  <rowBreaks count="1" manualBreakCount="1">
    <brk id="58" max="16383" man="1"/>
  </rowBreaks>
  <colBreaks count="1" manualBreakCount="1">
    <brk id="84" max="1048575" man="1"/>
  </col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indexed="17"/>
    <pageSetUpPr fitToPage="1"/>
  </sheetPr>
  <dimension ref="B1:CH302"/>
  <sheetViews>
    <sheetView showGridLines="0" zoomScale="80" zoomScaleNormal="80" workbookViewId="0">
      <pane xSplit="3" ySplit="9" topLeftCell="BD10" activePane="bottomRight" state="frozen"/>
      <selection activeCell="AV1" sqref="AV1:AY65536"/>
      <selection pane="topRight" activeCell="AV1" sqref="AV1:AY65536"/>
      <selection pane="bottomLeft" activeCell="AV1" sqref="AV1:AY65536"/>
      <selection pane="bottomRight" activeCell="B5" sqref="B5"/>
    </sheetView>
  </sheetViews>
  <sheetFormatPr defaultRowHeight="12.75" outlineLevelRow="1" outlineLevelCol="1"/>
  <cols>
    <col min="1" max="1" width="1.85546875" customWidth="1"/>
    <col min="2" max="2" width="60.42578125" customWidth="1"/>
    <col min="3" max="3" width="1.85546875" hidden="1" customWidth="1"/>
    <col min="4" max="9" width="9.28515625" hidden="1" customWidth="1"/>
    <col min="10" max="10" width="10" hidden="1" customWidth="1"/>
    <col min="11" max="21" width="9.28515625" hidden="1" customWidth="1"/>
    <col min="22" max="27" width="9.42578125" hidden="1" customWidth="1"/>
    <col min="28" max="28" width="9.42578125" hidden="1" customWidth="1" collapsed="1"/>
    <col min="29" max="31" width="9.42578125" hidden="1" customWidth="1"/>
    <col min="32" max="32" width="10" hidden="1" customWidth="1"/>
    <col min="33" max="39" width="9.28515625" hidden="1" customWidth="1"/>
    <col min="40" max="40" width="9.28515625" hidden="1" customWidth="1" collapsed="1"/>
    <col min="41" max="43" width="9.28515625" hidden="1" customWidth="1"/>
    <col min="44" max="45" width="12.140625" hidden="1" customWidth="1" outlineLevel="1"/>
    <col min="46" max="46" width="10.5703125" hidden="1" customWidth="1" outlineLevel="1"/>
    <col min="47" max="47" width="9.7109375" hidden="1" customWidth="1" outlineLevel="1"/>
    <col min="48" max="48" width="9.7109375" hidden="1" customWidth="1" outlineLevel="1" collapsed="1"/>
    <col min="49" max="49" width="11" hidden="1" customWidth="1" outlineLevel="1"/>
    <col min="50" max="50" width="10.5703125" hidden="1" customWidth="1" outlineLevel="1"/>
    <col min="51" max="51" width="6.140625" hidden="1" customWidth="1" outlineLevel="1"/>
    <col min="52" max="52" width="9.7109375" hidden="1" customWidth="1" outlineLevel="1"/>
    <col min="53" max="53" width="9.85546875" hidden="1" customWidth="1" outlineLevel="1"/>
    <col min="54" max="55" width="9.7109375" hidden="1" customWidth="1" outlineLevel="1"/>
    <col min="56" max="56" width="9.7109375" customWidth="1" collapsed="1"/>
    <col min="57" max="63" width="9.7109375" customWidth="1"/>
    <col min="64" max="67" width="9.7109375" customWidth="1" outlineLevel="1"/>
    <col min="68" max="68" width="3.7109375" customWidth="1"/>
    <col min="69" max="79" width="10.28515625" hidden="1" customWidth="1" outlineLevel="1"/>
    <col min="80" max="80" width="10.5703125" hidden="1" customWidth="1" outlineLevel="1"/>
    <col min="81" max="81" width="10" customWidth="1" collapsed="1"/>
    <col min="82" max="82" width="10" bestFit="1" customWidth="1"/>
    <col min="83" max="84" width="10" customWidth="1"/>
    <col min="85" max="85" width="10" hidden="1" customWidth="1" outlineLevel="1"/>
    <col min="86" max="86" width="9.140625" collapsed="1"/>
  </cols>
  <sheetData>
    <row r="1" spans="2:86" ht="22.5" customHeight="1">
      <c r="D1" s="165" t="str">
        <f>IF(SUM(BS)&lt;&gt;0,"BS BREAK"," ")</f>
        <v xml:space="preserve"> </v>
      </c>
      <c r="F1" s="165" t="str">
        <f>IF(SUM(BS)&lt;&gt;0,"BS BREAK"," ")</f>
        <v xml:space="preserve"> </v>
      </c>
      <c r="H1" s="165" t="str">
        <f>IF(SUM(BS)&lt;&gt;0,"BS BREAK"," ")</f>
        <v xml:space="preserve"> </v>
      </c>
      <c r="J1" s="165" t="str">
        <f>IF(SUM(BS)&lt;&gt;0,"BS BREAK"," ")</f>
        <v xml:space="preserve"> </v>
      </c>
      <c r="L1" s="165" t="str">
        <f>IF(SUM(BS)&lt;&gt;0,"BS BREAK"," ")</f>
        <v xml:space="preserve"> </v>
      </c>
      <c r="N1" s="165" t="str">
        <f>IF(SUM(BS)&lt;&gt;0,"BS BREAK"," ")</f>
        <v xml:space="preserve"> </v>
      </c>
      <c r="P1" s="165" t="str">
        <f>IF(SUM(BS)&lt;&gt;0,"BS BREAK"," ")</f>
        <v xml:space="preserve"> </v>
      </c>
      <c r="R1" s="165" t="str">
        <f>IF(SUM(BS)&lt;&gt;0,"BS BREAK"," ")</f>
        <v xml:space="preserve"> </v>
      </c>
      <c r="T1" s="165" t="str">
        <f>IF(SUM(BS)&lt;&gt;0,"BS BREAK"," ")</f>
        <v xml:space="preserve"> </v>
      </c>
      <c r="V1" s="165" t="str">
        <f>IF(SUM(BS)&lt;&gt;0,"BS BREAK"," ")</f>
        <v xml:space="preserve"> </v>
      </c>
      <c r="X1" s="165" t="str">
        <f>IF(SUM(BS)&lt;&gt;0,"BS BREAK"," ")</f>
        <v xml:space="preserve"> </v>
      </c>
      <c r="Z1" s="165" t="str">
        <f>IF(SUM(BS)&lt;&gt;0,"BS BREAK"," ")</f>
        <v xml:space="preserve"> </v>
      </c>
      <c r="AB1" s="165" t="str">
        <f>IF(SUM(BS)&lt;&gt;0,"BS BREAK"," ")</f>
        <v xml:space="preserve"> </v>
      </c>
      <c r="AD1" s="165" t="str">
        <f>IF(SUM(BS)&lt;&gt;0,"BS BREAK"," ")</f>
        <v xml:space="preserve"> </v>
      </c>
      <c r="AF1" s="165" t="str">
        <f>IF(SUM(BS)&lt;&gt;0,"BS BREAK"," ")</f>
        <v xml:space="preserve"> </v>
      </c>
      <c r="AH1" s="165" t="str">
        <f>IF(SUM(BS)&lt;&gt;0,"BS BREAK"," ")</f>
        <v xml:space="preserve"> </v>
      </c>
      <c r="AJ1" s="165" t="str">
        <f>IF(SUM(BS)&lt;&gt;0,"BS BREAK"," ")</f>
        <v xml:space="preserve"> </v>
      </c>
      <c r="AL1" s="165" t="str">
        <f>IF(SUM(BS)&lt;&gt;0,"BS BREAK"," ")</f>
        <v xml:space="preserve"> </v>
      </c>
      <c r="AN1" s="165" t="str">
        <f>IF(SUM(BS)&lt;&gt;0,"BS BREAK"," ")</f>
        <v xml:space="preserve"> </v>
      </c>
      <c r="AP1" s="165" t="str">
        <f>IF(SUM(BS)&lt;&gt;0,"BS BREAK"," ")</f>
        <v xml:space="preserve"> </v>
      </c>
      <c r="AR1" s="165" t="str">
        <f>IF(SUM(BS)&lt;&gt;0,"BS BREAK"," ")</f>
        <v xml:space="preserve"> </v>
      </c>
      <c r="AT1" s="165" t="str">
        <f>IF(SUM(BS)&lt;&gt;0,"BS BREAK"," ")</f>
        <v xml:space="preserve"> </v>
      </c>
      <c r="AV1" s="165" t="str">
        <f>IF(SUM(BS)&lt;&gt;0,"BS BREAK"," ")</f>
        <v xml:space="preserve"> </v>
      </c>
      <c r="AX1" s="165" t="str">
        <f>IF(SUM(BS)&lt;&gt;0,"BS BREAK"," ")</f>
        <v xml:space="preserve"> </v>
      </c>
      <c r="BQ1" t="str">
        <f>IF(SUM(BS)&lt;&gt;0,"BS BREAK"," ")</f>
        <v xml:space="preserve"> </v>
      </c>
      <c r="BS1" t="str">
        <f>IF(SUM(BS)&lt;&gt;0,"BS BREAK"," ")</f>
        <v xml:space="preserve"> </v>
      </c>
      <c r="BU1" t="str">
        <f>IF(SUM(BS)&lt;&gt;0,"BS BREAK"," ")</f>
        <v xml:space="preserve"> </v>
      </c>
      <c r="BW1" t="str">
        <f>IF(SUM(BS)&lt;&gt;0,"BS BREAK"," ")</f>
        <v xml:space="preserve"> </v>
      </c>
      <c r="BY1" t="str">
        <f>IF(SUM(BS)&lt;&gt;0,"BS BREAK"," ")</f>
        <v xml:space="preserve"> </v>
      </c>
      <c r="CA1" s="165" t="str">
        <f>IF(SUM(BS)&lt;&gt;0,"BS BREAK"," ")</f>
        <v xml:space="preserve"> </v>
      </c>
      <c r="CB1" s="165" t="str">
        <f>IF(SUM(BS)&lt;&gt;0,"BS BREAK"," ")</f>
        <v xml:space="preserve"> </v>
      </c>
      <c r="CC1" s="165" t="str">
        <f>IF(SUM(BS)&lt;&gt;0,"BS BREAK"," ")</f>
        <v xml:space="preserve"> </v>
      </c>
      <c r="CD1" s="165"/>
      <c r="CE1" s="165"/>
      <c r="CF1" s="165"/>
    </row>
    <row r="2" spans="2:86" ht="18">
      <c r="B2" s="95" t="s">
        <v>77</v>
      </c>
    </row>
    <row r="6" spans="2:86">
      <c r="B6" s="254"/>
      <c r="AY6" s="446"/>
      <c r="AZ6" s="446"/>
      <c r="BA6" s="446"/>
      <c r="BB6" s="446"/>
      <c r="BC6" s="446"/>
      <c r="BD6" s="446"/>
      <c r="BE6" s="446"/>
      <c r="BF6" s="446"/>
      <c r="BG6" s="446"/>
      <c r="BH6" s="446"/>
      <c r="BI6" s="446"/>
      <c r="BJ6" s="446"/>
      <c r="BK6" s="446"/>
      <c r="BL6" s="446"/>
      <c r="BM6" s="446"/>
      <c r="BN6" s="446"/>
      <c r="BO6" s="446"/>
    </row>
    <row r="7" spans="2:86" ht="15">
      <c r="B7" s="574" t="s">
        <v>195</v>
      </c>
      <c r="C7" s="3"/>
      <c r="D7" s="4" t="str">
        <f>IS!D7</f>
        <v>C1Q04A</v>
      </c>
      <c r="E7" s="5" t="str">
        <f>IS!E7</f>
        <v>C2Q04A</v>
      </c>
      <c r="F7" s="5" t="str">
        <f>IS!F7</f>
        <v>C3Q04A</v>
      </c>
      <c r="G7" s="6" t="str">
        <f>IS!G7</f>
        <v>C4Q04A</v>
      </c>
      <c r="H7" s="4" t="str">
        <f>IS!H7</f>
        <v>C1Q05A</v>
      </c>
      <c r="I7" s="5" t="str">
        <f>IS!I7</f>
        <v>C2Q05A</v>
      </c>
      <c r="J7" s="5" t="str">
        <f>IS!J7</f>
        <v>C3Q05A</v>
      </c>
      <c r="K7" s="6" t="str">
        <f>IS!K7</f>
        <v>C4Q05A</v>
      </c>
      <c r="L7" s="4" t="str">
        <f>IS!L7</f>
        <v>C1Q06A</v>
      </c>
      <c r="M7" s="5" t="str">
        <f>IS!M7</f>
        <v>C2Q06A</v>
      </c>
      <c r="N7" s="5" t="str">
        <f>IS!N7</f>
        <v>C3Q06A</v>
      </c>
      <c r="O7" s="6" t="str">
        <f>IS!O7</f>
        <v>C4Q06A</v>
      </c>
      <c r="P7" s="4" t="str">
        <f>IS!P7</f>
        <v>C1Q07A</v>
      </c>
      <c r="Q7" s="5" t="str">
        <f>IS!Q7</f>
        <v>C2Q07A</v>
      </c>
      <c r="R7" s="5" t="str">
        <f>IS!R7</f>
        <v>C3Q07A</v>
      </c>
      <c r="S7" s="6" t="str">
        <f>IS!S7</f>
        <v>C4Q07A</v>
      </c>
      <c r="T7" s="4" t="str">
        <f>IS!T7</f>
        <v>C1Q08A</v>
      </c>
      <c r="U7" s="5" t="str">
        <f>IS!U7</f>
        <v>C2Q08A</v>
      </c>
      <c r="V7" s="5" t="str">
        <f>IS!V7</f>
        <v>C3Q08A</v>
      </c>
      <c r="W7" s="6" t="str">
        <f>IS!W7</f>
        <v>C4Q08A</v>
      </c>
      <c r="X7" s="4" t="str">
        <f>IS!X7</f>
        <v>C1Q09A</v>
      </c>
      <c r="Y7" s="5" t="str">
        <f>IS!Y7</f>
        <v>C2Q09A</v>
      </c>
      <c r="Z7" s="5" t="str">
        <f>IS!Z7</f>
        <v>C3Q09A</v>
      </c>
      <c r="AA7" s="6" t="str">
        <f>IS!AA7</f>
        <v>C4Q09A</v>
      </c>
      <c r="AB7" s="4" t="str">
        <f>IS!AB7</f>
        <v>C1Q10A</v>
      </c>
      <c r="AC7" s="5" t="str">
        <f>IS!AC7</f>
        <v>C2Q10A</v>
      </c>
      <c r="AD7" s="5" t="str">
        <f>IS!AD7</f>
        <v>C3Q10A</v>
      </c>
      <c r="AE7" s="6" t="str">
        <f>IS!AE7</f>
        <v>C4Q10A</v>
      </c>
      <c r="AF7" s="4" t="str">
        <f>IS!AF7</f>
        <v>C1Q11A</v>
      </c>
      <c r="AG7" s="5" t="str">
        <f>IS!AG7</f>
        <v>C2Q11A</v>
      </c>
      <c r="AH7" s="5" t="str">
        <f>IS!AH7</f>
        <v>C3Q11A</v>
      </c>
      <c r="AI7" s="6" t="str">
        <f>IS!AI7</f>
        <v>C4Q11A</v>
      </c>
      <c r="AJ7" s="4" t="str">
        <f>IS!AJ7</f>
        <v>C1Q12A</v>
      </c>
      <c r="AK7" s="5" t="str">
        <f>IS!AK7</f>
        <v>C2Q12A</v>
      </c>
      <c r="AL7" s="5" t="str">
        <f>IS!AL7</f>
        <v>C3Q12A</v>
      </c>
      <c r="AM7" s="6" t="str">
        <f>IS!AM7</f>
        <v>C4Q12A</v>
      </c>
      <c r="AN7" s="4" t="str">
        <f>IS!AN7</f>
        <v>C1Q13A</v>
      </c>
      <c r="AO7" s="5" t="str">
        <f>IS!AO7</f>
        <v>C2Q13A</v>
      </c>
      <c r="AP7" s="5" t="str">
        <f>IS!AP7</f>
        <v>C3Q13A</v>
      </c>
      <c r="AQ7" s="6" t="str">
        <f>IS!AQ7</f>
        <v>C4Q13A</v>
      </c>
      <c r="AR7" s="4" t="str">
        <f>IS!AR7</f>
        <v>C1Q14A</v>
      </c>
      <c r="AS7" s="5" t="str">
        <f>IS!AS7</f>
        <v>C2Q14A</v>
      </c>
      <c r="AT7" s="5" t="str">
        <f>IS!AT7</f>
        <v>C3Q14A</v>
      </c>
      <c r="AU7" s="6" t="str">
        <f>IS!AU7</f>
        <v>C4Q14A</v>
      </c>
      <c r="AV7" s="4" t="str">
        <f>IS!AV7</f>
        <v>C1Q15A</v>
      </c>
      <c r="AW7" s="5" t="str">
        <f>IS!AW7</f>
        <v>C2Q15A</v>
      </c>
      <c r="AX7" s="5" t="str">
        <f>IS!AX7</f>
        <v>C3Q15A</v>
      </c>
      <c r="AY7" s="6" t="str">
        <f>IS!AY7</f>
        <v>C4Q15A</v>
      </c>
      <c r="AZ7" s="511" t="str">
        <f>IS!AZ7</f>
        <v>C1Q16A</v>
      </c>
      <c r="BA7" s="5" t="str">
        <f>IS!BA7</f>
        <v>C2Q16A</v>
      </c>
      <c r="BB7" s="5" t="str">
        <f>IS!BB7</f>
        <v>C3Q16A</v>
      </c>
      <c r="BC7" s="470" t="str">
        <f>IS!BC7</f>
        <v>C4Q16A</v>
      </c>
      <c r="BD7" s="469" t="str">
        <f>IS!BD7</f>
        <v>C1Q17A</v>
      </c>
      <c r="BE7" s="469" t="str">
        <f>IS!BE7</f>
        <v>C2Q17A</v>
      </c>
      <c r="BF7" s="469" t="str">
        <f>IS!BF7</f>
        <v>C3Q17A</v>
      </c>
      <c r="BG7" s="470" t="str">
        <f>IS!BG7</f>
        <v>C4Q17A</v>
      </c>
      <c r="BH7" s="469" t="str">
        <f>IS!BH7</f>
        <v>C1Q18A</v>
      </c>
      <c r="BI7" s="469" t="str">
        <f>IS!BI7</f>
        <v>C2Q18A</v>
      </c>
      <c r="BJ7" s="469" t="str">
        <f>IS!BJ7</f>
        <v>C3Q18E</v>
      </c>
      <c r="BK7" s="470" t="str">
        <f>IS!BK7</f>
        <v>C4Q18E</v>
      </c>
      <c r="BL7" s="469" t="str">
        <f>IS!BL7</f>
        <v>C1Q19A</v>
      </c>
      <c r="BM7" s="469" t="str">
        <f>IS!BM7</f>
        <v>C2Q19A</v>
      </c>
      <c r="BN7" s="469" t="str">
        <f>IS!BN7</f>
        <v>C3Q19E</v>
      </c>
      <c r="BO7" s="470" t="str">
        <f>IS!BO7</f>
        <v>C4Q19E</v>
      </c>
      <c r="BP7" s="347"/>
      <c r="BQ7" s="5" t="str">
        <f>IS!BQ7</f>
        <v>CY2004A</v>
      </c>
      <c r="BR7" s="5" t="str">
        <f>IS!BR7</f>
        <v>CY2005A</v>
      </c>
      <c r="BS7" s="5" t="str">
        <f>IS!BS7</f>
        <v>CY2006A</v>
      </c>
      <c r="BT7" s="5" t="str">
        <f>IS!BT7</f>
        <v>CY2007A</v>
      </c>
      <c r="BU7" s="5" t="str">
        <f>IS!BU7</f>
        <v>CY2008A</v>
      </c>
      <c r="BV7" s="5" t="str">
        <f>IS!BV7</f>
        <v>CY2009A</v>
      </c>
      <c r="BW7" s="5" t="str">
        <f>IS!BW7</f>
        <v>CY2010A</v>
      </c>
      <c r="BX7" s="5" t="str">
        <f>IS!BX7</f>
        <v>CY2011A</v>
      </c>
      <c r="BY7" s="5" t="str">
        <f>IS!BY7</f>
        <v>CY2012A</v>
      </c>
      <c r="BZ7" s="5" t="str">
        <f>IS!BZ7</f>
        <v>CY2013A</v>
      </c>
      <c r="CA7" s="5" t="str">
        <f>IS!CA7</f>
        <v>CY2014A</v>
      </c>
      <c r="CB7" s="5" t="str">
        <f>IS!CB7</f>
        <v>CY2015A</v>
      </c>
      <c r="CC7" s="5" t="str">
        <f>IS!CC7</f>
        <v>CY2016A</v>
      </c>
      <c r="CD7" s="5" t="str">
        <f>IS!CD7</f>
        <v>CY2017A</v>
      </c>
      <c r="CE7" s="5" t="str">
        <f>IS!CE7</f>
        <v>CY2018E</v>
      </c>
      <c r="CF7" s="5" t="str">
        <f>IS!CF7</f>
        <v>CY2019E</v>
      </c>
      <c r="CG7" s="470" t="str">
        <f>IS!CG7</f>
        <v>CY2020E</v>
      </c>
      <c r="CH7" s="336"/>
    </row>
    <row r="8" spans="2:86" ht="15">
      <c r="B8" s="575" t="s">
        <v>86</v>
      </c>
      <c r="C8" s="172"/>
      <c r="D8" s="104">
        <f>IS!D8</f>
        <v>38107</v>
      </c>
      <c r="E8" s="9">
        <f>IS!E8</f>
        <v>38199</v>
      </c>
      <c r="F8" s="9">
        <f>IS!F8</f>
        <v>38291</v>
      </c>
      <c r="G8" s="10">
        <f>IS!G8</f>
        <v>38383</v>
      </c>
      <c r="H8" s="104">
        <f>IS!H8</f>
        <v>38472</v>
      </c>
      <c r="I8" s="9">
        <f>IS!I8</f>
        <v>38564</v>
      </c>
      <c r="J8" s="9">
        <f>IS!J8</f>
        <v>38656</v>
      </c>
      <c r="K8" s="10">
        <f>IS!K8</f>
        <v>38748</v>
      </c>
      <c r="L8" s="104">
        <f>IS!L8</f>
        <v>38837</v>
      </c>
      <c r="M8" s="9">
        <f>IS!M8</f>
        <v>38929</v>
      </c>
      <c r="N8" s="9">
        <f>IS!N8</f>
        <v>39021</v>
      </c>
      <c r="O8" s="10">
        <f>IS!O8</f>
        <v>39113</v>
      </c>
      <c r="P8" s="104">
        <f>IS!P8</f>
        <v>39202</v>
      </c>
      <c r="Q8" s="9">
        <f>IS!Q8</f>
        <v>39294</v>
      </c>
      <c r="R8" s="9">
        <f>IS!R8</f>
        <v>39386</v>
      </c>
      <c r="S8" s="10">
        <f>IS!S8</f>
        <v>39478</v>
      </c>
      <c r="T8" s="104">
        <f>IS!T8</f>
        <v>39568</v>
      </c>
      <c r="U8" s="9">
        <f>IS!U8</f>
        <v>39660</v>
      </c>
      <c r="V8" s="9">
        <f>IS!V8</f>
        <v>39752</v>
      </c>
      <c r="W8" s="10">
        <f>IS!W8</f>
        <v>39844</v>
      </c>
      <c r="X8" s="104">
        <f>IS!X8</f>
        <v>39933</v>
      </c>
      <c r="Y8" s="9">
        <f>IS!Y8</f>
        <v>40025</v>
      </c>
      <c r="Z8" s="9">
        <f>IS!Z8</f>
        <v>40117</v>
      </c>
      <c r="AA8" s="10">
        <f>IS!AA8</f>
        <v>40209</v>
      </c>
      <c r="AB8" s="104">
        <f>IS!AB8</f>
        <v>40298</v>
      </c>
      <c r="AC8" s="9">
        <f>IS!AC8</f>
        <v>40390</v>
      </c>
      <c r="AD8" s="9">
        <f>IS!AD8</f>
        <v>40482</v>
      </c>
      <c r="AE8" s="10">
        <f>IS!AE8</f>
        <v>40574</v>
      </c>
      <c r="AF8" s="104">
        <f>IS!AF8</f>
        <v>40663</v>
      </c>
      <c r="AG8" s="9">
        <f>IS!AG8</f>
        <v>40755</v>
      </c>
      <c r="AH8" s="9">
        <f>IS!AH8</f>
        <v>40847</v>
      </c>
      <c r="AI8" s="10">
        <f>IS!AI8</f>
        <v>40939</v>
      </c>
      <c r="AJ8" s="104">
        <f>IS!AJ8</f>
        <v>41029</v>
      </c>
      <c r="AK8" s="9">
        <f>IS!AK8</f>
        <v>41121</v>
      </c>
      <c r="AL8" s="9">
        <f>IS!AL8</f>
        <v>41213</v>
      </c>
      <c r="AM8" s="10">
        <f>IS!AM8</f>
        <v>41305</v>
      </c>
      <c r="AN8" s="104">
        <f>IS!AN8</f>
        <v>41394</v>
      </c>
      <c r="AO8" s="9">
        <f>IS!AO8</f>
        <v>41486</v>
      </c>
      <c r="AP8" s="9">
        <f>IS!AP8</f>
        <v>41578</v>
      </c>
      <c r="AQ8" s="10">
        <f>IS!AQ8</f>
        <v>41670</v>
      </c>
      <c r="AR8" s="104">
        <f>IS!AR8</f>
        <v>41759</v>
      </c>
      <c r="AS8" s="9">
        <f>IS!AS8</f>
        <v>41851</v>
      </c>
      <c r="AT8" s="9">
        <f>IS!AT8</f>
        <v>41943</v>
      </c>
      <c r="AU8" s="10">
        <f>IS!AU8</f>
        <v>42035</v>
      </c>
      <c r="AV8" s="104">
        <f>IS!AV8</f>
        <v>42124</v>
      </c>
      <c r="AW8" s="9">
        <f>IS!AW8</f>
        <v>42216</v>
      </c>
      <c r="AX8" s="9">
        <f>IS!AX8</f>
        <v>42308</v>
      </c>
      <c r="AY8" s="10">
        <f>IS!AY8</f>
        <v>42400</v>
      </c>
      <c r="AZ8" s="514">
        <f>IS!AZ8</f>
        <v>42490</v>
      </c>
      <c r="BA8" s="9">
        <f>IS!BA8</f>
        <v>42582</v>
      </c>
      <c r="BB8" s="9">
        <f>IS!BB8</f>
        <v>42674</v>
      </c>
      <c r="BC8" s="473">
        <f>IS!BC8</f>
        <v>42766</v>
      </c>
      <c r="BD8" s="472">
        <f>IS!BD8</f>
        <v>42855</v>
      </c>
      <c r="BE8" s="472">
        <f>IS!BE8</f>
        <v>42947</v>
      </c>
      <c r="BF8" s="472">
        <f>IS!BF8</f>
        <v>43039</v>
      </c>
      <c r="BG8" s="473">
        <f>IS!BG8</f>
        <v>43131</v>
      </c>
      <c r="BH8" s="472">
        <f>IS!BH8</f>
        <v>43220</v>
      </c>
      <c r="BI8" s="472">
        <f>IS!BI8</f>
        <v>43312</v>
      </c>
      <c r="BJ8" s="472">
        <f>IS!BJ8</f>
        <v>43404</v>
      </c>
      <c r="BK8" s="473">
        <f>IS!BK8</f>
        <v>43496</v>
      </c>
      <c r="BL8" s="472">
        <f>IS!BL8</f>
        <v>43585</v>
      </c>
      <c r="BM8" s="472">
        <f>IS!BM8</f>
        <v>43677</v>
      </c>
      <c r="BN8" s="472">
        <f>IS!BN8</f>
        <v>43769</v>
      </c>
      <c r="BO8" s="571">
        <f>IS!BO8</f>
        <v>43861</v>
      </c>
      <c r="BP8" s="347"/>
      <c r="BQ8" s="559">
        <f>IS!BQ8</f>
        <v>38383</v>
      </c>
      <c r="BR8" s="559">
        <f>IS!BR8</f>
        <v>38748</v>
      </c>
      <c r="BS8" s="559">
        <f>IS!BS8</f>
        <v>39113</v>
      </c>
      <c r="BT8" s="559">
        <f>IS!BT8</f>
        <v>39478</v>
      </c>
      <c r="BU8" s="559">
        <f>IS!BU8</f>
        <v>39844</v>
      </c>
      <c r="BV8" s="559">
        <f>IS!BV8</f>
        <v>40209</v>
      </c>
      <c r="BW8" s="559">
        <f>IS!BW8</f>
        <v>40574</v>
      </c>
      <c r="BX8" s="559">
        <f>IS!BX8</f>
        <v>40939</v>
      </c>
      <c r="BY8" s="559">
        <f>IS!BY8</f>
        <v>41305</v>
      </c>
      <c r="BZ8" s="9">
        <f>IS!BZ8</f>
        <v>41670</v>
      </c>
      <c r="CA8" s="9">
        <f>IS!CA8</f>
        <v>42035</v>
      </c>
      <c r="CB8" s="9">
        <f>IS!CB8</f>
        <v>42400</v>
      </c>
      <c r="CC8" s="9">
        <f>IS!CC8</f>
        <v>42766</v>
      </c>
      <c r="CD8" s="9">
        <f>IS!CD8</f>
        <v>43131</v>
      </c>
      <c r="CE8" s="559">
        <f>IS!CE8</f>
        <v>43496</v>
      </c>
      <c r="CF8" s="559">
        <f>IS!CF8</f>
        <v>43861</v>
      </c>
      <c r="CG8" s="571">
        <f>IS!CG8</f>
        <v>43861</v>
      </c>
      <c r="CH8" s="336"/>
    </row>
    <row r="9" spans="2:86" ht="15">
      <c r="B9" s="576"/>
      <c r="C9" s="12"/>
      <c r="D9" s="13" t="str">
        <f>IS!D9</f>
        <v>F1Q05A</v>
      </c>
      <c r="E9" s="14" t="str">
        <f>IS!E9</f>
        <v>F2Q05A</v>
      </c>
      <c r="F9" s="14" t="str">
        <f>IS!F9</f>
        <v>F3Q05A</v>
      </c>
      <c r="G9" s="15" t="str">
        <f>IS!G9</f>
        <v>F4Q05A</v>
      </c>
      <c r="H9" s="13" t="str">
        <f>IS!H9</f>
        <v>F1Q06A</v>
      </c>
      <c r="I9" s="14" t="str">
        <f>IS!I9</f>
        <v>F2Q06A</v>
      </c>
      <c r="J9" s="14" t="str">
        <f>IS!J9</f>
        <v>F3Q06A</v>
      </c>
      <c r="K9" s="15" t="str">
        <f>IS!K9</f>
        <v>F4Q06A</v>
      </c>
      <c r="L9" s="13" t="str">
        <f>IS!L9</f>
        <v>F1Q07A</v>
      </c>
      <c r="M9" s="14" t="str">
        <f>IS!M9</f>
        <v>F2Q07A</v>
      </c>
      <c r="N9" s="14" t="str">
        <f>IS!N9</f>
        <v>F3Q07A</v>
      </c>
      <c r="O9" s="15" t="str">
        <f>IS!O9</f>
        <v>F4Q07A</v>
      </c>
      <c r="P9" s="13" t="str">
        <f>IS!P9</f>
        <v>F1Q08A</v>
      </c>
      <c r="Q9" s="14" t="str">
        <f>IS!Q9</f>
        <v>F2Q08A</v>
      </c>
      <c r="R9" s="14" t="str">
        <f>IS!R9</f>
        <v>F3Q08A</v>
      </c>
      <c r="S9" s="15" t="str">
        <f>IS!S9</f>
        <v>F4Q08A</v>
      </c>
      <c r="T9" s="13" t="str">
        <f>IS!T9</f>
        <v>F1Q09A</v>
      </c>
      <c r="U9" s="14" t="str">
        <f>IS!U9</f>
        <v>F2Q09A</v>
      </c>
      <c r="V9" s="14" t="str">
        <f>IS!V9</f>
        <v>F3Q09A</v>
      </c>
      <c r="W9" s="15" t="str">
        <f>IS!W9</f>
        <v>F4Q09A</v>
      </c>
      <c r="X9" s="13" t="str">
        <f>IS!X9</f>
        <v>F1Q10A</v>
      </c>
      <c r="Y9" s="14" t="str">
        <f>IS!Y9</f>
        <v>F2Q10A</v>
      </c>
      <c r="Z9" s="14" t="str">
        <f>IS!Z9</f>
        <v>F3Q10A</v>
      </c>
      <c r="AA9" s="15" t="str">
        <f>IS!AA9</f>
        <v>F4Q10A</v>
      </c>
      <c r="AB9" s="13" t="str">
        <f>IS!AB9</f>
        <v>F1Q11A</v>
      </c>
      <c r="AC9" s="14" t="str">
        <f>IS!AC9</f>
        <v>F2Q11A</v>
      </c>
      <c r="AD9" s="14" t="str">
        <f>IS!AD9</f>
        <v>F3Q11A</v>
      </c>
      <c r="AE9" s="15" t="str">
        <f>IS!AE9</f>
        <v>F4Q11A</v>
      </c>
      <c r="AF9" s="13" t="str">
        <f>IS!AF9</f>
        <v>F1Q12A</v>
      </c>
      <c r="AG9" s="14" t="str">
        <f>IS!AG9</f>
        <v>F2Q12A</v>
      </c>
      <c r="AH9" s="14" t="str">
        <f>IS!AH9</f>
        <v>F3Q12A</v>
      </c>
      <c r="AI9" s="15" t="str">
        <f>IS!AI9</f>
        <v>F4Q12A</v>
      </c>
      <c r="AJ9" s="13" t="str">
        <f>IS!AJ9</f>
        <v>F1Q13A</v>
      </c>
      <c r="AK9" s="14" t="str">
        <f>IS!AK9</f>
        <v>F2Q13A</v>
      </c>
      <c r="AL9" s="14" t="str">
        <f>IS!AL9</f>
        <v>F3Q13A</v>
      </c>
      <c r="AM9" s="15" t="str">
        <f>IS!AM9</f>
        <v>F4Q13A</v>
      </c>
      <c r="AN9" s="13" t="str">
        <f>IS!AN9</f>
        <v>F1Q14A</v>
      </c>
      <c r="AO9" s="14" t="str">
        <f>IS!AO9</f>
        <v>F2Q14A</v>
      </c>
      <c r="AP9" s="14" t="str">
        <f>IS!AP9</f>
        <v>F3Q14A</v>
      </c>
      <c r="AQ9" s="15" t="str">
        <f>IS!AQ9</f>
        <v>F4Q14A</v>
      </c>
      <c r="AR9" s="13" t="str">
        <f>IS!AR9</f>
        <v>F1Q15A</v>
      </c>
      <c r="AS9" s="14" t="str">
        <f>IS!AS9</f>
        <v>F2Q15A</v>
      </c>
      <c r="AT9" s="14" t="str">
        <f>IS!AT9</f>
        <v>F3Q15A</v>
      </c>
      <c r="AU9" s="15" t="str">
        <f>IS!AU9</f>
        <v>F4Q15A</v>
      </c>
      <c r="AV9" s="13" t="str">
        <f>IS!AV9</f>
        <v>F1Q16A</v>
      </c>
      <c r="AW9" s="14" t="str">
        <f>IS!AW9</f>
        <v>F2Q16A</v>
      </c>
      <c r="AX9" s="14" t="str">
        <f>IS!AX9</f>
        <v>F3Q16A</v>
      </c>
      <c r="AY9" s="15" t="str">
        <f>IS!AY9</f>
        <v>F4Q16A</v>
      </c>
      <c r="AZ9" s="536" t="str">
        <f>IS!AZ9</f>
        <v>F1Q17A</v>
      </c>
      <c r="BA9" s="14" t="str">
        <f>IS!BA9</f>
        <v>F2Q17A</v>
      </c>
      <c r="BB9" s="14" t="str">
        <f>IS!BB9</f>
        <v>F3Q17A</v>
      </c>
      <c r="BC9" s="476" t="str">
        <f>IS!BC9</f>
        <v>F4Q17A</v>
      </c>
      <c r="BD9" s="475" t="str">
        <f>IS!BD9</f>
        <v>F1Q18A</v>
      </c>
      <c r="BE9" s="475" t="str">
        <f>IS!BE9</f>
        <v>F2Q18A</v>
      </c>
      <c r="BF9" s="475" t="str">
        <f>IS!BF9</f>
        <v>F3Q18A</v>
      </c>
      <c r="BG9" s="476" t="str">
        <f>IS!BG9</f>
        <v>F4Q18A</v>
      </c>
      <c r="BH9" s="475" t="str">
        <f>IS!BH9</f>
        <v>F1Q19E</v>
      </c>
      <c r="BI9" s="475" t="str">
        <f>IS!BI9</f>
        <v>F2Q19E</v>
      </c>
      <c r="BJ9" s="475" t="str">
        <f>IS!BJ9</f>
        <v>F3Q19E</v>
      </c>
      <c r="BK9" s="476" t="str">
        <f>IS!BK9</f>
        <v>F4Q19E</v>
      </c>
      <c r="BL9" s="475" t="str">
        <f>IS!BL9</f>
        <v>F1Q20E</v>
      </c>
      <c r="BM9" s="475" t="str">
        <f>IS!BM9</f>
        <v>F2Q20E</v>
      </c>
      <c r="BN9" s="475" t="str">
        <f>IS!BN9</f>
        <v>F3Q20E</v>
      </c>
      <c r="BO9" s="572" t="str">
        <f>IS!BO9</f>
        <v>F4Q20E</v>
      </c>
      <c r="BP9" s="347"/>
      <c r="BQ9" s="560" t="str">
        <f>IS!BQ9</f>
        <v>FY2005A</v>
      </c>
      <c r="BR9" s="560" t="str">
        <f>IS!BR9</f>
        <v>FY2006A</v>
      </c>
      <c r="BS9" s="560" t="str">
        <f>IS!BS9</f>
        <v>FY2007A</v>
      </c>
      <c r="BT9" s="560" t="str">
        <f>IS!BT9</f>
        <v>FY2008A</v>
      </c>
      <c r="BU9" s="560" t="str">
        <f>IS!BU9</f>
        <v>FY2009A</v>
      </c>
      <c r="BV9" s="560" t="str">
        <f>IS!BV9</f>
        <v>FY2010A</v>
      </c>
      <c r="BW9" s="560" t="str">
        <f>IS!BW9</f>
        <v>FY2011A</v>
      </c>
      <c r="BX9" s="560" t="str">
        <f>IS!BX9</f>
        <v>FY2012A</v>
      </c>
      <c r="BY9" s="560" t="str">
        <f>IS!BY9</f>
        <v>FY2013A</v>
      </c>
      <c r="BZ9" s="14" t="str">
        <f>IS!BZ9</f>
        <v>FY2014A</v>
      </c>
      <c r="CA9" s="14" t="str">
        <f>IS!CA9</f>
        <v>FY2015A</v>
      </c>
      <c r="CB9" s="14" t="str">
        <f>IS!CB9</f>
        <v>FY2016A</v>
      </c>
      <c r="CC9" s="14" t="str">
        <f>IS!CC9</f>
        <v>FY2017A</v>
      </c>
      <c r="CD9" s="14" t="str">
        <f>IS!CD9</f>
        <v>FY2018A</v>
      </c>
      <c r="CE9" s="560" t="str">
        <f>IS!CE9</f>
        <v>FY2019E</v>
      </c>
      <c r="CF9" s="560" t="str">
        <f>IS!CF9</f>
        <v>FY2020E</v>
      </c>
      <c r="CG9" s="572" t="str">
        <f>IS!CG9</f>
        <v>FY2021E</v>
      </c>
      <c r="CH9" s="336"/>
    </row>
    <row r="10" spans="2:86" ht="15">
      <c r="B10" s="577" t="s">
        <v>164</v>
      </c>
      <c r="C10" s="173"/>
      <c r="D10" s="174"/>
      <c r="E10" s="175"/>
      <c r="F10" s="175"/>
      <c r="G10" s="176"/>
      <c r="H10" s="174"/>
      <c r="I10" s="175"/>
      <c r="J10" s="175"/>
      <c r="K10" s="176"/>
      <c r="L10" s="174"/>
      <c r="M10" s="175"/>
      <c r="N10" s="175"/>
      <c r="O10" s="176"/>
      <c r="P10" s="174"/>
      <c r="Q10" s="175"/>
      <c r="R10" s="175"/>
      <c r="S10" s="176"/>
      <c r="T10" s="174"/>
      <c r="U10" s="175"/>
      <c r="V10" s="175"/>
      <c r="W10" s="176"/>
      <c r="X10" s="174"/>
      <c r="Y10" s="175"/>
      <c r="Z10" s="175"/>
      <c r="AA10" s="176"/>
      <c r="AB10" s="174"/>
      <c r="AC10" s="175"/>
      <c r="AD10" s="175"/>
      <c r="AE10" s="176"/>
      <c r="AF10" s="174"/>
      <c r="AG10" s="175"/>
      <c r="AH10" s="175"/>
      <c r="AI10" s="176"/>
      <c r="AJ10" s="174"/>
      <c r="AK10" s="175"/>
      <c r="AL10" s="175"/>
      <c r="AM10" s="176"/>
      <c r="AN10" s="174"/>
      <c r="AO10" s="175"/>
      <c r="AP10" s="175"/>
      <c r="AQ10" s="176"/>
      <c r="AR10" s="174"/>
      <c r="AS10" s="175"/>
      <c r="AT10" s="175"/>
      <c r="AU10" s="176"/>
      <c r="AV10" s="174"/>
      <c r="AW10" s="175"/>
      <c r="AX10" s="175"/>
      <c r="AY10" s="176"/>
      <c r="AZ10" s="174"/>
      <c r="BA10" s="175"/>
      <c r="BB10" s="175"/>
      <c r="BC10" s="176"/>
      <c r="BD10" s="175"/>
      <c r="BE10" s="175"/>
      <c r="BF10" s="175"/>
      <c r="BG10" s="176"/>
      <c r="BH10" s="175"/>
      <c r="BI10" s="175"/>
      <c r="BJ10" s="175"/>
      <c r="BK10" s="176"/>
      <c r="BL10" s="175"/>
      <c r="BM10" s="175"/>
      <c r="BN10" s="175"/>
      <c r="BO10" s="176"/>
      <c r="BP10" s="347"/>
      <c r="BQ10" s="67"/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  <c r="CC10" s="67"/>
      <c r="CD10" s="338"/>
      <c r="CE10" s="67"/>
      <c r="CF10" s="67"/>
      <c r="CG10" s="713"/>
      <c r="CH10" s="336"/>
    </row>
    <row r="11" spans="2:86" ht="14.25">
      <c r="B11" s="578" t="s">
        <v>165</v>
      </c>
      <c r="C11" s="177"/>
      <c r="D11" s="178">
        <f>IS!D106</f>
        <v>14.496999999999982</v>
      </c>
      <c r="E11" s="179">
        <f>IS!E106</f>
        <v>28.623999999999995</v>
      </c>
      <c r="F11" s="179">
        <f>IS!F106</f>
        <v>43.595000000000041</v>
      </c>
      <c r="G11" s="180">
        <f>IS!G106</f>
        <v>54.944999999999844</v>
      </c>
      <c r="H11" s="178">
        <f>IS!H106</f>
        <v>53.946999999999981</v>
      </c>
      <c r="I11" s="179">
        <f>IS!I106</f>
        <v>47.099000000000011</v>
      </c>
      <c r="J11" s="179">
        <f>IS!J106</f>
        <v>83.35499999999999</v>
      </c>
      <c r="K11" s="180">
        <f>IS!K106</f>
        <v>15.089000000000098</v>
      </c>
      <c r="L11" s="178">
        <f>IS!L106</f>
        <v>77.563000000000031</v>
      </c>
      <c r="M11" s="179">
        <f>IS!M106</f>
        <v>44.881000000000029</v>
      </c>
      <c r="N11" s="179">
        <f>IS!N106</f>
        <v>6.04600000000009</v>
      </c>
      <c r="O11" s="180">
        <f>IS!O106</f>
        <v>-140.58500000000049</v>
      </c>
      <c r="P11" s="178">
        <f>IS!P106</f>
        <v>-52.828000000000046</v>
      </c>
      <c r="Q11" s="179">
        <f>IS!Q106</f>
        <v>-56.455999999999911</v>
      </c>
      <c r="R11" s="179">
        <f>IS!R106</f>
        <v>-6.4360000000000213</v>
      </c>
      <c r="S11" s="180">
        <f>IS!S106</f>
        <v>1.2930000000001769</v>
      </c>
      <c r="T11" s="178">
        <f>IS!T106</f>
        <v>69.939000000000036</v>
      </c>
      <c r="U11" s="179">
        <f>IS!U106</f>
        <v>71.367000000000047</v>
      </c>
      <c r="V11" s="179">
        <f>IS!V106</f>
        <v>70.946000000000012</v>
      </c>
      <c r="W11" s="180">
        <f>IS!W106</f>
        <v>-65.010000000000389</v>
      </c>
      <c r="X11" s="178">
        <f>IS!X106</f>
        <v>-111.45699999999999</v>
      </c>
      <c r="Y11" s="179">
        <f>IS!Y106</f>
        <v>58.492999999999917</v>
      </c>
      <c r="Z11" s="179">
        <f>IS!Z106</f>
        <v>201.59899999999993</v>
      </c>
      <c r="AA11" s="180">
        <f>IS!AA106</f>
        <v>204.82099999999988</v>
      </c>
      <c r="AB11" s="178">
        <f>IS!AB106</f>
        <v>205.76699999999997</v>
      </c>
      <c r="AC11" s="179">
        <f>IS!AC106</f>
        <v>219.77700000000002</v>
      </c>
      <c r="AD11" s="179">
        <f>IS!AD106</f>
        <v>255.732</v>
      </c>
      <c r="AE11" s="180">
        <f>IS!AE106</f>
        <v>222.85300000000001</v>
      </c>
      <c r="AF11" s="178">
        <f>IS!AF106</f>
        <v>146.86100000000002</v>
      </c>
      <c r="AG11" s="179">
        <f>IS!AG106</f>
        <v>192.39200000000002</v>
      </c>
      <c r="AH11" s="179">
        <f>IS!AH106</f>
        <v>195.12100000000004</v>
      </c>
      <c r="AI11" s="180">
        <f>IS!AI106</f>
        <v>80.716999999999942</v>
      </c>
      <c r="AJ11" s="178">
        <f>IS!AJ106</f>
        <v>94.542999999999992</v>
      </c>
      <c r="AK11" s="179">
        <f>IS!AK106</f>
        <v>93.073999999999998</v>
      </c>
      <c r="AL11" s="179">
        <f>IS!AL106</f>
        <v>68.815999999999974</v>
      </c>
      <c r="AM11" s="180">
        <f>IS!AM106</f>
        <v>50.151999999999909</v>
      </c>
      <c r="AN11" s="178">
        <f>IS!AN106</f>
        <v>53.209000000000081</v>
      </c>
      <c r="AO11" s="179">
        <f>IS!AO106</f>
        <v>61.826000000000036</v>
      </c>
      <c r="AP11" s="179">
        <f>IS!AP106</f>
        <v>103.15600000000005</v>
      </c>
      <c r="AQ11" s="180">
        <f>IS!AQ106</f>
        <v>97.129000000000048</v>
      </c>
      <c r="AR11" s="178">
        <f>IS!AR106</f>
        <v>99.479000000000013</v>
      </c>
      <c r="AS11" s="179">
        <f>IS!AS106</f>
        <v>138.86999999999995</v>
      </c>
      <c r="AT11" s="179">
        <f>IS!AT106</f>
        <v>115.30399999999996</v>
      </c>
      <c r="AU11" s="180">
        <f>IS!AU106</f>
        <v>81.692999999999969</v>
      </c>
      <c r="AV11" s="178">
        <f>IS!AV106</f>
        <v>14.090000000000067</v>
      </c>
      <c r="AW11" s="179">
        <f>IS!AW106</f>
        <v>-771.94000000000017</v>
      </c>
      <c r="AX11" s="179">
        <f>IS!AX106</f>
        <v>-57.750000000000071</v>
      </c>
      <c r="AY11" s="180">
        <f>IS!AY106</f>
        <v>4.1999999999999815</v>
      </c>
      <c r="AZ11" s="178">
        <f>IS!AZ106</f>
        <v>-22.678999999999959</v>
      </c>
      <c r="BA11" s="179">
        <f>IS!BA106</f>
        <v>51.304999999999971</v>
      </c>
      <c r="BB11" s="179">
        <f>IS!BB106</f>
        <v>72.616000000000085</v>
      </c>
      <c r="BC11" s="180">
        <f>IS!BC122</f>
        <v>-80.091000000000093</v>
      </c>
      <c r="BD11" s="179">
        <f>IS!BD122</f>
        <v>106.62099999999997</v>
      </c>
      <c r="BE11" s="179">
        <f>IS!BE122</f>
        <v>165.25899999999999</v>
      </c>
      <c r="BF11" s="179">
        <f>IS!BF122</f>
        <v>200.18799999999999</v>
      </c>
      <c r="BG11" s="180">
        <f>IS!BG106</f>
        <v>48.762999999999963</v>
      </c>
      <c r="BH11" s="179">
        <f>IS!BH106</f>
        <v>135.56853185715002</v>
      </c>
      <c r="BI11" s="179">
        <f>IS!BI106</f>
        <v>145.89730622166522</v>
      </c>
      <c r="BJ11" s="179">
        <f>IS!BJ106</f>
        <v>153.4267275363504</v>
      </c>
      <c r="BK11" s="180">
        <f>IS!BK106</f>
        <v>153.51866394562231</v>
      </c>
      <c r="BL11" s="179">
        <f>IS!BL106</f>
        <v>144.74597827368993</v>
      </c>
      <c r="BM11" s="179">
        <f>IS!BM106</f>
        <v>154.66290174632346</v>
      </c>
      <c r="BN11" s="179">
        <f>IS!BN106</f>
        <v>160.68970393223179</v>
      </c>
      <c r="BO11" s="180">
        <f>IS!BO106</f>
        <v>159.78154779166374</v>
      </c>
      <c r="BP11" s="335"/>
      <c r="BQ11" s="427">
        <f t="shared" ref="BQ11:BQ18" si="0">SUM(D11:G11)</f>
        <v>141.66099999999986</v>
      </c>
      <c r="BR11" s="427">
        <f t="shared" ref="BR11:BR18" si="1">SUM(H11:K11)</f>
        <v>199.49000000000007</v>
      </c>
      <c r="BS11" s="427">
        <f t="shared" ref="BS11:BS18" si="2">SUM(L11:O11)</f>
        <v>-12.09500000000034</v>
      </c>
      <c r="BT11" s="427">
        <f t="shared" ref="BT11:BT18" si="3">SUM(P11:S11)</f>
        <v>-114.42699999999981</v>
      </c>
      <c r="BU11" s="427">
        <f t="shared" ref="BU11:BU18" si="4">SUM(T11:W11)</f>
        <v>147.24199999999973</v>
      </c>
      <c r="BV11" s="427">
        <f t="shared" ref="BV11:BV18" si="5">SUM(X11:AA11)</f>
        <v>353.45599999999973</v>
      </c>
      <c r="BW11" s="427">
        <f t="shared" ref="BW11:BW18" si="6">SUM(AB11:AE11)</f>
        <v>904.12899999999991</v>
      </c>
      <c r="BX11" s="427">
        <f t="shared" ref="BX11:BX18" si="7">SUM(AF11:AI11)</f>
        <v>615.09100000000001</v>
      </c>
      <c r="BY11" s="427">
        <f t="shared" ref="BY11:BY18" si="8">SUM(AJ11:AM11)</f>
        <v>306.58499999999992</v>
      </c>
      <c r="BZ11" s="427">
        <f t="shared" ref="BZ11:BZ18" si="9">SUM(AN11:AQ11)</f>
        <v>315.32000000000016</v>
      </c>
      <c r="CA11" s="427">
        <f t="shared" ref="CA11:CA18" si="10">SUM(AR11:AU11)</f>
        <v>435.34599999999989</v>
      </c>
      <c r="CB11" s="427">
        <f>SUM(AV11:AY11)</f>
        <v>-811.40000000000032</v>
      </c>
      <c r="CC11" s="427">
        <f>SUM(AZ11:BC11)</f>
        <v>21.15100000000001</v>
      </c>
      <c r="CD11" s="427">
        <f t="shared" ref="CD11:CD18" si="11">SUM(BD11:BG11)</f>
        <v>520.8309999999999</v>
      </c>
      <c r="CE11" s="427">
        <f t="shared" ref="CE11:CE18" si="12">SUM(BH11:BK11)</f>
        <v>588.41122956078789</v>
      </c>
      <c r="CF11" s="427">
        <f>SUM(BL11:BO11)</f>
        <v>619.88013174390892</v>
      </c>
      <c r="CG11" s="698">
        <f>IS!CG106</f>
        <v>627.07923819562961</v>
      </c>
      <c r="CH11" s="336"/>
    </row>
    <row r="12" spans="2:86" ht="28.5">
      <c r="B12" s="586" t="s">
        <v>166</v>
      </c>
      <c r="C12" s="181"/>
      <c r="D12" s="182"/>
      <c r="E12" s="183"/>
      <c r="F12" s="183"/>
      <c r="G12" s="184"/>
      <c r="H12" s="182"/>
      <c r="I12" s="183"/>
      <c r="J12" s="183"/>
      <c r="K12" s="184"/>
      <c r="L12" s="182"/>
      <c r="M12" s="183"/>
      <c r="N12" s="183"/>
      <c r="O12" s="184"/>
      <c r="P12" s="182"/>
      <c r="Q12" s="183"/>
      <c r="R12" s="183"/>
      <c r="S12" s="184"/>
      <c r="T12" s="182"/>
      <c r="U12" s="183"/>
      <c r="V12" s="183"/>
      <c r="W12" s="184"/>
      <c r="X12" s="182"/>
      <c r="Y12" s="183"/>
      <c r="Z12" s="183"/>
      <c r="AA12" s="184"/>
      <c r="AB12" s="182"/>
      <c r="AC12" s="183"/>
      <c r="AD12" s="183"/>
      <c r="AE12" s="184"/>
      <c r="AF12" s="182"/>
      <c r="AG12" s="363"/>
      <c r="AH12" s="363"/>
      <c r="AI12" s="184"/>
      <c r="AJ12" s="182"/>
      <c r="AK12" s="363"/>
      <c r="AL12" s="363"/>
      <c r="AM12" s="184"/>
      <c r="AN12" s="182"/>
      <c r="AO12" s="363"/>
      <c r="AP12" s="363"/>
      <c r="AQ12" s="184"/>
      <c r="AR12" s="182"/>
      <c r="AS12" s="363"/>
      <c r="AT12" s="363"/>
      <c r="AU12" s="184"/>
      <c r="AV12" s="182"/>
      <c r="AW12" s="363"/>
      <c r="AX12" s="363"/>
      <c r="AY12" s="184"/>
      <c r="AZ12" s="182"/>
      <c r="BA12" s="363"/>
      <c r="BB12" s="363"/>
      <c r="BC12" s="184"/>
      <c r="BD12" s="183"/>
      <c r="BE12" s="363"/>
      <c r="BF12" s="183"/>
      <c r="BG12" s="184"/>
      <c r="BH12" s="183"/>
      <c r="BI12" s="183"/>
      <c r="BJ12" s="183"/>
      <c r="BK12" s="184"/>
      <c r="BL12" s="183"/>
      <c r="BM12" s="183"/>
      <c r="BN12" s="183"/>
      <c r="BO12" s="184"/>
      <c r="BP12" s="335"/>
      <c r="BQ12" s="427">
        <f t="shared" si="0"/>
        <v>0</v>
      </c>
      <c r="BR12" s="427">
        <f t="shared" si="1"/>
        <v>0</v>
      </c>
      <c r="BS12" s="427">
        <f t="shared" si="2"/>
        <v>0</v>
      </c>
      <c r="BT12" s="427">
        <f t="shared" si="3"/>
        <v>0</v>
      </c>
      <c r="BU12" s="427">
        <f t="shared" si="4"/>
        <v>0</v>
      </c>
      <c r="BV12" s="427">
        <f t="shared" si="5"/>
        <v>0</v>
      </c>
      <c r="BW12" s="427">
        <f t="shared" si="6"/>
        <v>0</v>
      </c>
      <c r="BX12" s="427">
        <f t="shared" si="7"/>
        <v>0</v>
      </c>
      <c r="BY12" s="427">
        <f t="shared" si="8"/>
        <v>0</v>
      </c>
      <c r="BZ12" s="427">
        <f t="shared" si="9"/>
        <v>0</v>
      </c>
      <c r="CA12" s="427">
        <f t="shared" si="10"/>
        <v>0</v>
      </c>
      <c r="CB12" s="427">
        <f t="shared" ref="CB12:CB18" si="13">SUM(AV12:AY12)</f>
        <v>0</v>
      </c>
      <c r="CC12" s="427">
        <f t="shared" ref="CC12:CC18" si="14">SUM(AZ12:BC12)</f>
        <v>0</v>
      </c>
      <c r="CD12" s="427">
        <f t="shared" si="11"/>
        <v>0</v>
      </c>
      <c r="CE12" s="427">
        <f t="shared" si="12"/>
        <v>0</v>
      </c>
      <c r="CF12" s="427">
        <f t="shared" ref="CF12:CF18" si="15">SUM(BL12:BO12)</f>
        <v>0</v>
      </c>
      <c r="CG12" s="699"/>
      <c r="CH12" s="336"/>
    </row>
    <row r="13" spans="2:86" ht="14.25">
      <c r="B13" s="580" t="s">
        <v>167</v>
      </c>
      <c r="C13" s="185"/>
      <c r="D13" s="182">
        <v>9.3729999999999993</v>
      </c>
      <c r="E13" s="186">
        <f>19.39-D13</f>
        <v>10.017000000000001</v>
      </c>
      <c r="F13" s="186">
        <f>30.703-E13-D13</f>
        <v>11.313000000000001</v>
      </c>
      <c r="G13" s="187">
        <f>44.323-F13-E13-D13</f>
        <v>13.619999999999996</v>
      </c>
      <c r="H13" s="182">
        <v>13.430999999999999</v>
      </c>
      <c r="I13" s="186">
        <f>27.589-H13</f>
        <v>14.157999999999999</v>
      </c>
      <c r="J13" s="186">
        <f>41.84-I13-H13</f>
        <v>14.251000000000003</v>
      </c>
      <c r="K13" s="187">
        <f>56.76-J13-I13-H13</f>
        <v>14.919999999999993</v>
      </c>
      <c r="L13" s="182">
        <v>15.615</v>
      </c>
      <c r="M13" s="186">
        <f>32.558-L13</f>
        <v>16.942999999999998</v>
      </c>
      <c r="N13" s="186">
        <f>52.519-M13-L13</f>
        <v>19.960999999999999</v>
      </c>
      <c r="O13" s="187">
        <f>77.16-N13-M13-L13</f>
        <v>24.640999999999998</v>
      </c>
      <c r="P13" s="182">
        <v>26.53</v>
      </c>
      <c r="Q13" s="186">
        <f>52.42-P13</f>
        <v>25.89</v>
      </c>
      <c r="R13" s="186">
        <f>78.804-Q13-P13</f>
        <v>26.384</v>
      </c>
      <c r="S13" s="187">
        <f>105.812-R13-Q13-P13</f>
        <v>27.007999999999996</v>
      </c>
      <c r="T13" s="182">
        <v>28.617999999999999</v>
      </c>
      <c r="U13" s="186">
        <f>56.65-T13</f>
        <v>28.032</v>
      </c>
      <c r="V13" s="186">
        <f>85.786-U13-T13</f>
        <v>29.136000000000006</v>
      </c>
      <c r="W13" s="187">
        <f>112.824-V13-U13-T13</f>
        <v>27.037999999999993</v>
      </c>
      <c r="X13" s="182">
        <v>25.375</v>
      </c>
      <c r="Y13" s="186">
        <f>50.405-X13</f>
        <v>25.03</v>
      </c>
      <c r="Z13" s="186">
        <f>74.976-Y13-X13</f>
        <v>24.570999999999998</v>
      </c>
      <c r="AA13" s="187">
        <f>99.214-Z13-Y13-X13</f>
        <v>24.238</v>
      </c>
      <c r="AB13" s="182">
        <v>23.077999999999999</v>
      </c>
      <c r="AC13" s="186">
        <f>45.851-AB13</f>
        <v>22.773</v>
      </c>
      <c r="AD13" s="186">
        <f>68.991-AC13-AB13</f>
        <v>23.140000000000004</v>
      </c>
      <c r="AE13" s="187">
        <f>93.19-AD13-AC13-AB13</f>
        <v>24.199000000000002</v>
      </c>
      <c r="AF13" s="182">
        <v>24.036999999999999</v>
      </c>
      <c r="AG13" s="183">
        <v>22.437000000000001</v>
      </c>
      <c r="AH13" s="183">
        <v>20.178999999999998</v>
      </c>
      <c r="AI13" s="184">
        <v>21.800999999999998</v>
      </c>
      <c r="AJ13" s="182">
        <v>21.199000000000002</v>
      </c>
      <c r="AK13" s="183">
        <v>21.285</v>
      </c>
      <c r="AL13" s="183">
        <v>22.317</v>
      </c>
      <c r="AM13" s="184">
        <v>26.227</v>
      </c>
      <c r="AN13" s="182">
        <v>24.966000000000001</v>
      </c>
      <c r="AO13" s="183">
        <v>25.696999999999999</v>
      </c>
      <c r="AP13" s="183">
        <v>25.913</v>
      </c>
      <c r="AQ13" s="416">
        <f>102.752-AP13-AO13-AN13</f>
        <v>26.175999999999995</v>
      </c>
      <c r="AR13" s="182">
        <v>27.006</v>
      </c>
      <c r="AS13" s="183">
        <v>26.263000000000002</v>
      </c>
      <c r="AT13" s="183">
        <v>26.515000000000001</v>
      </c>
      <c r="AU13" s="184">
        <v>26.463999999999999</v>
      </c>
      <c r="AV13" s="182">
        <v>26.62</v>
      </c>
      <c r="AW13" s="183">
        <v>25.191000000000006</v>
      </c>
      <c r="AX13" s="183">
        <v>25.565000000000001</v>
      </c>
      <c r="AY13" s="184">
        <v>22.8</v>
      </c>
      <c r="AZ13" s="182">
        <v>21.788</v>
      </c>
      <c r="BA13" s="183">
        <v>26.866</v>
      </c>
      <c r="BB13" s="183">
        <v>27.187999999999999</v>
      </c>
      <c r="BC13" s="111">
        <f>107.851-BB13-BA13-AZ13</f>
        <v>32.009</v>
      </c>
      <c r="BD13" s="182">
        <v>20.742000000000001</v>
      </c>
      <c r="BE13" s="183">
        <v>20.443999999999999</v>
      </c>
      <c r="BF13" s="183">
        <v>21.382999999999999</v>
      </c>
      <c r="BG13" s="111">
        <v>20.917999999999999</v>
      </c>
      <c r="BH13" s="179">
        <f>BH73</f>
        <v>20.141879999999997</v>
      </c>
      <c r="BI13" s="179">
        <f>BI73</f>
        <v>20.432609792759997</v>
      </c>
      <c r="BJ13" s="179">
        <f t="shared" ref="BJ13:BM13" si="16">BJ73</f>
        <v>20.732528162266796</v>
      </c>
      <c r="BK13" s="180">
        <f t="shared" si="16"/>
        <v>21.041309132189209</v>
      </c>
      <c r="BL13" s="179">
        <f t="shared" si="16"/>
        <v>21.347207933454342</v>
      </c>
      <c r="BM13" s="179">
        <f t="shared" si="16"/>
        <v>21.636391359129831</v>
      </c>
      <c r="BN13" s="179">
        <f t="shared" ref="BN13:BO13" si="17">BN73</f>
        <v>21.944008787723181</v>
      </c>
      <c r="BO13" s="180">
        <f t="shared" si="17"/>
        <v>22.261982496345123</v>
      </c>
      <c r="BP13" s="335"/>
      <c r="BQ13" s="427">
        <f t="shared" si="0"/>
        <v>44.323</v>
      </c>
      <c r="BR13" s="427">
        <f t="shared" si="1"/>
        <v>56.76</v>
      </c>
      <c r="BS13" s="427">
        <f t="shared" si="2"/>
        <v>77.16</v>
      </c>
      <c r="BT13" s="427">
        <f t="shared" si="3"/>
        <v>105.812</v>
      </c>
      <c r="BU13" s="427">
        <f t="shared" si="4"/>
        <v>112.824</v>
      </c>
      <c r="BV13" s="427">
        <f t="shared" si="5"/>
        <v>99.213999999999999</v>
      </c>
      <c r="BW13" s="427">
        <f t="shared" si="6"/>
        <v>93.19</v>
      </c>
      <c r="BX13" s="427">
        <f t="shared" si="7"/>
        <v>88.454000000000008</v>
      </c>
      <c r="BY13" s="427">
        <f t="shared" si="8"/>
        <v>91.028000000000006</v>
      </c>
      <c r="BZ13" s="427">
        <f t="shared" si="9"/>
        <v>102.75199999999998</v>
      </c>
      <c r="CA13" s="427">
        <f t="shared" si="10"/>
        <v>106.248</v>
      </c>
      <c r="CB13" s="427">
        <f t="shared" si="13"/>
        <v>100.176</v>
      </c>
      <c r="CC13" s="427">
        <f t="shared" si="14"/>
        <v>107.851</v>
      </c>
      <c r="CD13" s="427">
        <f t="shared" si="11"/>
        <v>83.486999999999995</v>
      </c>
      <c r="CE13" s="427">
        <f t="shared" si="12"/>
        <v>82.348327087215992</v>
      </c>
      <c r="CF13" s="427">
        <f t="shared" si="15"/>
        <v>87.189590576652478</v>
      </c>
      <c r="CG13" s="698">
        <f>CG73</f>
        <v>82.095497212089995</v>
      </c>
      <c r="CH13" s="336"/>
    </row>
    <row r="14" spans="2:86" ht="14.25">
      <c r="B14" s="580" t="s">
        <v>196</v>
      </c>
      <c r="C14" s="185"/>
      <c r="D14" s="182">
        <v>1.3879999999999999</v>
      </c>
      <c r="E14" s="186">
        <f>2.66-D14</f>
        <v>1.2720000000000002</v>
      </c>
      <c r="F14" s="186">
        <f>3.497-E14-D14</f>
        <v>0.83699999999999974</v>
      </c>
      <c r="G14" s="187">
        <f>3.977-F14-E14-D14</f>
        <v>0.48</v>
      </c>
      <c r="H14" s="182">
        <v>9.59</v>
      </c>
      <c r="I14" s="186">
        <f>39.227-H14</f>
        <v>29.636999999999997</v>
      </c>
      <c r="J14" s="186">
        <f>48.794-I14-H14</f>
        <v>9.5670000000000002</v>
      </c>
      <c r="K14" s="187">
        <f>101.012-J14-I14-H14</f>
        <v>52.217999999999989</v>
      </c>
      <c r="L14" s="182">
        <v>48.762</v>
      </c>
      <c r="M14" s="186">
        <f>104.366-L14</f>
        <v>55.603999999999999</v>
      </c>
      <c r="N14" s="186">
        <f>146.494-M14-L14</f>
        <v>42.128</v>
      </c>
      <c r="O14" s="187">
        <f>192.121-N14-M14-L14</f>
        <v>45.626999999999995</v>
      </c>
      <c r="P14" s="182">
        <v>46.768000000000001</v>
      </c>
      <c r="Q14" s="186">
        <f>105.664-P14</f>
        <v>58.896000000000001</v>
      </c>
      <c r="R14" s="186">
        <f>161.02-Q14-P14</f>
        <v>55.356000000000009</v>
      </c>
      <c r="S14" s="187">
        <f>230.98-R14-Q14-P14</f>
        <v>69.959999999999965</v>
      </c>
      <c r="T14" s="182">
        <v>45.225999999999999</v>
      </c>
      <c r="U14" s="186">
        <f>92.853-T14</f>
        <v>47.626999999999995</v>
      </c>
      <c r="V14" s="186">
        <f>132.431-U14-T14</f>
        <v>39.578000000000017</v>
      </c>
      <c r="W14" s="187">
        <f>177.132-V14-U14-T14</f>
        <v>44.700999999999979</v>
      </c>
      <c r="X14" s="182">
        <v>31.648</v>
      </c>
      <c r="Y14" s="186">
        <f>61.663-X14</f>
        <v>30.014999999999997</v>
      </c>
      <c r="Z14" s="186">
        <f>96.04-Y14-X14</f>
        <v>34.37700000000001</v>
      </c>
      <c r="AA14" s="187">
        <f>126.599-Z14-Y14-X14</f>
        <v>30.558999999999994</v>
      </c>
      <c r="AB14" s="182">
        <v>26.896000000000001</v>
      </c>
      <c r="AC14" s="186">
        <f>57.585-AB14</f>
        <v>30.689</v>
      </c>
      <c r="AD14" s="186">
        <f>87.126-AC14-AB14</f>
        <v>29.541000000000004</v>
      </c>
      <c r="AE14" s="187">
        <f>118.405-AD14-AC14-AB14</f>
        <v>31.279000000000003</v>
      </c>
      <c r="AF14" s="182">
        <v>27.48</v>
      </c>
      <c r="AG14" s="183">
        <v>30.355</v>
      </c>
      <c r="AH14" s="183">
        <v>30.611000000000001</v>
      </c>
      <c r="AI14" s="184">
        <v>31.416</v>
      </c>
      <c r="AJ14" s="182">
        <v>27.192</v>
      </c>
      <c r="AK14" s="183">
        <v>33.228000000000002</v>
      </c>
      <c r="AL14" s="183">
        <v>30.373999999999999</v>
      </c>
      <c r="AM14" s="184">
        <v>36.485999999999997</v>
      </c>
      <c r="AN14" s="182">
        <v>33.512999999999998</v>
      </c>
      <c r="AO14" s="183">
        <v>41.091000000000001</v>
      </c>
      <c r="AP14" s="183">
        <v>43.201000000000001</v>
      </c>
      <c r="AQ14" s="184">
        <v>38.067999999999998</v>
      </c>
      <c r="AR14" s="182">
        <v>29.969000000000001</v>
      </c>
      <c r="AS14" s="183">
        <v>35.020000000000003</v>
      </c>
      <c r="AT14" s="183">
        <v>34.293999999999997</v>
      </c>
      <c r="AU14" s="184">
        <v>37.963000000000001</v>
      </c>
      <c r="AV14" s="182">
        <v>33.220999999999997</v>
      </c>
      <c r="AW14" s="183">
        <v>36.673999999999999</v>
      </c>
      <c r="AX14" s="183">
        <v>31.465</v>
      </c>
      <c r="AY14" s="184">
        <v>32.418999999999997</v>
      </c>
      <c r="AZ14" s="412">
        <v>24.452999999999999</v>
      </c>
      <c r="BA14" s="413">
        <v>37.195999999999998</v>
      </c>
      <c r="BB14" s="413">
        <v>28.263000000000002</v>
      </c>
      <c r="BC14" s="414">
        <f>113.97-BB14-BA14-AZ14</f>
        <v>24.057999999999996</v>
      </c>
      <c r="BD14" s="182">
        <v>24.016999999999999</v>
      </c>
      <c r="BE14" s="183">
        <v>22.422000000000001</v>
      </c>
      <c r="BF14" s="413">
        <v>18.873000000000001</v>
      </c>
      <c r="BG14" s="414">
        <v>21.376999999999999</v>
      </c>
      <c r="BH14" s="179">
        <f>IS!BH115</f>
        <v>21.393620000000002</v>
      </c>
      <c r="BI14" s="179">
        <f>IS!BI115</f>
        <v>21.410406200000001</v>
      </c>
      <c r="BJ14" s="179">
        <f>IS!BJ115</f>
        <v>21.427360262000001</v>
      </c>
      <c r="BK14" s="180">
        <f>IS!BK115</f>
        <v>21.44448386462</v>
      </c>
      <c r="BL14" s="179">
        <f>IS!BL115</f>
        <v>21.461778703266202</v>
      </c>
      <c r="BM14" s="179">
        <f>IS!BM115</f>
        <v>21.479246490298863</v>
      </c>
      <c r="BN14" s="179">
        <f>IS!BN115</f>
        <v>21.49688895520185</v>
      </c>
      <c r="BO14" s="180">
        <f>IS!BO115</f>
        <v>21.514707844753872</v>
      </c>
      <c r="BP14" s="335"/>
      <c r="BQ14" s="427">
        <f t="shared" si="0"/>
        <v>3.9769999999999999</v>
      </c>
      <c r="BR14" s="427">
        <f t="shared" si="1"/>
        <v>101.01199999999999</v>
      </c>
      <c r="BS14" s="427">
        <f t="shared" si="2"/>
        <v>192.12099999999998</v>
      </c>
      <c r="BT14" s="427">
        <f t="shared" si="3"/>
        <v>230.97999999999996</v>
      </c>
      <c r="BU14" s="427">
        <f t="shared" si="4"/>
        <v>177.13200000000001</v>
      </c>
      <c r="BV14" s="427">
        <f t="shared" si="5"/>
        <v>126.599</v>
      </c>
      <c r="BW14" s="427">
        <f t="shared" si="6"/>
        <v>118.405</v>
      </c>
      <c r="BX14" s="427">
        <f t="shared" si="7"/>
        <v>119.86199999999999</v>
      </c>
      <c r="BY14" s="427">
        <f t="shared" si="8"/>
        <v>127.28</v>
      </c>
      <c r="BZ14" s="427">
        <f t="shared" si="9"/>
        <v>155.87299999999999</v>
      </c>
      <c r="CA14" s="427">
        <f t="shared" si="10"/>
        <v>137.24600000000001</v>
      </c>
      <c r="CB14" s="427">
        <f t="shared" si="13"/>
        <v>133.779</v>
      </c>
      <c r="CC14" s="427">
        <f t="shared" si="14"/>
        <v>113.97</v>
      </c>
      <c r="CD14" s="427">
        <f t="shared" si="11"/>
        <v>86.688999999999993</v>
      </c>
      <c r="CE14" s="427">
        <f t="shared" si="12"/>
        <v>85.67587032662</v>
      </c>
      <c r="CF14" s="427">
        <f t="shared" si="15"/>
        <v>85.952621993520793</v>
      </c>
      <c r="CG14" s="698">
        <f>IS!CG115</f>
        <v>85.744029029886207</v>
      </c>
      <c r="CH14" s="336"/>
    </row>
    <row r="15" spans="2:86" ht="14.25">
      <c r="B15" s="580" t="s">
        <v>269</v>
      </c>
      <c r="C15" s="185"/>
      <c r="D15" s="182">
        <v>19.757999999999999</v>
      </c>
      <c r="E15" s="186">
        <f>39.516-D15</f>
        <v>19.757999999999999</v>
      </c>
      <c r="F15" s="186">
        <f>59.275-E15-D15</f>
        <v>19.758999999999997</v>
      </c>
      <c r="G15" s="187">
        <f>79.034-F15-E15-D15</f>
        <v>19.759000000000011</v>
      </c>
      <c r="H15" s="182">
        <v>19.759</v>
      </c>
      <c r="I15" s="186">
        <f>39.512-H15</f>
        <v>19.753</v>
      </c>
      <c r="J15" s="186">
        <f>59.258-I15-H15</f>
        <v>19.746000000000002</v>
      </c>
      <c r="K15" s="187">
        <f>91.738-J15-I15-H15</f>
        <v>32.47999999999999</v>
      </c>
      <c r="L15" s="182">
        <v>17.350999999999999</v>
      </c>
      <c r="M15" s="186">
        <f>44.756-L15</f>
        <v>27.405000000000001</v>
      </c>
      <c r="N15" s="186">
        <f>72.161-M15-L15</f>
        <v>27.405000000000001</v>
      </c>
      <c r="O15" s="187">
        <f>109.987-N15-M15-L15</f>
        <v>37.825999999999993</v>
      </c>
      <c r="P15" s="182">
        <v>37.32</v>
      </c>
      <c r="Q15" s="186">
        <f>74.613-P15</f>
        <v>37.292999999999999</v>
      </c>
      <c r="R15" s="186">
        <f>111.924-Q15-P15</f>
        <v>37.311</v>
      </c>
      <c r="S15" s="187">
        <f>155.734-R15-Q15-P15</f>
        <v>43.809999999999995</v>
      </c>
      <c r="T15" s="182">
        <v>35.247</v>
      </c>
      <c r="U15" s="186">
        <f>70.235-T15</f>
        <v>34.988</v>
      </c>
      <c r="V15" s="186">
        <f>105.049-U15-T15</f>
        <v>34.814000000000007</v>
      </c>
      <c r="W15" s="187">
        <f>153.323-V15-U15-T15</f>
        <v>48.274000000000001</v>
      </c>
      <c r="X15" s="182">
        <v>30.356000000000002</v>
      </c>
      <c r="Y15" s="186">
        <f>56.802-X15</f>
        <v>26.445999999999998</v>
      </c>
      <c r="Z15" s="186">
        <f>83.252-Y15-X15</f>
        <v>26.449999999999996</v>
      </c>
      <c r="AA15" s="187">
        <f>107.534-Z15-Y15-X15</f>
        <v>24.282000000000004</v>
      </c>
      <c r="AB15" s="182">
        <v>22.548999999999999</v>
      </c>
      <c r="AC15" s="186">
        <f>43.763-AB15</f>
        <v>21.213999999999999</v>
      </c>
      <c r="AD15" s="186">
        <f>65.533-AC15-AB15</f>
        <v>21.770000000000003</v>
      </c>
      <c r="AE15" s="187">
        <f>79.538-AD15-AC15-AB15</f>
        <v>14.004999999999995</v>
      </c>
      <c r="AF15" s="182">
        <v>14.340999999999999</v>
      </c>
      <c r="AG15" s="183">
        <v>11.138</v>
      </c>
      <c r="AH15" s="183">
        <v>11.154999999999999</v>
      </c>
      <c r="AI15" s="184">
        <v>12.723000000000001</v>
      </c>
      <c r="AJ15" s="182">
        <v>14.355</v>
      </c>
      <c r="AK15" s="183">
        <v>13.023</v>
      </c>
      <c r="AL15" s="183">
        <v>13.054</v>
      </c>
      <c r="AM15" s="184">
        <v>12.268000000000001</v>
      </c>
      <c r="AN15" s="182">
        <v>10.686</v>
      </c>
      <c r="AO15" s="183">
        <v>10.638</v>
      </c>
      <c r="AP15" s="183">
        <v>10.645</v>
      </c>
      <c r="AQ15" s="416">
        <f>44.006-AP15-AO15-AN15</f>
        <v>12.037000000000006</v>
      </c>
      <c r="AR15" s="182">
        <v>7.1740000000000004</v>
      </c>
      <c r="AS15" s="183">
        <v>3.7890000000000001</v>
      </c>
      <c r="AT15" s="183">
        <v>3.7890000000000001</v>
      </c>
      <c r="AU15" s="184">
        <v>3.585</v>
      </c>
      <c r="AV15" s="182">
        <v>3.0529999999999999</v>
      </c>
      <c r="AW15" s="183">
        <v>3.0529999999999999</v>
      </c>
      <c r="AX15" s="183">
        <v>3.6349999999999998</v>
      </c>
      <c r="AY15" s="184">
        <v>2.9470000000000001</v>
      </c>
      <c r="AZ15" s="182">
        <v>2.9460000000000002</v>
      </c>
      <c r="BA15" s="183">
        <v>2.9460000000000002</v>
      </c>
      <c r="BB15" s="183">
        <v>2.7839999999999998</v>
      </c>
      <c r="BC15" s="184">
        <f>10.641-BB15-BA15-AZ15</f>
        <v>1.9649999999999994</v>
      </c>
      <c r="BD15" s="182">
        <v>1.071</v>
      </c>
      <c r="BE15" s="183">
        <v>1.0649999999999999</v>
      </c>
      <c r="BF15" s="183">
        <v>1.0760000000000001</v>
      </c>
      <c r="BG15" s="184">
        <v>0.35799999999999998</v>
      </c>
      <c r="BH15" s="179">
        <f>IS!BH65</f>
        <v>0</v>
      </c>
      <c r="BI15" s="179">
        <f>IS!BI65</f>
        <v>0</v>
      </c>
      <c r="BJ15" s="179">
        <f>IS!BJ65</f>
        <v>0</v>
      </c>
      <c r="BK15" s="180">
        <f>IS!BK65</f>
        <v>0</v>
      </c>
      <c r="BL15" s="179">
        <f>IS!BL65</f>
        <v>0</v>
      </c>
      <c r="BM15" s="179">
        <f>IS!BM65</f>
        <v>0</v>
      </c>
      <c r="BN15" s="179">
        <f>IS!BN65</f>
        <v>0</v>
      </c>
      <c r="BO15" s="180">
        <f>IS!BO65</f>
        <v>0</v>
      </c>
      <c r="BP15" s="335"/>
      <c r="BQ15" s="427">
        <f t="shared" si="0"/>
        <v>79.034000000000006</v>
      </c>
      <c r="BR15" s="427">
        <f t="shared" si="1"/>
        <v>91.738</v>
      </c>
      <c r="BS15" s="427">
        <f t="shared" si="2"/>
        <v>109.98699999999999</v>
      </c>
      <c r="BT15" s="427">
        <f t="shared" si="3"/>
        <v>155.73400000000001</v>
      </c>
      <c r="BU15" s="427">
        <f t="shared" si="4"/>
        <v>153.32300000000001</v>
      </c>
      <c r="BV15" s="427">
        <f t="shared" si="5"/>
        <v>107.53399999999999</v>
      </c>
      <c r="BW15" s="427">
        <f t="shared" si="6"/>
        <v>79.537999999999997</v>
      </c>
      <c r="BX15" s="427">
        <f t="shared" si="7"/>
        <v>49.356999999999999</v>
      </c>
      <c r="BY15" s="427">
        <f t="shared" si="8"/>
        <v>52.7</v>
      </c>
      <c r="BZ15" s="427">
        <f t="shared" si="9"/>
        <v>44.006</v>
      </c>
      <c r="CA15" s="427">
        <f t="shared" si="10"/>
        <v>18.337</v>
      </c>
      <c r="CB15" s="427">
        <f t="shared" si="13"/>
        <v>12.687999999999999</v>
      </c>
      <c r="CC15" s="427">
        <f t="shared" si="14"/>
        <v>10.641</v>
      </c>
      <c r="CD15" s="427">
        <f t="shared" si="11"/>
        <v>3.5700000000000003</v>
      </c>
      <c r="CE15" s="427">
        <f t="shared" si="12"/>
        <v>0</v>
      </c>
      <c r="CF15" s="427">
        <f t="shared" si="15"/>
        <v>0</v>
      </c>
      <c r="CG15" s="698">
        <f>IS!CG65</f>
        <v>0</v>
      </c>
      <c r="CH15" s="336"/>
    </row>
    <row r="16" spans="2:86" ht="14.25">
      <c r="B16" s="580" t="s">
        <v>153</v>
      </c>
      <c r="C16" s="185"/>
      <c r="D16" s="182">
        <v>0</v>
      </c>
      <c r="E16" s="186">
        <f>0-D16</f>
        <v>0</v>
      </c>
      <c r="F16" s="186">
        <f>0-E16-D16</f>
        <v>0</v>
      </c>
      <c r="G16" s="187">
        <f>0-F16-E16-D16</f>
        <v>0</v>
      </c>
      <c r="H16" s="182">
        <v>0</v>
      </c>
      <c r="I16" s="186">
        <f>0-H16</f>
        <v>0</v>
      </c>
      <c r="J16" s="186">
        <f>0-I16-H16</f>
        <v>0</v>
      </c>
      <c r="K16" s="187">
        <f>5.869-J16-I16-H16</f>
        <v>5.8689999999999998</v>
      </c>
      <c r="L16" s="182">
        <v>0</v>
      </c>
      <c r="M16" s="186">
        <f>0-L16</f>
        <v>0</v>
      </c>
      <c r="N16" s="186">
        <f>0-M16-L16</f>
        <v>0</v>
      </c>
      <c r="O16" s="187">
        <f>-2.224-N16-M16-L16</f>
        <v>-2.2240000000000002</v>
      </c>
      <c r="P16" s="182">
        <v>0</v>
      </c>
      <c r="Q16" s="186">
        <f>0-P16</f>
        <v>0</v>
      </c>
      <c r="R16" s="186">
        <f>0-Q16-P16</f>
        <v>0</v>
      </c>
      <c r="S16" s="187">
        <f>-13.783-R16-Q16-P16</f>
        <v>-13.782999999999999</v>
      </c>
      <c r="T16" s="182">
        <v>0</v>
      </c>
      <c r="U16" s="186">
        <f>0-T16</f>
        <v>0</v>
      </c>
      <c r="V16" s="186">
        <f>0-U16-T16</f>
        <v>0</v>
      </c>
      <c r="W16" s="187">
        <f>-17.468-V16-U16-T16</f>
        <v>-17.468</v>
      </c>
      <c r="X16" s="182">
        <v>0</v>
      </c>
      <c r="Y16" s="186">
        <f>5.868-X16</f>
        <v>5.8680000000000003</v>
      </c>
      <c r="Z16" s="186">
        <f>6.131-Y16-X16</f>
        <v>0.2629999999999999</v>
      </c>
      <c r="AA16" s="187">
        <f>13.356-Z16-Y16-X16</f>
        <v>7.2249999999999996</v>
      </c>
      <c r="AB16" s="182">
        <v>0</v>
      </c>
      <c r="AC16" s="186">
        <f>-1.457-AB16</f>
        <v>-1.4570000000000001</v>
      </c>
      <c r="AD16" s="186">
        <f>-6.486-AC16-AB16</f>
        <v>-5.0289999999999999</v>
      </c>
      <c r="AE16" s="187">
        <f>4.113-AD16-AC16-AB16</f>
        <v>10.599</v>
      </c>
      <c r="AF16" s="182">
        <v>0</v>
      </c>
      <c r="AG16" s="183">
        <v>0</v>
      </c>
      <c r="AH16" s="183">
        <v>0</v>
      </c>
      <c r="AI16" s="184">
        <v>0</v>
      </c>
      <c r="AJ16" s="182">
        <v>0</v>
      </c>
      <c r="AK16" s="183">
        <v>0</v>
      </c>
      <c r="AL16" s="183">
        <v>0</v>
      </c>
      <c r="AM16" s="184">
        <v>0</v>
      </c>
      <c r="AN16" s="182">
        <v>0</v>
      </c>
      <c r="AO16" s="183">
        <v>0</v>
      </c>
      <c r="AP16" s="183">
        <v>0</v>
      </c>
      <c r="AQ16" s="184">
        <v>3.919</v>
      </c>
      <c r="AR16" s="182">
        <v>0</v>
      </c>
      <c r="AS16" s="183">
        <v>0</v>
      </c>
      <c r="AT16" s="183">
        <v>0</v>
      </c>
      <c r="AU16" s="184">
        <v>-12.913</v>
      </c>
      <c r="AV16" s="182"/>
      <c r="AW16" s="183">
        <v>0</v>
      </c>
      <c r="AX16" s="183">
        <v>0</v>
      </c>
      <c r="AY16" s="184">
        <v>0</v>
      </c>
      <c r="AZ16" s="182">
        <v>0</v>
      </c>
      <c r="BA16" s="183">
        <v>0</v>
      </c>
      <c r="BB16" s="183">
        <v>0</v>
      </c>
      <c r="BC16" s="111">
        <f>44.637-BB16-BA16-AZ16</f>
        <v>44.637</v>
      </c>
      <c r="BD16" s="182">
        <v>-11.109</v>
      </c>
      <c r="BE16" s="183">
        <v>2.008</v>
      </c>
      <c r="BF16" s="183">
        <v>7.0000000000000001E-3</v>
      </c>
      <c r="BG16" s="111">
        <v>17.027000000000001</v>
      </c>
      <c r="BH16" s="183">
        <v>0</v>
      </c>
      <c r="BI16" s="183">
        <v>0</v>
      </c>
      <c r="BJ16" s="183">
        <v>0</v>
      </c>
      <c r="BK16" s="184">
        <v>0</v>
      </c>
      <c r="BL16" s="183">
        <v>0</v>
      </c>
      <c r="BM16" s="183">
        <v>0</v>
      </c>
      <c r="BN16" s="183">
        <v>0</v>
      </c>
      <c r="BO16" s="184">
        <v>0</v>
      </c>
      <c r="BP16" s="335"/>
      <c r="BQ16" s="427">
        <f t="shared" si="0"/>
        <v>0</v>
      </c>
      <c r="BR16" s="427">
        <f t="shared" si="1"/>
        <v>5.8689999999999998</v>
      </c>
      <c r="BS16" s="427">
        <f t="shared" si="2"/>
        <v>-2.2240000000000002</v>
      </c>
      <c r="BT16" s="427">
        <f t="shared" si="3"/>
        <v>-13.782999999999999</v>
      </c>
      <c r="BU16" s="427">
        <f t="shared" si="4"/>
        <v>-17.468</v>
      </c>
      <c r="BV16" s="427">
        <f t="shared" si="5"/>
        <v>13.356</v>
      </c>
      <c r="BW16" s="427">
        <f t="shared" si="6"/>
        <v>4.1130000000000004</v>
      </c>
      <c r="BX16" s="427">
        <f t="shared" si="7"/>
        <v>0</v>
      </c>
      <c r="BY16" s="427">
        <f t="shared" si="8"/>
        <v>0</v>
      </c>
      <c r="BZ16" s="427">
        <f t="shared" si="9"/>
        <v>3.919</v>
      </c>
      <c r="CA16" s="427">
        <f t="shared" si="10"/>
        <v>-12.913</v>
      </c>
      <c r="CB16" s="427">
        <f t="shared" si="13"/>
        <v>0</v>
      </c>
      <c r="CC16" s="427">
        <f t="shared" si="14"/>
        <v>44.637</v>
      </c>
      <c r="CD16" s="427">
        <f t="shared" si="11"/>
        <v>7.9330000000000016</v>
      </c>
      <c r="CE16" s="427">
        <f t="shared" si="12"/>
        <v>0</v>
      </c>
      <c r="CF16" s="427">
        <f t="shared" si="15"/>
        <v>0</v>
      </c>
      <c r="CG16" s="699">
        <v>0</v>
      </c>
      <c r="CH16" s="336"/>
    </row>
    <row r="17" spans="2:86" ht="14.25">
      <c r="B17" s="580" t="s">
        <v>197</v>
      </c>
      <c r="C17" s="185"/>
      <c r="D17" s="182">
        <v>0</v>
      </c>
      <c r="E17" s="186">
        <f>0-D17</f>
        <v>0</v>
      </c>
      <c r="F17" s="186">
        <f>0-E17-D17</f>
        <v>0</v>
      </c>
      <c r="G17" s="187">
        <f>0-F17-E17-D17</f>
        <v>0</v>
      </c>
      <c r="H17" s="182">
        <v>0</v>
      </c>
      <c r="I17" s="186">
        <f>0-H17</f>
        <v>0</v>
      </c>
      <c r="J17" s="186">
        <f>0-I17-H17</f>
        <v>0</v>
      </c>
      <c r="K17" s="187">
        <f>0-J17-I17-H17</f>
        <v>0</v>
      </c>
      <c r="L17" s="182">
        <v>-0.69699999999999995</v>
      </c>
      <c r="M17" s="186">
        <f>-0.86-L17</f>
        <v>-0.16300000000000003</v>
      </c>
      <c r="N17" s="186">
        <f>-0.889-M17-L17</f>
        <v>-2.9000000000000026E-2</v>
      </c>
      <c r="O17" s="187">
        <f>-0.889-N17-M17-L17</f>
        <v>0</v>
      </c>
      <c r="P17" s="182">
        <v>0</v>
      </c>
      <c r="Q17" s="186">
        <f>-0.235-P17</f>
        <v>-0.23499999999999999</v>
      </c>
      <c r="R17" s="186">
        <f>-0.3-Q17-P17</f>
        <v>-6.5000000000000002E-2</v>
      </c>
      <c r="S17" s="187">
        <f>-0.278-R17-Q17-P17</f>
        <v>2.1999999999999964E-2</v>
      </c>
      <c r="T17" s="182">
        <v>-0.16900000000000001</v>
      </c>
      <c r="U17" s="186">
        <f>-0.494-T17</f>
        <v>-0.32499999999999996</v>
      </c>
      <c r="V17" s="186">
        <f>-0.356-U17-T17</f>
        <v>0.13799999999999998</v>
      </c>
      <c r="W17" s="187">
        <f>-0.365-V17-U17-T17</f>
        <v>-9.0000000000000357E-3</v>
      </c>
      <c r="X17" s="182">
        <v>-2.9000000000000001E-2</v>
      </c>
      <c r="Y17" s="186">
        <f>-0.069-X17</f>
        <v>-4.0000000000000008E-2</v>
      </c>
      <c r="Z17" s="186">
        <f>-0.205-Y17-X17</f>
        <v>-0.13599999999999998</v>
      </c>
      <c r="AA17" s="187">
        <f>-0.677-Z17-Y17-X17</f>
        <v>-0.47199999999999998</v>
      </c>
      <c r="AB17" s="182">
        <v>-0.185</v>
      </c>
      <c r="AC17" s="186">
        <f>-0.229-AB17</f>
        <v>-4.4000000000000011E-2</v>
      </c>
      <c r="AD17" s="186">
        <f>-0.669-AC17-AB17</f>
        <v>-0.44</v>
      </c>
      <c r="AE17" s="187">
        <f>-0.899-AD17-AC17-AB17</f>
        <v>-0.23000000000000004</v>
      </c>
      <c r="AF17" s="182">
        <v>-3.0000000000000001E-3</v>
      </c>
      <c r="AG17" s="183">
        <v>-1.0999999999999999E-2</v>
      </c>
      <c r="AH17" s="183">
        <v>-8.5000000000000006E-2</v>
      </c>
      <c r="AI17" s="184">
        <v>-6.5000000000000002E-2</v>
      </c>
      <c r="AJ17" s="182">
        <v>-4.1000000000000002E-2</v>
      </c>
      <c r="AK17" s="183">
        <v>-3.0000000000000001E-3</v>
      </c>
      <c r="AL17" s="183">
        <v>-5.0000000000000001E-3</v>
      </c>
      <c r="AM17" s="184">
        <v>-8.9999999999999993E-3</v>
      </c>
      <c r="AN17" s="412">
        <v>-7.0000000000000001E-3</v>
      </c>
      <c r="AO17" s="413">
        <v>-2.5000000000000001E-2</v>
      </c>
      <c r="AP17" s="413">
        <v>-0.01</v>
      </c>
      <c r="AQ17" s="414">
        <v>2.1999999999999999E-2</v>
      </c>
      <c r="AR17" s="412">
        <v>-4.3999999999999997E-2</v>
      </c>
      <c r="AS17" s="413">
        <v>-3.2000000000000001E-2</v>
      </c>
      <c r="AT17" s="413">
        <v>-2E-3</v>
      </c>
      <c r="AU17" s="184">
        <v>-6.7000000000000004E-2</v>
      </c>
      <c r="AV17" s="412">
        <v>-1.7999999999999999E-2</v>
      </c>
      <c r="AW17" s="413">
        <v>-7.0000000000000001E-3</v>
      </c>
      <c r="AX17" s="413">
        <v>0</v>
      </c>
      <c r="AY17" s="184">
        <v>1E-3</v>
      </c>
      <c r="AZ17" s="412">
        <v>0</v>
      </c>
      <c r="BA17" s="413">
        <v>-5.0000000000000001E-3</v>
      </c>
      <c r="BB17" s="413">
        <v>0</v>
      </c>
      <c r="BC17" s="184">
        <f>-0.037-BB17-BA17-AZ17</f>
        <v>-3.2000000000000001E-2</v>
      </c>
      <c r="BD17" s="182">
        <v>0</v>
      </c>
      <c r="BE17" s="183">
        <v>0</v>
      </c>
      <c r="BF17" s="413">
        <v>0</v>
      </c>
      <c r="BG17" s="184">
        <v>0</v>
      </c>
      <c r="BH17" s="183">
        <v>0</v>
      </c>
      <c r="BI17" s="183">
        <v>0</v>
      </c>
      <c r="BJ17" s="183">
        <v>0</v>
      </c>
      <c r="BK17" s="184">
        <v>0</v>
      </c>
      <c r="BL17" s="183">
        <v>0</v>
      </c>
      <c r="BM17" s="183">
        <v>0</v>
      </c>
      <c r="BN17" s="183">
        <v>0</v>
      </c>
      <c r="BO17" s="184">
        <v>0</v>
      </c>
      <c r="BP17" s="335"/>
      <c r="BQ17" s="427">
        <f t="shared" si="0"/>
        <v>0</v>
      </c>
      <c r="BR17" s="427">
        <f t="shared" si="1"/>
        <v>0</v>
      </c>
      <c r="BS17" s="427">
        <f t="shared" si="2"/>
        <v>-0.88900000000000001</v>
      </c>
      <c r="BT17" s="427">
        <f t="shared" si="3"/>
        <v>-0.27800000000000002</v>
      </c>
      <c r="BU17" s="427">
        <f t="shared" si="4"/>
        <v>-0.36499999999999999</v>
      </c>
      <c r="BV17" s="427">
        <f t="shared" si="5"/>
        <v>-0.67699999999999994</v>
      </c>
      <c r="BW17" s="427">
        <f t="shared" si="6"/>
        <v>-0.89900000000000002</v>
      </c>
      <c r="BX17" s="427">
        <f t="shared" si="7"/>
        <v>-0.16400000000000001</v>
      </c>
      <c r="BY17" s="427">
        <f t="shared" si="8"/>
        <v>-5.8000000000000003E-2</v>
      </c>
      <c r="BZ17" s="427">
        <f t="shared" si="9"/>
        <v>-2.0000000000000004E-2</v>
      </c>
      <c r="CA17" s="427">
        <f t="shared" si="10"/>
        <v>-0.14500000000000002</v>
      </c>
      <c r="CB17" s="427">
        <f t="shared" si="13"/>
        <v>-2.3999999999999997E-2</v>
      </c>
      <c r="CC17" s="427">
        <f t="shared" si="14"/>
        <v>-3.6999999999999998E-2</v>
      </c>
      <c r="CD17" s="427">
        <f t="shared" si="11"/>
        <v>0</v>
      </c>
      <c r="CE17" s="427">
        <f t="shared" si="12"/>
        <v>0</v>
      </c>
      <c r="CF17" s="427">
        <f t="shared" si="15"/>
        <v>0</v>
      </c>
      <c r="CG17" s="699">
        <v>0</v>
      </c>
      <c r="CH17" s="336"/>
    </row>
    <row r="18" spans="2:86" ht="14.25">
      <c r="B18" s="580" t="s">
        <v>168</v>
      </c>
      <c r="C18" s="185"/>
      <c r="D18" s="182">
        <v>-0.60599999999999998</v>
      </c>
      <c r="E18" s="186">
        <f>-1.185-D18</f>
        <v>-0.57900000000000007</v>
      </c>
      <c r="F18" s="186">
        <f>2.414-1.782-E18-D18</f>
        <v>1.8170000000000002</v>
      </c>
      <c r="G18" s="187">
        <f>1.014+2.414-2.312-4.422-F18-E18-D18</f>
        <v>-3.9379999999999997</v>
      </c>
      <c r="H18" s="182">
        <v>0</v>
      </c>
      <c r="I18" s="186">
        <f>0-H18</f>
        <v>0</v>
      </c>
      <c r="J18" s="186">
        <f>0-I18-H18</f>
        <v>0</v>
      </c>
      <c r="K18" s="187">
        <f>4.3+0.29-1.517-J18-I18-H18</f>
        <v>3.073</v>
      </c>
      <c r="L18" s="182">
        <v>-8.8460000000000001</v>
      </c>
      <c r="M18" s="186">
        <f>-8.846-L18</f>
        <v>0</v>
      </c>
      <c r="N18" s="186">
        <f>-8.846-M18-L18</f>
        <v>0</v>
      </c>
      <c r="O18" s="187">
        <f>-8.846+77.8-37.593-N18-M18-L18</f>
        <v>40.206999999999994</v>
      </c>
      <c r="P18" s="182">
        <f>-33.756+1.56</f>
        <v>-32.195999999999998</v>
      </c>
      <c r="Q18" s="186">
        <f>-5.122-77.641+3.023-P18</f>
        <v>-47.544000000000011</v>
      </c>
      <c r="R18" s="186">
        <f>-5.122-103.914+4.668-Q18-P18</f>
        <v>-24.627999999999986</v>
      </c>
      <c r="S18" s="187">
        <f>-1.822-109.262-22.069+5.833-R18-Q18-P18</f>
        <v>-22.951999999999998</v>
      </c>
      <c r="T18" s="182">
        <v>-6.383</v>
      </c>
      <c r="U18" s="186">
        <f>-10.757-T18</f>
        <v>-4.3739999999999997</v>
      </c>
      <c r="V18" s="186">
        <f>-14.163-U18-T18</f>
        <v>-3.4060000000000015</v>
      </c>
      <c r="W18" s="187">
        <f>-15.359-V18-U18-T18</f>
        <v>-1.1959999999999997</v>
      </c>
      <c r="X18" s="182">
        <f>-1.343</f>
        <v>-1.343</v>
      </c>
      <c r="Y18" s="186">
        <f>-3.076-X18</f>
        <v>-1.7330000000000001</v>
      </c>
      <c r="Z18" s="186">
        <f>-13.883-Y18-X18</f>
        <v>-10.806999999999999</v>
      </c>
      <c r="AA18" s="187">
        <f>-4.938+3.986+1.667-15.509-Z18-Y18-X18</f>
        <v>-0.91100000000000181</v>
      </c>
      <c r="AB18" s="182">
        <f>-0.942+2.035</f>
        <v>1.0930000000000002</v>
      </c>
      <c r="AC18" s="186">
        <f>1.14-1.99+4.812-AB18</f>
        <v>2.8689999999999998</v>
      </c>
      <c r="AD18" s="186">
        <f>1.14+9.568-2.391-AC18-AB18</f>
        <v>4.3550000000000004</v>
      </c>
      <c r="AE18" s="187">
        <f>-5.927+1.14+13.508-2.391-AD18-AC18-AB18</f>
        <v>-1.9870000000000003</v>
      </c>
      <c r="AF18" s="182">
        <v>3.8540000000000001</v>
      </c>
      <c r="AG18" s="183">
        <v>3.2909999999999999</v>
      </c>
      <c r="AH18" s="183">
        <v>4.266</v>
      </c>
      <c r="AI18" s="184">
        <v>3.7789999999999999</v>
      </c>
      <c r="AJ18" s="182">
        <v>2.903</v>
      </c>
      <c r="AK18" s="183">
        <v>2.2719999999999998</v>
      </c>
      <c r="AL18" s="183">
        <v>1.26</v>
      </c>
      <c r="AM18" s="184">
        <v>0.95699999999999996</v>
      </c>
      <c r="AN18" s="415">
        <v>2.5230000000000001</v>
      </c>
      <c r="AO18" s="363">
        <v>1.8160000000000001</v>
      </c>
      <c r="AP18" s="363">
        <v>1.655</v>
      </c>
      <c r="AQ18" s="419">
        <f>8.178-AP18-AO18-AN18-6.975</f>
        <v>-4.7909999999999986</v>
      </c>
      <c r="AR18" s="412">
        <v>1.47</v>
      </c>
      <c r="AS18" s="413">
        <v>-7.5960000000000001</v>
      </c>
      <c r="AT18" s="413">
        <v>-6.0339999999999998</v>
      </c>
      <c r="AU18" s="184">
        <f>-1.699+3.23</f>
        <v>1.5309999999999999</v>
      </c>
      <c r="AV18" s="182">
        <v>0.91600000000000004</v>
      </c>
      <c r="AW18" s="413">
        <f>0.9+2.283</f>
        <v>3.1829999999999998</v>
      </c>
      <c r="AX18" s="413">
        <f>4.205+14.27-0.002</f>
        <v>18.473000000000003</v>
      </c>
      <c r="AY18" s="184">
        <f>7.885+0.289</f>
        <v>8.1739999999999995</v>
      </c>
      <c r="AZ18" s="182">
        <f>0.896+1.361</f>
        <v>2.2570000000000001</v>
      </c>
      <c r="BA18" s="413">
        <f>0.129+0.589</f>
        <v>0.71799999999999997</v>
      </c>
      <c r="BB18" s="413">
        <f>1.056-0.93-0.005</f>
        <v>0.121</v>
      </c>
      <c r="BC18" s="184">
        <f>52.581-3.312+3.319-BB18-BA18-AZ18</f>
        <v>49.492000000000012</v>
      </c>
      <c r="BD18" s="182">
        <f>-0.516-8.155</f>
        <v>-8.6709999999999994</v>
      </c>
      <c r="BE18" s="183">
        <f>-39.309-1.551</f>
        <v>-40.86</v>
      </c>
      <c r="BF18" s="183">
        <f>0.044-1.751-0.2+2.755-0.19-46.219</f>
        <v>-45.561</v>
      </c>
      <c r="BG18" s="184">
        <f>-4.159-0.007-0.27+0.392</f>
        <v>-4.0439999999999996</v>
      </c>
      <c r="BH18" s="179">
        <f>BS!BG22-BS!BH22</f>
        <v>0</v>
      </c>
      <c r="BI18" s="179">
        <f>BS!BH22-BS!BI22</f>
        <v>0</v>
      </c>
      <c r="BJ18" s="179">
        <f>BS!BI22-BS!BJ22</f>
        <v>0</v>
      </c>
      <c r="BK18" s="180">
        <f>BS!BJ22-BS!BK22</f>
        <v>0</v>
      </c>
      <c r="BL18" s="179">
        <f>BS!BK22-BS!BL22</f>
        <v>0</v>
      </c>
      <c r="BM18" s="179">
        <f>BS!BL22-BS!BM22</f>
        <v>0</v>
      </c>
      <c r="BN18" s="179">
        <f>BS!BM22-BS!BN22</f>
        <v>0</v>
      </c>
      <c r="BO18" s="180">
        <f>BS!BN22-BS!BO22</f>
        <v>0</v>
      </c>
      <c r="BP18" s="335"/>
      <c r="BQ18" s="427">
        <f t="shared" si="0"/>
        <v>-3.3059999999999996</v>
      </c>
      <c r="BR18" s="427">
        <f t="shared" si="1"/>
        <v>3.073</v>
      </c>
      <c r="BS18" s="427">
        <f t="shared" si="2"/>
        <v>31.360999999999994</v>
      </c>
      <c r="BT18" s="427">
        <f t="shared" si="3"/>
        <v>-127.32</v>
      </c>
      <c r="BU18" s="427">
        <f t="shared" si="4"/>
        <v>-15.359</v>
      </c>
      <c r="BV18" s="427">
        <f t="shared" si="5"/>
        <v>-14.794</v>
      </c>
      <c r="BW18" s="427">
        <f t="shared" si="6"/>
        <v>6.33</v>
      </c>
      <c r="BX18" s="427">
        <f t="shared" si="7"/>
        <v>15.19</v>
      </c>
      <c r="BY18" s="427">
        <f t="shared" si="8"/>
        <v>7.3919999999999995</v>
      </c>
      <c r="BZ18" s="427">
        <f t="shared" si="9"/>
        <v>1.2030000000000021</v>
      </c>
      <c r="CA18" s="427">
        <f t="shared" si="10"/>
        <v>-10.629</v>
      </c>
      <c r="CB18" s="427">
        <f t="shared" si="13"/>
        <v>30.746000000000002</v>
      </c>
      <c r="CC18" s="427">
        <f t="shared" si="14"/>
        <v>52.588000000000008</v>
      </c>
      <c r="CD18" s="427">
        <f t="shared" si="11"/>
        <v>-99.135999999999996</v>
      </c>
      <c r="CE18" s="427">
        <f t="shared" si="12"/>
        <v>0</v>
      </c>
      <c r="CF18" s="427">
        <f t="shared" si="15"/>
        <v>0</v>
      </c>
      <c r="CG18" s="698">
        <f>BS!CF22-BS!CG22</f>
        <v>0</v>
      </c>
      <c r="CH18" s="336"/>
    </row>
    <row r="19" spans="2:86" ht="28.5">
      <c r="B19" s="587" t="s">
        <v>169</v>
      </c>
      <c r="C19" s="185"/>
      <c r="D19" s="182"/>
      <c r="E19" s="186"/>
      <c r="F19" s="186"/>
      <c r="G19" s="187"/>
      <c r="H19" s="182"/>
      <c r="I19" s="186"/>
      <c r="J19" s="186"/>
      <c r="K19" s="187"/>
      <c r="L19" s="182"/>
      <c r="M19" s="186"/>
      <c r="N19" s="186"/>
      <c r="O19" s="187"/>
      <c r="P19" s="182"/>
      <c r="Q19" s="186"/>
      <c r="R19" s="186"/>
      <c r="S19" s="187"/>
      <c r="T19" s="182"/>
      <c r="U19" s="186"/>
      <c r="V19" s="186"/>
      <c r="W19" s="187"/>
      <c r="X19" s="182"/>
      <c r="Y19" s="186"/>
      <c r="Z19" s="186"/>
      <c r="AA19" s="187"/>
      <c r="AB19" s="182"/>
      <c r="AC19" s="186"/>
      <c r="AD19" s="186"/>
      <c r="AE19" s="184"/>
      <c r="AF19" s="182"/>
      <c r="AG19" s="183"/>
      <c r="AH19" s="183"/>
      <c r="AI19" s="184"/>
      <c r="AJ19" s="182"/>
      <c r="AK19" s="183"/>
      <c r="AL19" s="183"/>
      <c r="AM19" s="184"/>
      <c r="AN19" s="182"/>
      <c r="AO19" s="183"/>
      <c r="AP19" s="183"/>
      <c r="AQ19" s="184"/>
      <c r="AR19" s="182"/>
      <c r="AS19" s="183"/>
      <c r="AT19" s="183"/>
      <c r="AU19" s="184"/>
      <c r="AV19" s="182"/>
      <c r="AW19" s="183">
        <v>0</v>
      </c>
      <c r="AX19" s="183"/>
      <c r="AY19" s="184"/>
      <c r="AZ19" s="182"/>
      <c r="BA19" s="183">
        <v>0</v>
      </c>
      <c r="BB19" s="183"/>
      <c r="BC19" s="184"/>
      <c r="BD19" s="182"/>
      <c r="BE19" s="183">
        <v>0</v>
      </c>
      <c r="BF19" s="183"/>
      <c r="BG19" s="184"/>
      <c r="BH19" s="183"/>
      <c r="BI19" s="183"/>
      <c r="BJ19" s="183"/>
      <c r="BK19" s="184"/>
      <c r="BL19" s="183"/>
      <c r="BM19" s="183"/>
      <c r="BN19" s="183"/>
      <c r="BO19" s="184"/>
      <c r="BP19" s="335"/>
      <c r="BQ19" s="428"/>
      <c r="BR19" s="428"/>
      <c r="BS19" s="428"/>
      <c r="BT19" s="428"/>
      <c r="BU19" s="428"/>
      <c r="BV19" s="428"/>
      <c r="BW19" s="428"/>
      <c r="BX19" s="428"/>
      <c r="BY19" s="428"/>
      <c r="BZ19" s="428"/>
      <c r="CA19" s="428"/>
      <c r="CB19" s="428"/>
      <c r="CC19" s="428"/>
      <c r="CD19" s="428"/>
      <c r="CE19" s="428"/>
      <c r="CF19" s="428"/>
      <c r="CG19" s="699"/>
      <c r="CH19" s="336"/>
    </row>
    <row r="20" spans="2:86" ht="14.25">
      <c r="B20" s="581" t="s">
        <v>198</v>
      </c>
      <c r="C20" s="185"/>
      <c r="D20" s="182">
        <v>0</v>
      </c>
      <c r="E20" s="186">
        <f>0-D20</f>
        <v>0</v>
      </c>
      <c r="F20" s="186">
        <f>0-E20-D20</f>
        <v>0</v>
      </c>
      <c r="G20" s="187">
        <f>0-F20-E20-D20</f>
        <v>0</v>
      </c>
      <c r="H20" s="182">
        <v>0</v>
      </c>
      <c r="I20" s="186">
        <f>0-H20</f>
        <v>0</v>
      </c>
      <c r="J20" s="186">
        <f>0-I20-H20</f>
        <v>0</v>
      </c>
      <c r="K20" s="187">
        <f>0-J20-I20-H20</f>
        <v>0</v>
      </c>
      <c r="L20" s="182">
        <v>0</v>
      </c>
      <c r="M20" s="186">
        <f>0-L20</f>
        <v>0</v>
      </c>
      <c r="N20" s="186">
        <f>0-M20-L20</f>
        <v>0</v>
      </c>
      <c r="O20" s="187">
        <f>0-N20-M20-L20</f>
        <v>0</v>
      </c>
      <c r="P20" s="182">
        <v>0</v>
      </c>
      <c r="Q20" s="186">
        <f>0-P20</f>
        <v>0</v>
      </c>
      <c r="R20" s="186">
        <f>0-Q20-P20</f>
        <v>0</v>
      </c>
      <c r="S20" s="187">
        <f>0-R20-Q20-P20</f>
        <v>0</v>
      </c>
      <c r="T20" s="182">
        <v>-24.5</v>
      </c>
      <c r="U20" s="186">
        <f>-24.5-T20</f>
        <v>0</v>
      </c>
      <c r="V20" s="186">
        <f>-24.5-U20-T20</f>
        <v>0</v>
      </c>
      <c r="W20" s="187">
        <f>-24.5-V20-U20-T20</f>
        <v>0</v>
      </c>
      <c r="X20" s="182">
        <v>0</v>
      </c>
      <c r="Y20" s="186">
        <f>0-X20</f>
        <v>0</v>
      </c>
      <c r="Z20" s="186">
        <f>24.5-Y20-X20</f>
        <v>24.5</v>
      </c>
      <c r="AA20" s="187">
        <f>24.5-Z20-Y20-X20</f>
        <v>0</v>
      </c>
      <c r="AB20" s="182">
        <v>0</v>
      </c>
      <c r="AC20" s="186">
        <f>0-AB20</f>
        <v>0</v>
      </c>
      <c r="AD20" s="186">
        <f>0-AC20-AB20</f>
        <v>0</v>
      </c>
      <c r="AE20" s="187">
        <f>0-AD20-AC20-AB20</f>
        <v>0</v>
      </c>
      <c r="AF20" s="182">
        <v>0</v>
      </c>
      <c r="AG20" s="183">
        <v>0</v>
      </c>
      <c r="AH20" s="183">
        <v>0</v>
      </c>
      <c r="AI20" s="184">
        <v>0</v>
      </c>
      <c r="AJ20" s="182">
        <v>0</v>
      </c>
      <c r="AK20" s="183">
        <v>0</v>
      </c>
      <c r="AL20" s="183">
        <v>0</v>
      </c>
      <c r="AM20" s="184">
        <v>0</v>
      </c>
      <c r="AN20" s="182">
        <v>0</v>
      </c>
      <c r="AO20" s="183">
        <v>0</v>
      </c>
      <c r="AP20" s="183">
        <v>0</v>
      </c>
      <c r="AQ20" s="184">
        <v>0</v>
      </c>
      <c r="AR20" s="182">
        <v>0</v>
      </c>
      <c r="AS20" s="183">
        <v>0</v>
      </c>
      <c r="AT20" s="183">
        <v>0</v>
      </c>
      <c r="AU20" s="184">
        <v>0</v>
      </c>
      <c r="AV20" s="182">
        <v>0</v>
      </c>
      <c r="AW20" s="183">
        <v>0</v>
      </c>
      <c r="AX20" s="183">
        <v>0</v>
      </c>
      <c r="AY20" s="184">
        <v>0</v>
      </c>
      <c r="AZ20" s="182">
        <v>0</v>
      </c>
      <c r="BA20" s="183">
        <v>0</v>
      </c>
      <c r="BB20" s="183">
        <v>0</v>
      </c>
      <c r="BC20" s="184">
        <v>0</v>
      </c>
      <c r="BD20" s="182">
        <v>0</v>
      </c>
      <c r="BE20" s="183">
        <v>0</v>
      </c>
      <c r="BF20" s="183">
        <v>0</v>
      </c>
      <c r="BG20" s="184">
        <v>0</v>
      </c>
      <c r="BH20" s="179">
        <f>BS!BG12-BS!BH12</f>
        <v>0</v>
      </c>
      <c r="BI20" s="179">
        <f>BS!BH12-BS!BI12</f>
        <v>0</v>
      </c>
      <c r="BJ20" s="179">
        <f>BS!BI12-BS!BJ12</f>
        <v>0</v>
      </c>
      <c r="BK20" s="180">
        <f>BS!BJ12-BS!BK12</f>
        <v>0</v>
      </c>
      <c r="BL20" s="179">
        <f>BS!BK12-BS!BL12</f>
        <v>0</v>
      </c>
      <c r="BM20" s="179">
        <f>BS!BL12-BS!BM12</f>
        <v>0</v>
      </c>
      <c r="BN20" s="179">
        <f>BS!BM12-BS!BN12</f>
        <v>0</v>
      </c>
      <c r="BO20" s="180">
        <f>BS!BN12-BS!BO12</f>
        <v>0</v>
      </c>
      <c r="BP20" s="335"/>
      <c r="BQ20" s="427">
        <f t="shared" ref="BQ20:BQ28" si="18">SUM(D20:G20)</f>
        <v>0</v>
      </c>
      <c r="BR20" s="427">
        <f t="shared" ref="BR20:BR28" si="19">SUM(H20:K20)</f>
        <v>0</v>
      </c>
      <c r="BS20" s="427">
        <f t="shared" ref="BS20:BS28" si="20">SUM(L20:O20)</f>
        <v>0</v>
      </c>
      <c r="BT20" s="427">
        <f t="shared" ref="BT20:BT28" si="21">SUM(P20:S20)</f>
        <v>0</v>
      </c>
      <c r="BU20" s="427">
        <f t="shared" ref="BU20:BU28" si="22">SUM(T20:W20)</f>
        <v>-24.5</v>
      </c>
      <c r="BV20" s="427">
        <f t="shared" ref="BV20:BV28" si="23">SUM(X20:AA20)</f>
        <v>24.5</v>
      </c>
      <c r="BW20" s="427">
        <f t="shared" ref="BW20:BW28" si="24">SUM(AB20:AE20)</f>
        <v>0</v>
      </c>
      <c r="BX20" s="427">
        <f t="shared" ref="BX20:BX28" si="25">SUM(AF20:AI20)</f>
        <v>0</v>
      </c>
      <c r="BY20" s="427">
        <f t="shared" ref="BY20:BY28" si="26">SUM(AJ20:AM20)</f>
        <v>0</v>
      </c>
      <c r="BZ20" s="427">
        <f t="shared" ref="BZ20:BZ28" si="27">SUM(AN20:AQ20)</f>
        <v>0</v>
      </c>
      <c r="CA20" s="427">
        <f t="shared" ref="CA20:CA28" si="28">SUM(AR20:AU20)</f>
        <v>0</v>
      </c>
      <c r="CB20" s="427">
        <f t="shared" ref="CB20:CB28" si="29">SUM(AV20:AY20)</f>
        <v>0</v>
      </c>
      <c r="CC20" s="427">
        <f t="shared" ref="CC20:CC28" si="30">SUM(AZ20:BC20)</f>
        <v>0</v>
      </c>
      <c r="CD20" s="427">
        <f t="shared" ref="CD20:CD28" si="31">SUM(BD20:BG20)</f>
        <v>0</v>
      </c>
      <c r="CE20" s="427">
        <f t="shared" ref="CE20:CF28" si="32">SUM(BH20:BK20)</f>
        <v>0</v>
      </c>
      <c r="CF20" s="427">
        <f t="shared" si="32"/>
        <v>0</v>
      </c>
      <c r="CG20" s="698">
        <f>BS!CF12-BS!CG12</f>
        <v>0</v>
      </c>
      <c r="CH20" s="336"/>
    </row>
    <row r="21" spans="2:86" ht="14.25">
      <c r="B21" s="581" t="s">
        <v>110</v>
      </c>
      <c r="C21" s="185"/>
      <c r="D21" s="182">
        <v>-14.94</v>
      </c>
      <c r="E21" s="186">
        <f>-24.594-D21</f>
        <v>-9.6540000000000017</v>
      </c>
      <c r="F21" s="186">
        <f>-54.381-E21-D21</f>
        <v>-29.786999999999999</v>
      </c>
      <c r="G21" s="187">
        <f>-64.441-F21-E21-D21</f>
        <v>-10.06</v>
      </c>
      <c r="H21" s="182">
        <v>-4.1890000000000001</v>
      </c>
      <c r="I21" s="186">
        <f>-9.255-H21</f>
        <v>-5.0660000000000007</v>
      </c>
      <c r="J21" s="186">
        <f>-52.383-I21-H21</f>
        <v>-43.128</v>
      </c>
      <c r="K21" s="187">
        <f>-44.21-J21-I21-H21</f>
        <v>8.173</v>
      </c>
      <c r="L21" s="182">
        <v>-48.372</v>
      </c>
      <c r="M21" s="186">
        <f>-97.616-L21</f>
        <v>-49.244</v>
      </c>
      <c r="N21" s="186">
        <f>-49.052-M21-L21</f>
        <v>48.564</v>
      </c>
      <c r="O21" s="187">
        <f>-83.1-N21-M21-L21</f>
        <v>-34.047999999999988</v>
      </c>
      <c r="P21" s="182">
        <v>45.417999999999999</v>
      </c>
      <c r="Q21" s="186">
        <f>-28.702-P21</f>
        <v>-74.12</v>
      </c>
      <c r="R21" s="186">
        <f>-56.932-Q21-P21</f>
        <v>-28.229999999999997</v>
      </c>
      <c r="S21" s="187">
        <f>-1.763-R21-Q21-P21</f>
        <v>55.169000000000004</v>
      </c>
      <c r="T21" s="182">
        <v>-38.152000000000001</v>
      </c>
      <c r="U21" s="186">
        <f>-138.626-T21</f>
        <v>-100.474</v>
      </c>
      <c r="V21" s="186">
        <f>-65.816-U21-T21</f>
        <v>72.81</v>
      </c>
      <c r="W21" s="187">
        <f>109.919-V21-U21-T21</f>
        <v>175.73500000000001</v>
      </c>
      <c r="X21" s="182">
        <v>-63.265999999999998</v>
      </c>
      <c r="Y21" s="186">
        <f>-106.361-X21</f>
        <v>-43.095000000000006</v>
      </c>
      <c r="Z21" s="186">
        <f>-172.218-Y21-X21</f>
        <v>-65.856999999999999</v>
      </c>
      <c r="AA21" s="187">
        <f>-134.695-Z21-Y21-X21</f>
        <v>37.52300000000001</v>
      </c>
      <c r="AB21" s="182">
        <v>-91.897000000000006</v>
      </c>
      <c r="AC21" s="186">
        <f>-133.959-AB21</f>
        <v>-42.061999999999998</v>
      </c>
      <c r="AD21" s="186">
        <f>-111.179-AC21-AB21</f>
        <v>22.78</v>
      </c>
      <c r="AE21" s="187">
        <f>-102.61-AD21-AC21-AB21</f>
        <v>8.5690000000000026</v>
      </c>
      <c r="AF21" s="182">
        <v>33.938000000000002</v>
      </c>
      <c r="AG21" s="183">
        <v>19.710999999999999</v>
      </c>
      <c r="AH21" s="183">
        <v>-45.350999999999999</v>
      </c>
      <c r="AI21" s="184">
        <v>46.252000000000002</v>
      </c>
      <c r="AJ21" s="182">
        <v>-10.119</v>
      </c>
      <c r="AK21" s="183">
        <v>26.61</v>
      </c>
      <c r="AL21" s="183">
        <v>16.001999999999999</v>
      </c>
      <c r="AM21" s="184">
        <v>44.531999999999996</v>
      </c>
      <c r="AN21" s="182">
        <v>-40.112000000000002</v>
      </c>
      <c r="AO21" s="183">
        <v>-60.524000000000001</v>
      </c>
      <c r="AP21" s="183">
        <v>-35.854999999999997</v>
      </c>
      <c r="AQ21" s="184">
        <v>13.233000000000001</v>
      </c>
      <c r="AR21" s="182">
        <v>-63.578000000000003</v>
      </c>
      <c r="AS21" s="183">
        <v>33.418999999999997</v>
      </c>
      <c r="AT21" s="183">
        <v>53.433999999999997</v>
      </c>
      <c r="AU21" s="184">
        <v>10.89</v>
      </c>
      <c r="AV21" s="182">
        <v>27.140999999999998</v>
      </c>
      <c r="AW21" s="183">
        <v>-23.906999999999996</v>
      </c>
      <c r="AX21" s="183">
        <v>36.792999999999999</v>
      </c>
      <c r="AY21" s="184">
        <v>57.628</v>
      </c>
      <c r="AZ21" s="182">
        <v>42.642000000000003</v>
      </c>
      <c r="BA21" s="183">
        <v>-68.025000000000006</v>
      </c>
      <c r="BB21" s="183">
        <v>-13.512</v>
      </c>
      <c r="BC21" s="184">
        <f>-12.084-BB21-BA21-AZ21</f>
        <v>26.811</v>
      </c>
      <c r="BD21" s="182">
        <v>-21.763000000000002</v>
      </c>
      <c r="BE21" s="183">
        <v>-14.55</v>
      </c>
      <c r="BF21" s="183">
        <v>5.5830000000000002</v>
      </c>
      <c r="BG21" s="184">
        <v>85.718999999999994</v>
      </c>
      <c r="BH21" s="179">
        <f>BS!BG14-BS!BH14</f>
        <v>-9.2486291506849625</v>
      </c>
      <c r="BI21" s="179">
        <f>BS!BH14-BS!BI14</f>
        <v>-9.154248315616428</v>
      </c>
      <c r="BJ21" s="179">
        <f>BS!BI14-BS!BJ14</f>
        <v>-8.8294898287561523</v>
      </c>
      <c r="BK21" s="180">
        <f>BS!BJ14-BS!BK14</f>
        <v>2.8714009038904464</v>
      </c>
      <c r="BL21" s="179">
        <f>BS!BK14-BS!BL14</f>
        <v>23.20072346020288</v>
      </c>
      <c r="BM21" s="179">
        <f>BS!BL14-BS!BM14</f>
        <v>-17.947744265098265</v>
      </c>
      <c r="BN21" s="179">
        <f>BS!BM14-BS!BN14</f>
        <v>-10.0830984089053</v>
      </c>
      <c r="BO21" s="180">
        <f>BS!BN14-BS!BO14</f>
        <v>3.5970175618586495</v>
      </c>
      <c r="BP21" s="335"/>
      <c r="BQ21" s="427">
        <f t="shared" si="18"/>
        <v>-64.441000000000003</v>
      </c>
      <c r="BR21" s="427">
        <f t="shared" si="19"/>
        <v>-44.21</v>
      </c>
      <c r="BS21" s="427">
        <f t="shared" si="20"/>
        <v>-83.1</v>
      </c>
      <c r="BT21" s="427">
        <f t="shared" si="21"/>
        <v>-1.7629999999999981</v>
      </c>
      <c r="BU21" s="427">
        <f t="shared" si="22"/>
        <v>109.91900000000001</v>
      </c>
      <c r="BV21" s="427">
        <f t="shared" si="23"/>
        <v>-134.69499999999999</v>
      </c>
      <c r="BW21" s="427">
        <f t="shared" si="24"/>
        <v>-102.61</v>
      </c>
      <c r="BX21" s="427">
        <f t="shared" si="25"/>
        <v>54.550000000000004</v>
      </c>
      <c r="BY21" s="427">
        <f t="shared" si="26"/>
        <v>77.024999999999991</v>
      </c>
      <c r="BZ21" s="427">
        <f t="shared" si="27"/>
        <v>-123.25799999999998</v>
      </c>
      <c r="CA21" s="427">
        <f t="shared" si="28"/>
        <v>34.164999999999992</v>
      </c>
      <c r="CB21" s="427">
        <f t="shared" si="29"/>
        <v>97.655000000000001</v>
      </c>
      <c r="CC21" s="427">
        <f t="shared" si="30"/>
        <v>-12.084000000000003</v>
      </c>
      <c r="CD21" s="427">
        <f t="shared" si="31"/>
        <v>54.98899999999999</v>
      </c>
      <c r="CE21" s="427">
        <f t="shared" si="32"/>
        <v>-24.360966391167096</v>
      </c>
      <c r="CF21" s="427">
        <f t="shared" ref="CF21:CF28" si="33">SUM(BL21:BO21)</f>
        <v>-1.2331016519420359</v>
      </c>
      <c r="CG21" s="698">
        <f>BS!CF14-BS!CG14</f>
        <v>6.8307220993332294</v>
      </c>
      <c r="CH21" s="336"/>
    </row>
    <row r="22" spans="2:86" ht="14.25">
      <c r="B22" s="581" t="s">
        <v>151</v>
      </c>
      <c r="C22" s="185"/>
      <c r="D22" s="182">
        <v>-16.233000000000001</v>
      </c>
      <c r="E22" s="186">
        <f>-5.322-D22</f>
        <v>10.911000000000001</v>
      </c>
      <c r="F22" s="186">
        <f>-16.193-E22-D22</f>
        <v>-10.871000000000002</v>
      </c>
      <c r="G22" s="187">
        <f>-37.104-F22-E22-D22</f>
        <v>-20.910999999999998</v>
      </c>
      <c r="H22" s="182">
        <v>15.664</v>
      </c>
      <c r="I22" s="186">
        <f>14.702-H22</f>
        <v>-0.96199999999999974</v>
      </c>
      <c r="J22" s="186">
        <f>-21.04-I22-H22</f>
        <v>-35.741999999999997</v>
      </c>
      <c r="K22" s="187">
        <f>-60.439-J22-I22-H22</f>
        <v>-39.399000000000001</v>
      </c>
      <c r="L22" s="182">
        <v>8.7289999999999992</v>
      </c>
      <c r="M22" s="186">
        <f>7.082-L22</f>
        <v>-1.6469999999999994</v>
      </c>
      <c r="N22" s="186">
        <f>10.306-M22-L22</f>
        <v>3.2240000000000002</v>
      </c>
      <c r="O22" s="187">
        <f>-15.908-N22-M22-L22</f>
        <v>-26.213999999999999</v>
      </c>
      <c r="P22" s="182">
        <v>-28.687999999999999</v>
      </c>
      <c r="Q22" s="186">
        <f>-88.748-P22</f>
        <v>-60.06</v>
      </c>
      <c r="R22" s="186">
        <f>-158.834-Q22-P22</f>
        <v>-70.085999999999999</v>
      </c>
      <c r="S22" s="187">
        <f>-202.275-R22-Q22-P22</f>
        <v>-43.441000000000017</v>
      </c>
      <c r="T22" s="182">
        <v>55.917999999999999</v>
      </c>
      <c r="U22" s="186">
        <f>103.327-T22</f>
        <v>47.408999999999999</v>
      </c>
      <c r="V22" s="186">
        <f>95.85-U22-T22</f>
        <v>-7.4770000000000039</v>
      </c>
      <c r="W22" s="187">
        <f>126.938-V22-U22-T22</f>
        <v>31.088000000000029</v>
      </c>
      <c r="X22" s="182">
        <v>106.28100000000001</v>
      </c>
      <c r="Y22" s="186">
        <f>100.587-X22</f>
        <v>-5.6940000000000026</v>
      </c>
      <c r="Z22" s="186">
        <f>83.548-Y22-X22</f>
        <v>-17.039000000000001</v>
      </c>
      <c r="AA22" s="187">
        <f>82.659-Z22-Y22-X22</f>
        <v>-0.88899999999999579</v>
      </c>
      <c r="AB22" s="182">
        <v>35.417000000000002</v>
      </c>
      <c r="AC22" s="186">
        <f>3.916-AB22</f>
        <v>-31.501000000000001</v>
      </c>
      <c r="AD22" s="186">
        <f>15.856-AC22-AB22</f>
        <v>11.939999999999998</v>
      </c>
      <c r="AE22" s="187">
        <f>-1.264-AD22-AC22-AB22</f>
        <v>-17.119999999999997</v>
      </c>
      <c r="AF22" s="182">
        <v>-53.106999999999999</v>
      </c>
      <c r="AG22" s="183">
        <v>-22.896999999999998</v>
      </c>
      <c r="AH22" s="183">
        <v>12.037000000000001</v>
      </c>
      <c r="AI22" s="184">
        <v>-37.142000000000003</v>
      </c>
      <c r="AJ22" s="182">
        <v>0.20100000000000001</v>
      </c>
      <c r="AK22" s="183">
        <v>7.8319999999999999</v>
      </c>
      <c r="AL22" s="183">
        <v>21.600999999999999</v>
      </c>
      <c r="AM22" s="184">
        <v>73.468000000000004</v>
      </c>
      <c r="AN22" s="182">
        <v>-20.123000000000001</v>
      </c>
      <c r="AO22" s="183">
        <v>-64.17</v>
      </c>
      <c r="AP22" s="183">
        <v>-45.156999999999996</v>
      </c>
      <c r="AQ22" s="184">
        <v>32.262</v>
      </c>
      <c r="AR22" s="182">
        <v>-3.105</v>
      </c>
      <c r="AS22" s="183">
        <v>-43.194000000000003</v>
      </c>
      <c r="AT22" s="183">
        <v>37.506</v>
      </c>
      <c r="AU22" s="184">
        <v>48.247</v>
      </c>
      <c r="AV22" s="182">
        <v>-31.318000000000001</v>
      </c>
      <c r="AW22" s="183">
        <v>12.903</v>
      </c>
      <c r="AX22" s="183">
        <v>39.457000000000001</v>
      </c>
      <c r="AY22" s="184">
        <v>69.543999999999997</v>
      </c>
      <c r="AZ22" s="182">
        <v>13.598000000000001</v>
      </c>
      <c r="BA22" s="183">
        <v>-6.3639999999999999</v>
      </c>
      <c r="BB22" s="183">
        <v>3.71</v>
      </c>
      <c r="BC22" s="184">
        <f>29.325-BB22-BA22-AZ22</f>
        <v>18.381</v>
      </c>
      <c r="BD22" s="182">
        <v>-11.542</v>
      </c>
      <c r="BE22" s="183">
        <v>-3.17</v>
      </c>
      <c r="BF22" s="183">
        <v>-1.327</v>
      </c>
      <c r="BG22" s="184">
        <v>3.8780000000000001</v>
      </c>
      <c r="BH22" s="179">
        <f>BS!BG15-BS!BH15</f>
        <v>11.309280549339377</v>
      </c>
      <c r="BI22" s="179">
        <f>BS!BH15-BS!BI15</f>
        <v>-3.9308349424863991</v>
      </c>
      <c r="BJ22" s="179">
        <f>BS!BI15-BS!BJ15</f>
        <v>-3.6886877588017626</v>
      </c>
      <c r="BK22" s="180">
        <f>BS!BJ15-BS!BK15</f>
        <v>2.6602112347476634</v>
      </c>
      <c r="BL22" s="179">
        <f>BS!BK15-BS!BL15</f>
        <v>9.9915243268891629</v>
      </c>
      <c r="BM22" s="179">
        <f>BS!BL15-BS!BM15</f>
        <v>-9.129214933988834</v>
      </c>
      <c r="BN22" s="179">
        <f>BS!BM15-BS!BN15</f>
        <v>-4.791008769212425</v>
      </c>
      <c r="BO22" s="180">
        <f>BS!BN15-BS!BO15</f>
        <v>2.6302231343621827</v>
      </c>
      <c r="BP22" s="335"/>
      <c r="BQ22" s="427">
        <f t="shared" si="18"/>
        <v>-37.103999999999999</v>
      </c>
      <c r="BR22" s="427">
        <f t="shared" si="19"/>
        <v>-60.439</v>
      </c>
      <c r="BS22" s="427">
        <f t="shared" si="20"/>
        <v>-15.907999999999998</v>
      </c>
      <c r="BT22" s="427">
        <f t="shared" si="21"/>
        <v>-202.27500000000003</v>
      </c>
      <c r="BU22" s="427">
        <f t="shared" si="22"/>
        <v>126.93800000000002</v>
      </c>
      <c r="BV22" s="427">
        <f t="shared" si="23"/>
        <v>82.659000000000006</v>
      </c>
      <c r="BW22" s="427">
        <f t="shared" si="24"/>
        <v>-1.2639999999999993</v>
      </c>
      <c r="BX22" s="427">
        <f t="shared" si="25"/>
        <v>-101.10899999999999</v>
      </c>
      <c r="BY22" s="427">
        <f t="shared" si="26"/>
        <v>103.102</v>
      </c>
      <c r="BZ22" s="427">
        <f t="shared" si="27"/>
        <v>-97.187999999999988</v>
      </c>
      <c r="CA22" s="427">
        <f t="shared" si="28"/>
        <v>39.454000000000001</v>
      </c>
      <c r="CB22" s="427">
        <f t="shared" si="29"/>
        <v>90.585999999999999</v>
      </c>
      <c r="CC22" s="427">
        <f t="shared" si="30"/>
        <v>29.325000000000003</v>
      </c>
      <c r="CD22" s="427">
        <f t="shared" si="31"/>
        <v>-12.161000000000001</v>
      </c>
      <c r="CE22" s="427">
        <f t="shared" si="32"/>
        <v>6.3499690827988786</v>
      </c>
      <c r="CF22" s="427">
        <f t="shared" si="33"/>
        <v>-1.2984762419499134</v>
      </c>
      <c r="CG22" s="698">
        <f>BS!CF15-BS!CG15</f>
        <v>1.4219651255941983</v>
      </c>
      <c r="CH22" s="336"/>
    </row>
    <row r="23" spans="2:86" ht="14.25">
      <c r="B23" s="581" t="s">
        <v>152</v>
      </c>
      <c r="C23" s="188"/>
      <c r="D23" s="182">
        <v>0.64700000000000002</v>
      </c>
      <c r="E23" s="186">
        <f>2.318-D23</f>
        <v>1.671</v>
      </c>
      <c r="F23" s="186">
        <f>0.571-E23-D23</f>
        <v>-1.7470000000000001</v>
      </c>
      <c r="G23" s="187">
        <f>-3.89-F23-E23-D23</f>
        <v>-4.4610000000000003</v>
      </c>
      <c r="H23" s="182">
        <v>-43.8</v>
      </c>
      <c r="I23" s="186">
        <f>-65.308-H23</f>
        <v>-21.50800000000001</v>
      </c>
      <c r="J23" s="186">
        <f>-105.044-I23-H23</f>
        <v>-39.73599999999999</v>
      </c>
      <c r="K23" s="187">
        <f>-128.883-J23-I23-H23</f>
        <v>-23.839000000000013</v>
      </c>
      <c r="L23" s="182">
        <v>-25.798999999999999</v>
      </c>
      <c r="M23" s="186">
        <f>-28.484-L23</f>
        <v>-2.6850000000000023</v>
      </c>
      <c r="N23" s="186">
        <f>-51.79-M23-L23</f>
        <v>-23.305999999999997</v>
      </c>
      <c r="O23" s="187">
        <f>-113.159-N23-M23-L23</f>
        <v>-61.369000000000007</v>
      </c>
      <c r="P23" s="182">
        <v>11.82</v>
      </c>
      <c r="Q23" s="186">
        <f>53.992-P23</f>
        <v>42.171999999999997</v>
      </c>
      <c r="R23" s="186">
        <f>99.523-Q23-P23</f>
        <v>45.530999999999999</v>
      </c>
      <c r="S23" s="187">
        <f>108.321-R23-Q23-P23</f>
        <v>8.7980000000000018</v>
      </c>
      <c r="T23" s="182">
        <v>32.466000000000001</v>
      </c>
      <c r="U23" s="186">
        <f>42.81-T23</f>
        <v>10.344000000000001</v>
      </c>
      <c r="V23" s="186">
        <f>61.847-U23-T23</f>
        <v>19.036999999999999</v>
      </c>
      <c r="W23" s="187">
        <f>63.476-V23-U23-T23</f>
        <v>1.6289999999999978</v>
      </c>
      <c r="X23" s="182">
        <v>14.33</v>
      </c>
      <c r="Y23" s="186">
        <f>8.921-X23</f>
        <v>-5.4090000000000007</v>
      </c>
      <c r="Z23" s="186">
        <f>7.559-Y23-X23</f>
        <v>-1.3620000000000001</v>
      </c>
      <c r="AA23" s="187">
        <f>-4.326-Z23-Y23-X23</f>
        <v>-11.884999999999998</v>
      </c>
      <c r="AB23" s="182">
        <v>10.381</v>
      </c>
      <c r="AC23" s="186">
        <f>6.454-AB23</f>
        <v>-3.9270000000000005</v>
      </c>
      <c r="AD23" s="186">
        <f>-3.718-AC23-AB23</f>
        <v>-10.172000000000001</v>
      </c>
      <c r="AE23" s="187">
        <f>50.236-AD23-AC23-AB23</f>
        <v>53.954000000000008</v>
      </c>
      <c r="AF23" s="182">
        <v>0.64400000000000002</v>
      </c>
      <c r="AG23" s="183">
        <v>16.794</v>
      </c>
      <c r="AH23" s="183">
        <v>16.791</v>
      </c>
      <c r="AI23" s="184">
        <v>-6.7380000000000004</v>
      </c>
      <c r="AJ23" s="182">
        <v>4.242</v>
      </c>
      <c r="AK23" s="183">
        <v>11.393000000000001</v>
      </c>
      <c r="AL23" s="183">
        <v>0.35799999999999998</v>
      </c>
      <c r="AM23" s="184">
        <v>-15.861000000000001</v>
      </c>
      <c r="AN23" s="182">
        <v>6.8019999999999996</v>
      </c>
      <c r="AO23" s="183">
        <v>12.503</v>
      </c>
      <c r="AP23" s="183">
        <v>-4.2930000000000001</v>
      </c>
      <c r="AQ23" s="416">
        <f>19.458-AP23-AO23-AN23</f>
        <v>4.445999999999998</v>
      </c>
      <c r="AR23" s="182">
        <v>-2.161</v>
      </c>
      <c r="AS23" s="183">
        <v>-24.995999999999999</v>
      </c>
      <c r="AT23" s="183">
        <v>18.536000000000001</v>
      </c>
      <c r="AU23" s="184">
        <v>14.409000000000001</v>
      </c>
      <c r="AV23" s="182">
        <v>1.0649999999999999</v>
      </c>
      <c r="AW23" s="183">
        <v>9.3580000000000005</v>
      </c>
      <c r="AX23" s="183">
        <v>6.8040000000000003</v>
      </c>
      <c r="AY23" s="184">
        <v>-35.244999999999997</v>
      </c>
      <c r="AZ23" s="182">
        <v>38.055999999999997</v>
      </c>
      <c r="BA23" s="183">
        <v>6.6580000000000004</v>
      </c>
      <c r="BB23" s="183">
        <v>6.4569999999999999</v>
      </c>
      <c r="BC23" s="184">
        <f>1.825-BB23-BA23-AZ23</f>
        <v>-49.345999999999997</v>
      </c>
      <c r="BD23" s="182">
        <v>6.4219999999999997</v>
      </c>
      <c r="BE23" s="183">
        <v>2.46</v>
      </c>
      <c r="BF23" s="183">
        <v>5.2679999999999998</v>
      </c>
      <c r="BG23" s="184">
        <v>-0.627</v>
      </c>
      <c r="BH23" s="179">
        <f>BS!BG16-BS!BH16+BS!BG24-BS!BH24</f>
        <v>20.259172123108868</v>
      </c>
      <c r="BI23" s="179">
        <f>BS!BH16-BS!BI16+BS!BH24-BS!BI24</f>
        <v>9.5585736269754307E-2</v>
      </c>
      <c r="BJ23" s="179">
        <f>BS!BI16-BS!BJ16+BS!BI24-BS!BJ24</f>
        <v>-0.32642582131288123</v>
      </c>
      <c r="BK23" s="180">
        <f>BS!BJ16-BS!BK16+BS!BJ24-BS!BK24</f>
        <v>0.37689159561026031</v>
      </c>
      <c r="BL23" s="179">
        <f>BS!BK16-BS!BL16+BS!BK24-BS!BL24</f>
        <v>1.7947711453294914</v>
      </c>
      <c r="BM23" s="179">
        <f>BS!BL16-BS!BM16+BS!BL24-BS!BM24</f>
        <v>-3.858835881686673E-3</v>
      </c>
      <c r="BN23" s="179">
        <f>BS!BM16-BS!BN16+BS!BM24-BS!BN24</f>
        <v>-0.61083068385704564</v>
      </c>
      <c r="BO23" s="180">
        <f>BS!BN16-BS!BO16+BS!BN24-BS!BO24</f>
        <v>0.40384177560983403</v>
      </c>
      <c r="BP23" s="335"/>
      <c r="BQ23" s="427">
        <f t="shared" si="18"/>
        <v>-3.8900000000000006</v>
      </c>
      <c r="BR23" s="427">
        <f t="shared" si="19"/>
        <v>-128.88300000000001</v>
      </c>
      <c r="BS23" s="427">
        <f t="shared" si="20"/>
        <v>-113.15900000000001</v>
      </c>
      <c r="BT23" s="427">
        <f t="shared" si="21"/>
        <v>108.321</v>
      </c>
      <c r="BU23" s="427">
        <f t="shared" si="22"/>
        <v>63.475999999999999</v>
      </c>
      <c r="BV23" s="427">
        <f t="shared" si="23"/>
        <v>-4.3259999999999987</v>
      </c>
      <c r="BW23" s="427">
        <f t="shared" si="24"/>
        <v>50.236000000000004</v>
      </c>
      <c r="BX23" s="427">
        <f t="shared" si="25"/>
        <v>27.491</v>
      </c>
      <c r="BY23" s="427">
        <f t="shared" si="26"/>
        <v>0.13200000000000145</v>
      </c>
      <c r="BZ23" s="427">
        <f t="shared" si="27"/>
        <v>19.457999999999998</v>
      </c>
      <c r="CA23" s="427">
        <f t="shared" si="28"/>
        <v>5.788000000000002</v>
      </c>
      <c r="CB23" s="427">
        <f t="shared" si="29"/>
        <v>-18.017999999999997</v>
      </c>
      <c r="CC23" s="427">
        <f>SUM(AZ23:BC23)</f>
        <v>1.8250000000000028</v>
      </c>
      <c r="CD23" s="427">
        <f t="shared" si="31"/>
        <v>13.522999999999998</v>
      </c>
      <c r="CE23" s="427">
        <f t="shared" si="32"/>
        <v>20.405223633676002</v>
      </c>
      <c r="CF23" s="427">
        <f t="shared" si="33"/>
        <v>1.5839234012005932</v>
      </c>
      <c r="CG23" s="698">
        <f>BS!CF16-BS!CG16+BS!CF24-BS!CG24</f>
        <v>-5.6017479622986741</v>
      </c>
      <c r="CH23" s="336"/>
    </row>
    <row r="24" spans="2:86" ht="14.25">
      <c r="B24" s="581" t="s">
        <v>117</v>
      </c>
      <c r="C24" s="185"/>
      <c r="D24" s="182">
        <v>-14.759</v>
      </c>
      <c r="E24" s="186">
        <f>-23.532-D24</f>
        <v>-8.7729999999999997</v>
      </c>
      <c r="F24" s="186">
        <f>5.467-E24-D24</f>
        <v>28.998999999999999</v>
      </c>
      <c r="G24" s="187">
        <f>8.538-F24-E24-D24</f>
        <v>3.0710000000000015</v>
      </c>
      <c r="H24" s="182">
        <v>-7.4279999999999999</v>
      </c>
      <c r="I24" s="186">
        <f>9.946-H24</f>
        <v>17.373999999999999</v>
      </c>
      <c r="J24" s="186">
        <f>60.441-I24-H24</f>
        <v>50.495000000000005</v>
      </c>
      <c r="K24" s="187">
        <f>66.878-J24-I24-H24</f>
        <v>6.4369999999999967</v>
      </c>
      <c r="L24" s="182">
        <v>-45.868000000000002</v>
      </c>
      <c r="M24" s="186">
        <f>15.521-L24</f>
        <v>61.389000000000003</v>
      </c>
      <c r="N24" s="186">
        <f>3.072-M24-L24</f>
        <v>-12.448999999999998</v>
      </c>
      <c r="O24" s="187">
        <f>43.891-N24-M24-L24</f>
        <v>40.818999999999996</v>
      </c>
      <c r="P24" s="182">
        <v>16.984999999999999</v>
      </c>
      <c r="Q24" s="186">
        <f>22.334-P24</f>
        <v>5.3490000000000002</v>
      </c>
      <c r="R24" s="186">
        <f>-31.107-Q24-P24</f>
        <v>-53.441000000000003</v>
      </c>
      <c r="S24" s="187">
        <f>-8.187-R24-Q24-P24</f>
        <v>22.92</v>
      </c>
      <c r="T24" s="182">
        <v>-63.076000000000001</v>
      </c>
      <c r="U24" s="186">
        <f>5.878-T24</f>
        <v>68.954000000000008</v>
      </c>
      <c r="V24" s="186">
        <f>-6.004-U24-T24</f>
        <v>-11.882000000000012</v>
      </c>
      <c r="W24" s="187">
        <f>-88.795-V24-U24-T24</f>
        <v>-82.790999999999997</v>
      </c>
      <c r="X24" s="182">
        <v>30.738</v>
      </c>
      <c r="Y24" s="186">
        <f>133.781-X24</f>
        <v>103.04300000000001</v>
      </c>
      <c r="Z24" s="186">
        <f>172.062-Y24-X24</f>
        <v>38.281000000000006</v>
      </c>
      <c r="AA24" s="187">
        <f>136.045-Z24-Y24-X24</f>
        <v>-36.017000000000024</v>
      </c>
      <c r="AB24" s="182">
        <v>4.8259999999999996</v>
      </c>
      <c r="AC24" s="186">
        <f>98.775-AB24</f>
        <v>93.949000000000012</v>
      </c>
      <c r="AD24" s="186">
        <f>63.935-AC24-AB24</f>
        <v>-34.840000000000011</v>
      </c>
      <c r="AE24" s="187">
        <f>42.464-AD24-AC24-AB24</f>
        <v>-21.471000000000011</v>
      </c>
      <c r="AF24" s="182">
        <v>-5.2949999999999999</v>
      </c>
      <c r="AG24" s="183">
        <v>12.294</v>
      </c>
      <c r="AH24" s="183">
        <v>-2.806</v>
      </c>
      <c r="AI24" s="184">
        <v>-51.287999999999997</v>
      </c>
      <c r="AJ24" s="182">
        <v>21.248999999999999</v>
      </c>
      <c r="AK24" s="183">
        <v>6.2880000000000003</v>
      </c>
      <c r="AL24" s="183">
        <v>-54.673999999999999</v>
      </c>
      <c r="AM24" s="184">
        <v>2.8330000000000002</v>
      </c>
      <c r="AN24" s="182">
        <v>28.936</v>
      </c>
      <c r="AO24" s="183">
        <v>54.933</v>
      </c>
      <c r="AP24" s="183">
        <v>44.442</v>
      </c>
      <c r="AQ24" s="184">
        <v>-88.52</v>
      </c>
      <c r="AR24" s="182">
        <v>85.128</v>
      </c>
      <c r="AS24" s="183">
        <v>2.5579999999999998</v>
      </c>
      <c r="AT24" s="183">
        <v>-70.748999999999995</v>
      </c>
      <c r="AU24" s="184">
        <v>-60.808</v>
      </c>
      <c r="AV24" s="182">
        <v>17.125</v>
      </c>
      <c r="AW24" s="183">
        <v>-5.1670000000000016</v>
      </c>
      <c r="AX24" s="183">
        <v>-55.692999999999998</v>
      </c>
      <c r="AY24" s="184">
        <v>-62.162999999999997</v>
      </c>
      <c r="AZ24" s="182">
        <v>19.922000000000001</v>
      </c>
      <c r="BA24" s="183">
        <v>20.437000000000001</v>
      </c>
      <c r="BB24" s="183">
        <v>-29.818000000000001</v>
      </c>
      <c r="BC24" s="184">
        <f>-28.153-BB24-BA24-AZ24</f>
        <v>-38.694000000000003</v>
      </c>
      <c r="BD24" s="182">
        <v>31.422999999999998</v>
      </c>
      <c r="BE24" s="183">
        <v>-27.454999999999998</v>
      </c>
      <c r="BF24" s="183">
        <v>16.119</v>
      </c>
      <c r="BG24" s="184">
        <v>-36.700000000000003</v>
      </c>
      <c r="BH24" s="179">
        <f>BS!BH28-BS!BG28</f>
        <v>-9.6596349652953108</v>
      </c>
      <c r="BI24" s="179">
        <f>BS!BI28-BS!BH28</f>
        <v>3.3574576638709459</v>
      </c>
      <c r="BJ24" s="179">
        <f>BS!BJ28-BS!BI28</f>
        <v>3.1506316511937484</v>
      </c>
      <c r="BK24" s="180">
        <f>BS!BK28-BS!BJ28</f>
        <v>-2.2721754355754342</v>
      </c>
      <c r="BL24" s="179">
        <f>BS!BL28-BS!BK28</f>
        <v>-8.5340952789658502</v>
      </c>
      <c r="BM24" s="179">
        <f>BS!BM28-BS!BL28</f>
        <v>7.7975679705996868</v>
      </c>
      <c r="BN24" s="179">
        <f>BS!BN28-BS!BM28</f>
        <v>4.0921609137041344</v>
      </c>
      <c r="BO24" s="180">
        <f>BS!BO28-BS!BN28</f>
        <v>-2.246561595529414</v>
      </c>
      <c r="BP24" s="335"/>
      <c r="BQ24" s="427">
        <f t="shared" si="18"/>
        <v>8.5380000000000003</v>
      </c>
      <c r="BR24" s="427">
        <f t="shared" si="19"/>
        <v>66.878</v>
      </c>
      <c r="BS24" s="427">
        <f t="shared" si="20"/>
        <v>43.890999999999998</v>
      </c>
      <c r="BT24" s="427">
        <f t="shared" si="21"/>
        <v>-8.1870000000000012</v>
      </c>
      <c r="BU24" s="427">
        <f t="shared" si="22"/>
        <v>-88.795000000000002</v>
      </c>
      <c r="BV24" s="427">
        <f t="shared" si="23"/>
        <v>136.04499999999999</v>
      </c>
      <c r="BW24" s="427">
        <f t="shared" si="24"/>
        <v>42.463999999999984</v>
      </c>
      <c r="BX24" s="427">
        <f t="shared" si="25"/>
        <v>-47.094999999999999</v>
      </c>
      <c r="BY24" s="427">
        <f t="shared" si="26"/>
        <v>-24.304000000000002</v>
      </c>
      <c r="BZ24" s="427">
        <f t="shared" si="27"/>
        <v>39.791000000000011</v>
      </c>
      <c r="CA24" s="427">
        <f t="shared" si="28"/>
        <v>-43.870999999999988</v>
      </c>
      <c r="CB24" s="427">
        <f t="shared" si="29"/>
        <v>-105.898</v>
      </c>
      <c r="CC24" s="427">
        <f t="shared" si="30"/>
        <v>-28.153000000000002</v>
      </c>
      <c r="CD24" s="427">
        <f t="shared" si="31"/>
        <v>-16.613000000000003</v>
      </c>
      <c r="CE24" s="427">
        <f t="shared" si="32"/>
        <v>-5.4237210858060507</v>
      </c>
      <c r="CF24" s="427">
        <f t="shared" si="33"/>
        <v>1.1090720098085569</v>
      </c>
      <c r="CG24" s="698">
        <f>BS!CG28-BS!CF28</f>
        <v>-2.5197384340698079</v>
      </c>
      <c r="CH24" s="336"/>
    </row>
    <row r="25" spans="2:86" ht="14.25">
      <c r="B25" s="581" t="s">
        <v>199</v>
      </c>
      <c r="C25" s="185"/>
      <c r="D25" s="182">
        <v>10.663</v>
      </c>
      <c r="E25" s="186">
        <f>9.478-D25</f>
        <v>-1.1850000000000005</v>
      </c>
      <c r="F25" s="186">
        <f>9.481-E25-D25</f>
        <v>3.0000000000001137E-3</v>
      </c>
      <c r="G25" s="187">
        <f>7.858-F25-E25-D25</f>
        <v>-1.6230000000000011</v>
      </c>
      <c r="H25" s="182">
        <v>0.76300000000000001</v>
      </c>
      <c r="I25" s="186">
        <f>1.048-H25</f>
        <v>0.28500000000000003</v>
      </c>
      <c r="J25" s="186">
        <f>3.358-I25-H25</f>
        <v>2.31</v>
      </c>
      <c r="K25" s="187">
        <f>6.932-J25-I25-H25</f>
        <v>3.5739999999999998</v>
      </c>
      <c r="L25" s="182">
        <v>2.5</v>
      </c>
      <c r="M25" s="186">
        <f>5.113-L25</f>
        <v>2.6130000000000004</v>
      </c>
      <c r="N25" s="186">
        <f>13.772-M25-L25</f>
        <v>8.6589999999999989</v>
      </c>
      <c r="O25" s="187">
        <f>29.804-N25-M25-L25</f>
        <v>16.032</v>
      </c>
      <c r="P25" s="182">
        <v>-26.446999999999999</v>
      </c>
      <c r="Q25" s="186">
        <f>-26.199-P25</f>
        <v>0.24799999999999756</v>
      </c>
      <c r="R25" s="186">
        <f>-6.254-Q25-P25</f>
        <v>19.945</v>
      </c>
      <c r="S25" s="187">
        <f>10.88-R25-Q25-P25</f>
        <v>17.134</v>
      </c>
      <c r="T25" s="182">
        <v>-18.806999999999999</v>
      </c>
      <c r="U25" s="186">
        <f>-33.999-T25</f>
        <v>-15.192000000000004</v>
      </c>
      <c r="V25" s="186">
        <f>-23.693-U25-T25</f>
        <v>10.306000000000001</v>
      </c>
      <c r="W25" s="187">
        <f>-36.708-V25-U25-T25</f>
        <v>-13.014999999999993</v>
      </c>
      <c r="X25" s="182">
        <v>63.454999999999998</v>
      </c>
      <c r="Y25" s="186">
        <f>69.059-X25</f>
        <v>5.6039999999999992</v>
      </c>
      <c r="Z25" s="186">
        <f>-13.628-Y25-X25</f>
        <v>-82.686999999999998</v>
      </c>
      <c r="AA25" s="187">
        <f>-4.199-Z25-Y25-X25</f>
        <v>9.429000000000002</v>
      </c>
      <c r="AB25" s="182">
        <v>2.298</v>
      </c>
      <c r="AC25" s="186">
        <f>2.248-AB25</f>
        <v>-4.9999999999999822E-2</v>
      </c>
      <c r="AD25" s="186">
        <f>10.785-AC25-AB25</f>
        <v>8.5370000000000008</v>
      </c>
      <c r="AE25" s="187">
        <f>-38.059-AD25-AC25-AB25</f>
        <v>-48.844000000000001</v>
      </c>
      <c r="AF25" s="182">
        <v>-5.45</v>
      </c>
      <c r="AG25" s="183">
        <v>5.359</v>
      </c>
      <c r="AH25" s="183">
        <v>-17.939</v>
      </c>
      <c r="AI25" s="184">
        <v>-3.5830000000000002</v>
      </c>
      <c r="AJ25" s="182">
        <v>18.143000000000001</v>
      </c>
      <c r="AK25" s="183">
        <v>-4.2039999999999997</v>
      </c>
      <c r="AL25" s="183">
        <v>-3.653</v>
      </c>
      <c r="AM25" s="184">
        <v>-2.2719999999999998</v>
      </c>
      <c r="AN25" s="412">
        <v>-20.081</v>
      </c>
      <c r="AO25" s="413">
        <v>-13.013</v>
      </c>
      <c r="AP25" s="413">
        <v>12.584</v>
      </c>
      <c r="AQ25" s="418">
        <f>-9.627-AP25-AO25-AN25</f>
        <v>10.883000000000001</v>
      </c>
      <c r="AR25" s="412">
        <v>-7.1340000000000003</v>
      </c>
      <c r="AS25" s="413">
        <v>10.096</v>
      </c>
      <c r="AT25" s="413">
        <v>-24.997</v>
      </c>
      <c r="AU25" s="184">
        <v>-7.9889999999999999</v>
      </c>
      <c r="AV25" s="412">
        <v>-11.576000000000001</v>
      </c>
      <c r="AW25" s="413">
        <f>19.634+733.557</f>
        <v>753.19100000000003</v>
      </c>
      <c r="AX25" s="183">
        <f>3.958+1.158</f>
        <v>5.1159999999999997</v>
      </c>
      <c r="AY25" s="184">
        <f>-27.218+1.285</f>
        <v>-25.933</v>
      </c>
      <c r="AZ25" s="182">
        <v>-758.50199999999995</v>
      </c>
      <c r="BA25" s="413">
        <v>-7.7409999999999997</v>
      </c>
      <c r="BB25" s="183">
        <v>6.508</v>
      </c>
      <c r="BC25" s="111">
        <f>3.763-736-BB25-BA25-AZ25</f>
        <v>27.497999999999934</v>
      </c>
      <c r="BD25" s="183">
        <v>0.44800000000000001</v>
      </c>
      <c r="BE25" s="183">
        <v>-21.792999999999999</v>
      </c>
      <c r="BF25" s="183">
        <v>-7.0460000000000003</v>
      </c>
      <c r="BG25" s="111">
        <v>-21.898</v>
      </c>
      <c r="BH25" s="179">
        <f>BS!BH29-BS!BG29+BS!BH39-BS!BG39</f>
        <v>0</v>
      </c>
      <c r="BI25" s="179">
        <f>BS!BI29-BS!BH29+BS!BI39-BS!BH39</f>
        <v>0</v>
      </c>
      <c r="BJ25" s="179">
        <f>BS!BJ29-BS!BI29+BS!BJ39-BS!BI39</f>
        <v>0</v>
      </c>
      <c r="BK25" s="180">
        <f>BS!BK29-BS!BJ29+BS!BK39-BS!BJ39</f>
        <v>0</v>
      </c>
      <c r="BL25" s="179">
        <f>BS!BL29-BS!BK29+BS!BL39-BS!BK39</f>
        <v>0</v>
      </c>
      <c r="BM25" s="179">
        <f>BS!BM29-BS!BL29+BS!BM39-BS!BL39</f>
        <v>0</v>
      </c>
      <c r="BN25" s="179">
        <f>BS!BN29-BS!BM29+BS!BN39-BS!BM39</f>
        <v>0</v>
      </c>
      <c r="BO25" s="180">
        <f>BS!BO29-BS!BN29+BS!BO39-BS!BN39</f>
        <v>0</v>
      </c>
      <c r="BP25" s="335"/>
      <c r="BQ25" s="427">
        <f t="shared" si="18"/>
        <v>7.8579999999999988</v>
      </c>
      <c r="BR25" s="427">
        <f t="shared" si="19"/>
        <v>6.9320000000000004</v>
      </c>
      <c r="BS25" s="427">
        <f t="shared" si="20"/>
        <v>29.803999999999998</v>
      </c>
      <c r="BT25" s="427">
        <f t="shared" si="21"/>
        <v>10.879999999999999</v>
      </c>
      <c r="BU25" s="427">
        <f t="shared" si="22"/>
        <v>-36.707999999999998</v>
      </c>
      <c r="BV25" s="427">
        <f t="shared" si="23"/>
        <v>-4.1989999999999981</v>
      </c>
      <c r="BW25" s="427">
        <f t="shared" si="24"/>
        <v>-38.058999999999997</v>
      </c>
      <c r="BX25" s="427">
        <f t="shared" si="25"/>
        <v>-21.613</v>
      </c>
      <c r="BY25" s="427">
        <f t="shared" si="26"/>
        <v>8.0139999999999993</v>
      </c>
      <c r="BZ25" s="427">
        <f t="shared" si="27"/>
        <v>-9.6270000000000007</v>
      </c>
      <c r="CA25" s="427">
        <f t="shared" si="28"/>
        <v>-30.024000000000001</v>
      </c>
      <c r="CB25" s="427">
        <f t="shared" si="29"/>
        <v>720.798</v>
      </c>
      <c r="CC25" s="427">
        <f t="shared" si="30"/>
        <v>-732.23699999999997</v>
      </c>
      <c r="CD25" s="427">
        <f t="shared" si="31"/>
        <v>-50.289000000000001</v>
      </c>
      <c r="CE25" s="427">
        <f t="shared" si="32"/>
        <v>0</v>
      </c>
      <c r="CF25" s="427">
        <f t="shared" si="33"/>
        <v>0</v>
      </c>
      <c r="CG25" s="698">
        <f>BS!CG29-BS!CF29+BS!CG39-BS!CF39</f>
        <v>0</v>
      </c>
      <c r="CH25" s="336"/>
    </row>
    <row r="26" spans="2:86" ht="14.25">
      <c r="B26" s="581" t="s">
        <v>157</v>
      </c>
      <c r="C26" s="185"/>
      <c r="D26" s="182">
        <v>4.9630000000000001</v>
      </c>
      <c r="E26" s="186">
        <f>7.027-D26</f>
        <v>2.0640000000000001</v>
      </c>
      <c r="F26" s="186">
        <f>11.569-E26-D26</f>
        <v>4.5420000000000007</v>
      </c>
      <c r="G26" s="187">
        <f>11.24-F26-E26-D26</f>
        <v>-0.32900000000000063</v>
      </c>
      <c r="H26" s="182">
        <v>0.50600000000000001</v>
      </c>
      <c r="I26" s="186">
        <f>2.657-H26</f>
        <v>2.1509999999999998</v>
      </c>
      <c r="J26" s="186">
        <f>4.901-I26-H26</f>
        <v>2.2439999999999998</v>
      </c>
      <c r="K26" s="187">
        <f>23.797-J26-I26-H26</f>
        <v>18.896000000000001</v>
      </c>
      <c r="L26" s="182">
        <v>-8.2219999999999995</v>
      </c>
      <c r="M26" s="186">
        <f>-6.127-L26</f>
        <v>2.0949999999999998</v>
      </c>
      <c r="N26" s="186">
        <f>-0.767-M26-L26</f>
        <v>5.3599999999999994</v>
      </c>
      <c r="O26" s="187">
        <f>33.484-N26-M26-L26</f>
        <v>34.251000000000005</v>
      </c>
      <c r="P26" s="182">
        <v>1.282</v>
      </c>
      <c r="Q26" s="186">
        <f>0.855-P26</f>
        <v>-0.42700000000000005</v>
      </c>
      <c r="R26" s="186">
        <f>10.497-Q26-P26</f>
        <v>9.6419999999999995</v>
      </c>
      <c r="S26" s="187">
        <f>8.852-R26-Q26-P26</f>
        <v>-1.6449999999999991</v>
      </c>
      <c r="T26" s="182">
        <v>16.963000000000001</v>
      </c>
      <c r="U26" s="186">
        <f>9.995-T26</f>
        <v>-6.9680000000000017</v>
      </c>
      <c r="V26" s="186">
        <f>17.659-U26-T26</f>
        <v>7.6640000000000015</v>
      </c>
      <c r="W26" s="187">
        <f>-26.956-V26-U26-T26</f>
        <v>-44.615000000000002</v>
      </c>
      <c r="X26" s="182">
        <v>13.032999999999999</v>
      </c>
      <c r="Y26" s="186">
        <f>-0.974-X26</f>
        <v>-14.007</v>
      </c>
      <c r="Z26" s="186">
        <f>35.149-Y26-X26</f>
        <v>36.122999999999998</v>
      </c>
      <c r="AA26" s="187">
        <f>33.292-Z26-Y26-X26</f>
        <v>-1.8569999999999958</v>
      </c>
      <c r="AB26" s="182">
        <v>-10.506</v>
      </c>
      <c r="AC26" s="186">
        <f>-6.1-AB26</f>
        <v>4.4060000000000006</v>
      </c>
      <c r="AD26" s="186">
        <f>26.965-AC26-AB26</f>
        <v>33.064999999999998</v>
      </c>
      <c r="AE26" s="187">
        <f>21.21-AD26-AC26-AB26</f>
        <v>-5.7549999999999955</v>
      </c>
      <c r="AF26" s="182">
        <v>-14.88</v>
      </c>
      <c r="AG26" s="183">
        <v>-14.387</v>
      </c>
      <c r="AH26" s="183">
        <v>36.191000000000003</v>
      </c>
      <c r="AI26" s="184">
        <v>-19.489000000000001</v>
      </c>
      <c r="AJ26" s="182">
        <v>-0.64800000000000002</v>
      </c>
      <c r="AK26" s="183">
        <v>-24.033000000000001</v>
      </c>
      <c r="AL26" s="183">
        <v>29.509</v>
      </c>
      <c r="AM26" s="184">
        <v>-24.878</v>
      </c>
      <c r="AN26" s="182">
        <v>4.423</v>
      </c>
      <c r="AO26" s="183">
        <v>-0.47099999999999997</v>
      </c>
      <c r="AP26" s="183">
        <v>10.013</v>
      </c>
      <c r="AQ26" s="184">
        <v>-19.751999999999999</v>
      </c>
      <c r="AR26" s="182">
        <v>30.001000000000001</v>
      </c>
      <c r="AS26" s="183">
        <v>-7.4509999999999996</v>
      </c>
      <c r="AT26" s="183">
        <v>19.100999999999999</v>
      </c>
      <c r="AU26" s="184">
        <v>1.91</v>
      </c>
      <c r="AV26" s="182">
        <v>-14.423999999999999</v>
      </c>
      <c r="AW26" s="183">
        <v>-14.507</v>
      </c>
      <c r="AX26" s="183">
        <v>14.295</v>
      </c>
      <c r="AY26" s="184">
        <v>-18.702000000000002</v>
      </c>
      <c r="AZ26" s="182">
        <v>7.1520000000000001</v>
      </c>
      <c r="BA26" s="183">
        <v>-22.27</v>
      </c>
      <c r="BB26" s="183">
        <v>25.536999999999999</v>
      </c>
      <c r="BC26" s="184">
        <f>18.016-BB26-BA26-AZ26</f>
        <v>7.5969999999999986</v>
      </c>
      <c r="BD26" s="182">
        <v>-7.5289999999999999</v>
      </c>
      <c r="BE26" s="183">
        <v>-0.84599999999999997</v>
      </c>
      <c r="BF26" s="183">
        <v>-2.2370000000000001</v>
      </c>
      <c r="BG26" s="184">
        <v>-1.3240000000000001</v>
      </c>
      <c r="BH26" s="179">
        <f>BS!BH30-BS!BG30</f>
        <v>0</v>
      </c>
      <c r="BI26" s="179">
        <f>BS!BI30-BS!BH30</f>
        <v>0</v>
      </c>
      <c r="BJ26" s="179">
        <f>BS!BJ30-BS!BI30</f>
        <v>0</v>
      </c>
      <c r="BK26" s="180">
        <f>BS!BK30-BS!BJ30</f>
        <v>0</v>
      </c>
      <c r="BL26" s="179">
        <f>BS!BL30-BS!BK30</f>
        <v>0</v>
      </c>
      <c r="BM26" s="179">
        <f>BS!BM30-BS!BL30</f>
        <v>0</v>
      </c>
      <c r="BN26" s="179">
        <f>BS!BN30-BS!BM30</f>
        <v>0</v>
      </c>
      <c r="BO26" s="180">
        <f>BS!BO30-BS!BN30</f>
        <v>0</v>
      </c>
      <c r="BP26" s="335"/>
      <c r="BQ26" s="427">
        <f t="shared" si="18"/>
        <v>11.24</v>
      </c>
      <c r="BR26" s="427">
        <f t="shared" si="19"/>
        <v>23.797000000000001</v>
      </c>
      <c r="BS26" s="427">
        <f t="shared" si="20"/>
        <v>33.484000000000002</v>
      </c>
      <c r="BT26" s="427">
        <f t="shared" si="21"/>
        <v>8.8520000000000003</v>
      </c>
      <c r="BU26" s="427">
        <f t="shared" si="22"/>
        <v>-26.956000000000003</v>
      </c>
      <c r="BV26" s="427">
        <f t="shared" si="23"/>
        <v>33.292000000000002</v>
      </c>
      <c r="BW26" s="427">
        <f t="shared" si="24"/>
        <v>21.21</v>
      </c>
      <c r="BX26" s="427">
        <f t="shared" si="25"/>
        <v>-12.565000000000001</v>
      </c>
      <c r="BY26" s="427">
        <f t="shared" si="26"/>
        <v>-20.05</v>
      </c>
      <c r="BZ26" s="427">
        <f t="shared" si="27"/>
        <v>-5.786999999999999</v>
      </c>
      <c r="CA26" s="427">
        <f t="shared" si="28"/>
        <v>43.560999999999993</v>
      </c>
      <c r="CB26" s="427">
        <f t="shared" si="29"/>
        <v>-33.338000000000001</v>
      </c>
      <c r="CC26" s="427">
        <f t="shared" si="30"/>
        <v>18.015999999999998</v>
      </c>
      <c r="CD26" s="427">
        <f t="shared" si="31"/>
        <v>-11.936</v>
      </c>
      <c r="CE26" s="427">
        <f t="shared" si="32"/>
        <v>0</v>
      </c>
      <c r="CF26" s="427">
        <f t="shared" si="33"/>
        <v>0</v>
      </c>
      <c r="CG26" s="698">
        <f>BS!CG30-BS!CF30</f>
        <v>0</v>
      </c>
      <c r="CH26" s="336"/>
    </row>
    <row r="27" spans="2:86" ht="14.25">
      <c r="B27" s="581" t="s">
        <v>158</v>
      </c>
      <c r="C27" s="185"/>
      <c r="D27" s="182">
        <v>4.8259999999999996</v>
      </c>
      <c r="E27" s="186">
        <f>10.654-D27</f>
        <v>5.8280000000000003</v>
      </c>
      <c r="F27" s="186">
        <f>17.421-E27-D27</f>
        <v>6.7670000000000003</v>
      </c>
      <c r="G27" s="187">
        <f>30.698-F27-E27-D27</f>
        <v>13.277000000000001</v>
      </c>
      <c r="H27" s="182">
        <v>8.0860000000000003</v>
      </c>
      <c r="I27" s="186">
        <f>18.148-H27</f>
        <v>10.061999999999999</v>
      </c>
      <c r="J27" s="186">
        <f>29.562-I27-H27</f>
        <v>11.414</v>
      </c>
      <c r="K27" s="187">
        <f>66.445-J27-I27-H27</f>
        <v>36.882999999999996</v>
      </c>
      <c r="L27" s="182">
        <v>15.1</v>
      </c>
      <c r="M27" s="186">
        <f>25.38-L27</f>
        <v>10.28</v>
      </c>
      <c r="N27" s="186">
        <f>29.092-M27-L27</f>
        <v>3.711999999999998</v>
      </c>
      <c r="O27" s="187">
        <f>30.192-N27-M27-L27</f>
        <v>1.1000000000000032</v>
      </c>
      <c r="P27" s="182">
        <v>2.6080000000000001</v>
      </c>
      <c r="Q27" s="186">
        <f>3.928-P27</f>
        <v>1.3199999999999998</v>
      </c>
      <c r="R27" s="186">
        <f>-4.192-Q27-P27</f>
        <v>-8.120000000000001</v>
      </c>
      <c r="S27" s="187">
        <f>1.845-R27-Q27-P27</f>
        <v>6.0370000000000008</v>
      </c>
      <c r="T27" s="182">
        <v>6.6559999999999997</v>
      </c>
      <c r="U27" s="186">
        <f>5.814-T27</f>
        <v>-0.84199999999999964</v>
      </c>
      <c r="V27" s="186">
        <f>-0.1-U27-T27</f>
        <v>-5.9139999999999997</v>
      </c>
      <c r="W27" s="187">
        <f>11.507-V27-U27-T27</f>
        <v>11.606999999999999</v>
      </c>
      <c r="X27" s="182">
        <v>1.343</v>
      </c>
      <c r="Y27" s="186">
        <f>4.928-X27</f>
        <v>3.585</v>
      </c>
      <c r="Z27" s="186">
        <f>-29.06-Y27-X27</f>
        <v>-33.988</v>
      </c>
      <c r="AA27" s="187">
        <f>-22.112-Z27-Y27-X27</f>
        <v>6.9480000000000004</v>
      </c>
      <c r="AB27" s="182">
        <v>1.9410000000000001</v>
      </c>
      <c r="AC27" s="186">
        <f>1.853-AB27</f>
        <v>-8.8000000000000078E-2</v>
      </c>
      <c r="AD27" s="186">
        <f>7.163-AC27-AB27</f>
        <v>5.3100000000000005</v>
      </c>
      <c r="AE27" s="187">
        <f>0-AD27-AC27-AB27</f>
        <v>-7.1630000000000003</v>
      </c>
      <c r="AF27" s="182">
        <v>0</v>
      </c>
      <c r="AG27" s="183">
        <v>0</v>
      </c>
      <c r="AH27" s="183">
        <v>0</v>
      </c>
      <c r="AI27" s="184">
        <v>0</v>
      </c>
      <c r="AJ27" s="182">
        <v>0</v>
      </c>
      <c r="AK27" s="183">
        <v>0</v>
      </c>
      <c r="AL27" s="183">
        <v>0</v>
      </c>
      <c r="AM27" s="184">
        <v>0</v>
      </c>
      <c r="AN27" s="182">
        <v>0</v>
      </c>
      <c r="AO27" s="183">
        <v>0</v>
      </c>
      <c r="AP27" s="183"/>
      <c r="AQ27" s="184">
        <v>0</v>
      </c>
      <c r="AR27" s="182">
        <v>0</v>
      </c>
      <c r="AS27" s="183">
        <v>0</v>
      </c>
      <c r="AT27" s="183"/>
      <c r="AU27" s="184">
        <v>0</v>
      </c>
      <c r="AV27" s="182">
        <v>0</v>
      </c>
      <c r="AW27" s="183">
        <v>0</v>
      </c>
      <c r="AX27" s="183">
        <v>0</v>
      </c>
      <c r="AY27" s="184">
        <v>0</v>
      </c>
      <c r="AZ27" s="182">
        <v>0</v>
      </c>
      <c r="BA27" s="183">
        <v>0</v>
      </c>
      <c r="BB27" s="183">
        <v>0</v>
      </c>
      <c r="BC27" s="184">
        <v>0</v>
      </c>
      <c r="BD27" s="182">
        <v>0</v>
      </c>
      <c r="BE27" s="183">
        <v>0</v>
      </c>
      <c r="BF27" s="183">
        <v>0</v>
      </c>
      <c r="BG27" s="184">
        <v>0</v>
      </c>
      <c r="BH27" s="179">
        <f>BS!BH31-BS!BG31+BS!BH37-BS!BG37</f>
        <v>0</v>
      </c>
      <c r="BI27" s="179">
        <f>BS!BI31-BS!BH31+BS!BI37-BS!BH37</f>
        <v>0</v>
      </c>
      <c r="BJ27" s="179">
        <f>BS!BJ31-BS!BI31+BS!BJ37-BS!BI37</f>
        <v>0</v>
      </c>
      <c r="BK27" s="180">
        <f>BS!BK31-BS!BJ31+BS!BK37-BS!BJ37</f>
        <v>0</v>
      </c>
      <c r="BL27" s="179">
        <f>BS!BL31-BS!BK31+BS!BL37-BS!BK37</f>
        <v>0</v>
      </c>
      <c r="BM27" s="179">
        <f>BS!BM31-BS!BL31+BS!BM37-BS!BL37</f>
        <v>0</v>
      </c>
      <c r="BN27" s="179">
        <f>BS!BN31-BS!BM31+BS!BN37-BS!BM37</f>
        <v>0</v>
      </c>
      <c r="BO27" s="180">
        <f>BS!BO31-BS!BN31+BS!BO37-BS!BN37</f>
        <v>0</v>
      </c>
      <c r="BP27" s="335"/>
      <c r="BQ27" s="427">
        <f t="shared" si="18"/>
        <v>30.698</v>
      </c>
      <c r="BR27" s="427">
        <f t="shared" si="19"/>
        <v>66.444999999999993</v>
      </c>
      <c r="BS27" s="427">
        <f t="shared" si="20"/>
        <v>30.192</v>
      </c>
      <c r="BT27" s="427">
        <f t="shared" si="21"/>
        <v>1.8449999999999998</v>
      </c>
      <c r="BU27" s="427">
        <f t="shared" si="22"/>
        <v>11.507</v>
      </c>
      <c r="BV27" s="427">
        <f t="shared" si="23"/>
        <v>-22.111999999999998</v>
      </c>
      <c r="BW27" s="427">
        <f t="shared" si="24"/>
        <v>0</v>
      </c>
      <c r="BX27" s="427">
        <f t="shared" si="25"/>
        <v>0</v>
      </c>
      <c r="BY27" s="427">
        <f t="shared" si="26"/>
        <v>0</v>
      </c>
      <c r="BZ27" s="427">
        <f t="shared" si="27"/>
        <v>0</v>
      </c>
      <c r="CA27" s="427">
        <f t="shared" si="28"/>
        <v>0</v>
      </c>
      <c r="CB27" s="427">
        <f t="shared" si="29"/>
        <v>0</v>
      </c>
      <c r="CC27" s="427">
        <f t="shared" si="30"/>
        <v>0</v>
      </c>
      <c r="CD27" s="427">
        <f t="shared" si="31"/>
        <v>0</v>
      </c>
      <c r="CE27" s="427">
        <f t="shared" si="32"/>
        <v>0</v>
      </c>
      <c r="CF27" s="427">
        <f t="shared" si="33"/>
        <v>0</v>
      </c>
      <c r="CG27" s="698">
        <f>BS!CG31-BS!CF31+BS!CG37-BS!CF37</f>
        <v>0</v>
      </c>
      <c r="CH27" s="336"/>
    </row>
    <row r="28" spans="2:86" ht="14.25">
      <c r="B28" s="581" t="s">
        <v>159</v>
      </c>
      <c r="C28" s="185"/>
      <c r="D28" s="182">
        <v>8.4269999999999996</v>
      </c>
      <c r="E28" s="186">
        <f>1.622-D28</f>
        <v>-6.8049999999999997</v>
      </c>
      <c r="F28" s="186">
        <f>-1.06-E28-D28</f>
        <v>-2.6820000000000004</v>
      </c>
      <c r="G28" s="187">
        <f>2.942-F28-E28-D28</f>
        <v>4.0020000000000007</v>
      </c>
      <c r="H28" s="182">
        <v>2.5750000000000002</v>
      </c>
      <c r="I28" s="186">
        <f>1.722-H28</f>
        <v>-0.8530000000000002</v>
      </c>
      <c r="J28" s="186">
        <f>9.854-I28-H28</f>
        <v>8.1319999999999979</v>
      </c>
      <c r="K28" s="187">
        <f>13.835-J28-I28-H28</f>
        <v>3.9810000000000025</v>
      </c>
      <c r="L28" s="182">
        <v>-1.133</v>
      </c>
      <c r="M28" s="186">
        <f>-0.278-L28</f>
        <v>0.85499999999999998</v>
      </c>
      <c r="N28" s="186">
        <f>1.899-M28-L28</f>
        <v>2.177</v>
      </c>
      <c r="O28" s="187">
        <f>16.686-N28-M28-L28</f>
        <v>14.786999999999999</v>
      </c>
      <c r="P28" s="182">
        <v>5.6020000000000003</v>
      </c>
      <c r="Q28" s="186">
        <f>8.318-P28</f>
        <v>2.7159999999999993</v>
      </c>
      <c r="R28" s="186">
        <f>29.833-Q28-P28</f>
        <v>21.514999999999997</v>
      </c>
      <c r="S28" s="187">
        <f>22.961-R28-Q28-P28</f>
        <v>-6.8719999999999981</v>
      </c>
      <c r="T28" s="182">
        <v>-9.7530000000000001</v>
      </c>
      <c r="U28" s="186">
        <f>-7.415-T28</f>
        <v>2.3380000000000001</v>
      </c>
      <c r="V28" s="186">
        <f>-4.7-U28-T28</f>
        <v>2.7149999999999999</v>
      </c>
      <c r="W28" s="187">
        <f>-11.525-V28-U28-T28</f>
        <v>-6.8249999999999993</v>
      </c>
      <c r="X28" s="182">
        <v>4.0650000000000004</v>
      </c>
      <c r="Y28" s="186">
        <f>-1.708-X28</f>
        <v>-5.7730000000000006</v>
      </c>
      <c r="Z28" s="186">
        <f>27.538-Y28-X28</f>
        <v>29.245999999999999</v>
      </c>
      <c r="AA28" s="187">
        <f>15.661-Z28-Y28-X28</f>
        <v>-11.876999999999999</v>
      </c>
      <c r="AB28" s="182">
        <v>23.933</v>
      </c>
      <c r="AC28" s="186">
        <f>26.623-AB28</f>
        <v>2.6900000000000013</v>
      </c>
      <c r="AD28" s="186">
        <f>28.82-AC28-AB28</f>
        <v>2.1969999999999992</v>
      </c>
      <c r="AE28" s="187">
        <f>16.765-AD28-AC28-AB28</f>
        <v>-12.055</v>
      </c>
      <c r="AF28" s="182">
        <v>4.7290000000000001</v>
      </c>
      <c r="AG28" s="183">
        <v>-13.063000000000001</v>
      </c>
      <c r="AH28" s="183">
        <v>1.417</v>
      </c>
      <c r="AI28" s="184">
        <v>-9.2850000000000001</v>
      </c>
      <c r="AJ28" s="182">
        <v>5.4539999999999997</v>
      </c>
      <c r="AK28" s="183">
        <v>2.427</v>
      </c>
      <c r="AL28" s="183">
        <v>-8.3819999999999997</v>
      </c>
      <c r="AM28" s="184">
        <v>0.69199999999999995</v>
      </c>
      <c r="AN28" s="182">
        <v>-0.88</v>
      </c>
      <c r="AO28" s="183">
        <v>16.195</v>
      </c>
      <c r="AP28" s="183">
        <v>10.904999999999999</v>
      </c>
      <c r="AQ28" s="184">
        <v>-24.623000000000001</v>
      </c>
      <c r="AR28" s="182">
        <v>30.931999999999999</v>
      </c>
      <c r="AS28" s="183">
        <v>-9.7919999999999998</v>
      </c>
      <c r="AT28" s="183">
        <v>-12.053000000000001</v>
      </c>
      <c r="AU28" s="184">
        <v>-2.714</v>
      </c>
      <c r="AV28" s="182">
        <v>-7.0270000000000001</v>
      </c>
      <c r="AW28" s="183">
        <v>-1.4409999999999998</v>
      </c>
      <c r="AX28" s="183">
        <v>-1.5660000000000001</v>
      </c>
      <c r="AY28" s="184">
        <v>-2.3639999999999999</v>
      </c>
      <c r="AZ28" s="182">
        <v>-1.234</v>
      </c>
      <c r="BA28" s="183">
        <v>17.561</v>
      </c>
      <c r="BB28" s="183">
        <v>-8.3930000000000007</v>
      </c>
      <c r="BC28" s="184">
        <f>14.072-BB28-BA28-AZ28</f>
        <v>6.1379999999999999</v>
      </c>
      <c r="BD28" s="182">
        <v>5.016</v>
      </c>
      <c r="BE28" s="183">
        <v>-3.7320000000000002</v>
      </c>
      <c r="BF28" s="183">
        <v>3.8650000000000002</v>
      </c>
      <c r="BG28" s="184">
        <v>-13.706</v>
      </c>
      <c r="BH28" s="179">
        <f>BS!BH32-BS!BG32</f>
        <v>0</v>
      </c>
      <c r="BI28" s="179">
        <f>BS!BI32-BS!BH32</f>
        <v>0</v>
      </c>
      <c r="BJ28" s="179">
        <f>BS!BJ32-BS!BI32</f>
        <v>0</v>
      </c>
      <c r="BK28" s="180">
        <f>BS!BK32-BS!BJ32</f>
        <v>0</v>
      </c>
      <c r="BL28" s="179">
        <f>BS!BL32-BS!BK32</f>
        <v>0</v>
      </c>
      <c r="BM28" s="179">
        <f>BS!BM32-BS!BL32</f>
        <v>0</v>
      </c>
      <c r="BN28" s="179">
        <f>BS!BN32-BS!BM32</f>
        <v>0</v>
      </c>
      <c r="BO28" s="180">
        <f>BS!BO32-BS!BN32</f>
        <v>0</v>
      </c>
      <c r="BP28" s="335"/>
      <c r="BQ28" s="427">
        <f t="shared" si="18"/>
        <v>2.9420000000000002</v>
      </c>
      <c r="BR28" s="427">
        <f t="shared" si="19"/>
        <v>13.835000000000001</v>
      </c>
      <c r="BS28" s="427">
        <f t="shared" si="20"/>
        <v>16.686</v>
      </c>
      <c r="BT28" s="427">
        <f t="shared" si="21"/>
        <v>22.960999999999999</v>
      </c>
      <c r="BU28" s="427">
        <f t="shared" si="22"/>
        <v>-11.524999999999999</v>
      </c>
      <c r="BV28" s="427">
        <f t="shared" si="23"/>
        <v>15.660999999999998</v>
      </c>
      <c r="BW28" s="427">
        <f t="shared" si="24"/>
        <v>16.765000000000001</v>
      </c>
      <c r="BX28" s="427">
        <f t="shared" si="25"/>
        <v>-16.201999999999998</v>
      </c>
      <c r="BY28" s="427">
        <f t="shared" si="26"/>
        <v>0.1910000000000005</v>
      </c>
      <c r="BZ28" s="427">
        <f t="shared" si="27"/>
        <v>1.5969999999999978</v>
      </c>
      <c r="CA28" s="427">
        <f t="shared" si="28"/>
        <v>6.3729999999999993</v>
      </c>
      <c r="CB28" s="427">
        <f t="shared" si="29"/>
        <v>-12.398</v>
      </c>
      <c r="CC28" s="427">
        <f t="shared" si="30"/>
        <v>14.071999999999997</v>
      </c>
      <c r="CD28" s="427">
        <f t="shared" si="31"/>
        <v>-8.5569999999999986</v>
      </c>
      <c r="CE28" s="427">
        <f t="shared" si="32"/>
        <v>0</v>
      </c>
      <c r="CF28" s="427">
        <f t="shared" si="33"/>
        <v>0</v>
      </c>
      <c r="CG28" s="698">
        <f>BS!CG32-BS!CF32</f>
        <v>0</v>
      </c>
      <c r="CH28" s="336"/>
    </row>
    <row r="29" spans="2:86" ht="15.75" thickBot="1">
      <c r="B29" s="582" t="s">
        <v>170</v>
      </c>
      <c r="C29" s="331"/>
      <c r="D29" s="190">
        <f t="shared" ref="D29:AU29" si="34">D11+SUM(D13:D28)</f>
        <v>28.003999999999976</v>
      </c>
      <c r="E29" s="191">
        <f t="shared" si="34"/>
        <v>53.149000000000001</v>
      </c>
      <c r="F29" s="191">
        <f t="shared" si="34"/>
        <v>72.545000000000044</v>
      </c>
      <c r="G29" s="191">
        <f t="shared" si="34"/>
        <v>67.831999999999852</v>
      </c>
      <c r="H29" s="190">
        <f t="shared" si="34"/>
        <v>68.903999999999982</v>
      </c>
      <c r="I29" s="191">
        <f t="shared" si="34"/>
        <v>112.13</v>
      </c>
      <c r="J29" s="191">
        <f t="shared" si="34"/>
        <v>82.908000000000015</v>
      </c>
      <c r="K29" s="191">
        <f t="shared" si="34"/>
        <v>138.35500000000005</v>
      </c>
      <c r="L29" s="190">
        <f t="shared" si="34"/>
        <v>46.683000000000021</v>
      </c>
      <c r="M29" s="191">
        <f t="shared" si="34"/>
        <v>168.32600000000002</v>
      </c>
      <c r="N29" s="191">
        <f t="shared" si="34"/>
        <v>131.45200000000008</v>
      </c>
      <c r="O29" s="191">
        <f t="shared" si="34"/>
        <v>-9.1500000000004889</v>
      </c>
      <c r="P29" s="190">
        <f t="shared" si="34"/>
        <v>54.173999999999964</v>
      </c>
      <c r="Q29" s="191">
        <f t="shared" si="34"/>
        <v>-64.957999999999927</v>
      </c>
      <c r="R29" s="191">
        <f t="shared" si="34"/>
        <v>24.678000000000015</v>
      </c>
      <c r="S29" s="191">
        <f t="shared" si="34"/>
        <v>163.45800000000017</v>
      </c>
      <c r="T29" s="190">
        <f t="shared" si="34"/>
        <v>130.19300000000004</v>
      </c>
      <c r="U29" s="191">
        <f t="shared" si="34"/>
        <v>182.88400000000001</v>
      </c>
      <c r="V29" s="191">
        <f t="shared" si="34"/>
        <v>258.46500000000009</v>
      </c>
      <c r="W29" s="191">
        <f t="shared" si="34"/>
        <v>109.14299999999966</v>
      </c>
      <c r="X29" s="190">
        <f t="shared" si="34"/>
        <v>144.529</v>
      </c>
      <c r="Y29" s="191">
        <f t="shared" si="34"/>
        <v>182.33299999999988</v>
      </c>
      <c r="Z29" s="191">
        <f t="shared" si="34"/>
        <v>203.53399999999993</v>
      </c>
      <c r="AA29" s="191">
        <f t="shared" si="34"/>
        <v>281.1169999999999</v>
      </c>
      <c r="AB29" s="190">
        <f t="shared" si="34"/>
        <v>255.59099999999995</v>
      </c>
      <c r="AC29" s="191">
        <f t="shared" si="34"/>
        <v>319.23800000000006</v>
      </c>
      <c r="AD29" s="191">
        <f t="shared" si="34"/>
        <v>367.88600000000002</v>
      </c>
      <c r="AE29" s="238">
        <f t="shared" si="34"/>
        <v>250.83300000000003</v>
      </c>
      <c r="AF29" s="190">
        <f t="shared" si="34"/>
        <v>177.149</v>
      </c>
      <c r="AG29" s="191">
        <f t="shared" si="34"/>
        <v>263.41300000000001</v>
      </c>
      <c r="AH29" s="191">
        <f t="shared" si="34"/>
        <v>261.58700000000005</v>
      </c>
      <c r="AI29" s="238">
        <f t="shared" si="34"/>
        <v>69.097999999999956</v>
      </c>
      <c r="AJ29" s="190">
        <f t="shared" si="34"/>
        <v>198.673</v>
      </c>
      <c r="AK29" s="191">
        <f t="shared" si="34"/>
        <v>189.19200000000001</v>
      </c>
      <c r="AL29" s="191">
        <f t="shared" si="34"/>
        <v>136.577</v>
      </c>
      <c r="AM29" s="238">
        <f t="shared" si="34"/>
        <v>204.59499999999989</v>
      </c>
      <c r="AN29" s="190">
        <f t="shared" si="34"/>
        <v>83.855000000000061</v>
      </c>
      <c r="AO29" s="191">
        <f t="shared" si="34"/>
        <v>86.496000000000038</v>
      </c>
      <c r="AP29" s="191">
        <f t="shared" si="34"/>
        <v>177.19900000000004</v>
      </c>
      <c r="AQ29" s="238">
        <f>AQ11+SUM(AQ13:AQ28)</f>
        <v>100.48900000000006</v>
      </c>
      <c r="AR29" s="190">
        <f t="shared" si="34"/>
        <v>235.137</v>
      </c>
      <c r="AS29" s="191">
        <f>AS11+SUM(AS13:AS28)</f>
        <v>156.95399999999995</v>
      </c>
      <c r="AT29" s="191">
        <f>AT11+SUM(AT13:AT28)</f>
        <v>194.64399999999998</v>
      </c>
      <c r="AU29" s="238">
        <f t="shared" si="34"/>
        <v>142.20099999999996</v>
      </c>
      <c r="AV29" s="190">
        <f>AV11+SUM(AV13:AV28)</f>
        <v>58.868000000000052</v>
      </c>
      <c r="AW29" s="191">
        <f t="shared" ref="AW29:AX29" si="35">AW11+SUM(AW13:AW28)</f>
        <v>26.583999999999833</v>
      </c>
      <c r="AX29" s="191">
        <f t="shared" si="35"/>
        <v>66.593999999999937</v>
      </c>
      <c r="AY29" s="238">
        <f t="shared" ref="AY29" si="36">AY11+SUM(AY13:AY28)</f>
        <v>53.305999999999955</v>
      </c>
      <c r="AZ29" s="190">
        <f>AZ11+SUM(AZ13:AZ28)</f>
        <v>-609.60099999999989</v>
      </c>
      <c r="BA29" s="191">
        <f t="shared" ref="BA29:BC29" si="37">BA11+SUM(BA13:BA28)</f>
        <v>59.281999999999968</v>
      </c>
      <c r="BB29" s="191">
        <f t="shared" si="37"/>
        <v>121.46100000000008</v>
      </c>
      <c r="BC29" s="238">
        <f t="shared" si="37"/>
        <v>70.42299999999986</v>
      </c>
      <c r="BD29" s="190">
        <f>BD11+SUM(BD13:BD28)</f>
        <v>135.14599999999996</v>
      </c>
      <c r="BE29" s="191">
        <v>101.252</v>
      </c>
      <c r="BF29" s="191">
        <f t="shared" ref="BF29:BG29" si="38">BF11+SUM(BF13:BF28)</f>
        <v>216.19099999999997</v>
      </c>
      <c r="BG29" s="238">
        <f t="shared" si="38"/>
        <v>119.74099999999996</v>
      </c>
      <c r="BH29" s="191">
        <f t="shared" ref="BH29:BI29" si="39">BH11+SUM(BH13:BH28)</f>
        <v>189.76422041361798</v>
      </c>
      <c r="BI29" s="191">
        <f t="shared" si="39"/>
        <v>178.10828235646309</v>
      </c>
      <c r="BJ29" s="191">
        <f t="shared" ref="BJ29:BM29" si="40">BJ11+SUM(BJ13:BJ28)</f>
        <v>185.89264420294015</v>
      </c>
      <c r="BK29" s="238">
        <f t="shared" si="40"/>
        <v>199.64078524110445</v>
      </c>
      <c r="BL29" s="191">
        <f t="shared" si="40"/>
        <v>214.00788856386617</v>
      </c>
      <c r="BM29" s="191">
        <f t="shared" si="40"/>
        <v>178.49528953138304</v>
      </c>
      <c r="BN29" s="191">
        <f t="shared" ref="BN29:BO29" si="41">BN11+SUM(BN13:BN28)</f>
        <v>192.73782472688617</v>
      </c>
      <c r="BO29" s="238">
        <f t="shared" si="41"/>
        <v>207.94275900906399</v>
      </c>
      <c r="BP29" s="335"/>
      <c r="BQ29" s="191">
        <f>BQ11+SUM(BQ13:BQ28)</f>
        <v>221.52999999999986</v>
      </c>
      <c r="BR29" s="191">
        <f t="shared" ref="BR29:BW29" si="42">BR11+SUM(BR13:BR28)</f>
        <v>402.29700000000003</v>
      </c>
      <c r="BS29" s="191">
        <f>BS11+SUM(BS13:BS28)</f>
        <v>337.31099999999958</v>
      </c>
      <c r="BT29" s="191">
        <f t="shared" si="42"/>
        <v>177.35200000000015</v>
      </c>
      <c r="BU29" s="191">
        <f t="shared" si="42"/>
        <v>680.68499999999972</v>
      </c>
      <c r="BV29" s="191">
        <f t="shared" si="42"/>
        <v>811.51299999999969</v>
      </c>
      <c r="BW29" s="191">
        <f t="shared" si="42"/>
        <v>1193.5479999999998</v>
      </c>
      <c r="BX29" s="191">
        <f t="shared" ref="BX29:CA29" si="43">BX11+SUM(BX13:BX28)</f>
        <v>771.24700000000007</v>
      </c>
      <c r="BY29" s="191">
        <f t="shared" si="43"/>
        <v>729.03699999999981</v>
      </c>
      <c r="BZ29" s="191">
        <f t="shared" si="43"/>
        <v>448.03900000000016</v>
      </c>
      <c r="CA29" s="191">
        <f t="shared" si="43"/>
        <v>728.93599999999992</v>
      </c>
      <c r="CB29" s="191">
        <f>CB11+SUM(CB13:CB28)</f>
        <v>205.35199999999975</v>
      </c>
      <c r="CC29" s="191">
        <f>CC11+SUM(CC13:CC28)</f>
        <v>-358.43499999999995</v>
      </c>
      <c r="CD29" s="191">
        <f>CD11+SUM(CD13:CD28)</f>
        <v>572.32999999999993</v>
      </c>
      <c r="CE29" s="191">
        <f>CE11+SUM(CE13:CE28)</f>
        <v>753.40593221412564</v>
      </c>
      <c r="CF29" s="191">
        <f>CF11+SUM(CF13:CF28)</f>
        <v>793.18376183119938</v>
      </c>
      <c r="CG29" s="714">
        <f t="shared" ref="CG29" si="44">CG11+SUM(CG13:CG28)</f>
        <v>795.0499652661648</v>
      </c>
      <c r="CH29" s="722"/>
    </row>
    <row r="30" spans="2:86" ht="15" thickTop="1">
      <c r="B30" s="578"/>
      <c r="C30" s="177"/>
      <c r="D30" s="182"/>
      <c r="E30" s="183"/>
      <c r="F30" s="183"/>
      <c r="G30" s="184"/>
      <c r="H30" s="182"/>
      <c r="I30" s="183"/>
      <c r="J30" s="183"/>
      <c r="K30" s="184"/>
      <c r="L30" s="182"/>
      <c r="M30" s="183"/>
      <c r="N30" s="183"/>
      <c r="O30" s="184"/>
      <c r="P30" s="182"/>
      <c r="Q30" s="183"/>
      <c r="R30" s="183"/>
      <c r="S30" s="184"/>
      <c r="T30" s="182"/>
      <c r="U30" s="183"/>
      <c r="V30" s="183"/>
      <c r="W30" s="184"/>
      <c r="X30" s="182"/>
      <c r="Y30" s="183"/>
      <c r="Z30" s="183"/>
      <c r="AA30" s="184"/>
      <c r="AB30" s="182"/>
      <c r="AC30" s="183"/>
      <c r="AD30" s="183"/>
      <c r="AE30" s="184"/>
      <c r="AF30" s="182"/>
      <c r="AG30" s="183"/>
      <c r="AH30" s="183"/>
      <c r="AI30" s="184"/>
      <c r="AJ30" s="182"/>
      <c r="AK30" s="183"/>
      <c r="AL30" s="183"/>
      <c r="AM30" s="184"/>
      <c r="AN30" s="182"/>
      <c r="AO30" s="183"/>
      <c r="AP30" s="183"/>
      <c r="AQ30" s="184"/>
      <c r="AR30" s="182"/>
      <c r="AS30" s="183"/>
      <c r="AT30" s="183"/>
      <c r="AU30" s="184"/>
      <c r="AV30" s="182"/>
      <c r="AW30" s="183"/>
      <c r="AX30" s="183"/>
      <c r="AY30" s="184"/>
      <c r="AZ30" s="182"/>
      <c r="BA30" s="183"/>
      <c r="BB30" s="183"/>
      <c r="BC30" s="184"/>
      <c r="BD30" s="182"/>
      <c r="BE30" s="183"/>
      <c r="BF30" s="183"/>
      <c r="BG30" s="184"/>
      <c r="BH30" s="183"/>
      <c r="BI30" s="183"/>
      <c r="BJ30" s="183"/>
      <c r="BK30" s="184"/>
      <c r="BL30" s="183"/>
      <c r="BM30" s="183"/>
      <c r="BN30" s="183"/>
      <c r="BO30" s="184"/>
      <c r="BP30" s="335"/>
      <c r="BQ30" s="429"/>
      <c r="BR30" s="429"/>
      <c r="BS30" s="429"/>
      <c r="BT30" s="429"/>
      <c r="BU30" s="429"/>
      <c r="BV30" s="429"/>
      <c r="BW30" s="429"/>
      <c r="BX30" s="429"/>
      <c r="BY30" s="429"/>
      <c r="BZ30" s="429"/>
      <c r="CA30" s="429"/>
      <c r="CB30" s="429"/>
      <c r="CC30" s="429"/>
      <c r="CD30" s="546"/>
      <c r="CE30" s="429"/>
      <c r="CF30" s="429"/>
      <c r="CG30" s="699"/>
      <c r="CH30" s="336"/>
    </row>
    <row r="31" spans="2:86" ht="15">
      <c r="B31" s="577" t="s">
        <v>171</v>
      </c>
      <c r="C31" s="173"/>
      <c r="D31" s="182"/>
      <c r="E31" s="183"/>
      <c r="F31" s="183"/>
      <c r="G31" s="184"/>
      <c r="H31" s="182"/>
      <c r="I31" s="183"/>
      <c r="J31" s="183"/>
      <c r="K31" s="184"/>
      <c r="L31" s="182"/>
      <c r="M31" s="183"/>
      <c r="N31" s="183"/>
      <c r="O31" s="184"/>
      <c r="P31" s="182"/>
      <c r="Q31" s="183"/>
      <c r="R31" s="183"/>
      <c r="S31" s="184"/>
      <c r="T31" s="182"/>
      <c r="U31" s="183"/>
      <c r="V31" s="183"/>
      <c r="W31" s="184"/>
      <c r="X31" s="182"/>
      <c r="Y31" s="183"/>
      <c r="Z31" s="183"/>
      <c r="AA31" s="184"/>
      <c r="AB31" s="182"/>
      <c r="AC31" s="183"/>
      <c r="AD31" s="183"/>
      <c r="AE31" s="184"/>
      <c r="AF31" s="182"/>
      <c r="AG31" s="183"/>
      <c r="AH31" s="183"/>
      <c r="AI31" s="184"/>
      <c r="AJ31" s="182"/>
      <c r="AK31" s="183"/>
      <c r="AL31" s="183"/>
      <c r="AM31" s="184"/>
      <c r="AN31" s="182"/>
      <c r="AO31" s="183"/>
      <c r="AP31" s="183"/>
      <c r="AQ31" s="184"/>
      <c r="AR31" s="182"/>
      <c r="AS31" s="183"/>
      <c r="AT31" s="183"/>
      <c r="AU31" s="184"/>
      <c r="AV31" s="182"/>
      <c r="AW31" s="183"/>
      <c r="AX31" s="183"/>
      <c r="AY31" s="184"/>
      <c r="AZ31" s="182"/>
      <c r="BA31" s="183"/>
      <c r="BB31" s="183"/>
      <c r="BC31" s="184"/>
      <c r="BD31" s="182"/>
      <c r="BE31" s="183"/>
      <c r="BF31" s="183"/>
      <c r="BG31" s="184"/>
      <c r="BH31" s="183"/>
      <c r="BI31" s="183"/>
      <c r="BJ31" s="183"/>
      <c r="BK31" s="184"/>
      <c r="BL31" s="183"/>
      <c r="BM31" s="183"/>
      <c r="BN31" s="183"/>
      <c r="BO31" s="184"/>
      <c r="BP31" s="335"/>
      <c r="BQ31" s="429"/>
      <c r="BR31" s="429"/>
      <c r="BS31" s="429"/>
      <c r="BT31" s="429"/>
      <c r="BU31" s="429"/>
      <c r="BV31" s="429"/>
      <c r="BW31" s="429"/>
      <c r="BX31" s="429"/>
      <c r="BY31" s="429"/>
      <c r="BZ31" s="429"/>
      <c r="CA31" s="429"/>
      <c r="CB31" s="429"/>
      <c r="CC31" s="429"/>
      <c r="CD31" s="546"/>
      <c r="CE31" s="429"/>
      <c r="CF31" s="429"/>
      <c r="CG31" s="699"/>
      <c r="CH31" s="336"/>
    </row>
    <row r="32" spans="2:86" ht="15">
      <c r="B32" s="579" t="s">
        <v>200</v>
      </c>
      <c r="C32" s="173"/>
      <c r="D32" s="182">
        <v>-56.268000000000001</v>
      </c>
      <c r="E32" s="186">
        <f>-80.571-D32</f>
        <v>-24.302999999999997</v>
      </c>
      <c r="F32" s="186">
        <f>-88.07-E32-D32</f>
        <v>-7.4989999999999952</v>
      </c>
      <c r="G32" s="187">
        <f>-433.164-F32-E32-D32</f>
        <v>-345.09399999999994</v>
      </c>
      <c r="H32" s="182">
        <v>-99.018000000000001</v>
      </c>
      <c r="I32" s="186">
        <f>-253.023-H32</f>
        <v>-154.005</v>
      </c>
      <c r="J32" s="186">
        <f>-490.811-I32-H32</f>
        <v>-237.78799999999998</v>
      </c>
      <c r="K32" s="187">
        <f>-710.488-J32-I32-H32</f>
        <v>-219.67700000000005</v>
      </c>
      <c r="L32" s="182">
        <v>-57.405000000000001</v>
      </c>
      <c r="M32" s="186">
        <f>-141.418-L32</f>
        <v>-84.013000000000005</v>
      </c>
      <c r="N32" s="186">
        <f>-266.938-M32-L32</f>
        <v>-125.51999999999998</v>
      </c>
      <c r="O32" s="187">
        <f>-266.938-N32-M32-L32</f>
        <v>0</v>
      </c>
      <c r="P32" s="182">
        <v>-107.953</v>
      </c>
      <c r="Q32" s="186">
        <f>-113.651-P32</f>
        <v>-5.6979999999999933</v>
      </c>
      <c r="R32" s="186">
        <f>-166.23-Q32-P32</f>
        <v>-52.578999999999979</v>
      </c>
      <c r="S32" s="187">
        <f>-262.886-R32-Q32-P32</f>
        <v>-96.656000000000034</v>
      </c>
      <c r="T32" s="182">
        <v>-10.125999999999999</v>
      </c>
      <c r="U32" s="186">
        <f>-10.172-T32</f>
        <v>-4.6000000000001151E-2</v>
      </c>
      <c r="V32" s="186">
        <f>-10.172-U32-T32</f>
        <v>0</v>
      </c>
      <c r="W32" s="187">
        <f>-10.172-V32-U32-T32</f>
        <v>0</v>
      </c>
      <c r="X32" s="182">
        <v>0</v>
      </c>
      <c r="Y32" s="186">
        <f>0-X32</f>
        <v>0</v>
      </c>
      <c r="Z32" s="186">
        <f>-426.998-Y32-X32</f>
        <v>-426.99799999999999</v>
      </c>
      <c r="AA32" s="187">
        <f>-804.979-Z32-Y32-X32</f>
        <v>-377.98100000000005</v>
      </c>
      <c r="AB32" s="182">
        <v>-187.87799999999999</v>
      </c>
      <c r="AC32" s="186">
        <f>-710.81-AB32</f>
        <v>-522.93200000000002</v>
      </c>
      <c r="AD32" s="186">
        <f>-1023.7-AC32-AB32</f>
        <v>-312.89000000000004</v>
      </c>
      <c r="AE32" s="187">
        <f>-1264.517-AD32-AC32-AB32</f>
        <v>-240.81699999999995</v>
      </c>
      <c r="AF32" s="182">
        <v>-677.17899999999997</v>
      </c>
      <c r="AG32" s="183">
        <v>-462.70499999999998</v>
      </c>
      <c r="AH32" s="183">
        <f>-443.008-1.25</f>
        <v>-444.25799999999998</v>
      </c>
      <c r="AI32" s="184">
        <f>-268.804-0.5</f>
        <v>-269.30399999999997</v>
      </c>
      <c r="AJ32" s="182">
        <v>-421.65199999999999</v>
      </c>
      <c r="AK32" s="183">
        <f>-225.255-0.75</f>
        <v>-226.005</v>
      </c>
      <c r="AL32" s="183">
        <v>-558.45699999999999</v>
      </c>
      <c r="AM32" s="184">
        <f>-338.538-3</f>
        <v>-341.53800000000001</v>
      </c>
      <c r="AN32" s="182">
        <v>-306.83800000000002</v>
      </c>
      <c r="AO32" s="183">
        <f>-164.631-0.75</f>
        <v>-165.381</v>
      </c>
      <c r="AP32" s="183">
        <v>-220.28</v>
      </c>
      <c r="AQ32" s="184">
        <v>-146.143</v>
      </c>
      <c r="AR32" s="182">
        <v>-181.88900000000001</v>
      </c>
      <c r="AS32" s="183">
        <v>-153.881</v>
      </c>
      <c r="AT32" s="183">
        <v>-448.52600000000001</v>
      </c>
      <c r="AU32" s="184">
        <v>-344.02300000000002</v>
      </c>
      <c r="AV32" s="182">
        <v>-392.9</v>
      </c>
      <c r="AW32" s="183">
        <v>-173.46500000000003</v>
      </c>
      <c r="AX32" s="183">
        <v>-356.46499999999997</v>
      </c>
      <c r="AY32" s="184">
        <v>-133.215</v>
      </c>
      <c r="AZ32" s="182">
        <v>-93.364999999999995</v>
      </c>
      <c r="BA32" s="183">
        <f>-110.358-75</f>
        <v>-185.358</v>
      </c>
      <c r="BB32" s="183">
        <v>-140.08699999999999</v>
      </c>
      <c r="BC32" s="184">
        <f>-489.856-BB32-BA32-AZ32</f>
        <v>-71.046000000000006</v>
      </c>
      <c r="BD32" s="182">
        <v>-198.416</v>
      </c>
      <c r="BE32" s="183">
        <v>-177.81100000000001</v>
      </c>
      <c r="BF32" s="183">
        <v>-296.65899999999999</v>
      </c>
      <c r="BG32" s="184">
        <v>-162.607</v>
      </c>
      <c r="BH32" s="179">
        <f>IF((BS!BG13-BS!BH13+BS!BG21-BS!BH21+BS!BG23-BS!BH23)&lt;0,(BS!BG13-BS!BH13+BS!BG21-BS!BH21+BS!BG23-BS!BH23),0)</f>
        <v>0</v>
      </c>
      <c r="BI32" s="179">
        <f>IF((BS!BH13-BS!BI13+BS!BH21-BS!BI21+BS!BH23-BS!BI23)&lt;0,(BS!BH13-BS!BI13+BS!BH21-BS!BI21+BS!BH23-BS!BI23),0)</f>
        <v>0</v>
      </c>
      <c r="BJ32" s="179">
        <f>IF((BS!BI13-BS!BJ13+BS!BI21-BS!BJ21+BS!BI23-BS!BJ23)&lt;0,(BS!BI13-BS!BJ13+BS!BI21-BS!BJ21+BS!BI23-BS!BJ23),0)</f>
        <v>0</v>
      </c>
      <c r="BK32" s="180">
        <f>IF((BS!BJ13-BS!BK13+BS!BJ21-BS!BK21+BS!BJ23-BS!BK23)&lt;0,(BS!BJ13-BS!BK13+BS!BJ21-BS!BK21+BS!BJ23-BS!BK23),0)</f>
        <v>0</v>
      </c>
      <c r="BL32" s="179">
        <f>IF((BS!BK13-BS!BL13+BS!BK21-BS!BL21+BS!BK23-BS!BL23)&lt;0,(BS!BK13-BS!BL13+BS!BK21-BS!BL21+BS!BK23-BS!BL23),0)</f>
        <v>0</v>
      </c>
      <c r="BM32" s="179">
        <f>IF((BS!BL13-BS!BM13+BS!BL21-BS!BM21+BS!BL23-BS!BM23)&lt;0,(BS!BL13-BS!BM13+BS!BL21-BS!BM21+BS!BL23-BS!BM23),0)</f>
        <v>0</v>
      </c>
      <c r="BN32" s="179">
        <f>IF((BS!BM13-BS!BN13+BS!BM21-BS!BN21+BS!BM23-BS!BN23)&lt;0,(BS!BM13-BS!BN13+BS!BM21-BS!BN21+BS!BM23-BS!BN23),0)</f>
        <v>0</v>
      </c>
      <c r="BO32" s="180">
        <f>IF((BS!BN13-BS!BO13+BS!BN21-BS!BO21+BS!BN23-BS!BO23)&lt;0,(BS!BN13-BS!BO13+BS!BN21-BS!BO21+BS!BN23-BS!BO23),0)</f>
        <v>0</v>
      </c>
      <c r="BP32" s="335"/>
      <c r="BQ32" s="427">
        <f>SUM(D32:G32)</f>
        <v>-433.16399999999993</v>
      </c>
      <c r="BR32" s="427">
        <f>SUM(H32:K32)</f>
        <v>-710.48800000000006</v>
      </c>
      <c r="BS32" s="427">
        <f>SUM(L32:O32)</f>
        <v>-266.93799999999999</v>
      </c>
      <c r="BT32" s="427">
        <f>SUM(P32:S32)</f>
        <v>-262.88599999999997</v>
      </c>
      <c r="BU32" s="427">
        <f>SUM(T32:W32)</f>
        <v>-10.172000000000001</v>
      </c>
      <c r="BV32" s="427">
        <f>SUM(X32:AA32)</f>
        <v>-804.97900000000004</v>
      </c>
      <c r="BW32" s="427">
        <f>SUM(AB32:AE32)</f>
        <v>-1264.5170000000001</v>
      </c>
      <c r="BX32" s="427">
        <f>SUM(AF32:AI32)</f>
        <v>-1853.4459999999999</v>
      </c>
      <c r="BY32" s="427">
        <f>SUM(AJ32:AM32)</f>
        <v>-1547.652</v>
      </c>
      <c r="BZ32" s="427">
        <f>SUM(AN32:AQ32)</f>
        <v>-838.64200000000005</v>
      </c>
      <c r="CA32" s="427">
        <f>SUM(AR32:AU32)</f>
        <v>-1128.319</v>
      </c>
      <c r="CB32" s="427">
        <f>SUM(AV32:AY32)</f>
        <v>-1056.0449999999998</v>
      </c>
      <c r="CC32" s="427">
        <f>SUM(AZ32:BC32)</f>
        <v>-489.85599999999999</v>
      </c>
      <c r="CD32" s="427">
        <f>SUM(BD32:BG32)</f>
        <v>-835.49299999999994</v>
      </c>
      <c r="CE32" s="427">
        <f>SUM(BH32:BK32)</f>
        <v>0</v>
      </c>
      <c r="CF32" s="427">
        <f t="shared" ref="CF32:CF35" si="45">SUM(BL32:BO32)</f>
        <v>0</v>
      </c>
      <c r="CG32" s="698">
        <f>IF((BS!CF13-BS!CG13+BS!CF21-BS!CG21+BS!CF23-BS!CG23)&lt;0,(BS!CF13-BS!CG13+BS!CF21-BS!CG21+BS!CF23-BS!CG23),0)</f>
        <v>0</v>
      </c>
      <c r="CH32" s="336"/>
    </row>
    <row r="33" spans="2:86" ht="14.25">
      <c r="B33" s="579" t="s">
        <v>270</v>
      </c>
      <c r="C33" s="188"/>
      <c r="D33" s="182">
        <v>40.884</v>
      </c>
      <c r="E33" s="186">
        <f>55.884-D33</f>
        <v>15</v>
      </c>
      <c r="F33" s="186">
        <f>63.227-E33-D33</f>
        <v>7.3429999999999964</v>
      </c>
      <c r="G33" s="187">
        <f>149.29-F33-E33-D33</f>
        <v>86.063000000000002</v>
      </c>
      <c r="H33" s="182">
        <v>48.051000000000002</v>
      </c>
      <c r="I33" s="186">
        <f>150.524-H33</f>
        <v>102.473</v>
      </c>
      <c r="J33" s="186">
        <f>533.876-I33-H33</f>
        <v>383.35199999999998</v>
      </c>
      <c r="K33" s="187">
        <f>631.264-J33-I33-H33</f>
        <v>97.388000000000019</v>
      </c>
      <c r="L33" s="182">
        <v>238.124</v>
      </c>
      <c r="M33" s="186">
        <f>265.16-L33</f>
        <v>27.03600000000003</v>
      </c>
      <c r="N33" s="186">
        <f>804.902-M33-L33</f>
        <v>539.74199999999996</v>
      </c>
      <c r="O33" s="187">
        <f>812.831-N33-M33-L33</f>
        <v>7.9290000000000305</v>
      </c>
      <c r="P33" s="182">
        <v>8.0180000000000007</v>
      </c>
      <c r="Q33" s="186">
        <f>50.021-P33</f>
        <v>42.003</v>
      </c>
      <c r="R33" s="186">
        <f>120.516-Q33-P33</f>
        <v>70.495000000000005</v>
      </c>
      <c r="S33" s="187">
        <f>230.906-R33-Q33-P33</f>
        <v>110.39</v>
      </c>
      <c r="T33" s="182">
        <v>23.792999999999999</v>
      </c>
      <c r="U33" s="186">
        <f>23.793-T33</f>
        <v>0</v>
      </c>
      <c r="V33" s="186">
        <f>29.181-U33-T33</f>
        <v>5.3880000000000017</v>
      </c>
      <c r="W33" s="187">
        <f>29.181-V33-U33-T33</f>
        <v>0</v>
      </c>
      <c r="X33" s="182">
        <v>0</v>
      </c>
      <c r="Y33" s="186">
        <f>0.05-X33</f>
        <v>0.05</v>
      </c>
      <c r="Z33" s="186">
        <f>10.318-Y33-X33</f>
        <v>10.267999999999999</v>
      </c>
      <c r="AA33" s="187">
        <f>118.362-Z33-Y33-X33</f>
        <v>108.044</v>
      </c>
      <c r="AB33" s="182">
        <v>149.44</v>
      </c>
      <c r="AC33" s="186">
        <f>347.745-AB33</f>
        <v>198.30500000000001</v>
      </c>
      <c r="AD33" s="186">
        <f>678.738-AC33-AB33</f>
        <v>330.99300000000005</v>
      </c>
      <c r="AE33" s="187">
        <f>868.759-AD33-AC33-AB33</f>
        <v>190.02099999999996</v>
      </c>
      <c r="AF33" s="182">
        <v>272.54700000000003</v>
      </c>
      <c r="AG33" s="183">
        <v>408.52199999999999</v>
      </c>
      <c r="AH33" s="183">
        <v>402.14499999999998</v>
      </c>
      <c r="AI33" s="184">
        <v>378.95</v>
      </c>
      <c r="AJ33" s="182">
        <v>558.77700000000004</v>
      </c>
      <c r="AK33" s="183">
        <v>322.53199999999998</v>
      </c>
      <c r="AL33" s="183">
        <v>436.435</v>
      </c>
      <c r="AM33" s="184">
        <v>517.91099999999994</v>
      </c>
      <c r="AN33" s="182">
        <v>335.77100000000002</v>
      </c>
      <c r="AO33" s="183">
        <v>162.90899999999999</v>
      </c>
      <c r="AP33" s="183">
        <f>346.826-1.119</f>
        <v>345.70699999999999</v>
      </c>
      <c r="AQ33" s="184">
        <v>149.53299999999999</v>
      </c>
      <c r="AR33" s="182">
        <v>182.31100000000001</v>
      </c>
      <c r="AS33" s="183">
        <v>190.09899999999999</v>
      </c>
      <c r="AT33" s="183">
        <v>205.685</v>
      </c>
      <c r="AU33" s="111">
        <f>248.215+13.22</f>
        <v>261.435</v>
      </c>
      <c r="AV33" s="182">
        <v>247.495</v>
      </c>
      <c r="AW33" s="183">
        <v>222.29499999999996</v>
      </c>
      <c r="AX33" s="183">
        <v>356.40899999999999</v>
      </c>
      <c r="AY33" s="111">
        <v>477.30099999999999</v>
      </c>
      <c r="AZ33" s="182">
        <v>316.31</v>
      </c>
      <c r="BA33" s="183">
        <v>116.506</v>
      </c>
      <c r="BB33" s="183">
        <v>170.47200000000001</v>
      </c>
      <c r="BC33" s="111">
        <f>616.697+239.557-BB33-BA33-AZ33</f>
        <v>252.96600000000007</v>
      </c>
      <c r="BD33" s="182">
        <f>78.764+82.235+22.954</f>
        <v>183.953</v>
      </c>
      <c r="BE33" s="183">
        <f>37.936+87.376+42</f>
        <v>167.31200000000001</v>
      </c>
      <c r="BF33" s="183">
        <f>167.451+136.09</f>
        <v>303.541</v>
      </c>
      <c r="BG33" s="111">
        <f>22.671+120.639</f>
        <v>143.31</v>
      </c>
      <c r="BH33" s="179">
        <f>IF((BS!BG13-BS!BH13+BS!BG21-BS!BH21+BS!BG23-BS!BH23)&gt;0,(BS!BG13-BS!BH13+BS!BG21-BS!BH21+BS!BG23-BS!BH23),0)</f>
        <v>0</v>
      </c>
      <c r="BI33" s="179">
        <f>IF((BS!BH13-BS!BI13+BS!BH21-BS!BI21+BS!BH23-BS!BI23)&gt;0,(BS!BH13-BS!BI13+BS!BH21-BS!BI21+BS!BH23-BS!BI23),0)</f>
        <v>0</v>
      </c>
      <c r="BJ33" s="179">
        <f>IF((BS!BI13-BS!BJ13+BS!BI21-BS!BJ21+BS!BI23-BS!BJ23)&gt;0,(BS!BI13-BS!BJ13+BS!BI21-BS!BJ21+BS!BI23-BS!BJ23),0)</f>
        <v>0</v>
      </c>
      <c r="BK33" s="180">
        <f>IF((BS!BJ13-BS!BK13+BS!BJ21-BS!BK21+BS!BJ23-BS!BK23)&gt;0,(BS!BJ13-BS!BK13+BS!BJ21-BS!BK21+BS!BJ23-BS!BK23),0)</f>
        <v>0</v>
      </c>
      <c r="BL33" s="179">
        <f>IF((BS!BK13-BS!BL13+BS!BK21-BS!BL21+BS!BK23-BS!BL23)&gt;0,(BS!BK13-BS!BL13+BS!BK21-BS!BL21+BS!BK23-BS!BL23),0)</f>
        <v>0</v>
      </c>
      <c r="BM33" s="179">
        <f>IF((BS!BL13-BS!BM13+BS!BL21-BS!BM21+BS!BL23-BS!BM23)&gt;0,(BS!BL13-BS!BM13+BS!BL21-BS!BM21+BS!BL23-BS!BM23),0)</f>
        <v>0</v>
      </c>
      <c r="BN33" s="179">
        <f>IF((BS!BM13-BS!BN13+BS!BM21-BS!BN21+BS!BM23-BS!BN23)&gt;0,(BS!BM13-BS!BN13+BS!BM21-BS!BN21+BS!BM23-BS!BN23),0)</f>
        <v>0</v>
      </c>
      <c r="BO33" s="180">
        <f>IF((BS!BN13-BS!BO13+BS!BN21-BS!BO21+BS!BN23-BS!BO23)&gt;0,(BS!BN13-BS!BO13+BS!BN21-BS!BO21+BS!BN23-BS!BO23),0)</f>
        <v>0</v>
      </c>
      <c r="BP33" s="335"/>
      <c r="BQ33" s="427">
        <f>SUM(D33:G33)</f>
        <v>149.29</v>
      </c>
      <c r="BR33" s="427">
        <f>SUM(H33:K33)</f>
        <v>631.26400000000001</v>
      </c>
      <c r="BS33" s="427">
        <f>SUM(L33:O33)</f>
        <v>812.83100000000013</v>
      </c>
      <c r="BT33" s="427">
        <f>SUM(P33:S33)</f>
        <v>230.90600000000001</v>
      </c>
      <c r="BU33" s="427">
        <f>SUM(T33:W33)</f>
        <v>29.181000000000001</v>
      </c>
      <c r="BV33" s="427">
        <f>SUM(X33:AA33)</f>
        <v>118.36199999999999</v>
      </c>
      <c r="BW33" s="427">
        <f>SUM(AB33:AE33)</f>
        <v>868.75900000000001</v>
      </c>
      <c r="BX33" s="427">
        <f>SUM(AF33:AI33)</f>
        <v>1462.164</v>
      </c>
      <c r="BY33" s="427">
        <f>SUM(AJ33:AM33)</f>
        <v>1835.6549999999997</v>
      </c>
      <c r="BZ33" s="427">
        <f>SUM(AN33:AQ33)</f>
        <v>993.92</v>
      </c>
      <c r="CA33" s="427">
        <f>SUM(AR33:AU33)</f>
        <v>839.53</v>
      </c>
      <c r="CB33" s="427">
        <f>SUM(AV33:AY33)</f>
        <v>1303.5</v>
      </c>
      <c r="CC33" s="427">
        <f>SUM(AZ33:BC33)</f>
        <v>856.25400000000013</v>
      </c>
      <c r="CD33" s="427">
        <f>SUM(BD33:BG33)</f>
        <v>798.11599999999999</v>
      </c>
      <c r="CE33" s="427">
        <f>SUM(BH33:BK33)</f>
        <v>0</v>
      </c>
      <c r="CF33" s="427">
        <f t="shared" si="45"/>
        <v>0</v>
      </c>
      <c r="CG33" s="698">
        <f>IF((BS!CF13-BS!CG13+BS!CF21-BS!CG21+BS!CF23-BS!CG23)&gt;0,(BS!CF13-BS!CG13+BS!CF21-BS!CG21+BS!CF23-BS!CG23),0)</f>
        <v>0</v>
      </c>
      <c r="CH33" s="336"/>
    </row>
    <row r="34" spans="2:86" ht="14.25">
      <c r="B34" s="579" t="s">
        <v>172</v>
      </c>
      <c r="C34" s="188"/>
      <c r="D34" s="182">
        <v>-7.117</v>
      </c>
      <c r="E34" s="186">
        <f>-13.739-D34</f>
        <v>-6.6220000000000008</v>
      </c>
      <c r="F34" s="186">
        <f>-23.753-E34-D34</f>
        <v>-10.013999999999999</v>
      </c>
      <c r="G34" s="187">
        <f>-45.762-F34-E34-D34</f>
        <v>-22.009000000000004</v>
      </c>
      <c r="H34" s="182">
        <v>-18.395</v>
      </c>
      <c r="I34" s="186">
        <f>-37.841-H34</f>
        <v>-19.446000000000002</v>
      </c>
      <c r="J34" s="186">
        <f>-62.309-I34-H34</f>
        <v>-24.468</v>
      </c>
      <c r="K34" s="187">
        <f>-98.5-J34-I34-H34</f>
        <v>-36.191000000000003</v>
      </c>
      <c r="L34" s="182">
        <v>-28.948</v>
      </c>
      <c r="M34" s="186">
        <f>-71.472-L34</f>
        <v>-42.523999999999994</v>
      </c>
      <c r="N34" s="186">
        <f>-121.412-M34-L34</f>
        <v>-49.940000000000005</v>
      </c>
      <c r="O34" s="187">
        <f>-180.696-N34-M34-L34</f>
        <v>-59.283999999999999</v>
      </c>
      <c r="P34" s="182">
        <v>-35.281999999999996</v>
      </c>
      <c r="Q34" s="186">
        <f>-64.513-P34</f>
        <v>-29.231000000000009</v>
      </c>
      <c r="R34" s="186">
        <f>-81.135-Q34-P34</f>
        <v>-16.622</v>
      </c>
      <c r="S34" s="187">
        <f>-113.462-R34-Q34-P34</f>
        <v>-32.326999999999998</v>
      </c>
      <c r="T34" s="182">
        <v>0</v>
      </c>
      <c r="U34" s="186">
        <f>-46.532-T34</f>
        <v>-46.531999999999996</v>
      </c>
      <c r="V34" s="186">
        <f>-59.312-U34-T34</f>
        <v>-12.780000000000001</v>
      </c>
      <c r="W34" s="187">
        <f>-73.243-V34-U34-T34</f>
        <v>-13.930999999999997</v>
      </c>
      <c r="X34" s="182">
        <v>-3.4140000000000001</v>
      </c>
      <c r="Y34" s="186">
        <f>-7.179-X34</f>
        <v>-3.7650000000000001</v>
      </c>
      <c r="Z34" s="186">
        <f>-14.808-Y34-X34</f>
        <v>-7.6289999999999996</v>
      </c>
      <c r="AA34" s="187">
        <f>-39.814-Z34-Y34-X34</f>
        <v>-25.006</v>
      </c>
      <c r="AB34" s="182">
        <v>-16.395</v>
      </c>
      <c r="AC34" s="186">
        <f>-39.298-AB34</f>
        <v>-22.903000000000002</v>
      </c>
      <c r="AD34" s="186">
        <f>-63.267-AC34-AB34</f>
        <v>-23.969000000000005</v>
      </c>
      <c r="AE34" s="187">
        <f>-90.173-AD34-AC34-AB34</f>
        <v>-26.905999999999988</v>
      </c>
      <c r="AF34" s="182">
        <v>-17.018000000000001</v>
      </c>
      <c r="AG34" s="183">
        <v>-25.227</v>
      </c>
      <c r="AH34" s="183">
        <v>-20.085000000000001</v>
      </c>
      <c r="AI34" s="184">
        <v>-26.449000000000002</v>
      </c>
      <c r="AJ34" s="182">
        <v>-18.904</v>
      </c>
      <c r="AK34" s="183">
        <v>-10.83</v>
      </c>
      <c r="AL34" s="183">
        <v>-19.356000000000002</v>
      </c>
      <c r="AM34" s="184">
        <v>-19.096</v>
      </c>
      <c r="AN34" s="182">
        <v>-20.079999999999998</v>
      </c>
      <c r="AO34" s="183">
        <v>-18.981000000000002</v>
      </c>
      <c r="AP34" s="183">
        <f>-6.383-14.222</f>
        <v>-20.605</v>
      </c>
      <c r="AQ34" s="184">
        <v>-13.31</v>
      </c>
      <c r="AR34" s="182">
        <v>-16.131</v>
      </c>
      <c r="AS34" s="183">
        <v>-15.823</v>
      </c>
      <c r="AT34" s="183">
        <f>-16.661</f>
        <v>-16.661000000000001</v>
      </c>
      <c r="AU34" s="184">
        <v>-14.414999999999999</v>
      </c>
      <c r="AV34" s="182">
        <v>-7.3339999999999996</v>
      </c>
      <c r="AW34" s="183">
        <v>-16.985999999999997</v>
      </c>
      <c r="AX34" s="183">
        <v>-9.0410000000000004</v>
      </c>
      <c r="AY34" s="184">
        <v>-3.8940000000000001</v>
      </c>
      <c r="AZ34" s="182">
        <v>-6.5419999999999998</v>
      </c>
      <c r="BA34" s="183">
        <v>-12.509</v>
      </c>
      <c r="BB34" s="183">
        <v>-13.347</v>
      </c>
      <c r="BC34" s="184">
        <f>-44.51-BB34-BA34-AZ34</f>
        <v>-12.111999999999997</v>
      </c>
      <c r="BD34" s="182">
        <v>-10.026</v>
      </c>
      <c r="BE34" s="183">
        <v>-4.0199999999999996</v>
      </c>
      <c r="BF34" s="183">
        <v>-10.613</v>
      </c>
      <c r="BG34" s="184">
        <v>-13.395</v>
      </c>
      <c r="BH34" s="179">
        <f>-BH58-BH60</f>
        <v>-13.214990579999998</v>
      </c>
      <c r="BI34" s="179">
        <f>-BI58-BI60</f>
        <v>-13.6326531594</v>
      </c>
      <c r="BJ34" s="179">
        <f t="shared" ref="BJ34:BM34" si="46">-BJ58-BJ60</f>
        <v>-14.035498632836999</v>
      </c>
      <c r="BK34" s="180">
        <f t="shared" si="46"/>
        <v>-13.904490966596999</v>
      </c>
      <c r="BL34" s="179">
        <f t="shared" si="46"/>
        <v>-13.144701167067687</v>
      </c>
      <c r="BM34" s="179">
        <f t="shared" si="46"/>
        <v>-13.982610390606871</v>
      </c>
      <c r="BN34" s="179">
        <f t="shared" ref="BN34:BO34" si="47">-BN58-BN60</f>
        <v>-14.453350391906344</v>
      </c>
      <c r="BO34" s="180">
        <f t="shared" si="47"/>
        <v>-14.285419862710267</v>
      </c>
      <c r="BP34" s="335"/>
      <c r="BQ34" s="427">
        <f>SUM(D34:G34)</f>
        <v>-45.762</v>
      </c>
      <c r="BR34" s="427">
        <f>SUM(H34:K34)</f>
        <v>-98.5</v>
      </c>
      <c r="BS34" s="427">
        <f>SUM(L34:O34)</f>
        <v>-180.696</v>
      </c>
      <c r="BT34" s="427">
        <f>SUM(P34:S34)</f>
        <v>-113.462</v>
      </c>
      <c r="BU34" s="427">
        <f>SUM(T34:W34)</f>
        <v>-73.242999999999995</v>
      </c>
      <c r="BV34" s="427">
        <f>SUM(X34:AA34)</f>
        <v>-39.814</v>
      </c>
      <c r="BW34" s="427">
        <f>SUM(AB34:AE34)</f>
        <v>-90.173000000000002</v>
      </c>
      <c r="BX34" s="427">
        <f>SUM(AF34:AI34)</f>
        <v>-88.779000000000011</v>
      </c>
      <c r="BY34" s="427">
        <f>SUM(AJ34:AM34)</f>
        <v>-68.186000000000007</v>
      </c>
      <c r="BZ34" s="427">
        <f>SUM(AN34:AQ34)</f>
        <v>-72.975999999999999</v>
      </c>
      <c r="CA34" s="427">
        <f>SUM(AR34:AU34)</f>
        <v>-63.03</v>
      </c>
      <c r="CB34" s="427">
        <f>SUM(AV34:AY34)</f>
        <v>-37.254999999999995</v>
      </c>
      <c r="CC34" s="427">
        <f>SUM(AZ34:BC34)</f>
        <v>-44.51</v>
      </c>
      <c r="CD34" s="427">
        <f>SUM(BD34:BG34)</f>
        <v>-38.054000000000002</v>
      </c>
      <c r="CE34" s="427">
        <f>SUM(BH34:BK34)</f>
        <v>-54.787633338833999</v>
      </c>
      <c r="CF34" s="427">
        <f t="shared" si="45"/>
        <v>-55.866081812291171</v>
      </c>
      <c r="CG34" s="698">
        <f>-CG58-CG60</f>
        <v>-55.866081812291171</v>
      </c>
      <c r="CH34" s="336"/>
    </row>
    <row r="35" spans="2:86" ht="14.25">
      <c r="B35" s="579" t="s">
        <v>168</v>
      </c>
      <c r="C35" s="188"/>
      <c r="D35" s="182">
        <v>-0.83699999999999997</v>
      </c>
      <c r="E35" s="186">
        <f>-15.869-D35</f>
        <v>-15.032</v>
      </c>
      <c r="F35" s="186">
        <f>-18.494-E35-D35</f>
        <v>-2.625</v>
      </c>
      <c r="G35" s="187">
        <f>-16.225-2.2-0.069-F35-E35-D35</f>
        <v>0</v>
      </c>
      <c r="H35" s="182">
        <v>0</v>
      </c>
      <c r="I35" s="186">
        <f>0-H35</f>
        <v>0</v>
      </c>
      <c r="J35" s="186">
        <f>0-I35-H35</f>
        <v>0</v>
      </c>
      <c r="K35" s="187">
        <f>-1-184.032-2.42-2.369-J35-I35-H35</f>
        <v>-189.821</v>
      </c>
      <c r="L35" s="182">
        <f>-24.008-0.461</f>
        <v>-24.468999999999998</v>
      </c>
      <c r="M35" s="186">
        <f>-282.978-3.48-6.6-L35</f>
        <v>-268.58900000000006</v>
      </c>
      <c r="N35" s="186">
        <f>-282.978-4.233-8.029-M35-L35</f>
        <v>-2.181999999999956</v>
      </c>
      <c r="O35" s="187">
        <f>-8.029-892.867-9.032-N35-M35-L35</f>
        <v>-614.68799999999999</v>
      </c>
      <c r="P35" s="182">
        <f>-0.974-15.7</f>
        <v>-16.673999999999999</v>
      </c>
      <c r="Q35" s="186">
        <f>-8.279-16.85+5.122-P35</f>
        <v>-3.333000000000002</v>
      </c>
      <c r="R35" s="186">
        <f>-8.349-19.525+5.122-Q35-P35</f>
        <v>-2.7449999999999974</v>
      </c>
      <c r="S35" s="187">
        <f>-23.175-19.987-0.323-1.34+5.122-R35-Q35-P35</f>
        <v>-16.951000000000001</v>
      </c>
      <c r="T35" s="182">
        <v>-30.521999999999998</v>
      </c>
      <c r="U35" s="186">
        <f>-1.25-T35</f>
        <v>29.271999999999998</v>
      </c>
      <c r="V35" s="186">
        <f>-2.65-U35-T35</f>
        <v>-1.3999999999999986</v>
      </c>
      <c r="W35" s="187">
        <f>-5.2-5.287-V35-U35-T35</f>
        <v>-7.8370000000000033</v>
      </c>
      <c r="X35" s="182">
        <v>-9.3000000000000007</v>
      </c>
      <c r="Y35" s="186">
        <f>-12.55-X35</f>
        <v>-3.25</v>
      </c>
      <c r="Z35" s="186">
        <f>-12.55-Y35-X35</f>
        <v>0</v>
      </c>
      <c r="AA35" s="187">
        <f>-2-15.598-Z35-Y35-X35</f>
        <v>-5.0479999999999983</v>
      </c>
      <c r="AB35" s="182">
        <v>-2.25</v>
      </c>
      <c r="AC35" s="186">
        <f>-6.819-20.679-AB35</f>
        <v>-25.247999999999998</v>
      </c>
      <c r="AD35" s="186">
        <f>-12.649-20.679-AC35-AB35</f>
        <v>-5.8299999999999983</v>
      </c>
      <c r="AE35" s="187">
        <f>-29.446+9.192-23.144-AD35-AC35-AB35</f>
        <v>-10.07</v>
      </c>
      <c r="AF35" s="182">
        <f>-1.75-16.33-3.29</f>
        <v>-21.369999999999997</v>
      </c>
      <c r="AG35" s="183">
        <f>-0.43-3.325-0.503</f>
        <v>-4.258</v>
      </c>
      <c r="AH35" s="183">
        <f>-2-2.978</f>
        <v>-4.9779999999999998</v>
      </c>
      <c r="AI35" s="184">
        <f>-75.156-4.23</f>
        <v>-79.38600000000001</v>
      </c>
      <c r="AJ35" s="182">
        <f>-5-2.045</f>
        <v>-7.0449999999999999</v>
      </c>
      <c r="AK35" s="183">
        <v>-4.407</v>
      </c>
      <c r="AL35" s="183">
        <f>-1-4.235</f>
        <v>-5.2350000000000003</v>
      </c>
      <c r="AM35" s="184">
        <v>-24.315000000000001</v>
      </c>
      <c r="AN35" s="182">
        <f>-2.551-5.86</f>
        <v>-8.4110000000000014</v>
      </c>
      <c r="AO35" s="183">
        <v>-1.75</v>
      </c>
      <c r="AP35" s="183">
        <v>0</v>
      </c>
      <c r="AQ35" s="184">
        <f>6.306-3.654</f>
        <v>2.6520000000000001</v>
      </c>
      <c r="AR35" s="182">
        <f>-8.111-0.441</f>
        <v>-8.5520000000000014</v>
      </c>
      <c r="AS35" s="183">
        <v>-1.298</v>
      </c>
      <c r="AT35" s="183">
        <f>-0.26-5.105</f>
        <v>-5.3650000000000002</v>
      </c>
      <c r="AU35" s="184">
        <v>-1.91</v>
      </c>
      <c r="AV35" s="415">
        <f>-10.24-3.606</f>
        <v>-13.846</v>
      </c>
      <c r="AW35" s="363">
        <v>-1.8629999999999995</v>
      </c>
      <c r="AX35" s="363">
        <f>-0.13-0.98+10.007</f>
        <v>8.8970000000000002</v>
      </c>
      <c r="AY35" s="553">
        <f>+-0.119-1.579</f>
        <v>-1.698</v>
      </c>
      <c r="AZ35" s="182">
        <f>-50-4.05</f>
        <v>-54.05</v>
      </c>
      <c r="BA35" s="183">
        <v>-3.9950000000000001</v>
      </c>
      <c r="BB35" s="183">
        <f>-75+50+0.274-0.394</f>
        <v>-25.119999999999997</v>
      </c>
      <c r="BC35" s="184">
        <f>0.016-275+125-10.309-BB35-BA35-AZ35</f>
        <v>-77.127999999999972</v>
      </c>
      <c r="BD35" s="182">
        <f>-75-1.093+7.275+75</f>
        <v>6.1820000000000022</v>
      </c>
      <c r="BE35" s="183">
        <f>-75-0.608+75+2.388</f>
        <v>1.7799999999999958</v>
      </c>
      <c r="BF35" s="183">
        <f>-75+75+3.701-3.555+0.249+93.735+2.402</f>
        <v>96.531999999999996</v>
      </c>
      <c r="BG35" s="184">
        <f>-75+75-1.331+10.571</f>
        <v>9.24</v>
      </c>
      <c r="BH35" s="183">
        <v>0</v>
      </c>
      <c r="BI35" s="183">
        <v>0</v>
      </c>
      <c r="BJ35" s="183">
        <v>0</v>
      </c>
      <c r="BK35" s="184">
        <v>0</v>
      </c>
      <c r="BL35" s="183">
        <v>0</v>
      </c>
      <c r="BM35" s="183">
        <v>0</v>
      </c>
      <c r="BN35" s="183">
        <v>0</v>
      </c>
      <c r="BO35" s="184">
        <v>0</v>
      </c>
      <c r="BP35" s="335"/>
      <c r="BQ35" s="427">
        <f>SUM(D35:G35)</f>
        <v>-18.494</v>
      </c>
      <c r="BR35" s="427">
        <f>SUM(H35:K35)</f>
        <v>-189.821</v>
      </c>
      <c r="BS35" s="427">
        <f>SUM(L35:O35)</f>
        <v>-909.928</v>
      </c>
      <c r="BT35" s="427">
        <f>SUM(P35:S35)</f>
        <v>-39.703000000000003</v>
      </c>
      <c r="BU35" s="427">
        <f>SUM(T35:W35)</f>
        <v>-10.487000000000002</v>
      </c>
      <c r="BV35" s="427">
        <f>SUM(X35:AA35)</f>
        <v>-17.597999999999999</v>
      </c>
      <c r="BW35" s="427">
        <f>SUM(AB35:AE35)</f>
        <v>-43.397999999999996</v>
      </c>
      <c r="BX35" s="427">
        <f>SUM(AF35:AI35)</f>
        <v>-109.992</v>
      </c>
      <c r="BY35" s="427">
        <f>SUM(AJ35:AM35)</f>
        <v>-41.002000000000002</v>
      </c>
      <c r="BZ35" s="427">
        <f>SUM(AN35:AQ35)</f>
        <v>-7.5090000000000012</v>
      </c>
      <c r="CA35" s="427">
        <f>SUM(AR35:AU35)</f>
        <v>-17.125</v>
      </c>
      <c r="CB35" s="427">
        <f>SUM(AV35:AY35)</f>
        <v>-8.51</v>
      </c>
      <c r="CC35" s="427">
        <f>SUM(AZ35:BC35)</f>
        <v>-160.29299999999995</v>
      </c>
      <c r="CD35" s="427">
        <f>SUM(BD35:BG35)</f>
        <v>113.73399999999999</v>
      </c>
      <c r="CE35" s="427">
        <f>SUM(BH35:BK35)</f>
        <v>0</v>
      </c>
      <c r="CF35" s="427">
        <f t="shared" si="45"/>
        <v>0</v>
      </c>
      <c r="CG35" s="699">
        <v>0</v>
      </c>
      <c r="CH35" s="336"/>
    </row>
    <row r="36" spans="2:86" ht="15.75" thickBot="1">
      <c r="B36" s="582" t="s">
        <v>173</v>
      </c>
      <c r="C36" s="331"/>
      <c r="D36" s="190">
        <f t="shared" ref="D36:AU36" si="48">SUM(D32:D35)</f>
        <v>-23.338000000000001</v>
      </c>
      <c r="E36" s="191">
        <f t="shared" si="48"/>
        <v>-30.956999999999997</v>
      </c>
      <c r="F36" s="191">
        <f t="shared" si="48"/>
        <v>-12.794999999999998</v>
      </c>
      <c r="G36" s="191">
        <f t="shared" si="48"/>
        <v>-281.03999999999996</v>
      </c>
      <c r="H36" s="190">
        <f t="shared" si="48"/>
        <v>-69.361999999999995</v>
      </c>
      <c r="I36" s="191">
        <f t="shared" si="48"/>
        <v>-70.977999999999994</v>
      </c>
      <c r="J36" s="191">
        <f t="shared" si="48"/>
        <v>121.09599999999999</v>
      </c>
      <c r="K36" s="191">
        <f t="shared" si="48"/>
        <v>-348.30100000000004</v>
      </c>
      <c r="L36" s="190">
        <f t="shared" si="48"/>
        <v>127.30199999999999</v>
      </c>
      <c r="M36" s="191">
        <f t="shared" si="48"/>
        <v>-368.09000000000003</v>
      </c>
      <c r="N36" s="191">
        <f t="shared" si="48"/>
        <v>362.1</v>
      </c>
      <c r="O36" s="191">
        <f t="shared" si="48"/>
        <v>-666.04300000000001</v>
      </c>
      <c r="P36" s="190">
        <f t="shared" si="48"/>
        <v>-151.89099999999999</v>
      </c>
      <c r="Q36" s="191">
        <f t="shared" si="48"/>
        <v>3.7409999999999961</v>
      </c>
      <c r="R36" s="191">
        <f t="shared" si="48"/>
        <v>-1.4509999999999721</v>
      </c>
      <c r="S36" s="191">
        <f t="shared" si="48"/>
        <v>-35.544000000000032</v>
      </c>
      <c r="T36" s="190">
        <f t="shared" si="48"/>
        <v>-16.854999999999997</v>
      </c>
      <c r="U36" s="191">
        <f t="shared" si="48"/>
        <v>-17.305999999999997</v>
      </c>
      <c r="V36" s="191">
        <f t="shared" si="48"/>
        <v>-8.791999999999998</v>
      </c>
      <c r="W36" s="191">
        <f t="shared" si="48"/>
        <v>-21.768000000000001</v>
      </c>
      <c r="X36" s="190">
        <f t="shared" si="48"/>
        <v>-12.714</v>
      </c>
      <c r="Y36" s="191">
        <f t="shared" si="48"/>
        <v>-6.9649999999999999</v>
      </c>
      <c r="Z36" s="191">
        <f t="shared" si="48"/>
        <v>-424.35900000000004</v>
      </c>
      <c r="AA36" s="191">
        <f t="shared" si="48"/>
        <v>-299.9910000000001</v>
      </c>
      <c r="AB36" s="190">
        <f t="shared" si="48"/>
        <v>-57.082999999999984</v>
      </c>
      <c r="AC36" s="191">
        <f t="shared" si="48"/>
        <v>-372.77800000000002</v>
      </c>
      <c r="AD36" s="191">
        <f t="shared" si="48"/>
        <v>-11.695999999999994</v>
      </c>
      <c r="AE36" s="238">
        <f t="shared" si="48"/>
        <v>-87.771999999999991</v>
      </c>
      <c r="AF36" s="190">
        <f t="shared" si="48"/>
        <v>-443.02</v>
      </c>
      <c r="AG36" s="191">
        <f t="shared" si="48"/>
        <v>-83.667999999999992</v>
      </c>
      <c r="AH36" s="191">
        <f t="shared" si="48"/>
        <v>-67.176000000000002</v>
      </c>
      <c r="AI36" s="238">
        <f t="shared" si="48"/>
        <v>3.811000000000007</v>
      </c>
      <c r="AJ36" s="190">
        <f t="shared" si="48"/>
        <v>111.17600000000006</v>
      </c>
      <c r="AK36" s="191">
        <f t="shared" si="48"/>
        <v>81.289999999999992</v>
      </c>
      <c r="AL36" s="191">
        <f t="shared" si="48"/>
        <v>-146.613</v>
      </c>
      <c r="AM36" s="238">
        <f t="shared" si="48"/>
        <v>132.96199999999993</v>
      </c>
      <c r="AN36" s="190">
        <f t="shared" si="48"/>
        <v>0.44199999999999307</v>
      </c>
      <c r="AO36" s="191">
        <f t="shared" si="48"/>
        <v>-23.20300000000001</v>
      </c>
      <c r="AP36" s="191">
        <f t="shared" si="48"/>
        <v>104.82199999999999</v>
      </c>
      <c r="AQ36" s="238">
        <f>SUM(AQ32:AQ35)</f>
        <v>-7.268000000000014</v>
      </c>
      <c r="AR36" s="190">
        <f t="shared" si="48"/>
        <v>-24.261000000000003</v>
      </c>
      <c r="AS36" s="191">
        <f>SUM(AS32:AS35)</f>
        <v>19.096999999999987</v>
      </c>
      <c r="AT36" s="191">
        <f>SUM(AT32:AT35)</f>
        <v>-264.86700000000002</v>
      </c>
      <c r="AU36" s="238">
        <f t="shared" si="48"/>
        <v>-98.913000000000011</v>
      </c>
      <c r="AV36" s="190">
        <f>SUM(AV32:AV35)</f>
        <v>-166.58499999999998</v>
      </c>
      <c r="AW36" s="191">
        <f t="shared" ref="AW36:AY36" si="49">SUM(AW32:AW35)</f>
        <v>29.980999999999931</v>
      </c>
      <c r="AX36" s="191">
        <f t="shared" si="49"/>
        <v>-0.1999999999999833</v>
      </c>
      <c r="AY36" s="238">
        <f t="shared" si="49"/>
        <v>338.49400000000003</v>
      </c>
      <c r="AZ36" s="190">
        <f>SUM(AZ32:AZ35)</f>
        <v>162.35300000000001</v>
      </c>
      <c r="BA36" s="191">
        <f t="shared" ref="BA36:BC36" si="50">SUM(BA32:BA35)</f>
        <v>-85.356000000000009</v>
      </c>
      <c r="BB36" s="191">
        <f t="shared" si="50"/>
        <v>-8.0819999999999794</v>
      </c>
      <c r="BC36" s="238">
        <f t="shared" si="50"/>
        <v>92.680000000000106</v>
      </c>
      <c r="BD36" s="190">
        <f>SUM(BD32:BD35)</f>
        <v>-18.306999999999992</v>
      </c>
      <c r="BE36" s="191">
        <f t="shared" ref="BE36:BG36" si="51">SUM(BE32:BE35)</f>
        <v>-12.738999999999999</v>
      </c>
      <c r="BF36" s="191">
        <f t="shared" si="51"/>
        <v>92.801000000000002</v>
      </c>
      <c r="BG36" s="238">
        <f t="shared" si="51"/>
        <v>-23.451999999999991</v>
      </c>
      <c r="BH36" s="191">
        <f t="shared" ref="BH36:BI36" si="52">SUM(BH32:BH35)</f>
        <v>-13.214990579999998</v>
      </c>
      <c r="BI36" s="191">
        <f t="shared" si="52"/>
        <v>-13.6326531594</v>
      </c>
      <c r="BJ36" s="191">
        <f t="shared" ref="BJ36:BM36" si="53">SUM(BJ32:BJ35)</f>
        <v>-14.035498632836999</v>
      </c>
      <c r="BK36" s="238">
        <f t="shared" si="53"/>
        <v>-13.904490966596999</v>
      </c>
      <c r="BL36" s="191">
        <f t="shared" si="53"/>
        <v>-13.144701167067687</v>
      </c>
      <c r="BM36" s="191">
        <f t="shared" si="53"/>
        <v>-13.982610390606871</v>
      </c>
      <c r="BN36" s="191">
        <f t="shared" ref="BN36:BO36" si="54">SUM(BN32:BN35)</f>
        <v>-14.453350391906344</v>
      </c>
      <c r="BO36" s="238">
        <f t="shared" si="54"/>
        <v>-14.285419862710267</v>
      </c>
      <c r="BP36" s="335"/>
      <c r="BQ36" s="191">
        <f t="shared" ref="BQ36:CA36" si="55">SUM(BQ32:BQ35)</f>
        <v>-348.12999999999988</v>
      </c>
      <c r="BR36" s="191">
        <f t="shared" si="55"/>
        <v>-367.54500000000007</v>
      </c>
      <c r="BS36" s="191">
        <f t="shared" si="55"/>
        <v>-544.73099999999988</v>
      </c>
      <c r="BT36" s="191">
        <f t="shared" si="55"/>
        <v>-185.14499999999995</v>
      </c>
      <c r="BU36" s="191">
        <f t="shared" si="55"/>
        <v>-64.721000000000004</v>
      </c>
      <c r="BV36" s="191">
        <f t="shared" si="55"/>
        <v>-744.029</v>
      </c>
      <c r="BW36" s="191">
        <f t="shared" si="55"/>
        <v>-529.32900000000006</v>
      </c>
      <c r="BX36" s="191">
        <f t="shared" si="55"/>
        <v>-590.05299999999988</v>
      </c>
      <c r="BY36" s="191">
        <f t="shared" si="55"/>
        <v>178.81499999999969</v>
      </c>
      <c r="BZ36" s="191">
        <f t="shared" si="55"/>
        <v>74.792999999999907</v>
      </c>
      <c r="CA36" s="191">
        <f t="shared" si="55"/>
        <v>-368.94399999999996</v>
      </c>
      <c r="CB36" s="191">
        <f t="shared" ref="CB36:CG36" si="56">SUM(CB32:CB35)</f>
        <v>201.69000000000017</v>
      </c>
      <c r="CC36" s="191">
        <f t="shared" si="56"/>
        <v>161.5950000000002</v>
      </c>
      <c r="CD36" s="191">
        <f t="shared" si="56"/>
        <v>38.30300000000004</v>
      </c>
      <c r="CE36" s="191">
        <f t="shared" si="56"/>
        <v>-54.787633338833999</v>
      </c>
      <c r="CF36" s="191">
        <f t="shared" si="56"/>
        <v>-55.866081812291171</v>
      </c>
      <c r="CG36" s="714">
        <f t="shared" si="56"/>
        <v>-55.866081812291171</v>
      </c>
      <c r="CH36" s="722"/>
    </row>
    <row r="37" spans="2:86" ht="15" thickTop="1">
      <c r="B37" s="578"/>
      <c r="C37" s="177"/>
      <c r="D37" s="182"/>
      <c r="E37" s="183"/>
      <c r="F37" s="183"/>
      <c r="G37" s="184"/>
      <c r="H37" s="182"/>
      <c r="I37" s="183"/>
      <c r="J37" s="183"/>
      <c r="K37" s="184"/>
      <c r="L37" s="182"/>
      <c r="M37" s="183"/>
      <c r="N37" s="183"/>
      <c r="O37" s="184"/>
      <c r="P37" s="182"/>
      <c r="Q37" s="183"/>
      <c r="R37" s="183"/>
      <c r="S37" s="184"/>
      <c r="T37" s="182"/>
      <c r="U37" s="183"/>
      <c r="V37" s="183"/>
      <c r="W37" s="184"/>
      <c r="X37" s="182"/>
      <c r="Y37" s="183"/>
      <c r="Z37" s="183"/>
      <c r="AA37" s="184"/>
      <c r="AB37" s="182"/>
      <c r="AC37" s="183"/>
      <c r="AD37" s="183"/>
      <c r="AE37" s="184"/>
      <c r="AF37" s="182"/>
      <c r="AG37" s="183"/>
      <c r="AH37" s="183"/>
      <c r="AI37" s="184"/>
      <c r="AJ37" s="182"/>
      <c r="AK37" s="183"/>
      <c r="AL37" s="183"/>
      <c r="AM37" s="184"/>
      <c r="AN37" s="182"/>
      <c r="AO37" s="183"/>
      <c r="AP37" s="183"/>
      <c r="AQ37" s="184"/>
      <c r="AR37" s="182"/>
      <c r="AS37" s="183"/>
      <c r="AT37" s="183"/>
      <c r="AU37" s="184"/>
      <c r="AV37" s="182"/>
      <c r="AW37" s="183"/>
      <c r="AX37" s="183"/>
      <c r="AY37" s="184"/>
      <c r="AZ37" s="182"/>
      <c r="BA37" s="183"/>
      <c r="BB37" s="183"/>
      <c r="BC37" s="184"/>
      <c r="BD37" s="182"/>
      <c r="BE37" s="183"/>
      <c r="BF37" s="183"/>
      <c r="BG37" s="184"/>
      <c r="BH37" s="183"/>
      <c r="BI37" s="183"/>
      <c r="BJ37" s="183"/>
      <c r="BK37" s="613"/>
      <c r="BL37" s="183"/>
      <c r="BM37" s="183"/>
      <c r="BN37" s="183"/>
      <c r="BO37" s="184"/>
      <c r="BP37" s="335"/>
      <c r="BQ37" s="429"/>
      <c r="BR37" s="429"/>
      <c r="BS37" s="429"/>
      <c r="BT37" s="429"/>
      <c r="BU37" s="429"/>
      <c r="BV37" s="429"/>
      <c r="BW37" s="429"/>
      <c r="BX37" s="429"/>
      <c r="BY37" s="429"/>
      <c r="BZ37" s="429"/>
      <c r="CA37" s="429"/>
      <c r="CB37" s="429"/>
      <c r="CC37" s="429"/>
      <c r="CD37" s="546"/>
      <c r="CE37" s="429"/>
      <c r="CF37" s="429"/>
      <c r="CG37" s="699"/>
      <c r="CH37" s="336"/>
    </row>
    <row r="38" spans="2:86" ht="15">
      <c r="B38" s="583" t="s">
        <v>174</v>
      </c>
      <c r="C38" s="189"/>
      <c r="D38" s="182"/>
      <c r="E38" s="183"/>
      <c r="F38" s="183"/>
      <c r="G38" s="184"/>
      <c r="H38" s="182"/>
      <c r="I38" s="183"/>
      <c r="J38" s="183"/>
      <c r="K38" s="184"/>
      <c r="L38" s="182"/>
      <c r="M38" s="183"/>
      <c r="N38" s="183"/>
      <c r="O38" s="184"/>
      <c r="P38" s="182"/>
      <c r="Q38" s="183"/>
      <c r="R38" s="183"/>
      <c r="S38" s="184"/>
      <c r="T38" s="182"/>
      <c r="U38" s="183"/>
      <c r="V38" s="183"/>
      <c r="W38" s="184"/>
      <c r="X38" s="182"/>
      <c r="Y38" s="183"/>
      <c r="Z38" s="183"/>
      <c r="AA38" s="184"/>
      <c r="AB38" s="182"/>
      <c r="AC38" s="183"/>
      <c r="AD38" s="183"/>
      <c r="AE38" s="184"/>
      <c r="AF38" s="182"/>
      <c r="AG38" s="183"/>
      <c r="AH38" s="183"/>
      <c r="AI38" s="184"/>
      <c r="AJ38" s="182"/>
      <c r="AK38" s="183"/>
      <c r="AL38" s="183"/>
      <c r="AM38" s="184"/>
      <c r="AN38" s="182"/>
      <c r="AO38" s="183"/>
      <c r="AP38" s="183"/>
      <c r="AQ38" s="184"/>
      <c r="AR38" s="182"/>
      <c r="AS38" s="183"/>
      <c r="AT38" s="183"/>
      <c r="AU38" s="184"/>
      <c r="AV38" s="182"/>
      <c r="AW38" s="183"/>
      <c r="AX38" s="363"/>
      <c r="AY38" s="184"/>
      <c r="AZ38" s="182"/>
      <c r="BA38" s="183"/>
      <c r="BB38" s="183"/>
      <c r="BC38" s="184"/>
      <c r="BD38" s="182"/>
      <c r="BE38" s="183"/>
      <c r="BF38" s="183"/>
      <c r="BG38" s="184"/>
      <c r="BH38" s="183"/>
      <c r="BI38" s="183"/>
      <c r="BJ38" s="183"/>
      <c r="BK38" s="610"/>
      <c r="BL38" s="183"/>
      <c r="BM38" s="183"/>
      <c r="BN38" s="183"/>
      <c r="BO38" s="184"/>
      <c r="BP38" s="335"/>
      <c r="BQ38" s="429"/>
      <c r="BR38" s="429"/>
      <c r="BS38" s="429"/>
      <c r="BT38" s="429"/>
      <c r="BU38" s="429"/>
      <c r="BV38" s="429"/>
      <c r="BW38" s="429"/>
      <c r="BX38" s="429"/>
      <c r="BY38" s="429"/>
      <c r="BZ38" s="429"/>
      <c r="CA38" s="429"/>
      <c r="CB38" s="429"/>
      <c r="CC38" s="429"/>
      <c r="CD38" s="546"/>
      <c r="CE38" s="429"/>
      <c r="CF38" s="429"/>
      <c r="CG38" s="699"/>
      <c r="CH38" s="336"/>
    </row>
    <row r="39" spans="2:86" ht="14.25">
      <c r="B39" s="579" t="s">
        <v>201</v>
      </c>
      <c r="C39" s="188"/>
      <c r="D39" s="182">
        <v>0</v>
      </c>
      <c r="E39" s="186">
        <f>0-D39</f>
        <v>0</v>
      </c>
      <c r="F39" s="186">
        <f>0-E39-D39</f>
        <v>0</v>
      </c>
      <c r="G39" s="187">
        <f>0-F39-E39-D39</f>
        <v>0</v>
      </c>
      <c r="H39" s="182">
        <v>0</v>
      </c>
      <c r="I39" s="186">
        <f>0-H39</f>
        <v>0</v>
      </c>
      <c r="J39" s="186">
        <f>0-I39-H39</f>
        <v>0</v>
      </c>
      <c r="K39" s="187">
        <f>0-J39-I39-H39</f>
        <v>0</v>
      </c>
      <c r="L39" s="182">
        <v>0</v>
      </c>
      <c r="M39" s="186">
        <f>0-L39</f>
        <v>0</v>
      </c>
      <c r="N39" s="186">
        <f>0-M39-L39</f>
        <v>0</v>
      </c>
      <c r="O39" s="187">
        <f>0-N39-M39-L39</f>
        <v>0</v>
      </c>
      <c r="P39" s="182">
        <v>0</v>
      </c>
      <c r="Q39" s="186">
        <f>0-P39</f>
        <v>0</v>
      </c>
      <c r="R39" s="186">
        <f>0-Q39-P39</f>
        <v>0</v>
      </c>
      <c r="S39" s="187">
        <f>0-R39-Q39-P39</f>
        <v>0</v>
      </c>
      <c r="T39" s="182">
        <v>0</v>
      </c>
      <c r="U39" s="186">
        <f>0-T39</f>
        <v>0</v>
      </c>
      <c r="V39" s="186">
        <f>0-U39-T39</f>
        <v>0</v>
      </c>
      <c r="W39" s="187">
        <f>0-V39-U39-T39</f>
        <v>0</v>
      </c>
      <c r="X39" s="182">
        <v>0</v>
      </c>
      <c r="Y39" s="186">
        <f>0-X39</f>
        <v>0</v>
      </c>
      <c r="Z39" s="186">
        <f>0-Y39-X39</f>
        <v>0</v>
      </c>
      <c r="AA39" s="187">
        <f>0-Z39-Y39-X39</f>
        <v>0</v>
      </c>
      <c r="AB39" s="182">
        <v>0</v>
      </c>
      <c r="AC39" s="186">
        <f>0-AB39</f>
        <v>0</v>
      </c>
      <c r="AD39" s="186">
        <f>-60.594-AC39-AB39</f>
        <v>-60.594000000000001</v>
      </c>
      <c r="AE39" s="187">
        <f>-87.486-AD39-AC39-AB39</f>
        <v>-26.892000000000003</v>
      </c>
      <c r="AF39" s="182">
        <v>-803.50099999999998</v>
      </c>
      <c r="AG39" s="183">
        <v>-135.74</v>
      </c>
      <c r="AH39" s="183">
        <v>-215.155</v>
      </c>
      <c r="AI39" s="184">
        <v>-186.48</v>
      </c>
      <c r="AJ39" s="182">
        <v>-223.15700000000001</v>
      </c>
      <c r="AK39" s="183">
        <v>-250.327</v>
      </c>
      <c r="AL39" s="183">
        <v>-202.98699999999999</v>
      </c>
      <c r="AM39" s="184">
        <v>-260.464</v>
      </c>
      <c r="AN39" s="182">
        <v>-216.69399999999999</v>
      </c>
      <c r="AO39" s="183">
        <v>-88.114000000000004</v>
      </c>
      <c r="AP39" s="183">
        <v>-71.477000000000004</v>
      </c>
      <c r="AQ39" s="184">
        <v>0</v>
      </c>
      <c r="AR39" s="182">
        <v>0</v>
      </c>
      <c r="AS39" s="183">
        <v>0</v>
      </c>
      <c r="AT39" s="183">
        <v>-43.774000000000001</v>
      </c>
      <c r="AU39" s="184">
        <v>-21.187999999999999</v>
      </c>
      <c r="AV39" s="182">
        <v>-20.273</v>
      </c>
      <c r="AW39" s="183">
        <v>-175.31100000000001</v>
      </c>
      <c r="AX39" s="183">
        <v>-65.290999999999997</v>
      </c>
      <c r="AY39" s="184">
        <v>0</v>
      </c>
      <c r="AZ39" s="182">
        <v>0</v>
      </c>
      <c r="BA39" s="183">
        <v>0</v>
      </c>
      <c r="BB39" s="183">
        <v>-56.530999999999999</v>
      </c>
      <c r="BC39" s="184">
        <v>-125.033</v>
      </c>
      <c r="BD39" s="182">
        <v>-166.29300000000001</v>
      </c>
      <c r="BE39" s="183">
        <v>-221.26499999999999</v>
      </c>
      <c r="BF39" s="183">
        <v>-140.017</v>
      </c>
      <c r="BG39" s="184">
        <v>0</v>
      </c>
      <c r="BH39" s="183">
        <v>0</v>
      </c>
      <c r="BI39" s="183">
        <v>0</v>
      </c>
      <c r="BJ39" s="183">
        <v>0</v>
      </c>
      <c r="BK39" s="610">
        <v>0</v>
      </c>
      <c r="BL39" s="183">
        <v>0</v>
      </c>
      <c r="BM39" s="183">
        <v>0</v>
      </c>
      <c r="BN39" s="183">
        <v>0</v>
      </c>
      <c r="BO39" s="183">
        <v>0</v>
      </c>
      <c r="BP39" s="335"/>
      <c r="BQ39" s="427">
        <f>SUM(D39:G39)</f>
        <v>0</v>
      </c>
      <c r="BR39" s="427">
        <f>SUM(H39:K39)</f>
        <v>0</v>
      </c>
      <c r="BS39" s="427">
        <f>SUM(L39:O39)</f>
        <v>0</v>
      </c>
      <c r="BT39" s="427">
        <f>SUM(P39:S39)</f>
        <v>0</v>
      </c>
      <c r="BU39" s="427">
        <f>SUM(T39:W39)</f>
        <v>0</v>
      </c>
      <c r="BV39" s="427">
        <f>SUM(X39:AA39)</f>
        <v>0</v>
      </c>
      <c r="BW39" s="427">
        <f>SUM(AB39:AE39)</f>
        <v>-87.486000000000004</v>
      </c>
      <c r="BX39" s="427">
        <f>SUM(AF39:AI39)</f>
        <v>-1340.876</v>
      </c>
      <c r="BY39" s="427">
        <f>SUM(AJ39:AM39)</f>
        <v>-936.93499999999995</v>
      </c>
      <c r="BZ39" s="427">
        <f t="shared" ref="BZ39:BZ44" si="57">SUM(AN39:AQ39)</f>
        <v>-376.28499999999997</v>
      </c>
      <c r="CA39" s="427">
        <f t="shared" ref="CA39:CA44" si="58">SUM(AR39:AU39)</f>
        <v>-64.962000000000003</v>
      </c>
      <c r="CB39" s="427">
        <f t="shared" ref="CB39:CB44" si="59">SUM(AV39:AY39)</f>
        <v>-260.875</v>
      </c>
      <c r="CC39" s="427">
        <f t="shared" ref="CC39:CC44" si="60">SUM(AZ39:BC39)</f>
        <v>-181.56399999999999</v>
      </c>
      <c r="CD39" s="427">
        <f t="shared" ref="CD39:CD44" si="61">SUM(BD39:BG39)</f>
        <v>-527.57500000000005</v>
      </c>
      <c r="CE39" s="427">
        <f t="shared" ref="CE39:CE44" si="62">SUM(BH39:BK39)</f>
        <v>0</v>
      </c>
      <c r="CF39" s="427">
        <f t="shared" ref="CF39:CF43" si="63">SUM(BL39:BO39)</f>
        <v>0</v>
      </c>
      <c r="CG39" s="699">
        <v>0</v>
      </c>
      <c r="CH39" s="336"/>
    </row>
    <row r="40" spans="2:86" ht="14.25">
      <c r="B40" s="579" t="s">
        <v>271</v>
      </c>
      <c r="C40" s="188"/>
      <c r="D40" s="182">
        <v>19.349</v>
      </c>
      <c r="E40" s="186">
        <f>52.282-D40</f>
        <v>32.932999999999993</v>
      </c>
      <c r="F40" s="186">
        <f>89.849-E40-D40</f>
        <v>37.567000000000007</v>
      </c>
      <c r="G40" s="187">
        <f>131.679-F40-E40-D40</f>
        <v>41.83</v>
      </c>
      <c r="H40" s="182">
        <v>20.119</v>
      </c>
      <c r="I40" s="186">
        <f>51.606-H40</f>
        <v>31.487000000000002</v>
      </c>
      <c r="J40" s="186">
        <f>65.732-I40-H40</f>
        <v>14.125999999999998</v>
      </c>
      <c r="K40" s="187">
        <f>163.126-J40-I40-H40</f>
        <v>97.394000000000005</v>
      </c>
      <c r="L40" s="182">
        <v>10.904</v>
      </c>
      <c r="M40" s="186">
        <f>33.86-L40</f>
        <v>22.956</v>
      </c>
      <c r="N40" s="186">
        <f>36.035-M40-L40</f>
        <v>2.1749999999999972</v>
      </c>
      <c r="O40" s="187">
        <f>45.645-N40-M40-L40</f>
        <v>9.6100000000000065</v>
      </c>
      <c r="P40" s="182">
        <v>0</v>
      </c>
      <c r="Q40" s="186">
        <f>2.681-P40</f>
        <v>2.681</v>
      </c>
      <c r="R40" s="186">
        <f>32.289-Q40-P40</f>
        <v>29.608000000000001</v>
      </c>
      <c r="S40" s="187">
        <f>65.903-R40-Q40-P40</f>
        <v>33.614000000000004</v>
      </c>
      <c r="T40" s="182">
        <v>17.053999999999998</v>
      </c>
      <c r="U40" s="186">
        <f>67.656-T40</f>
        <v>50.602000000000004</v>
      </c>
      <c r="V40" s="186">
        <f>80.453-U40-T40</f>
        <v>12.797000000000001</v>
      </c>
      <c r="W40" s="187">
        <f>92.645-V40-U40-T40</f>
        <v>12.191999999999997</v>
      </c>
      <c r="X40" s="182">
        <v>0.38500000000000001</v>
      </c>
      <c r="Y40" s="186">
        <f>21.021-X40</f>
        <v>20.635999999999999</v>
      </c>
      <c r="Z40" s="186">
        <f>34.749-Y40-X40</f>
        <v>13.728000000000003</v>
      </c>
      <c r="AA40" s="187">
        <f>111.645-Z40-Y40-X40</f>
        <v>76.895999999999987</v>
      </c>
      <c r="AB40" s="182">
        <v>48.688000000000002</v>
      </c>
      <c r="AC40" s="186">
        <f>80.477-AB40</f>
        <v>31.789000000000001</v>
      </c>
      <c r="AD40" s="186">
        <f>97.673-AC40-AB40</f>
        <v>17.195999999999998</v>
      </c>
      <c r="AE40" s="187">
        <f>165.954-AD40-AC40-AB40</f>
        <v>68.281000000000006</v>
      </c>
      <c r="AF40" s="182">
        <v>5.2069999999999999</v>
      </c>
      <c r="AG40" s="183">
        <v>36.548000000000002</v>
      </c>
      <c r="AH40" s="183">
        <v>8.6379999999999999</v>
      </c>
      <c r="AI40" s="184">
        <v>47.463999999999999</v>
      </c>
      <c r="AJ40" s="182">
        <v>17.803000000000001</v>
      </c>
      <c r="AK40" s="183">
        <v>39.526000000000003</v>
      </c>
      <c r="AL40" s="183">
        <v>8.9149999999999991</v>
      </c>
      <c r="AM40" s="184">
        <v>38.692</v>
      </c>
      <c r="AN40" s="182">
        <v>19.805</v>
      </c>
      <c r="AO40" s="183">
        <v>53.316000000000003</v>
      </c>
      <c r="AP40" s="183">
        <v>24.155000000000001</v>
      </c>
      <c r="AQ40" s="184">
        <v>107.68600000000001</v>
      </c>
      <c r="AR40" s="182">
        <v>19.091999999999999</v>
      </c>
      <c r="AS40" s="183">
        <v>49.281999999999996</v>
      </c>
      <c r="AT40" s="183">
        <v>2.9340000000000002</v>
      </c>
      <c r="AU40" s="184">
        <v>41.048999999999999</v>
      </c>
      <c r="AV40" s="182">
        <v>13.013</v>
      </c>
      <c r="AW40" s="183">
        <v>44.161000000000001</v>
      </c>
      <c r="AX40" s="183">
        <v>2.1739999999999999</v>
      </c>
      <c r="AY40" s="184">
        <v>21.369</v>
      </c>
      <c r="AZ40" s="182">
        <v>0.315</v>
      </c>
      <c r="BA40" s="183">
        <v>0.24399999999999999</v>
      </c>
      <c r="BB40" s="183">
        <v>11.276999999999999</v>
      </c>
      <c r="BC40" s="184">
        <v>62.383000000000003</v>
      </c>
      <c r="BD40" s="182">
        <v>19.939</v>
      </c>
      <c r="BE40" s="183">
        <v>77.872</v>
      </c>
      <c r="BF40" s="183">
        <v>39.613999999999997</v>
      </c>
      <c r="BG40" s="184">
        <v>42.878</v>
      </c>
      <c r="BH40" s="183">
        <v>0</v>
      </c>
      <c r="BI40" s="183">
        <v>0</v>
      </c>
      <c r="BJ40" s="183">
        <v>0</v>
      </c>
      <c r="BK40" s="610">
        <v>0</v>
      </c>
      <c r="BL40" s="183">
        <v>0</v>
      </c>
      <c r="BM40" s="183">
        <v>0</v>
      </c>
      <c r="BN40" s="183">
        <v>0</v>
      </c>
      <c r="BO40" s="184">
        <v>0</v>
      </c>
      <c r="BP40" s="335"/>
      <c r="BQ40" s="427">
        <f>SUM(D40:G40)</f>
        <v>131.679</v>
      </c>
      <c r="BR40" s="427">
        <f>SUM(H40:K40)</f>
        <v>163.126</v>
      </c>
      <c r="BS40" s="427">
        <f>SUM(L40:O40)</f>
        <v>45.645000000000003</v>
      </c>
      <c r="BT40" s="427">
        <f>SUM(P40:S40)</f>
        <v>65.903000000000006</v>
      </c>
      <c r="BU40" s="427">
        <f>SUM(T40:W40)</f>
        <v>92.644999999999996</v>
      </c>
      <c r="BV40" s="427">
        <f>SUM(X40:AA40)</f>
        <v>111.64499999999998</v>
      </c>
      <c r="BW40" s="427">
        <f>SUM(AB40:AE40)</f>
        <v>165.95400000000001</v>
      </c>
      <c r="BX40" s="427">
        <f>SUM(AF40:AI40)</f>
        <v>97.856999999999999</v>
      </c>
      <c r="BY40" s="427">
        <f>SUM(AJ40:AM40)</f>
        <v>104.93600000000001</v>
      </c>
      <c r="BZ40" s="427">
        <f t="shared" si="57"/>
        <v>204.96200000000002</v>
      </c>
      <c r="CA40" s="427">
        <f t="shared" si="58"/>
        <v>112.357</v>
      </c>
      <c r="CB40" s="427">
        <f t="shared" si="59"/>
        <v>80.716999999999999</v>
      </c>
      <c r="CC40" s="427">
        <f t="shared" si="60"/>
        <v>74.218999999999994</v>
      </c>
      <c r="CD40" s="427">
        <f t="shared" si="61"/>
        <v>180.303</v>
      </c>
      <c r="CE40" s="427">
        <f t="shared" si="62"/>
        <v>0</v>
      </c>
      <c r="CF40" s="427">
        <f t="shared" si="63"/>
        <v>0</v>
      </c>
      <c r="CG40" s="699">
        <v>0</v>
      </c>
      <c r="CH40" s="336"/>
    </row>
    <row r="41" spans="2:86" ht="14.25">
      <c r="B41" s="584" t="s">
        <v>455</v>
      </c>
      <c r="C41" s="188"/>
      <c r="D41" s="182">
        <v>-2.5390000000000001</v>
      </c>
      <c r="E41" s="186">
        <f>-5.398-D41</f>
        <v>-2.8589999999999995</v>
      </c>
      <c r="F41" s="186">
        <f>-9.026-E41-D41</f>
        <v>-3.6279999999999997</v>
      </c>
      <c r="G41" s="186">
        <f>-12.577-F41-E41-D41</f>
        <v>-3.5509999999999997</v>
      </c>
      <c r="H41" s="182">
        <v>-3.1560000000000001</v>
      </c>
      <c r="I41" s="186">
        <f>-6.784-H41</f>
        <v>-3.6279999999999997</v>
      </c>
      <c r="J41" s="186">
        <f>-12.042-I41-H41</f>
        <v>-5.2579999999999991</v>
      </c>
      <c r="K41" s="186">
        <f>-15.918-J41-I41-H41</f>
        <v>-3.8759999999999999</v>
      </c>
      <c r="L41" s="182">
        <v>-4.6280000000000001</v>
      </c>
      <c r="M41" s="186">
        <f>-9.057-L41</f>
        <v>-4.4290000000000003</v>
      </c>
      <c r="N41" s="186">
        <f>-13.687-M41-L41</f>
        <v>-4.629999999999999</v>
      </c>
      <c r="O41" s="186">
        <f>-19.537+400-N41-M41-L41</f>
        <v>394.15</v>
      </c>
      <c r="P41" s="182">
        <v>-5.7930000000000001</v>
      </c>
      <c r="Q41" s="186">
        <f>-7.811-P41</f>
        <v>-2.0179999999999998</v>
      </c>
      <c r="R41" s="186">
        <f>-9.589-Q41-P41</f>
        <v>-1.7780000000000005</v>
      </c>
      <c r="S41" s="186">
        <f>-10.748-R41-Q41-P41</f>
        <v>-1.1589999999999989</v>
      </c>
      <c r="T41" s="182">
        <v>-2.125</v>
      </c>
      <c r="U41" s="186">
        <f>-103.405-T41</f>
        <v>-101.28</v>
      </c>
      <c r="V41" s="186">
        <f>-205.039-U41-T41</f>
        <v>-101.63399999999999</v>
      </c>
      <c r="W41" s="186">
        <f>-397.213-V41-U41-T41</f>
        <v>-192.17400000000006</v>
      </c>
      <c r="X41" s="182">
        <v>-0.433</v>
      </c>
      <c r="Y41" s="186">
        <f>-0.875-X41</f>
        <v>-0.442</v>
      </c>
      <c r="Z41" s="186">
        <f>-1.326-Y41-X41</f>
        <v>-0.45100000000000012</v>
      </c>
      <c r="AA41" s="186">
        <f>-1.787-Z41-Y41-X41</f>
        <v>-0.46099999999999991</v>
      </c>
      <c r="AB41" s="182">
        <v>-0.47</v>
      </c>
      <c r="AC41" s="186">
        <f>-0.95-AB41</f>
        <v>-0.48</v>
      </c>
      <c r="AD41" s="186">
        <f>-1.44-AC41-AB41</f>
        <v>-0.49</v>
      </c>
      <c r="AE41" s="187">
        <f>-1.94-AD41-AC41-AB41</f>
        <v>-0.5</v>
      </c>
      <c r="AF41" s="182">
        <v>-0.51100000000000001</v>
      </c>
      <c r="AG41" s="183">
        <v>0</v>
      </c>
      <c r="AH41" s="183">
        <v>0</v>
      </c>
      <c r="AI41" s="180">
        <v>0</v>
      </c>
      <c r="AJ41" s="182">
        <v>0</v>
      </c>
      <c r="AK41" s="183">
        <v>0</v>
      </c>
      <c r="AL41" s="183">
        <v>0</v>
      </c>
      <c r="AM41" s="180">
        <v>0</v>
      </c>
      <c r="AN41" s="182">
        <v>0</v>
      </c>
      <c r="AO41" s="183">
        <v>0</v>
      </c>
      <c r="AP41" s="183">
        <v>0</v>
      </c>
      <c r="AQ41" s="180">
        <v>0</v>
      </c>
      <c r="AR41" s="182">
        <v>0</v>
      </c>
      <c r="AS41" s="183">
        <v>0</v>
      </c>
      <c r="AT41" s="183">
        <v>-5.9509999999999996</v>
      </c>
      <c r="AU41" s="180">
        <v>0</v>
      </c>
      <c r="AV41" s="182">
        <v>-4.0670000000000002</v>
      </c>
      <c r="AW41" s="183">
        <v>-27.741</v>
      </c>
      <c r="AX41" s="183">
        <f>-0.869-2.617+0.002</f>
        <v>-3.484</v>
      </c>
      <c r="AY41" s="184">
        <f>+-0.482-1.112</f>
        <v>-1.5940000000000001</v>
      </c>
      <c r="AZ41" s="182">
        <v>-5.2939999999999996</v>
      </c>
      <c r="BA41" s="183">
        <v>-4.8579999999999997</v>
      </c>
      <c r="BB41" s="183">
        <v>-3.6960000000000002</v>
      </c>
      <c r="BC41" s="184">
        <v>-7.117</v>
      </c>
      <c r="BD41" s="182">
        <v>-6.8150000000000004</v>
      </c>
      <c r="BE41" s="183">
        <v>-7.4809999999999999</v>
      </c>
      <c r="BF41" s="183">
        <v>-8.4009999999999998</v>
      </c>
      <c r="BG41" s="184">
        <v>-5.806</v>
      </c>
      <c r="BH41" s="179">
        <f>BS!BH33-BS!BG33+BS!BH36-BS!BG36+BS!BH38-BS!BG38</f>
        <v>0</v>
      </c>
      <c r="BI41" s="179">
        <f>BS!BI33-BS!BH33+BS!BI36-BS!BH36+BS!BI38-BS!BH38</f>
        <v>0</v>
      </c>
      <c r="BJ41" s="179">
        <f>BS!BJ33-BS!BI33+BS!BJ36-BS!BI36+BS!BJ38-BS!BI38</f>
        <v>0</v>
      </c>
      <c r="BK41" s="180">
        <f>BS!BK33-BS!BJ33+BS!BK36-BS!BJ36+BS!BK38-BS!BJ38</f>
        <v>0</v>
      </c>
      <c r="BL41" s="179">
        <f>BS!BL33-BS!BK33+BS!BL36-BS!BK36+BS!BL38-BS!BK38</f>
        <v>0</v>
      </c>
      <c r="BM41" s="179">
        <f>BS!BM33-BS!BL33+BS!BM36-BS!BL36+BS!BM38-BS!BL38</f>
        <v>0</v>
      </c>
      <c r="BN41" s="179">
        <f>BS!BN33-BS!BM33+BS!BN36-BS!BM36+BS!BN38-BS!BM38</f>
        <v>0</v>
      </c>
      <c r="BO41" s="180">
        <f>BS!BO33-BS!BN33+BS!BO36-BS!BN36+BS!BO38-BS!BN38</f>
        <v>0</v>
      </c>
      <c r="BP41" s="335"/>
      <c r="BQ41" s="427">
        <f>SUM(D41:G41)</f>
        <v>-12.577</v>
      </c>
      <c r="BR41" s="427">
        <f>SUM(H41:K41)</f>
        <v>-15.917999999999997</v>
      </c>
      <c r="BS41" s="427">
        <f>SUM(L41:O41)</f>
        <v>380.46299999999997</v>
      </c>
      <c r="BT41" s="427">
        <f>SUM(P41:S41)</f>
        <v>-10.747999999999999</v>
      </c>
      <c r="BU41" s="427">
        <f>SUM(T41:W41)</f>
        <v>-397.21300000000008</v>
      </c>
      <c r="BV41" s="427">
        <f>SUM(X41:AA41)</f>
        <v>-1.7869999999999999</v>
      </c>
      <c r="BW41" s="427">
        <f>SUM(AB41:AE41)</f>
        <v>-1.94</v>
      </c>
      <c r="BX41" s="427">
        <f>SUM(AF41:AI41)</f>
        <v>-0.51100000000000001</v>
      </c>
      <c r="BY41" s="427">
        <f>SUM(AJ41:AM41)</f>
        <v>0</v>
      </c>
      <c r="BZ41" s="427">
        <f t="shared" si="57"/>
        <v>0</v>
      </c>
      <c r="CA41" s="427">
        <f t="shared" si="58"/>
        <v>-5.9509999999999996</v>
      </c>
      <c r="CB41" s="427">
        <f t="shared" si="59"/>
        <v>-36.886000000000003</v>
      </c>
      <c r="CC41" s="427">
        <f t="shared" si="60"/>
        <v>-20.965</v>
      </c>
      <c r="CD41" s="427">
        <f t="shared" si="61"/>
        <v>-28.503</v>
      </c>
      <c r="CE41" s="427">
        <f t="shared" si="62"/>
        <v>0</v>
      </c>
      <c r="CF41" s="427">
        <f t="shared" si="63"/>
        <v>0</v>
      </c>
      <c r="CG41" s="698">
        <f>BS!CG33-BS!CF33+BS!CG36-BS!CF36+BS!CG38-BS!CF38</f>
        <v>0</v>
      </c>
      <c r="CH41" s="336"/>
    </row>
    <row r="42" spans="2:86" ht="14.25">
      <c r="B42" s="579" t="s">
        <v>298</v>
      </c>
      <c r="C42" s="188"/>
      <c r="D42" s="182"/>
      <c r="E42" s="186"/>
      <c r="F42" s="186"/>
      <c r="G42" s="186"/>
      <c r="H42" s="182"/>
      <c r="I42" s="186"/>
      <c r="J42" s="186"/>
      <c r="K42" s="186"/>
      <c r="L42" s="182"/>
      <c r="M42" s="186"/>
      <c r="N42" s="186"/>
      <c r="O42" s="186"/>
      <c r="P42" s="182"/>
      <c r="Q42" s="186"/>
      <c r="R42" s="186"/>
      <c r="S42" s="186"/>
      <c r="T42" s="182"/>
      <c r="U42" s="186"/>
      <c r="V42" s="186"/>
      <c r="W42" s="186"/>
      <c r="X42" s="182"/>
      <c r="Y42" s="186"/>
      <c r="Z42" s="186"/>
      <c r="AA42" s="186"/>
      <c r="AB42" s="182"/>
      <c r="AC42" s="186"/>
      <c r="AD42" s="186"/>
      <c r="AE42" s="187"/>
      <c r="AF42" s="182"/>
      <c r="AG42" s="183"/>
      <c r="AH42" s="183"/>
      <c r="AI42" s="180"/>
      <c r="AJ42" s="182"/>
      <c r="AK42" s="183"/>
      <c r="AL42" s="183"/>
      <c r="AM42" s="180"/>
      <c r="AN42" s="182">
        <v>-30.253</v>
      </c>
      <c r="AO42" s="183">
        <v>-29.791</v>
      </c>
      <c r="AP42" s="183">
        <v>-29.515999999999998</v>
      </c>
      <c r="AQ42" s="184">
        <v>-29.888999999999999</v>
      </c>
      <c r="AR42" s="182">
        <v>-30.172000000000001</v>
      </c>
      <c r="AS42" s="183">
        <v>-30.82</v>
      </c>
      <c r="AT42" s="183">
        <v>-30.867000000000001</v>
      </c>
      <c r="AU42" s="184">
        <v>-30.942</v>
      </c>
      <c r="AV42" s="182">
        <v>-30.91</v>
      </c>
      <c r="AW42" s="183">
        <v>-31.193999999999999</v>
      </c>
      <c r="AX42" s="183">
        <v>-30.27</v>
      </c>
      <c r="AY42" s="184">
        <v>-30.446999999999999</v>
      </c>
      <c r="AZ42" s="182">
        <v>-30.460999999999999</v>
      </c>
      <c r="BA42" s="183">
        <v>-30.675000000000001</v>
      </c>
      <c r="BB42" s="183">
        <v>-30.699000000000002</v>
      </c>
      <c r="BC42" s="184">
        <v>-30.457000000000001</v>
      </c>
      <c r="BD42" s="182">
        <v>-29.991</v>
      </c>
      <c r="BE42" s="183">
        <v>-30.094999999999999</v>
      </c>
      <c r="BF42" s="183">
        <v>-29.47</v>
      </c>
      <c r="BG42" s="184">
        <v>-29.695</v>
      </c>
      <c r="BH42" s="179">
        <f>-IS!BH135*IS!BH141</f>
        <v>-30.37182</v>
      </c>
      <c r="BI42" s="179">
        <f>-IS!BI135*IS!BI141</f>
        <v>-30.37182</v>
      </c>
      <c r="BJ42" s="179">
        <f>-IS!BJ135*IS!BJ141</f>
        <v>-30.37182</v>
      </c>
      <c r="BK42" s="180">
        <f>-IS!BK135*IS!BK141</f>
        <v>-30.37182</v>
      </c>
      <c r="BL42" s="179">
        <f>-IS!BL135*IS!BL141</f>
        <v>-30.37182</v>
      </c>
      <c r="BM42" s="179">
        <f>-IS!BM135*IS!BM141</f>
        <v>-30.37182</v>
      </c>
      <c r="BN42" s="179">
        <f>-IS!BN135*IS!BN141</f>
        <v>-30.37182</v>
      </c>
      <c r="BO42" s="180">
        <f>-IS!BO135*IS!BO141</f>
        <v>-30.37182</v>
      </c>
      <c r="BP42" s="335"/>
      <c r="BQ42" s="427"/>
      <c r="BR42" s="427"/>
      <c r="BS42" s="427"/>
      <c r="BT42" s="427"/>
      <c r="BU42" s="427"/>
      <c r="BV42" s="427"/>
      <c r="BW42" s="427"/>
      <c r="BX42" s="427"/>
      <c r="BY42" s="427"/>
      <c r="BZ42" s="427">
        <f t="shared" si="57"/>
        <v>-119.449</v>
      </c>
      <c r="CA42" s="427">
        <f t="shared" si="58"/>
        <v>-122.80100000000002</v>
      </c>
      <c r="CB42" s="427">
        <f t="shared" si="59"/>
        <v>-122.821</v>
      </c>
      <c r="CC42" s="427">
        <f t="shared" si="60"/>
        <v>-122.292</v>
      </c>
      <c r="CD42" s="427">
        <f t="shared" si="61"/>
        <v>-119.251</v>
      </c>
      <c r="CE42" s="427">
        <f t="shared" si="62"/>
        <v>-121.48728</v>
      </c>
      <c r="CF42" s="427">
        <f t="shared" si="63"/>
        <v>-121.48728</v>
      </c>
      <c r="CG42" s="698"/>
      <c r="CH42" s="336"/>
    </row>
    <row r="43" spans="2:86" ht="14.25">
      <c r="B43" s="579" t="s">
        <v>197</v>
      </c>
      <c r="C43" s="188"/>
      <c r="D43" s="182">
        <v>0</v>
      </c>
      <c r="E43" s="186">
        <f>0-D43</f>
        <v>0</v>
      </c>
      <c r="F43" s="186">
        <f>0-E43-D43</f>
        <v>0</v>
      </c>
      <c r="G43" s="186">
        <f>0-F43-E43-D43</f>
        <v>0</v>
      </c>
      <c r="H43" s="182">
        <v>0</v>
      </c>
      <c r="I43" s="186">
        <f>0-H43</f>
        <v>0</v>
      </c>
      <c r="J43" s="186">
        <f>0-I43-H43</f>
        <v>0</v>
      </c>
      <c r="K43" s="186">
        <f>0-J43-I43-H43</f>
        <v>0</v>
      </c>
      <c r="L43" s="182">
        <v>0.69699999999999995</v>
      </c>
      <c r="M43" s="186">
        <f>0.86-L43</f>
        <v>0.16300000000000003</v>
      </c>
      <c r="N43" s="186">
        <f>0.889-M43-L43</f>
        <v>2.9000000000000026E-2</v>
      </c>
      <c r="O43" s="186">
        <f>0.889-N43-M43-L43</f>
        <v>0</v>
      </c>
      <c r="P43" s="182">
        <v>0</v>
      </c>
      <c r="Q43" s="186">
        <f>0.235-P43</f>
        <v>0.23499999999999999</v>
      </c>
      <c r="R43" s="186">
        <f>0.3-Q43-P43</f>
        <v>6.5000000000000002E-2</v>
      </c>
      <c r="S43" s="186">
        <f>0.278-R43-Q43-P43</f>
        <v>-2.1999999999999964E-2</v>
      </c>
      <c r="T43" s="182">
        <v>0.16900000000000001</v>
      </c>
      <c r="U43" s="186">
        <f>0.494-T43</f>
        <v>0.32499999999999996</v>
      </c>
      <c r="V43" s="186">
        <f>0.356-U43-T43</f>
        <v>-0.13799999999999998</v>
      </c>
      <c r="W43" s="186">
        <f>0.365-V43-U43-T43</f>
        <v>9.0000000000000357E-3</v>
      </c>
      <c r="X43" s="182">
        <v>2.9000000000000001E-2</v>
      </c>
      <c r="Y43" s="186">
        <f>0.069-X43</f>
        <v>4.0000000000000008E-2</v>
      </c>
      <c r="Z43" s="186">
        <f>0.205-Y43-X43</f>
        <v>0.13599999999999998</v>
      </c>
      <c r="AA43" s="186">
        <f>0.677-Z43-Y43-X43</f>
        <v>0.47199999999999998</v>
      </c>
      <c r="AB43" s="182">
        <v>0.185</v>
      </c>
      <c r="AC43" s="186">
        <f>0.229-AB43</f>
        <v>4.4000000000000011E-2</v>
      </c>
      <c r="AD43" s="186">
        <f>0.669-AC43-AB43</f>
        <v>0.44</v>
      </c>
      <c r="AE43" s="187">
        <f>0.899-AD43-AC43-AB43</f>
        <v>0.23000000000000004</v>
      </c>
      <c r="AF43" s="182">
        <v>3.0000000000000001E-3</v>
      </c>
      <c r="AG43" s="183">
        <v>1.0999999999999999E-2</v>
      </c>
      <c r="AH43" s="183">
        <v>8.5000000000000006E-2</v>
      </c>
      <c r="AI43" s="184">
        <v>6.5000000000000002E-2</v>
      </c>
      <c r="AJ43" s="182">
        <f>0.041-8.879</f>
        <v>-8.8379999999999992</v>
      </c>
      <c r="AK43" s="183">
        <f>-0.598+0.003-33.537</f>
        <v>-34.131999999999998</v>
      </c>
      <c r="AL43" s="183">
        <f>-0.345-33.476+0.005</f>
        <v>-33.815999999999995</v>
      </c>
      <c r="AM43" s="184">
        <f>0.009-31.748-0.277</f>
        <v>-32.015999999999998</v>
      </c>
      <c r="AN43" s="182">
        <f>-9.378+0.007-5.317</f>
        <v>-14.688000000000001</v>
      </c>
      <c r="AO43" s="183">
        <f>-0.51-0.984+0.025</f>
        <v>-1.4690000000000001</v>
      </c>
      <c r="AP43" s="183">
        <f>-0.518+0.01</f>
        <v>-0.50800000000000001</v>
      </c>
      <c r="AQ43" s="184">
        <f>-0.466-1.11-0.022</f>
        <v>-1.5980000000000001</v>
      </c>
      <c r="AR43" s="182">
        <f>-24.286+0.044</f>
        <v>-24.242000000000001</v>
      </c>
      <c r="AS43" s="183">
        <f>-0.637-2.677+0.032</f>
        <v>-3.282</v>
      </c>
      <c r="AT43" s="183">
        <f>-0.663+0.002</f>
        <v>-0.66100000000000003</v>
      </c>
      <c r="AU43" s="184">
        <f>0.067-4.382-0.908</f>
        <v>-5.2229999999999999</v>
      </c>
      <c r="AV43" s="182">
        <f>-22.31+0.018</f>
        <v>-22.291999999999998</v>
      </c>
      <c r="AW43" s="183">
        <v>22.318999999999999</v>
      </c>
      <c r="AX43" s="183">
        <v>0</v>
      </c>
      <c r="AY43" s="184">
        <v>-1E-3</v>
      </c>
      <c r="AZ43" s="182">
        <v>-15.27</v>
      </c>
      <c r="BA43" s="183">
        <f>0.005-0.112</f>
        <v>-0.107</v>
      </c>
      <c r="BB43" s="183">
        <f>0.005-0.899</f>
        <v>-0.89400000000000002</v>
      </c>
      <c r="BC43" s="184">
        <f>-0.402+0.027</f>
        <v>-0.375</v>
      </c>
      <c r="BD43" s="182">
        <v>-21.809000000000001</v>
      </c>
      <c r="BE43" s="183">
        <v>-3.0049999999999999</v>
      </c>
      <c r="BF43" s="183">
        <f>-1.12</f>
        <v>-1.1200000000000001</v>
      </c>
      <c r="BG43" s="184">
        <f>-0.905</f>
        <v>-0.90500000000000003</v>
      </c>
      <c r="BH43" s="183">
        <v>0</v>
      </c>
      <c r="BI43" s="183">
        <v>0</v>
      </c>
      <c r="BJ43" s="183">
        <v>0</v>
      </c>
      <c r="BK43" s="184">
        <v>0</v>
      </c>
      <c r="BL43" s="183">
        <v>0</v>
      </c>
      <c r="BM43" s="183">
        <v>0</v>
      </c>
      <c r="BN43" s="183">
        <v>0</v>
      </c>
      <c r="BO43" s="184">
        <v>0</v>
      </c>
      <c r="BP43" s="335"/>
      <c r="BQ43" s="427">
        <f>SUM(D43:G43)</f>
        <v>0</v>
      </c>
      <c r="BR43" s="427">
        <f>SUM(H43:K43)</f>
        <v>0</v>
      </c>
      <c r="BS43" s="427">
        <f>SUM(L43:O43)</f>
        <v>0.88900000000000001</v>
      </c>
      <c r="BT43" s="427">
        <f>SUM(P43:S43)</f>
        <v>0.27800000000000002</v>
      </c>
      <c r="BU43" s="427">
        <f>SUM(T43:W43)</f>
        <v>0.36499999999999999</v>
      </c>
      <c r="BV43" s="427">
        <f>SUM(X43:AA43)</f>
        <v>0.67699999999999994</v>
      </c>
      <c r="BW43" s="427">
        <f>SUM(AB43:AE43)</f>
        <v>0.89900000000000002</v>
      </c>
      <c r="BX43" s="427">
        <f>SUM(AF43:AI43)</f>
        <v>0.16400000000000001</v>
      </c>
      <c r="BY43" s="427">
        <f>SUM(AJ43:AM43)</f>
        <v>-108.80199999999999</v>
      </c>
      <c r="BZ43" s="427">
        <f t="shared" si="57"/>
        <v>-18.262999999999998</v>
      </c>
      <c r="CA43" s="427">
        <f t="shared" si="58"/>
        <v>-33.408000000000001</v>
      </c>
      <c r="CB43" s="427">
        <f t="shared" si="59"/>
        <v>2.6000000000001022E-2</v>
      </c>
      <c r="CC43" s="427">
        <f t="shared" si="60"/>
        <v>-16.645999999999997</v>
      </c>
      <c r="CD43" s="427">
        <f t="shared" si="61"/>
        <v>-26.839000000000002</v>
      </c>
      <c r="CE43" s="427">
        <f t="shared" si="62"/>
        <v>0</v>
      </c>
      <c r="CF43" s="427">
        <f t="shared" si="63"/>
        <v>0</v>
      </c>
      <c r="CG43" s="699">
        <v>0</v>
      </c>
      <c r="CH43" s="336"/>
    </row>
    <row r="44" spans="2:86" ht="14.25">
      <c r="B44" s="584" t="s">
        <v>299</v>
      </c>
      <c r="C44" s="188"/>
      <c r="D44" s="182"/>
      <c r="E44" s="186"/>
      <c r="F44" s="186"/>
      <c r="G44" s="186"/>
      <c r="H44" s="182"/>
      <c r="I44" s="186"/>
      <c r="J44" s="186"/>
      <c r="K44" s="186"/>
      <c r="L44" s="182"/>
      <c r="M44" s="186"/>
      <c r="N44" s="186"/>
      <c r="O44" s="186"/>
      <c r="P44" s="182"/>
      <c r="Q44" s="186"/>
      <c r="R44" s="186"/>
      <c r="S44" s="186"/>
      <c r="T44" s="182"/>
      <c r="U44" s="186"/>
      <c r="V44" s="186"/>
      <c r="W44" s="186"/>
      <c r="X44" s="182"/>
      <c r="Y44" s="186"/>
      <c r="Z44" s="186"/>
      <c r="AA44" s="186"/>
      <c r="AB44" s="182"/>
      <c r="AC44" s="186"/>
      <c r="AD44" s="186"/>
      <c r="AE44" s="719"/>
      <c r="AF44" s="182"/>
      <c r="AG44" s="183"/>
      <c r="AH44" s="183"/>
      <c r="AI44" s="610"/>
      <c r="AJ44" s="182"/>
      <c r="AK44" s="183"/>
      <c r="AL44" s="183"/>
      <c r="AM44" s="610"/>
      <c r="AN44" s="182"/>
      <c r="AO44" s="183"/>
      <c r="AP44" s="183"/>
      <c r="AQ44" s="610"/>
      <c r="AR44" s="182">
        <v>0</v>
      </c>
      <c r="AS44" s="183">
        <v>0</v>
      </c>
      <c r="AT44" s="183">
        <v>0</v>
      </c>
      <c r="AU44" s="610">
        <v>0</v>
      </c>
      <c r="AV44" s="182">
        <v>0</v>
      </c>
      <c r="AW44" s="183">
        <v>0</v>
      </c>
      <c r="AX44" s="183">
        <v>0</v>
      </c>
      <c r="AY44" s="610">
        <v>0</v>
      </c>
      <c r="AZ44" s="182">
        <v>0</v>
      </c>
      <c r="BA44" s="183">
        <v>0</v>
      </c>
      <c r="BB44" s="183">
        <v>0</v>
      </c>
      <c r="BC44" s="610">
        <v>0</v>
      </c>
      <c r="BD44" s="182">
        <v>0</v>
      </c>
      <c r="BE44" s="183">
        <v>0</v>
      </c>
      <c r="BF44" s="183">
        <v>0</v>
      </c>
      <c r="BG44" s="610">
        <v>-14.378</v>
      </c>
      <c r="BH44" s="183">
        <v>0</v>
      </c>
      <c r="BI44" s="183">
        <v>0</v>
      </c>
      <c r="BJ44" s="183">
        <v>0</v>
      </c>
      <c r="BK44" s="184">
        <v>0</v>
      </c>
      <c r="BL44" s="183"/>
      <c r="BM44" s="183"/>
      <c r="BN44" s="183"/>
      <c r="BO44" s="610"/>
      <c r="BP44" s="335"/>
      <c r="BQ44" s="427">
        <f>SUM(D44:G44)</f>
        <v>0</v>
      </c>
      <c r="BR44" s="427">
        <f>SUM(H44:K44)</f>
        <v>0</v>
      </c>
      <c r="BS44" s="427">
        <f>SUM(L44:O44)</f>
        <v>0</v>
      </c>
      <c r="BT44" s="427">
        <f>SUM(P44:S44)</f>
        <v>0</v>
      </c>
      <c r="BU44" s="427">
        <f>SUM(T44:W44)</f>
        <v>0</v>
      </c>
      <c r="BV44" s="427">
        <f>SUM(X44:AA44)</f>
        <v>0</v>
      </c>
      <c r="BW44" s="427">
        <f>SUM(AB44:AE44)</f>
        <v>0</v>
      </c>
      <c r="BX44" s="427">
        <f>SUM(AF44:AI44)</f>
        <v>0</v>
      </c>
      <c r="BY44" s="427">
        <f>SUM(AJ44:AM44)</f>
        <v>0</v>
      </c>
      <c r="BZ44" s="427">
        <f t="shared" si="57"/>
        <v>0</v>
      </c>
      <c r="CA44" s="427">
        <f t="shared" si="58"/>
        <v>0</v>
      </c>
      <c r="CB44" s="427">
        <f t="shared" si="59"/>
        <v>0</v>
      </c>
      <c r="CC44" s="427">
        <f t="shared" si="60"/>
        <v>0</v>
      </c>
      <c r="CD44" s="427">
        <f t="shared" si="61"/>
        <v>-14.378</v>
      </c>
      <c r="CE44" s="427">
        <f t="shared" si="62"/>
        <v>0</v>
      </c>
      <c r="CF44" s="427">
        <f t="shared" ref="CF44" si="64">SUM(BL44:BO44)</f>
        <v>0</v>
      </c>
      <c r="CG44" s="699">
        <v>0</v>
      </c>
      <c r="CH44" s="336"/>
    </row>
    <row r="45" spans="2:86" ht="15.75" thickBot="1">
      <c r="B45" s="582" t="s">
        <v>175</v>
      </c>
      <c r="C45" s="331"/>
      <c r="D45" s="190">
        <f t="shared" ref="D45:AP45" si="65">SUM(D39:D43)</f>
        <v>16.809999999999999</v>
      </c>
      <c r="E45" s="191">
        <f t="shared" si="65"/>
        <v>30.073999999999995</v>
      </c>
      <c r="F45" s="191">
        <f t="shared" si="65"/>
        <v>33.939000000000007</v>
      </c>
      <c r="G45" s="191">
        <f t="shared" si="65"/>
        <v>38.278999999999996</v>
      </c>
      <c r="H45" s="190">
        <f t="shared" si="65"/>
        <v>16.963000000000001</v>
      </c>
      <c r="I45" s="191">
        <f t="shared" si="65"/>
        <v>27.859000000000002</v>
      </c>
      <c r="J45" s="191">
        <f t="shared" si="65"/>
        <v>8.8679999999999986</v>
      </c>
      <c r="K45" s="191">
        <f t="shared" si="65"/>
        <v>93.518000000000001</v>
      </c>
      <c r="L45" s="190">
        <f t="shared" si="65"/>
        <v>6.9729999999999999</v>
      </c>
      <c r="M45" s="191">
        <f t="shared" si="65"/>
        <v>18.690000000000001</v>
      </c>
      <c r="N45" s="191">
        <f t="shared" si="65"/>
        <v>-2.4260000000000019</v>
      </c>
      <c r="O45" s="191">
        <f t="shared" si="65"/>
        <v>403.76</v>
      </c>
      <c r="P45" s="190">
        <f t="shared" si="65"/>
        <v>-5.7930000000000001</v>
      </c>
      <c r="Q45" s="191">
        <f t="shared" si="65"/>
        <v>0.89800000000000024</v>
      </c>
      <c r="R45" s="191">
        <f t="shared" si="65"/>
        <v>27.895</v>
      </c>
      <c r="S45" s="191">
        <f t="shared" si="65"/>
        <v>32.433000000000007</v>
      </c>
      <c r="T45" s="190">
        <f t="shared" si="65"/>
        <v>15.097999999999999</v>
      </c>
      <c r="U45" s="191">
        <f t="shared" si="65"/>
        <v>-50.352999999999994</v>
      </c>
      <c r="V45" s="191">
        <f t="shared" si="65"/>
        <v>-88.974999999999994</v>
      </c>
      <c r="W45" s="191">
        <f t="shared" si="65"/>
        <v>-179.97300000000007</v>
      </c>
      <c r="X45" s="190">
        <f t="shared" si="65"/>
        <v>-1.8999999999999986E-2</v>
      </c>
      <c r="Y45" s="191">
        <f t="shared" si="65"/>
        <v>20.233999999999998</v>
      </c>
      <c r="Z45" s="191">
        <f t="shared" si="65"/>
        <v>13.413000000000002</v>
      </c>
      <c r="AA45" s="191">
        <f t="shared" si="65"/>
        <v>76.906999999999982</v>
      </c>
      <c r="AB45" s="190">
        <f t="shared" si="65"/>
        <v>48.403000000000006</v>
      </c>
      <c r="AC45" s="191">
        <f t="shared" si="65"/>
        <v>31.353000000000002</v>
      </c>
      <c r="AD45" s="191">
        <f t="shared" si="65"/>
        <v>-43.448000000000008</v>
      </c>
      <c r="AE45" s="238">
        <f t="shared" si="65"/>
        <v>41.119</v>
      </c>
      <c r="AF45" s="190">
        <f t="shared" si="65"/>
        <v>-798.80199999999991</v>
      </c>
      <c r="AG45" s="191">
        <f t="shared" si="65"/>
        <v>-99.181000000000012</v>
      </c>
      <c r="AH45" s="191">
        <f t="shared" si="65"/>
        <v>-206.43199999999999</v>
      </c>
      <c r="AI45" s="238">
        <f t="shared" si="65"/>
        <v>-138.95099999999999</v>
      </c>
      <c r="AJ45" s="190">
        <f t="shared" si="65"/>
        <v>-214.19200000000001</v>
      </c>
      <c r="AK45" s="191">
        <f t="shared" si="65"/>
        <v>-244.93299999999999</v>
      </c>
      <c r="AL45" s="191">
        <f t="shared" si="65"/>
        <v>-227.88800000000001</v>
      </c>
      <c r="AM45" s="238">
        <f t="shared" si="65"/>
        <v>-253.78799999999998</v>
      </c>
      <c r="AN45" s="190">
        <f t="shared" si="65"/>
        <v>-241.82999999999998</v>
      </c>
      <c r="AO45" s="191">
        <f t="shared" si="65"/>
        <v>-66.057999999999993</v>
      </c>
      <c r="AP45" s="191">
        <f t="shared" si="65"/>
        <v>-77.345999999999989</v>
      </c>
      <c r="AQ45" s="238">
        <f>SUM(AQ39:AQ43)</f>
        <v>76.199000000000012</v>
      </c>
      <c r="AR45" s="190">
        <f>SUM(AR39:AR44)</f>
        <v>-35.322000000000003</v>
      </c>
      <c r="AS45" s="191">
        <f>SUM(AS39:AS44)</f>
        <v>15.179999999999996</v>
      </c>
      <c r="AT45" s="191">
        <f>SUM(AT39:AT44)</f>
        <v>-78.319000000000003</v>
      </c>
      <c r="AU45" s="238">
        <f>SUM(AU39:AU44)</f>
        <v>-16.303999999999998</v>
      </c>
      <c r="AV45" s="190">
        <f>SUM(AV39:AV43)</f>
        <v>-64.528999999999996</v>
      </c>
      <c r="AW45" s="191">
        <f t="shared" ref="AW45:AY45" si="66">SUM(AW39:AW43)</f>
        <v>-167.76600000000002</v>
      </c>
      <c r="AX45" s="191">
        <f t="shared" si="66"/>
        <v>-96.870999999999995</v>
      </c>
      <c r="AY45" s="238">
        <f t="shared" si="66"/>
        <v>-10.673</v>
      </c>
      <c r="AZ45" s="190">
        <f>SUM(AZ39:AZ43)</f>
        <v>-50.709999999999994</v>
      </c>
      <c r="BA45" s="191">
        <f t="shared" ref="BA45:BC45" si="67">SUM(BA39:BA43)</f>
        <v>-35.396000000000001</v>
      </c>
      <c r="BB45" s="191">
        <f t="shared" si="67"/>
        <v>-80.543000000000006</v>
      </c>
      <c r="BC45" s="548">
        <f t="shared" si="67"/>
        <v>-100.59899999999999</v>
      </c>
      <c r="BD45" s="190">
        <f>SUM(BD39:BD44)</f>
        <v>-204.96900000000002</v>
      </c>
      <c r="BE45" s="191">
        <f>SUM(BE39:BE44)</f>
        <v>-183.97399999999996</v>
      </c>
      <c r="BF45" s="191">
        <f>SUM(BF39:BF44)</f>
        <v>-139.39400000000001</v>
      </c>
      <c r="BG45" s="548">
        <f>SUM(BG39:BG44)</f>
        <v>-7.9059999999999979</v>
      </c>
      <c r="BH45" s="191">
        <f>SUM(BH39:BH43)</f>
        <v>-30.37182</v>
      </c>
      <c r="BI45" s="191">
        <f>SUM(BI39:BI43)</f>
        <v>-30.37182</v>
      </c>
      <c r="BJ45" s="191">
        <f t="shared" ref="BJ45:BM45" si="68">SUM(BJ39:BJ43)</f>
        <v>-30.37182</v>
      </c>
      <c r="BK45" s="238">
        <f t="shared" si="68"/>
        <v>-30.37182</v>
      </c>
      <c r="BL45" s="191">
        <f t="shared" si="68"/>
        <v>-30.37182</v>
      </c>
      <c r="BM45" s="191">
        <f t="shared" si="68"/>
        <v>-30.37182</v>
      </c>
      <c r="BN45" s="191">
        <f t="shared" ref="BN45:BO45" si="69">SUM(BN39:BN43)</f>
        <v>-30.37182</v>
      </c>
      <c r="BO45" s="238">
        <f t="shared" si="69"/>
        <v>-30.37182</v>
      </c>
      <c r="BP45" s="347"/>
      <c r="BQ45" s="191">
        <f>SUM(BQ39:BQ43)</f>
        <v>119.102</v>
      </c>
      <c r="BR45" s="191">
        <f t="shared" ref="BR45:BW45" si="70">SUM(BR39:BR43)</f>
        <v>147.208</v>
      </c>
      <c r="BS45" s="191">
        <f t="shared" si="70"/>
        <v>426.99699999999996</v>
      </c>
      <c r="BT45" s="191">
        <f t="shared" si="70"/>
        <v>55.433000000000007</v>
      </c>
      <c r="BU45" s="191">
        <f t="shared" si="70"/>
        <v>-304.20300000000009</v>
      </c>
      <c r="BV45" s="191">
        <f t="shared" si="70"/>
        <v>110.53499999999998</v>
      </c>
      <c r="BW45" s="191">
        <f t="shared" si="70"/>
        <v>77.427000000000007</v>
      </c>
      <c r="BX45" s="191">
        <f t="shared" ref="BX45:CA45" si="71">SUM(BX39:BX43)</f>
        <v>-1243.366</v>
      </c>
      <c r="BY45" s="191">
        <f t="shared" si="71"/>
        <v>-940.80099999999993</v>
      </c>
      <c r="BZ45" s="191">
        <f t="shared" si="71"/>
        <v>-309.03499999999991</v>
      </c>
      <c r="CA45" s="191">
        <f t="shared" si="71"/>
        <v>-114.76500000000003</v>
      </c>
      <c r="CB45" s="191">
        <f>SUM(CB39:CB43)</f>
        <v>-339.839</v>
      </c>
      <c r="CC45" s="191">
        <f>SUM(CC39:CC44)</f>
        <v>-267.24799999999999</v>
      </c>
      <c r="CD45" s="191">
        <f>SUM(CD39:CD44)</f>
        <v>-536.24300000000017</v>
      </c>
      <c r="CE45" s="191">
        <f>SUM(CE39:CE43)</f>
        <v>-121.48728</v>
      </c>
      <c r="CF45" s="191">
        <f>SUM(CF39:CF43)</f>
        <v>-121.48728</v>
      </c>
      <c r="CG45" s="714">
        <f t="shared" ref="CG45" si="72">SUM(CG39:CG43)</f>
        <v>0</v>
      </c>
      <c r="CH45" s="722"/>
    </row>
    <row r="46" spans="2:86" ht="15.75" thickTop="1">
      <c r="B46" s="577"/>
      <c r="C46" s="173"/>
      <c r="D46" s="192"/>
      <c r="E46" s="193"/>
      <c r="F46" s="193"/>
      <c r="G46" s="194"/>
      <c r="H46" s="192"/>
      <c r="I46" s="193"/>
      <c r="J46" s="193"/>
      <c r="K46" s="194"/>
      <c r="L46" s="192"/>
      <c r="M46" s="193"/>
      <c r="N46" s="193"/>
      <c r="O46" s="194"/>
      <c r="P46" s="192"/>
      <c r="Q46" s="193"/>
      <c r="R46" s="193"/>
      <c r="S46" s="194"/>
      <c r="T46" s="192"/>
      <c r="U46" s="193"/>
      <c r="V46" s="193"/>
      <c r="W46" s="194"/>
      <c r="X46" s="192"/>
      <c r="Y46" s="193"/>
      <c r="Z46" s="193"/>
      <c r="AA46" s="194"/>
      <c r="AB46" s="192"/>
      <c r="AC46" s="193"/>
      <c r="AD46" s="193"/>
      <c r="AE46" s="237"/>
      <c r="AF46" s="192"/>
      <c r="AG46" s="193"/>
      <c r="AH46" s="193"/>
      <c r="AI46" s="237"/>
      <c r="AJ46" s="192"/>
      <c r="AK46" s="193"/>
      <c r="AL46" s="193"/>
      <c r="AM46" s="237"/>
      <c r="AN46" s="192"/>
      <c r="AO46" s="193"/>
      <c r="AP46" s="193"/>
      <c r="AQ46" s="237"/>
      <c r="AR46" s="192"/>
      <c r="AS46" s="193"/>
      <c r="AT46" s="193"/>
      <c r="AU46" s="237"/>
      <c r="AV46" s="192"/>
      <c r="AW46" s="193"/>
      <c r="AX46" s="193"/>
      <c r="AY46" s="237"/>
      <c r="AZ46" s="192"/>
      <c r="BA46" s="193"/>
      <c r="BB46" s="193"/>
      <c r="BC46" s="237"/>
      <c r="BD46" s="192"/>
      <c r="BE46" s="193"/>
      <c r="BF46" s="193"/>
      <c r="BG46" s="237"/>
      <c r="BH46" s="193"/>
      <c r="BI46" s="484"/>
      <c r="BJ46" s="193"/>
      <c r="BK46" s="237"/>
      <c r="BL46" s="193"/>
      <c r="BM46" s="484"/>
      <c r="BN46" s="193"/>
      <c r="BO46" s="237"/>
      <c r="BP46" s="347"/>
      <c r="BQ46" s="67"/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338"/>
      <c r="CE46" s="67"/>
      <c r="CF46" s="67"/>
      <c r="CG46" s="715"/>
      <c r="CH46" s="336"/>
    </row>
    <row r="47" spans="2:86" ht="15">
      <c r="B47" s="577" t="s">
        <v>176</v>
      </c>
      <c r="C47" s="173"/>
      <c r="D47" s="193">
        <v>224.399</v>
      </c>
      <c r="E47" s="195">
        <f t="shared" ref="E47:AV47" si="73">D50</f>
        <v>245.87499999999997</v>
      </c>
      <c r="F47" s="195">
        <f t="shared" si="73"/>
        <v>298.14099999999996</v>
      </c>
      <c r="G47" s="196">
        <f t="shared" si="73"/>
        <v>391.83000000000004</v>
      </c>
      <c r="H47" s="195">
        <f t="shared" si="73"/>
        <v>166.47100000000015</v>
      </c>
      <c r="I47" s="195">
        <f t="shared" si="73"/>
        <v>182.97600000000014</v>
      </c>
      <c r="J47" s="195">
        <f t="shared" si="73"/>
        <v>251.98700000000014</v>
      </c>
      <c r="K47" s="196">
        <f t="shared" si="73"/>
        <v>464.85900000000015</v>
      </c>
      <c r="L47" s="195">
        <f t="shared" si="73"/>
        <v>348.43100000000015</v>
      </c>
      <c r="M47" s="195">
        <f t="shared" si="73"/>
        <v>529.38900000000012</v>
      </c>
      <c r="N47" s="195">
        <f t="shared" si="73"/>
        <v>348.31500000000011</v>
      </c>
      <c r="O47" s="196">
        <f t="shared" si="73"/>
        <v>839.44100000000026</v>
      </c>
      <c r="P47" s="195">
        <f t="shared" si="73"/>
        <v>568.00799999999981</v>
      </c>
      <c r="Q47" s="195">
        <f t="shared" si="73"/>
        <v>464.49799999999976</v>
      </c>
      <c r="R47" s="195">
        <f t="shared" si="73"/>
        <v>404.17899999999986</v>
      </c>
      <c r="S47" s="196">
        <f t="shared" si="73"/>
        <v>455.30099999999993</v>
      </c>
      <c r="T47" s="195">
        <f t="shared" si="73"/>
        <v>615.64800000000014</v>
      </c>
      <c r="U47" s="195">
        <f t="shared" si="73"/>
        <v>744.08400000000017</v>
      </c>
      <c r="V47" s="195">
        <f t="shared" si="73"/>
        <v>859.3090000000002</v>
      </c>
      <c r="W47" s="196">
        <f t="shared" si="73"/>
        <v>1020.0070000000003</v>
      </c>
      <c r="X47" s="195">
        <f t="shared" si="73"/>
        <v>927.40899999999988</v>
      </c>
      <c r="Y47" s="195">
        <f t="shared" si="73"/>
        <v>1059.2049999999999</v>
      </c>
      <c r="Z47" s="195">
        <f t="shared" si="73"/>
        <v>1254.8069999999998</v>
      </c>
      <c r="AA47" s="196">
        <f t="shared" si="73"/>
        <v>1047.3949999999998</v>
      </c>
      <c r="AB47" s="195">
        <f t="shared" si="73"/>
        <v>1105.4279999999994</v>
      </c>
      <c r="AC47" s="195">
        <f t="shared" si="73"/>
        <v>1352.3389999999995</v>
      </c>
      <c r="AD47" s="195">
        <f t="shared" si="73"/>
        <v>1330.1519999999996</v>
      </c>
      <c r="AE47" s="196">
        <f t="shared" si="73"/>
        <v>1642.8939999999996</v>
      </c>
      <c r="AF47" s="197">
        <f t="shared" si="73"/>
        <v>1847.0739999999996</v>
      </c>
      <c r="AG47" s="195">
        <f t="shared" si="73"/>
        <v>782.40099999999984</v>
      </c>
      <c r="AH47" s="195">
        <f t="shared" si="73"/>
        <v>862.96499999999992</v>
      </c>
      <c r="AI47" s="196">
        <f t="shared" si="73"/>
        <v>850.94399999999996</v>
      </c>
      <c r="AJ47" s="197">
        <f t="shared" si="73"/>
        <v>784.90199999999993</v>
      </c>
      <c r="AK47" s="195">
        <f t="shared" si="73"/>
        <v>880.55899999999997</v>
      </c>
      <c r="AL47" s="195">
        <f t="shared" si="73"/>
        <v>906.10799999999995</v>
      </c>
      <c r="AM47" s="196">
        <f t="shared" si="73"/>
        <v>668.18399999999997</v>
      </c>
      <c r="AN47" s="386">
        <f t="shared" si="73"/>
        <v>751.95299999999975</v>
      </c>
      <c r="AO47" s="195">
        <f t="shared" si="73"/>
        <v>594.41999999999985</v>
      </c>
      <c r="AP47" s="195">
        <f t="shared" si="73"/>
        <v>591.65499999999986</v>
      </c>
      <c r="AQ47" s="196">
        <f t="shared" si="73"/>
        <v>796.32999999999993</v>
      </c>
      <c r="AR47" s="386">
        <f t="shared" si="73"/>
        <v>965.75</v>
      </c>
      <c r="AS47" s="195">
        <f t="shared" si="73"/>
        <v>1141.3040000000001</v>
      </c>
      <c r="AT47" s="195">
        <f t="shared" si="73"/>
        <v>1332.5350000000001</v>
      </c>
      <c r="AU47" s="196">
        <f t="shared" si="73"/>
        <v>1183.9929999999999</v>
      </c>
      <c r="AV47" s="386">
        <f t="shared" si="73"/>
        <v>1210.9769999999999</v>
      </c>
      <c r="AW47" s="195">
        <f t="shared" ref="AW47:BG47" si="74">AV50</f>
        <v>1038.731</v>
      </c>
      <c r="AX47" s="195">
        <f t="shared" si="74"/>
        <v>927.52999999999975</v>
      </c>
      <c r="AY47" s="196">
        <f t="shared" si="74"/>
        <v>897.05299999999966</v>
      </c>
      <c r="AZ47" s="386">
        <f t="shared" si="74"/>
        <v>1278.1799999999996</v>
      </c>
      <c r="BA47" s="195">
        <f t="shared" si="74"/>
        <v>780.22199999999975</v>
      </c>
      <c r="BB47" s="195">
        <f t="shared" si="74"/>
        <v>718.75199999999973</v>
      </c>
      <c r="BC47" s="196">
        <f t="shared" si="74"/>
        <v>751.58799999999985</v>
      </c>
      <c r="BD47" s="386">
        <f t="shared" si="74"/>
        <v>814.09199999999987</v>
      </c>
      <c r="BE47" s="195">
        <f t="shared" si="74"/>
        <v>725.96199999999976</v>
      </c>
      <c r="BF47" s="195">
        <f t="shared" si="74"/>
        <v>630.50099999999975</v>
      </c>
      <c r="BG47" s="196">
        <f t="shared" si="74"/>
        <v>800.09899999999971</v>
      </c>
      <c r="BH47" s="195">
        <f t="shared" ref="BH47" si="75">BG50</f>
        <v>888.48199999999963</v>
      </c>
      <c r="BI47" s="195">
        <f t="shared" ref="BI47" si="76">BH50</f>
        <v>1034.6594098336177</v>
      </c>
      <c r="BJ47" s="195">
        <f t="shared" ref="BJ47" si="77">BI50</f>
        <v>1168.7632190306808</v>
      </c>
      <c r="BK47" s="196">
        <f t="shared" ref="BK47" si="78">BJ50</f>
        <v>1310.248544600784</v>
      </c>
      <c r="BL47" s="195">
        <f t="shared" ref="BL47" si="79">BK50</f>
        <v>1465.6130188752916</v>
      </c>
      <c r="BM47" s="195">
        <f t="shared" ref="BM47" si="80">BL50</f>
        <v>1636.1043862720901</v>
      </c>
      <c r="BN47" s="195">
        <f t="shared" ref="BN47" si="81">BM50</f>
        <v>1770.2452454128663</v>
      </c>
      <c r="BO47" s="196">
        <f t="shared" ref="BO47" si="82">BN50</f>
        <v>1918.1578997478462</v>
      </c>
      <c r="BP47" s="347"/>
      <c r="BQ47" s="195">
        <f>D47</f>
        <v>224.399</v>
      </c>
      <c r="BR47" s="195">
        <f t="shared" ref="BR47:BW47" si="83">BQ50</f>
        <v>166.4710000000002</v>
      </c>
      <c r="BS47" s="195">
        <f t="shared" si="83"/>
        <v>348.43100000000015</v>
      </c>
      <c r="BT47" s="195">
        <f t="shared" si="83"/>
        <v>568.00799999999981</v>
      </c>
      <c r="BU47" s="195">
        <f t="shared" si="83"/>
        <v>615.64800000000002</v>
      </c>
      <c r="BV47" s="195">
        <f t="shared" si="83"/>
        <v>927.40899999999965</v>
      </c>
      <c r="BW47" s="195">
        <f t="shared" si="83"/>
        <v>1105.4279999999994</v>
      </c>
      <c r="BX47" s="195">
        <f t="shared" ref="BX47:CF47" si="84">BW50</f>
        <v>1847.0739999999992</v>
      </c>
      <c r="BY47" s="195">
        <f t="shared" si="84"/>
        <v>784.90199999999936</v>
      </c>
      <c r="BZ47" s="195">
        <f t="shared" si="84"/>
        <v>751.95299999999895</v>
      </c>
      <c r="CA47" s="195">
        <f t="shared" si="84"/>
        <v>965.74999999999909</v>
      </c>
      <c r="CB47" s="195">
        <f t="shared" si="84"/>
        <v>1210.976999999999</v>
      </c>
      <c r="CC47" s="195">
        <f t="shared" si="84"/>
        <v>1278.1799999999989</v>
      </c>
      <c r="CD47" s="195">
        <f t="shared" si="84"/>
        <v>814.09199999999919</v>
      </c>
      <c r="CE47" s="195">
        <f t="shared" si="84"/>
        <v>888.48199999999906</v>
      </c>
      <c r="CF47" s="195">
        <f t="shared" si="84"/>
        <v>1465.6130188752907</v>
      </c>
      <c r="CG47" s="700">
        <f>CF50</f>
        <v>2081.4434188941987</v>
      </c>
      <c r="CH47" s="336"/>
    </row>
    <row r="48" spans="2:86" ht="15">
      <c r="B48" s="577" t="s">
        <v>177</v>
      </c>
      <c r="C48" s="361"/>
      <c r="D48" s="192"/>
      <c r="E48" s="193"/>
      <c r="F48" s="193"/>
      <c r="G48" s="193">
        <v>-50.429999999999779</v>
      </c>
      <c r="H48" s="192"/>
      <c r="I48" s="193"/>
      <c r="J48" s="193"/>
      <c r="K48" s="193"/>
      <c r="L48" s="192"/>
      <c r="M48" s="193"/>
      <c r="N48" s="193"/>
      <c r="O48" s="193"/>
      <c r="P48" s="192"/>
      <c r="Q48" s="193"/>
      <c r="R48" s="193"/>
      <c r="S48" s="193"/>
      <c r="T48" s="192"/>
      <c r="U48" s="193"/>
      <c r="V48" s="193"/>
      <c r="W48" s="193"/>
      <c r="X48" s="192"/>
      <c r="Y48" s="193"/>
      <c r="Z48" s="193"/>
      <c r="AA48" s="193"/>
      <c r="AB48" s="192"/>
      <c r="AC48" s="193"/>
      <c r="AD48" s="193"/>
      <c r="AE48" s="194"/>
      <c r="AF48" s="192"/>
      <c r="AG48" s="193"/>
      <c r="AH48" s="193"/>
      <c r="AI48" s="194"/>
      <c r="AJ48" s="192"/>
      <c r="AK48" s="193"/>
      <c r="AL48" s="193"/>
      <c r="AM48" s="194"/>
      <c r="AN48" s="192"/>
      <c r="AO48" s="193"/>
      <c r="AP48" s="193"/>
      <c r="AQ48" s="194"/>
      <c r="AR48" s="192"/>
      <c r="AS48" s="193"/>
      <c r="AT48" s="193"/>
      <c r="AU48" s="194"/>
      <c r="AV48" s="192"/>
      <c r="AW48" s="193"/>
      <c r="AX48" s="193"/>
      <c r="AY48" s="194"/>
      <c r="AZ48" s="192"/>
      <c r="BA48" s="193"/>
      <c r="BB48" s="193"/>
      <c r="BC48" s="194"/>
      <c r="BD48" s="192"/>
      <c r="BE48" s="193"/>
      <c r="BF48" s="193"/>
      <c r="BG48" s="194"/>
      <c r="BH48" s="193"/>
      <c r="BI48" s="193"/>
      <c r="BJ48" s="193"/>
      <c r="BK48" s="194"/>
      <c r="BL48" s="193"/>
      <c r="BM48" s="193"/>
      <c r="BN48" s="193"/>
      <c r="BO48" s="194"/>
      <c r="BP48" s="347"/>
      <c r="BQ48" s="26">
        <f>SUM(D48:G48)</f>
        <v>-50.429999999999779</v>
      </c>
      <c r="BR48" s="26">
        <f>SUM(H48:K48)</f>
        <v>0</v>
      </c>
      <c r="BS48" s="26">
        <f>SUM(L48:O48)</f>
        <v>0</v>
      </c>
      <c r="BT48" s="26">
        <f>SUM(P48:S48)</f>
        <v>0</v>
      </c>
      <c r="BU48" s="26">
        <f>SUM(T48:W48)</f>
        <v>0</v>
      </c>
      <c r="BV48" s="26">
        <f>SUM(X48:AA48)</f>
        <v>0</v>
      </c>
      <c r="BW48" s="26">
        <f>SUM(AB48:AE48)</f>
        <v>0</v>
      </c>
      <c r="BX48" s="26">
        <f>SUM(AF48:AI48)</f>
        <v>0</v>
      </c>
      <c r="BY48" s="26">
        <f>SUM(AJ48:AM48)</f>
        <v>0</v>
      </c>
      <c r="BZ48" s="26">
        <f>SUM(AN48:AQ48)</f>
        <v>0</v>
      </c>
      <c r="CA48" s="26">
        <f>SUM(AR48:AU48)</f>
        <v>0</v>
      </c>
      <c r="CB48" s="26">
        <f>SUM(AV48:AY48)</f>
        <v>0</v>
      </c>
      <c r="CC48" s="26">
        <f>SUM(AZ48:BC48)</f>
        <v>0</v>
      </c>
      <c r="CD48" s="26">
        <f>SUM(BD48:BG48)</f>
        <v>0</v>
      </c>
      <c r="CE48" s="26">
        <f>SUM(BH48:BK48)</f>
        <v>0</v>
      </c>
      <c r="CF48" s="26">
        <f>SUM(BL48:BO48)</f>
        <v>0</v>
      </c>
      <c r="CG48" s="716"/>
      <c r="CH48" s="336"/>
    </row>
    <row r="49" spans="2:86" ht="15">
      <c r="B49" s="583" t="s">
        <v>178</v>
      </c>
      <c r="C49" s="362"/>
      <c r="D49" s="197">
        <f t="shared" ref="D49:AU49" si="85">D45+D36+D29+D48</f>
        <v>21.475999999999974</v>
      </c>
      <c r="E49" s="195">
        <f t="shared" si="85"/>
        <v>52.265999999999998</v>
      </c>
      <c r="F49" s="195">
        <f t="shared" si="85"/>
        <v>93.68900000000005</v>
      </c>
      <c r="G49" s="195">
        <f t="shared" si="85"/>
        <v>-225.3589999999999</v>
      </c>
      <c r="H49" s="197">
        <f t="shared" si="85"/>
        <v>16.504999999999988</v>
      </c>
      <c r="I49" s="195">
        <f t="shared" si="85"/>
        <v>69.010999999999996</v>
      </c>
      <c r="J49" s="195">
        <f t="shared" si="85"/>
        <v>212.87200000000001</v>
      </c>
      <c r="K49" s="195">
        <f t="shared" si="85"/>
        <v>-116.428</v>
      </c>
      <c r="L49" s="197">
        <f t="shared" si="85"/>
        <v>180.95800000000003</v>
      </c>
      <c r="M49" s="195">
        <f t="shared" si="85"/>
        <v>-181.07400000000001</v>
      </c>
      <c r="N49" s="195">
        <f t="shared" si="85"/>
        <v>491.12600000000009</v>
      </c>
      <c r="O49" s="195">
        <f t="shared" si="85"/>
        <v>-271.4330000000005</v>
      </c>
      <c r="P49" s="197">
        <f t="shared" si="85"/>
        <v>-103.51000000000003</v>
      </c>
      <c r="Q49" s="195">
        <f t="shared" si="85"/>
        <v>-60.318999999999932</v>
      </c>
      <c r="R49" s="195">
        <f t="shared" si="85"/>
        <v>51.122000000000043</v>
      </c>
      <c r="S49" s="195">
        <f t="shared" si="85"/>
        <v>160.34700000000015</v>
      </c>
      <c r="T49" s="197">
        <f t="shared" si="85"/>
        <v>128.43600000000004</v>
      </c>
      <c r="U49" s="195">
        <f t="shared" si="85"/>
        <v>115.22500000000002</v>
      </c>
      <c r="V49" s="195">
        <f t="shared" si="85"/>
        <v>160.69800000000009</v>
      </c>
      <c r="W49" s="195">
        <f t="shared" si="85"/>
        <v>-92.598000000000411</v>
      </c>
      <c r="X49" s="197">
        <f t="shared" si="85"/>
        <v>131.79599999999999</v>
      </c>
      <c r="Y49" s="195">
        <f t="shared" si="85"/>
        <v>195.60199999999989</v>
      </c>
      <c r="Z49" s="195">
        <f t="shared" si="85"/>
        <v>-207.41200000000009</v>
      </c>
      <c r="AA49" s="195">
        <f t="shared" si="85"/>
        <v>58.032999999999788</v>
      </c>
      <c r="AB49" s="197">
        <f t="shared" si="85"/>
        <v>246.91099999999997</v>
      </c>
      <c r="AC49" s="195">
        <f t="shared" si="85"/>
        <v>-22.186999999999955</v>
      </c>
      <c r="AD49" s="195">
        <f t="shared" si="85"/>
        <v>312.74200000000002</v>
      </c>
      <c r="AE49" s="195">
        <f t="shared" si="85"/>
        <v>204.18000000000004</v>
      </c>
      <c r="AF49" s="197">
        <f t="shared" si="85"/>
        <v>-1064.6729999999998</v>
      </c>
      <c r="AG49" s="195">
        <f t="shared" si="85"/>
        <v>80.564000000000021</v>
      </c>
      <c r="AH49" s="195">
        <f t="shared" si="85"/>
        <v>-12.020999999999958</v>
      </c>
      <c r="AI49" s="195">
        <f t="shared" si="85"/>
        <v>-66.04200000000003</v>
      </c>
      <c r="AJ49" s="197">
        <f t="shared" si="85"/>
        <v>95.657000000000053</v>
      </c>
      <c r="AK49" s="195">
        <f t="shared" si="85"/>
        <v>25.549000000000007</v>
      </c>
      <c r="AL49" s="195">
        <f t="shared" si="85"/>
        <v>-237.92399999999998</v>
      </c>
      <c r="AM49" s="195">
        <f t="shared" si="85"/>
        <v>83.768999999999835</v>
      </c>
      <c r="AN49" s="197">
        <f t="shared" si="85"/>
        <v>-157.5329999999999</v>
      </c>
      <c r="AO49" s="195">
        <f t="shared" si="85"/>
        <v>-2.7649999999999579</v>
      </c>
      <c r="AP49" s="195">
        <f t="shared" si="85"/>
        <v>204.67500000000004</v>
      </c>
      <c r="AQ49" s="195">
        <f>AQ45+AQ36+AQ29+AQ48</f>
        <v>169.42000000000007</v>
      </c>
      <c r="AR49" s="197">
        <f t="shared" si="85"/>
        <v>175.554</v>
      </c>
      <c r="AS49" s="195">
        <f>AS45+AS36+AS29+AS48</f>
        <v>191.23099999999994</v>
      </c>
      <c r="AT49" s="195">
        <f>AT45+AT36+AT29+AT48</f>
        <v>-148.54200000000006</v>
      </c>
      <c r="AU49" s="195">
        <f t="shared" si="85"/>
        <v>26.983999999999952</v>
      </c>
      <c r="AV49" s="197">
        <f>AV45+AV36+AV29+AV48</f>
        <v>-172.24599999999992</v>
      </c>
      <c r="AW49" s="195">
        <f t="shared" ref="AW49:AY49" si="86">AW45+AW36+AW29+AW48</f>
        <v>-111.20100000000025</v>
      </c>
      <c r="AX49" s="195">
        <f t="shared" si="86"/>
        <v>-30.477000000000046</v>
      </c>
      <c r="AY49" s="195">
        <f t="shared" si="86"/>
        <v>381.12699999999995</v>
      </c>
      <c r="AZ49" s="197">
        <f>AZ45+AZ36+AZ29+AZ48</f>
        <v>-497.95799999999986</v>
      </c>
      <c r="BA49" s="195">
        <f t="shared" ref="BA49:BC49" si="87">BA45+BA36+BA29+BA48</f>
        <v>-61.470000000000041</v>
      </c>
      <c r="BB49" s="195">
        <f t="shared" si="87"/>
        <v>32.836000000000098</v>
      </c>
      <c r="BC49" s="196">
        <f t="shared" si="87"/>
        <v>62.503999999999976</v>
      </c>
      <c r="BD49" s="197">
        <f>BD45+BD36+BD29+BD48</f>
        <v>-88.130000000000052</v>
      </c>
      <c r="BE49" s="195">
        <f t="shared" ref="BE49:BG49" si="88">BE45+BE36+BE29+BE48</f>
        <v>-95.46099999999997</v>
      </c>
      <c r="BF49" s="195">
        <f t="shared" si="88"/>
        <v>169.59799999999996</v>
      </c>
      <c r="BG49" s="196">
        <f t="shared" si="88"/>
        <v>88.382999999999967</v>
      </c>
      <c r="BH49" s="195">
        <f>BH45+BH36+BH29+BH48</f>
        <v>146.17740983361799</v>
      </c>
      <c r="BI49" s="195">
        <f>BI45+BI36+BI29+BI48</f>
        <v>134.1038091970631</v>
      </c>
      <c r="BJ49" s="195">
        <f t="shared" ref="BJ49:BM49" si="89">BJ45+BJ36+BJ29+BJ48</f>
        <v>141.48532557010316</v>
      </c>
      <c r="BK49" s="196">
        <f t="shared" si="89"/>
        <v>155.36447427450747</v>
      </c>
      <c r="BL49" s="195">
        <f t="shared" si="89"/>
        <v>170.49136739679849</v>
      </c>
      <c r="BM49" s="195">
        <f t="shared" si="89"/>
        <v>134.14085914077617</v>
      </c>
      <c r="BN49" s="195">
        <f t="shared" ref="BN49:BO49" si="90">BN45+BN36+BN29+BN48</f>
        <v>147.91265433497983</v>
      </c>
      <c r="BO49" s="196">
        <f t="shared" si="90"/>
        <v>163.28551914635372</v>
      </c>
      <c r="BP49" s="347"/>
      <c r="BQ49" s="195">
        <f t="shared" ref="BQ49:CA49" si="91">BQ45+BQ36+BQ29+BQ48</f>
        <v>-57.927999999999798</v>
      </c>
      <c r="BR49" s="195">
        <f t="shared" si="91"/>
        <v>181.95999999999995</v>
      </c>
      <c r="BS49" s="195">
        <f t="shared" si="91"/>
        <v>219.57699999999966</v>
      </c>
      <c r="BT49" s="195">
        <f t="shared" si="91"/>
        <v>47.640000000000214</v>
      </c>
      <c r="BU49" s="195">
        <f t="shared" si="91"/>
        <v>311.76099999999963</v>
      </c>
      <c r="BV49" s="195">
        <f t="shared" si="91"/>
        <v>178.01899999999966</v>
      </c>
      <c r="BW49" s="195">
        <f t="shared" si="91"/>
        <v>741.64599999999973</v>
      </c>
      <c r="BX49" s="195">
        <f t="shared" si="91"/>
        <v>-1062.1719999999998</v>
      </c>
      <c r="BY49" s="195">
        <f t="shared" si="91"/>
        <v>-32.94900000000041</v>
      </c>
      <c r="BZ49" s="195">
        <f t="shared" si="91"/>
        <v>213.79700000000014</v>
      </c>
      <c r="CA49" s="195">
        <f t="shared" si="91"/>
        <v>245.22699999999992</v>
      </c>
      <c r="CB49" s="195">
        <f>CB45+CB36+CB29+CB48</f>
        <v>67.202999999999918</v>
      </c>
      <c r="CC49" s="195">
        <f>CC45+CC36+CC29+CC48</f>
        <v>-464.08799999999974</v>
      </c>
      <c r="CD49" s="195">
        <f>CD45+CD36+CD29+CD48</f>
        <v>74.389999999999816</v>
      </c>
      <c r="CE49" s="195">
        <f>CE45+CE36+CE29+CE48</f>
        <v>577.1310188752916</v>
      </c>
      <c r="CF49" s="195">
        <f>CF45+CF36+CF29+CF48</f>
        <v>615.83040001890822</v>
      </c>
      <c r="CG49" s="700">
        <f t="shared" ref="CG49" si="92">CG45+CG36+CG29+CG48</f>
        <v>739.18388345387359</v>
      </c>
      <c r="CH49" s="336"/>
    </row>
    <row r="50" spans="2:86" ht="15">
      <c r="B50" s="585" t="s">
        <v>179</v>
      </c>
      <c r="C50" s="198"/>
      <c r="D50" s="199">
        <f t="shared" ref="D50:AU50" si="93">D47+D49</f>
        <v>245.87499999999997</v>
      </c>
      <c r="E50" s="200">
        <f t="shared" si="93"/>
        <v>298.14099999999996</v>
      </c>
      <c r="F50" s="200">
        <f t="shared" si="93"/>
        <v>391.83000000000004</v>
      </c>
      <c r="G50" s="200">
        <f t="shared" si="93"/>
        <v>166.47100000000015</v>
      </c>
      <c r="H50" s="199">
        <f t="shared" si="93"/>
        <v>182.97600000000014</v>
      </c>
      <c r="I50" s="200">
        <f t="shared" si="93"/>
        <v>251.98700000000014</v>
      </c>
      <c r="J50" s="200">
        <f t="shared" si="93"/>
        <v>464.85900000000015</v>
      </c>
      <c r="K50" s="200">
        <f t="shared" si="93"/>
        <v>348.43100000000015</v>
      </c>
      <c r="L50" s="199">
        <f t="shared" si="93"/>
        <v>529.38900000000012</v>
      </c>
      <c r="M50" s="200">
        <f t="shared" si="93"/>
        <v>348.31500000000011</v>
      </c>
      <c r="N50" s="200">
        <f t="shared" si="93"/>
        <v>839.44100000000026</v>
      </c>
      <c r="O50" s="200">
        <f t="shared" si="93"/>
        <v>568.00799999999981</v>
      </c>
      <c r="P50" s="199">
        <f t="shared" si="93"/>
        <v>464.49799999999976</v>
      </c>
      <c r="Q50" s="200">
        <f t="shared" si="93"/>
        <v>404.17899999999986</v>
      </c>
      <c r="R50" s="200">
        <f t="shared" si="93"/>
        <v>455.30099999999993</v>
      </c>
      <c r="S50" s="200">
        <f t="shared" si="93"/>
        <v>615.64800000000014</v>
      </c>
      <c r="T50" s="199">
        <f t="shared" si="93"/>
        <v>744.08400000000017</v>
      </c>
      <c r="U50" s="200">
        <f t="shared" si="93"/>
        <v>859.3090000000002</v>
      </c>
      <c r="V50" s="200">
        <f t="shared" si="93"/>
        <v>1020.0070000000003</v>
      </c>
      <c r="W50" s="200">
        <f t="shared" si="93"/>
        <v>927.40899999999988</v>
      </c>
      <c r="X50" s="199">
        <f t="shared" si="93"/>
        <v>1059.2049999999999</v>
      </c>
      <c r="Y50" s="200">
        <f t="shared" si="93"/>
        <v>1254.8069999999998</v>
      </c>
      <c r="Z50" s="200">
        <f t="shared" si="93"/>
        <v>1047.3949999999998</v>
      </c>
      <c r="AA50" s="200">
        <f t="shared" si="93"/>
        <v>1105.4279999999994</v>
      </c>
      <c r="AB50" s="199">
        <f t="shared" si="93"/>
        <v>1352.3389999999995</v>
      </c>
      <c r="AC50" s="200">
        <f t="shared" si="93"/>
        <v>1330.1519999999996</v>
      </c>
      <c r="AD50" s="200">
        <f t="shared" si="93"/>
        <v>1642.8939999999996</v>
      </c>
      <c r="AE50" s="200">
        <f t="shared" si="93"/>
        <v>1847.0739999999996</v>
      </c>
      <c r="AF50" s="199">
        <f t="shared" si="93"/>
        <v>782.40099999999984</v>
      </c>
      <c r="AG50" s="200">
        <f t="shared" si="93"/>
        <v>862.96499999999992</v>
      </c>
      <c r="AH50" s="200">
        <f t="shared" si="93"/>
        <v>850.94399999999996</v>
      </c>
      <c r="AI50" s="200">
        <f t="shared" si="93"/>
        <v>784.90199999999993</v>
      </c>
      <c r="AJ50" s="199">
        <f t="shared" si="93"/>
        <v>880.55899999999997</v>
      </c>
      <c r="AK50" s="200">
        <f t="shared" si="93"/>
        <v>906.10799999999995</v>
      </c>
      <c r="AL50" s="200">
        <f t="shared" si="93"/>
        <v>668.18399999999997</v>
      </c>
      <c r="AM50" s="200">
        <f t="shared" si="93"/>
        <v>751.95299999999975</v>
      </c>
      <c r="AN50" s="199">
        <f t="shared" si="93"/>
        <v>594.41999999999985</v>
      </c>
      <c r="AO50" s="200">
        <f t="shared" si="93"/>
        <v>591.65499999999986</v>
      </c>
      <c r="AP50" s="200">
        <f t="shared" si="93"/>
        <v>796.32999999999993</v>
      </c>
      <c r="AQ50" s="200">
        <f>AQ47+AQ49</f>
        <v>965.75</v>
      </c>
      <c r="AR50" s="199">
        <f t="shared" si="93"/>
        <v>1141.3040000000001</v>
      </c>
      <c r="AS50" s="200">
        <f>AS47+AS49</f>
        <v>1332.5350000000001</v>
      </c>
      <c r="AT50" s="200">
        <f>AT47+AT49</f>
        <v>1183.9929999999999</v>
      </c>
      <c r="AU50" s="200">
        <f t="shared" si="93"/>
        <v>1210.9769999999999</v>
      </c>
      <c r="AV50" s="199">
        <f t="shared" ref="AV50:AY50" si="94">AV47+AV49</f>
        <v>1038.731</v>
      </c>
      <c r="AW50" s="200">
        <f t="shared" si="94"/>
        <v>927.52999999999975</v>
      </c>
      <c r="AX50" s="200">
        <f t="shared" si="94"/>
        <v>897.05299999999966</v>
      </c>
      <c r="AY50" s="200">
        <f t="shared" si="94"/>
        <v>1278.1799999999996</v>
      </c>
      <c r="AZ50" s="199">
        <f t="shared" ref="AZ50:BC50" si="95">AZ47+AZ49</f>
        <v>780.22199999999975</v>
      </c>
      <c r="BA50" s="200">
        <f t="shared" si="95"/>
        <v>718.75199999999973</v>
      </c>
      <c r="BB50" s="200">
        <f t="shared" si="95"/>
        <v>751.58799999999985</v>
      </c>
      <c r="BC50" s="352">
        <f t="shared" si="95"/>
        <v>814.09199999999987</v>
      </c>
      <c r="BD50" s="199">
        <f t="shared" ref="BD50:BG50" si="96">BD47+BD49</f>
        <v>725.96199999999976</v>
      </c>
      <c r="BE50" s="200">
        <f t="shared" si="96"/>
        <v>630.50099999999975</v>
      </c>
      <c r="BF50" s="200">
        <f t="shared" si="96"/>
        <v>800.09899999999971</v>
      </c>
      <c r="BG50" s="352">
        <f t="shared" si="96"/>
        <v>888.48199999999963</v>
      </c>
      <c r="BH50" s="200">
        <f t="shared" ref="BH50:BI50" si="97">BH47+BH49</f>
        <v>1034.6594098336177</v>
      </c>
      <c r="BI50" s="200">
        <f t="shared" si="97"/>
        <v>1168.7632190306808</v>
      </c>
      <c r="BJ50" s="200">
        <f t="shared" ref="BJ50:BM50" si="98">BJ47+BJ49</f>
        <v>1310.248544600784</v>
      </c>
      <c r="BK50" s="352">
        <f t="shared" si="98"/>
        <v>1465.6130188752916</v>
      </c>
      <c r="BL50" s="200">
        <f t="shared" si="98"/>
        <v>1636.1043862720901</v>
      </c>
      <c r="BM50" s="200">
        <f t="shared" si="98"/>
        <v>1770.2452454128663</v>
      </c>
      <c r="BN50" s="200">
        <f t="shared" ref="BN50:BO50" si="99">BN47+BN49</f>
        <v>1918.1578997478462</v>
      </c>
      <c r="BO50" s="352">
        <f t="shared" si="99"/>
        <v>2081.4434188942</v>
      </c>
      <c r="BP50" s="347"/>
      <c r="BQ50" s="200">
        <f t="shared" ref="BQ50:CA50" si="100">BQ47+BQ49</f>
        <v>166.4710000000002</v>
      </c>
      <c r="BR50" s="200">
        <f t="shared" si="100"/>
        <v>348.43100000000015</v>
      </c>
      <c r="BS50" s="200">
        <f t="shared" si="100"/>
        <v>568.00799999999981</v>
      </c>
      <c r="BT50" s="200">
        <f t="shared" si="100"/>
        <v>615.64800000000002</v>
      </c>
      <c r="BU50" s="200">
        <f t="shared" si="100"/>
        <v>927.40899999999965</v>
      </c>
      <c r="BV50" s="200">
        <f t="shared" si="100"/>
        <v>1105.4279999999994</v>
      </c>
      <c r="BW50" s="200">
        <f t="shared" si="100"/>
        <v>1847.0739999999992</v>
      </c>
      <c r="BX50" s="200">
        <f t="shared" si="100"/>
        <v>784.90199999999936</v>
      </c>
      <c r="BY50" s="200">
        <f t="shared" si="100"/>
        <v>751.95299999999895</v>
      </c>
      <c r="BZ50" s="200">
        <f t="shared" si="100"/>
        <v>965.74999999999909</v>
      </c>
      <c r="CA50" s="200">
        <f t="shared" si="100"/>
        <v>1210.976999999999</v>
      </c>
      <c r="CB50" s="200">
        <f>CB47+CB49</f>
        <v>1278.1799999999989</v>
      </c>
      <c r="CC50" s="200">
        <f>CC47+CC49</f>
        <v>814.09199999999919</v>
      </c>
      <c r="CD50" s="200">
        <f>CD47+CD49</f>
        <v>888.48199999999906</v>
      </c>
      <c r="CE50" s="200">
        <f>CE47+CE49</f>
        <v>1465.6130188752907</v>
      </c>
      <c r="CF50" s="200">
        <f>CF47+CF49</f>
        <v>2081.4434188941987</v>
      </c>
      <c r="CG50" s="717">
        <f t="shared" ref="CG50" si="101">CG47+CG49</f>
        <v>2820.6273023480721</v>
      </c>
      <c r="CH50" s="336"/>
    </row>
    <row r="51" spans="2:86" ht="15">
      <c r="B51" s="189"/>
      <c r="C51" s="189"/>
      <c r="D51" s="195"/>
      <c r="E51" s="195"/>
      <c r="F51" s="195"/>
      <c r="G51" s="195"/>
      <c r="H51" s="195"/>
      <c r="I51" s="195"/>
      <c r="J51" s="195"/>
      <c r="K51" s="195"/>
      <c r="L51" s="195"/>
      <c r="M51" s="195"/>
      <c r="N51" s="195"/>
      <c r="O51" s="195"/>
      <c r="P51" s="195"/>
      <c r="Q51" s="195"/>
      <c r="R51" s="195"/>
      <c r="S51" s="195"/>
      <c r="T51" s="195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L51" s="195"/>
      <c r="AM51" s="195"/>
      <c r="AN51" s="195"/>
      <c r="AO51" s="195"/>
      <c r="AP51" s="195"/>
      <c r="AQ51" s="195"/>
      <c r="AR51" s="195"/>
      <c r="AS51" s="195"/>
      <c r="AT51" s="195"/>
      <c r="AU51" s="195"/>
      <c r="AV51" s="195"/>
      <c r="AW51" s="195"/>
      <c r="AX51" s="195"/>
      <c r="AY51" s="195"/>
      <c r="AZ51" s="195"/>
      <c r="BA51" s="195"/>
      <c r="BB51" s="195"/>
      <c r="BC51" s="195"/>
      <c r="BD51" s="195"/>
      <c r="BE51" s="195"/>
      <c r="BF51" s="195"/>
      <c r="BG51" s="195"/>
      <c r="BH51" s="195"/>
      <c r="BI51" s="200"/>
      <c r="BJ51" s="195"/>
      <c r="BK51" s="195"/>
      <c r="BL51" s="195"/>
      <c r="BM51" s="200"/>
      <c r="BN51" s="195"/>
      <c r="BO51" s="195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338"/>
      <c r="CE51" s="67"/>
      <c r="CF51" s="67"/>
      <c r="CG51" s="322"/>
    </row>
    <row r="52" spans="2:86" ht="14.25">
      <c r="B52" s="150" t="s">
        <v>137</v>
      </c>
      <c r="C52" s="151"/>
      <c r="D52" s="152">
        <f>BS!D11</f>
        <v>245.875</v>
      </c>
      <c r="E52" s="152">
        <f>BS!E11</f>
        <v>298.14100000000002</v>
      </c>
      <c r="F52" s="152">
        <f>BS!F11</f>
        <v>391.83</v>
      </c>
      <c r="G52" s="153">
        <f>BS!G11</f>
        <v>166.471</v>
      </c>
      <c r="H52" s="152">
        <f>BS!H11</f>
        <v>182.976</v>
      </c>
      <c r="I52" s="152">
        <f>BS!I11</f>
        <v>251.98699999999999</v>
      </c>
      <c r="J52" s="252">
        <f>BS!J11</f>
        <v>464.85899999999998</v>
      </c>
      <c r="K52" s="153">
        <f>BS!K11</f>
        <v>348.43099999999998</v>
      </c>
      <c r="L52" s="152">
        <f>BS!L11</f>
        <v>529.38900000000001</v>
      </c>
      <c r="M52" s="152">
        <f>BS!M11</f>
        <v>348.315</v>
      </c>
      <c r="N52" s="152">
        <f>BS!N11</f>
        <v>839.44100000000003</v>
      </c>
      <c r="O52" s="153">
        <f>BS!O11</f>
        <v>568.00800000000004</v>
      </c>
      <c r="P52" s="152">
        <f>BS!P11</f>
        <v>464.49799999999999</v>
      </c>
      <c r="Q52" s="152">
        <f>BS!Q11</f>
        <v>404.17899999999997</v>
      </c>
      <c r="R52" s="152">
        <f>BS!R11</f>
        <v>455.30099999999999</v>
      </c>
      <c r="S52" s="153">
        <f>BS!S11</f>
        <v>615.64800000000002</v>
      </c>
      <c r="T52" s="152">
        <f>BS!T11</f>
        <v>744.08399999999995</v>
      </c>
      <c r="U52" s="152">
        <f>BS!U11</f>
        <v>859.30899999999997</v>
      </c>
      <c r="V52" s="152">
        <f>BS!V11</f>
        <v>1020.0069999999999</v>
      </c>
      <c r="W52" s="153">
        <f>BS!W11</f>
        <v>927.40899999999999</v>
      </c>
      <c r="X52" s="152">
        <f>BS!X11</f>
        <v>1059.2049999999999</v>
      </c>
      <c r="Y52" s="152">
        <f>BS!Y11</f>
        <v>1254.807</v>
      </c>
      <c r="Z52" s="152">
        <f>BS!Z11</f>
        <v>1047.395</v>
      </c>
      <c r="AA52" s="153">
        <f>BS!AA11</f>
        <v>1105.4280000000001</v>
      </c>
      <c r="AB52" s="152">
        <f>BS!AB11</f>
        <v>1352.3389999999999</v>
      </c>
      <c r="AC52" s="152">
        <f>BS!AC11</f>
        <v>1330.152</v>
      </c>
      <c r="AD52" s="152">
        <f>BS!AD11</f>
        <v>1642.894</v>
      </c>
      <c r="AE52" s="153">
        <f>BS!AE11</f>
        <v>1847.0739999999996</v>
      </c>
      <c r="AF52" s="152">
        <f>BS!AF11</f>
        <v>782.40099999999995</v>
      </c>
      <c r="AG52" s="152">
        <f>BS!AG11</f>
        <v>862.96500000000003</v>
      </c>
      <c r="AH52" s="152">
        <f>BS!AH11</f>
        <v>850.94399999999996</v>
      </c>
      <c r="AI52" s="153">
        <f>BS!AI11</f>
        <v>784.90200000000004</v>
      </c>
      <c r="AJ52" s="152">
        <f>BS!AJ11</f>
        <v>880.55899999999997</v>
      </c>
      <c r="AK52" s="152">
        <f>BS!AK11</f>
        <v>906.10799999999995</v>
      </c>
      <c r="AL52" s="152">
        <f>BS!AL11</f>
        <v>668.18399999999997</v>
      </c>
      <c r="AM52" s="153">
        <f>BS!AM11</f>
        <v>751.95299999999997</v>
      </c>
      <c r="AN52" s="152">
        <f>BS!AN11</f>
        <v>594.41999999999996</v>
      </c>
      <c r="AO52" s="152">
        <f>BS!AO11</f>
        <v>591.65499999999997</v>
      </c>
      <c r="AP52" s="152">
        <f>BS!AP11</f>
        <v>796.33</v>
      </c>
      <c r="AQ52" s="153">
        <f>BS!AQ11</f>
        <v>965.75</v>
      </c>
      <c r="AR52" s="152">
        <f>BS!AR11</f>
        <v>1141.3040000000001</v>
      </c>
      <c r="AS52" s="152">
        <f>BS!AS11</f>
        <v>1332.5350000000001</v>
      </c>
      <c r="AT52" s="152">
        <f>BS!AT11</f>
        <v>1183.9929999999999</v>
      </c>
      <c r="AU52" s="153">
        <f>BS!AU11</f>
        <v>1210.9770000000001</v>
      </c>
      <c r="AV52" s="152">
        <f>BS!AV11</f>
        <v>1038.731</v>
      </c>
      <c r="AW52" s="152">
        <f>BS!AW11</f>
        <v>927.53</v>
      </c>
      <c r="AX52" s="152">
        <f>BS!AX11</f>
        <v>897.05299999999977</v>
      </c>
      <c r="AY52" s="153">
        <f>BS!AY11</f>
        <v>1278.1799999999998</v>
      </c>
      <c r="AZ52" s="152">
        <f>BS!AZ11</f>
        <v>780.22199999999998</v>
      </c>
      <c r="BA52" s="152">
        <f>BS!BA11</f>
        <v>718.75199999999973</v>
      </c>
      <c r="BB52" s="152">
        <f>BS!BB11</f>
        <v>751.58799999999997</v>
      </c>
      <c r="BC52" s="153">
        <f>BS!BC11</f>
        <v>814.09199999999998</v>
      </c>
      <c r="BD52" s="152">
        <f>BS!BD11</f>
        <v>725.96199999999999</v>
      </c>
      <c r="BE52" s="152">
        <f>BS!BE11</f>
        <v>630.50099999999998</v>
      </c>
      <c r="BF52" s="152">
        <f>BS!BF11</f>
        <v>800.09900000000005</v>
      </c>
      <c r="BG52" s="153">
        <f>BS!BG11</f>
        <v>888.48199999999997</v>
      </c>
      <c r="BH52" s="152">
        <f>BS!BH11</f>
        <v>1034.6594098336179</v>
      </c>
      <c r="BI52" s="152">
        <f>BS!BI11</f>
        <v>1168.7632190306811</v>
      </c>
      <c r="BJ52" s="152">
        <f>BS!BJ11</f>
        <v>1310.2485446007843</v>
      </c>
      <c r="BK52" s="153">
        <f>BS!BK11</f>
        <v>1465.6130188752918</v>
      </c>
      <c r="BL52" s="152">
        <f>BS!BL11</f>
        <v>1636.1043862720903</v>
      </c>
      <c r="BM52" s="152">
        <f>BS!BM11</f>
        <v>1770.2452454128666</v>
      </c>
      <c r="BN52" s="152">
        <f>BS!BN11</f>
        <v>1918.1578997478464</v>
      </c>
      <c r="BO52" s="153">
        <f>BS!BO11</f>
        <v>2081.4434188942</v>
      </c>
      <c r="BP52" s="247"/>
      <c r="BQ52" s="152">
        <f>BS!BQ11</f>
        <v>166.471</v>
      </c>
      <c r="BR52" s="152">
        <f>BS!BR11</f>
        <v>348.43099999999998</v>
      </c>
      <c r="BS52" s="152">
        <f>BS!BS11</f>
        <v>568.00800000000004</v>
      </c>
      <c r="BT52" s="152">
        <f>BS!BT11</f>
        <v>615.64800000000002</v>
      </c>
      <c r="BU52" s="152">
        <f>BS!BU11</f>
        <v>927.40899999999999</v>
      </c>
      <c r="BV52" s="152">
        <f>BS!BV11</f>
        <v>1105.4280000000001</v>
      </c>
      <c r="BW52" s="152">
        <f>BS!BW11</f>
        <v>1847.0739999999996</v>
      </c>
      <c r="BX52" s="152">
        <f>BS!BX11</f>
        <v>784.90200000000004</v>
      </c>
      <c r="BY52" s="152">
        <f>BS!BY11</f>
        <v>751.95299999999997</v>
      </c>
      <c r="BZ52" s="152">
        <f>BS!BZ11</f>
        <v>965.75</v>
      </c>
      <c r="CA52" s="152">
        <f>BS!CA11</f>
        <v>1210.9770000000001</v>
      </c>
      <c r="CB52" s="152">
        <f>BS!CB11</f>
        <v>1278.1799999999998</v>
      </c>
      <c r="CC52" s="152">
        <f>BS!CC11</f>
        <v>814.09199999999998</v>
      </c>
      <c r="CD52" s="152">
        <f>BS!CD11</f>
        <v>888.48199999999997</v>
      </c>
      <c r="CE52" s="152">
        <f>BS!CE11</f>
        <v>1465.6130188752918</v>
      </c>
      <c r="CF52" s="152">
        <f>BS!CF11</f>
        <v>2081.4434188942</v>
      </c>
      <c r="CG52" s="702">
        <f>BS!CG11</f>
        <v>2820.6273023480735</v>
      </c>
      <c r="CH52" s="336"/>
    </row>
    <row r="53" spans="2:86" ht="14.25">
      <c r="B53" s="127" t="s">
        <v>121</v>
      </c>
      <c r="C53" s="128"/>
      <c r="D53" s="129">
        <f t="shared" ref="D53:AU53" si="102">IF(ROUND(D52,4)=ROUND(D50,4),0,(D52-D50))</f>
        <v>0</v>
      </c>
      <c r="E53" s="129">
        <f t="shared" si="102"/>
        <v>0</v>
      </c>
      <c r="F53" s="129">
        <f t="shared" si="102"/>
        <v>0</v>
      </c>
      <c r="G53" s="130">
        <f t="shared" si="102"/>
        <v>0</v>
      </c>
      <c r="H53" s="129">
        <f t="shared" si="102"/>
        <v>0</v>
      </c>
      <c r="I53" s="129">
        <f t="shared" si="102"/>
        <v>0</v>
      </c>
      <c r="J53" s="129">
        <f t="shared" si="102"/>
        <v>0</v>
      </c>
      <c r="K53" s="130">
        <f t="shared" si="102"/>
        <v>0</v>
      </c>
      <c r="L53" s="129">
        <f t="shared" si="102"/>
        <v>0</v>
      </c>
      <c r="M53" s="129">
        <f t="shared" si="102"/>
        <v>0</v>
      </c>
      <c r="N53" s="129">
        <f t="shared" si="102"/>
        <v>0</v>
      </c>
      <c r="O53" s="130">
        <f t="shared" si="102"/>
        <v>0</v>
      </c>
      <c r="P53" s="129">
        <f t="shared" si="102"/>
        <v>0</v>
      </c>
      <c r="Q53" s="129">
        <f t="shared" si="102"/>
        <v>0</v>
      </c>
      <c r="R53" s="129">
        <f t="shared" si="102"/>
        <v>0</v>
      </c>
      <c r="S53" s="130">
        <f t="shared" si="102"/>
        <v>0</v>
      </c>
      <c r="T53" s="129">
        <f t="shared" si="102"/>
        <v>0</v>
      </c>
      <c r="U53" s="129">
        <f t="shared" si="102"/>
        <v>0</v>
      </c>
      <c r="V53" s="129">
        <f t="shared" si="102"/>
        <v>0</v>
      </c>
      <c r="W53" s="130">
        <f t="shared" si="102"/>
        <v>0</v>
      </c>
      <c r="X53" s="129">
        <f t="shared" si="102"/>
        <v>0</v>
      </c>
      <c r="Y53" s="129">
        <f t="shared" si="102"/>
        <v>0</v>
      </c>
      <c r="Z53" s="129">
        <f t="shared" si="102"/>
        <v>0</v>
      </c>
      <c r="AA53" s="130">
        <f t="shared" si="102"/>
        <v>0</v>
      </c>
      <c r="AB53" s="129">
        <f t="shared" si="102"/>
        <v>0</v>
      </c>
      <c r="AC53" s="129">
        <f t="shared" si="102"/>
        <v>0</v>
      </c>
      <c r="AD53" s="129">
        <f t="shared" si="102"/>
        <v>0</v>
      </c>
      <c r="AE53" s="130">
        <f t="shared" si="102"/>
        <v>0</v>
      </c>
      <c r="AF53" s="129">
        <f t="shared" si="102"/>
        <v>0</v>
      </c>
      <c r="AG53" s="129">
        <f t="shared" si="102"/>
        <v>0</v>
      </c>
      <c r="AH53" s="129">
        <f t="shared" si="102"/>
        <v>0</v>
      </c>
      <c r="AI53" s="130">
        <f t="shared" si="102"/>
        <v>0</v>
      </c>
      <c r="AJ53" s="129">
        <f t="shared" si="102"/>
        <v>0</v>
      </c>
      <c r="AK53" s="129">
        <f t="shared" si="102"/>
        <v>0</v>
      </c>
      <c r="AL53" s="129">
        <f t="shared" si="102"/>
        <v>0</v>
      </c>
      <c r="AM53" s="130">
        <f t="shared" si="102"/>
        <v>0</v>
      </c>
      <c r="AN53" s="385">
        <f t="shared" si="102"/>
        <v>0</v>
      </c>
      <c r="AO53" s="129">
        <f t="shared" si="102"/>
        <v>0</v>
      </c>
      <c r="AP53" s="129">
        <f t="shared" si="102"/>
        <v>0</v>
      </c>
      <c r="AQ53" s="130">
        <f>IF(ROUND(AQ52,4)=ROUND(AQ50,4),0,(AQ52-AQ50))</f>
        <v>0</v>
      </c>
      <c r="AR53" s="385">
        <f t="shared" si="102"/>
        <v>0</v>
      </c>
      <c r="AS53" s="129">
        <f>IF(ROUND(AS52,4)=ROUND(AS50,4),0,(AS52-AS50))</f>
        <v>0</v>
      </c>
      <c r="AT53" s="129">
        <f>IF(ROUND(AT52,4)=ROUND(AT50,4),0,(AT52-AT50))</f>
        <v>0</v>
      </c>
      <c r="AU53" s="130">
        <f t="shared" si="102"/>
        <v>0</v>
      </c>
      <c r="AV53" s="385">
        <f>IF(ROUND(AV52,4)=ROUND(AV50,4),0,(AV52-AV50))</f>
        <v>0</v>
      </c>
      <c r="AW53" s="129">
        <f>IF(ROUND(AW52,4)=ROUND(AW50,4),0,(AW52-AW50))</f>
        <v>0</v>
      </c>
      <c r="AX53" s="129">
        <f t="shared" ref="AX53:AY53" si="103">IF(ROUND(AX52,4)=ROUND(AX50,4),0,(AX52-AX50))</f>
        <v>0</v>
      </c>
      <c r="AY53" s="130">
        <f t="shared" si="103"/>
        <v>0</v>
      </c>
      <c r="AZ53" s="385">
        <f>IF(ROUND(AZ52,4)=ROUND(AZ50,4),0,(AZ52-AZ50))</f>
        <v>0</v>
      </c>
      <c r="BA53" s="129">
        <f>IF(ROUND(BA52,4)=ROUND(BA50,4),0,(BA52-BA50))</f>
        <v>0</v>
      </c>
      <c r="BB53" s="129">
        <f t="shared" ref="BB53:BC53" si="104">IF(ROUND(BB52,4)=ROUND(BB50,4),0,(BB52-BB50))</f>
        <v>0</v>
      </c>
      <c r="BC53" s="130">
        <f t="shared" si="104"/>
        <v>0</v>
      </c>
      <c r="BD53" s="385">
        <f>IF(ROUND(BD52,4)=ROUND(BD50,4),0,(BD52-BD50))</f>
        <v>0</v>
      </c>
      <c r="BE53" s="129">
        <f>IF(ROUND(BE52,4)=ROUND(BE50,4),0,(BE52-BE50))</f>
        <v>0</v>
      </c>
      <c r="BF53" s="129">
        <f t="shared" ref="BF53:BG53" si="105">IF(ROUND(BF52,4)=ROUND(BF50,4),0,(BF52-BF50))</f>
        <v>0</v>
      </c>
      <c r="BG53" s="130">
        <f t="shared" si="105"/>
        <v>0</v>
      </c>
      <c r="BH53" s="129">
        <f t="shared" ref="BH53:BI53" si="106">IF(ROUND(BH52,4)=ROUND(BH50,4),0,(BH52-BH50))</f>
        <v>0</v>
      </c>
      <c r="BI53" s="129">
        <f t="shared" si="106"/>
        <v>0</v>
      </c>
      <c r="BJ53" s="129">
        <f t="shared" ref="BJ53:BM53" si="107">IF(ROUND(BJ52,4)=ROUND(BJ50,4),0,(BJ52-BJ50))</f>
        <v>0</v>
      </c>
      <c r="BK53" s="130">
        <f t="shared" si="107"/>
        <v>0</v>
      </c>
      <c r="BL53" s="129">
        <f t="shared" si="107"/>
        <v>0</v>
      </c>
      <c r="BM53" s="129">
        <f t="shared" si="107"/>
        <v>0</v>
      </c>
      <c r="BN53" s="129">
        <f t="shared" ref="BN53:BO53" si="108">IF(ROUND(BN52,4)=ROUND(BN50,4),0,(BN52-BN50))</f>
        <v>0</v>
      </c>
      <c r="BO53" s="130">
        <f t="shared" si="108"/>
        <v>0</v>
      </c>
      <c r="BP53" s="247"/>
      <c r="BQ53" s="129">
        <f t="shared" ref="BQ53:CA53" si="109">IF(ROUND(BQ52,4)=ROUND(BQ50,4),0,(BQ52-BQ50))</f>
        <v>0</v>
      </c>
      <c r="BR53" s="129">
        <f t="shared" si="109"/>
        <v>0</v>
      </c>
      <c r="BS53" s="129">
        <f t="shared" si="109"/>
        <v>0</v>
      </c>
      <c r="BT53" s="129">
        <f t="shared" si="109"/>
        <v>0</v>
      </c>
      <c r="BU53" s="129">
        <f t="shared" si="109"/>
        <v>0</v>
      </c>
      <c r="BV53" s="129">
        <f t="shared" si="109"/>
        <v>0</v>
      </c>
      <c r="BW53" s="129">
        <f t="shared" si="109"/>
        <v>0</v>
      </c>
      <c r="BX53" s="129">
        <f t="shared" si="109"/>
        <v>0</v>
      </c>
      <c r="BY53" s="129">
        <f t="shared" si="109"/>
        <v>0</v>
      </c>
      <c r="BZ53" s="129">
        <f t="shared" si="109"/>
        <v>0</v>
      </c>
      <c r="CA53" s="129">
        <f t="shared" si="109"/>
        <v>0</v>
      </c>
      <c r="CB53" s="129">
        <f t="shared" ref="CB53:CG53" si="110">IF(ROUND(CB52,4)=ROUND(CB50,4),0,(CB52-CB50))</f>
        <v>0</v>
      </c>
      <c r="CC53" s="129">
        <f t="shared" si="110"/>
        <v>0</v>
      </c>
      <c r="CD53" s="129">
        <f t="shared" si="110"/>
        <v>0</v>
      </c>
      <c r="CE53" s="129">
        <f t="shared" si="110"/>
        <v>0</v>
      </c>
      <c r="CF53" s="129">
        <f t="shared" si="110"/>
        <v>0</v>
      </c>
      <c r="CG53" s="130">
        <f t="shared" si="110"/>
        <v>0</v>
      </c>
      <c r="CH53" s="336"/>
    </row>
    <row r="54" spans="2:86" ht="15">
      <c r="B54" s="201"/>
      <c r="C54" s="201"/>
      <c r="D54" s="202"/>
      <c r="E54" s="202"/>
      <c r="F54" s="202"/>
      <c r="G54" s="202"/>
      <c r="H54" s="202"/>
      <c r="I54" s="202"/>
      <c r="J54" s="202"/>
      <c r="K54" s="202"/>
      <c r="L54" s="202"/>
      <c r="M54" s="202"/>
      <c r="N54" s="202"/>
      <c r="O54" s="202"/>
      <c r="P54" s="202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202"/>
      <c r="BL54" s="202"/>
      <c r="BM54" s="202"/>
      <c r="BN54" s="202"/>
      <c r="BO54" s="202"/>
      <c r="CD54" s="338"/>
    </row>
    <row r="55" spans="2:86" ht="14.25">
      <c r="B55" s="203"/>
      <c r="C55" s="203"/>
      <c r="D55" s="204"/>
      <c r="E55" s="204"/>
      <c r="F55" s="204"/>
      <c r="G55" s="205"/>
      <c r="H55" s="204"/>
      <c r="I55" s="204"/>
      <c r="J55" s="204"/>
      <c r="K55" s="205"/>
      <c r="L55" s="204"/>
      <c r="M55" s="204"/>
      <c r="N55" s="204"/>
      <c r="O55" s="205"/>
      <c r="P55" s="204"/>
      <c r="Q55" s="204"/>
      <c r="R55" s="204"/>
      <c r="S55" s="205"/>
      <c r="T55" s="204"/>
      <c r="U55" s="204"/>
      <c r="V55" s="204"/>
      <c r="W55" s="205"/>
      <c r="X55" s="204"/>
      <c r="Y55" s="204"/>
      <c r="Z55" s="204"/>
      <c r="AA55" s="244"/>
      <c r="AB55" s="244"/>
      <c r="AC55" s="244"/>
      <c r="AD55" s="244"/>
      <c r="AE55" s="205"/>
      <c r="AF55" s="205"/>
      <c r="AG55" s="205"/>
      <c r="AH55" s="205"/>
      <c r="AI55" s="205"/>
      <c r="AJ55" s="205"/>
      <c r="AK55" s="205"/>
      <c r="AL55" s="205"/>
      <c r="AM55" s="205"/>
      <c r="AN55" s="205"/>
      <c r="AO55" s="205"/>
      <c r="AP55" s="205"/>
      <c r="AQ55" s="205"/>
      <c r="AR55" s="205"/>
      <c r="AS55" s="205"/>
      <c r="AT55" s="205"/>
      <c r="AU55" s="205"/>
      <c r="AV55" s="205"/>
      <c r="AW55" s="205"/>
      <c r="AX55" s="205"/>
      <c r="AY55" s="205"/>
      <c r="AZ55" s="205"/>
      <c r="BA55" s="205"/>
      <c r="BB55" s="205"/>
      <c r="BC55" s="205"/>
      <c r="BD55" s="205"/>
      <c r="BE55" s="485"/>
      <c r="BF55" s="205"/>
      <c r="BG55" s="205"/>
      <c r="BH55" s="205"/>
      <c r="BI55" s="485"/>
      <c r="BJ55" s="205"/>
      <c r="BK55" s="205"/>
      <c r="BL55" s="205"/>
      <c r="BM55" s="485"/>
      <c r="BN55" s="205"/>
      <c r="BO55" s="205"/>
    </row>
    <row r="56" spans="2:86" ht="14.25">
      <c r="B56" s="203"/>
      <c r="C56" s="203"/>
      <c r="D56" s="204"/>
      <c r="E56" s="204"/>
      <c r="F56" s="204"/>
      <c r="G56" s="204"/>
      <c r="H56" s="204"/>
      <c r="I56" s="204"/>
      <c r="J56" s="204"/>
      <c r="K56" s="204"/>
      <c r="L56" s="204"/>
      <c r="M56" s="204"/>
      <c r="N56" s="204"/>
      <c r="O56" s="204"/>
      <c r="P56" s="204"/>
      <c r="Q56" s="204"/>
      <c r="R56" s="204"/>
      <c r="S56" s="204"/>
      <c r="T56" s="204"/>
      <c r="U56" s="204"/>
      <c r="V56" s="204"/>
      <c r="W56" s="204"/>
      <c r="X56" s="204"/>
      <c r="Y56" s="204"/>
      <c r="Z56" s="204"/>
      <c r="AA56" s="204"/>
      <c r="AB56" s="204"/>
      <c r="AC56" s="204"/>
      <c r="AD56" s="204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  <c r="AP56" s="204"/>
      <c r="AQ56" s="204"/>
      <c r="AR56" s="204"/>
      <c r="AS56" s="204"/>
      <c r="AT56" s="204"/>
      <c r="AU56" s="204"/>
      <c r="AV56" s="204"/>
      <c r="AW56" s="204"/>
      <c r="AX56" s="204"/>
      <c r="AY56" s="204"/>
      <c r="AZ56" s="204"/>
      <c r="BA56" s="204"/>
      <c r="BB56" s="204"/>
      <c r="BC56" s="204"/>
      <c r="BD56" s="204"/>
      <c r="BE56" s="486"/>
      <c r="BF56" s="204"/>
      <c r="BG56" s="204"/>
      <c r="BH56" s="204"/>
      <c r="BI56" s="486"/>
      <c r="BJ56" s="204"/>
      <c r="BK56" s="204"/>
      <c r="BL56" s="204"/>
      <c r="BM56" s="486"/>
      <c r="BN56" s="204"/>
      <c r="BO56" s="204"/>
    </row>
    <row r="57" spans="2:86" ht="15">
      <c r="B57" s="132" t="s">
        <v>180</v>
      </c>
      <c r="C57" s="133"/>
      <c r="D57" s="14" t="str">
        <f t="shared" ref="D57:AU57" si="111">D9</f>
        <v>F1Q05A</v>
      </c>
      <c r="E57" s="14" t="str">
        <f t="shared" si="111"/>
        <v>F2Q05A</v>
      </c>
      <c r="F57" s="14" t="str">
        <f t="shared" si="111"/>
        <v>F3Q05A</v>
      </c>
      <c r="G57" s="15" t="str">
        <f t="shared" si="111"/>
        <v>F4Q05A</v>
      </c>
      <c r="H57" s="14" t="str">
        <f t="shared" si="111"/>
        <v>F1Q06A</v>
      </c>
      <c r="I57" s="14" t="str">
        <f t="shared" si="111"/>
        <v>F2Q06A</v>
      </c>
      <c r="J57" s="14" t="str">
        <f t="shared" si="111"/>
        <v>F3Q06A</v>
      </c>
      <c r="K57" s="15" t="str">
        <f t="shared" si="111"/>
        <v>F4Q06A</v>
      </c>
      <c r="L57" s="14" t="str">
        <f t="shared" si="111"/>
        <v>F1Q07A</v>
      </c>
      <c r="M57" s="14" t="str">
        <f t="shared" si="111"/>
        <v>F2Q07A</v>
      </c>
      <c r="N57" s="14" t="str">
        <f t="shared" si="111"/>
        <v>F3Q07A</v>
      </c>
      <c r="O57" s="15" t="str">
        <f t="shared" si="111"/>
        <v>F4Q07A</v>
      </c>
      <c r="P57" s="14" t="str">
        <f t="shared" si="111"/>
        <v>F1Q08A</v>
      </c>
      <c r="Q57" s="14" t="str">
        <f t="shared" si="111"/>
        <v>F2Q08A</v>
      </c>
      <c r="R57" s="14" t="str">
        <f t="shared" si="111"/>
        <v>F3Q08A</v>
      </c>
      <c r="S57" s="15" t="str">
        <f t="shared" si="111"/>
        <v>F4Q08A</v>
      </c>
      <c r="T57" s="14" t="str">
        <f t="shared" si="111"/>
        <v>F1Q09A</v>
      </c>
      <c r="U57" s="14" t="str">
        <f t="shared" si="111"/>
        <v>F2Q09A</v>
      </c>
      <c r="V57" s="14" t="str">
        <f t="shared" si="111"/>
        <v>F3Q09A</v>
      </c>
      <c r="W57" s="15" t="str">
        <f t="shared" si="111"/>
        <v>F4Q09A</v>
      </c>
      <c r="X57" s="14" t="str">
        <f t="shared" si="111"/>
        <v>F1Q10A</v>
      </c>
      <c r="Y57" s="14" t="str">
        <f t="shared" si="111"/>
        <v>F2Q10A</v>
      </c>
      <c r="Z57" s="14" t="str">
        <f t="shared" si="111"/>
        <v>F3Q10A</v>
      </c>
      <c r="AA57" s="15" t="str">
        <f t="shared" si="111"/>
        <v>F4Q10A</v>
      </c>
      <c r="AB57" s="14" t="str">
        <f t="shared" si="111"/>
        <v>F1Q11A</v>
      </c>
      <c r="AC57" s="14" t="str">
        <f t="shared" si="111"/>
        <v>F2Q11A</v>
      </c>
      <c r="AD57" s="14" t="str">
        <f t="shared" si="111"/>
        <v>F3Q11A</v>
      </c>
      <c r="AE57" s="15" t="str">
        <f t="shared" si="111"/>
        <v>F4Q11A</v>
      </c>
      <c r="AF57" s="14" t="str">
        <f t="shared" si="111"/>
        <v>F1Q12A</v>
      </c>
      <c r="AG57" s="14" t="str">
        <f t="shared" si="111"/>
        <v>F2Q12A</v>
      </c>
      <c r="AH57" s="14" t="str">
        <f t="shared" si="111"/>
        <v>F3Q12A</v>
      </c>
      <c r="AI57" s="15" t="str">
        <f t="shared" si="111"/>
        <v>F4Q12A</v>
      </c>
      <c r="AJ57" s="14" t="str">
        <f>AJ9</f>
        <v>F1Q13A</v>
      </c>
      <c r="AK57" s="14" t="str">
        <f t="shared" si="111"/>
        <v>F2Q13A</v>
      </c>
      <c r="AL57" s="14" t="str">
        <f t="shared" si="111"/>
        <v>F3Q13A</v>
      </c>
      <c r="AM57" s="15" t="str">
        <f>AM9</f>
        <v>F4Q13A</v>
      </c>
      <c r="AN57" s="14" t="str">
        <f t="shared" si="111"/>
        <v>F1Q14A</v>
      </c>
      <c r="AO57" s="14" t="str">
        <f t="shared" si="111"/>
        <v>F2Q14A</v>
      </c>
      <c r="AP57" s="14" t="str">
        <f t="shared" si="111"/>
        <v>F3Q14A</v>
      </c>
      <c r="AQ57" s="15" t="str">
        <f t="shared" si="111"/>
        <v>F4Q14A</v>
      </c>
      <c r="AR57" s="14" t="str">
        <f t="shared" si="111"/>
        <v>F1Q15A</v>
      </c>
      <c r="AS57" s="14" t="str">
        <f t="shared" si="111"/>
        <v>F2Q15A</v>
      </c>
      <c r="AT57" s="14" t="str">
        <f t="shared" si="111"/>
        <v>F3Q15A</v>
      </c>
      <c r="AU57" s="15" t="str">
        <f t="shared" si="111"/>
        <v>F4Q15A</v>
      </c>
      <c r="AV57" s="14" t="str">
        <f t="shared" ref="AV57:AY57" si="112">AV9</f>
        <v>F1Q16A</v>
      </c>
      <c r="AW57" s="14" t="str">
        <f t="shared" si="112"/>
        <v>F2Q16A</v>
      </c>
      <c r="AX57" s="14" t="str">
        <f t="shared" si="112"/>
        <v>F3Q16A</v>
      </c>
      <c r="AY57" s="15" t="str">
        <f t="shared" si="112"/>
        <v>F4Q16A</v>
      </c>
      <c r="AZ57" s="13" t="str">
        <f t="shared" ref="AZ57:BC57" si="113">AZ9</f>
        <v>F1Q17A</v>
      </c>
      <c r="BA57" s="14" t="str">
        <f t="shared" si="113"/>
        <v>F2Q17A</v>
      </c>
      <c r="BB57" s="14" t="str">
        <f t="shared" si="113"/>
        <v>F3Q17A</v>
      </c>
      <c r="BC57" s="15" t="str">
        <f t="shared" si="113"/>
        <v>F4Q17A</v>
      </c>
      <c r="BD57" s="475" t="str">
        <f t="shared" ref="BD57:BE57" si="114">BD9</f>
        <v>F1Q18A</v>
      </c>
      <c r="BE57" s="475" t="str">
        <f t="shared" si="114"/>
        <v>F2Q18A</v>
      </c>
      <c r="BF57" s="475" t="str">
        <f t="shared" ref="BF57:BI57" si="115">BF9</f>
        <v>F3Q18A</v>
      </c>
      <c r="BG57" s="476" t="str">
        <f t="shared" si="115"/>
        <v>F4Q18A</v>
      </c>
      <c r="BH57" s="475" t="str">
        <f t="shared" si="115"/>
        <v>F1Q19E</v>
      </c>
      <c r="BI57" s="475" t="str">
        <f t="shared" si="115"/>
        <v>F2Q19E</v>
      </c>
      <c r="BJ57" s="475" t="str">
        <f t="shared" ref="BJ57:BM57" si="116">BJ9</f>
        <v>F3Q19E</v>
      </c>
      <c r="BK57" s="476" t="str">
        <f t="shared" si="116"/>
        <v>F4Q19E</v>
      </c>
      <c r="BL57" s="475" t="str">
        <f t="shared" si="116"/>
        <v>F1Q20E</v>
      </c>
      <c r="BM57" s="475" t="str">
        <f t="shared" si="116"/>
        <v>F2Q20E</v>
      </c>
      <c r="BN57" s="475" t="str">
        <f t="shared" ref="BN57:BO57" si="117">BN9</f>
        <v>F3Q20E</v>
      </c>
      <c r="BO57" s="572" t="str">
        <f t="shared" si="117"/>
        <v>F4Q20E</v>
      </c>
      <c r="BP57" s="247"/>
      <c r="BQ57" s="560" t="str">
        <f>BQ9</f>
        <v>FY2005A</v>
      </c>
      <c r="BR57" s="560" t="str">
        <f t="shared" ref="BR57:CC57" si="118">BR9</f>
        <v>FY2006A</v>
      </c>
      <c r="BS57" s="560" t="str">
        <f t="shared" si="118"/>
        <v>FY2007A</v>
      </c>
      <c r="BT57" s="560" t="str">
        <f t="shared" si="118"/>
        <v>FY2008A</v>
      </c>
      <c r="BU57" s="560" t="str">
        <f t="shared" si="118"/>
        <v>FY2009A</v>
      </c>
      <c r="BV57" s="560" t="str">
        <f t="shared" si="118"/>
        <v>FY2010A</v>
      </c>
      <c r="BW57" s="560" t="str">
        <f t="shared" si="118"/>
        <v>FY2011A</v>
      </c>
      <c r="BX57" s="560" t="str">
        <f t="shared" si="118"/>
        <v>FY2012A</v>
      </c>
      <c r="BY57" s="560" t="str">
        <f t="shared" si="118"/>
        <v>FY2013A</v>
      </c>
      <c r="BZ57" s="14" t="str">
        <f t="shared" si="118"/>
        <v>FY2014A</v>
      </c>
      <c r="CA57" s="14" t="str">
        <f t="shared" si="118"/>
        <v>FY2015A</v>
      </c>
      <c r="CB57" s="14" t="str">
        <f>CB9</f>
        <v>FY2016A</v>
      </c>
      <c r="CC57" s="14" t="str">
        <f t="shared" si="118"/>
        <v>FY2017A</v>
      </c>
      <c r="CD57" s="14" t="str">
        <f t="shared" ref="CD57:CE57" si="119">CD9</f>
        <v>FY2018A</v>
      </c>
      <c r="CE57" s="560" t="str">
        <f t="shared" si="119"/>
        <v>FY2019E</v>
      </c>
      <c r="CF57" s="560" t="str">
        <f t="shared" ref="CF57:CG57" si="120">CF9</f>
        <v>FY2020E</v>
      </c>
      <c r="CG57" s="15" t="str">
        <f t="shared" si="120"/>
        <v>FY2021E</v>
      </c>
      <c r="CH57" s="336"/>
    </row>
    <row r="58" spans="2:86" ht="14.25">
      <c r="B58" s="206" t="s">
        <v>181</v>
      </c>
      <c r="C58" s="207"/>
      <c r="D58" s="208">
        <f t="shared" ref="D58:AD58" si="121">-D34</f>
        <v>7.117</v>
      </c>
      <c r="E58" s="208">
        <f t="shared" si="121"/>
        <v>6.6220000000000008</v>
      </c>
      <c r="F58" s="208">
        <f t="shared" si="121"/>
        <v>10.013999999999999</v>
      </c>
      <c r="G58" s="239">
        <f t="shared" si="121"/>
        <v>22.009000000000004</v>
      </c>
      <c r="H58" s="208">
        <f t="shared" si="121"/>
        <v>18.395</v>
      </c>
      <c r="I58" s="208">
        <f t="shared" si="121"/>
        <v>19.446000000000002</v>
      </c>
      <c r="J58" s="208">
        <f t="shared" si="121"/>
        <v>24.468</v>
      </c>
      <c r="K58" s="239">
        <f t="shared" si="121"/>
        <v>36.191000000000003</v>
      </c>
      <c r="L58" s="208">
        <f t="shared" si="121"/>
        <v>28.948</v>
      </c>
      <c r="M58" s="208">
        <f t="shared" si="121"/>
        <v>42.523999999999994</v>
      </c>
      <c r="N58" s="208">
        <f t="shared" si="121"/>
        <v>49.940000000000005</v>
      </c>
      <c r="O58" s="239">
        <f t="shared" si="121"/>
        <v>59.283999999999999</v>
      </c>
      <c r="P58" s="208">
        <f t="shared" si="121"/>
        <v>35.281999999999996</v>
      </c>
      <c r="Q58" s="208">
        <f t="shared" si="121"/>
        <v>29.231000000000009</v>
      </c>
      <c r="R58" s="208">
        <f t="shared" si="121"/>
        <v>16.622</v>
      </c>
      <c r="S58" s="239">
        <f t="shared" si="121"/>
        <v>32.326999999999998</v>
      </c>
      <c r="T58" s="208">
        <f t="shared" si="121"/>
        <v>0</v>
      </c>
      <c r="U58" s="208">
        <f t="shared" si="121"/>
        <v>46.531999999999996</v>
      </c>
      <c r="V58" s="208">
        <f t="shared" si="121"/>
        <v>12.780000000000001</v>
      </c>
      <c r="W58" s="239">
        <f t="shared" si="121"/>
        <v>13.930999999999997</v>
      </c>
      <c r="X58" s="208">
        <f t="shared" si="121"/>
        <v>3.4140000000000001</v>
      </c>
      <c r="Y58" s="208">
        <f t="shared" si="121"/>
        <v>3.7650000000000001</v>
      </c>
      <c r="Z58" s="208">
        <f t="shared" si="121"/>
        <v>7.6289999999999996</v>
      </c>
      <c r="AA58" s="239">
        <f t="shared" si="121"/>
        <v>25.006</v>
      </c>
      <c r="AB58" s="208">
        <f t="shared" si="121"/>
        <v>16.395</v>
      </c>
      <c r="AC58" s="208">
        <f t="shared" si="121"/>
        <v>22.903000000000002</v>
      </c>
      <c r="AD58" s="208">
        <f t="shared" si="121"/>
        <v>23.969000000000005</v>
      </c>
      <c r="AE58" s="239">
        <f t="shared" ref="AE58:AJ58" si="122">-AE34</f>
        <v>26.905999999999988</v>
      </c>
      <c r="AF58" s="208">
        <f t="shared" si="122"/>
        <v>17.018000000000001</v>
      </c>
      <c r="AG58" s="208">
        <f t="shared" si="122"/>
        <v>25.227</v>
      </c>
      <c r="AH58" s="208">
        <f t="shared" si="122"/>
        <v>20.085000000000001</v>
      </c>
      <c r="AI58" s="239">
        <f t="shared" si="122"/>
        <v>26.449000000000002</v>
      </c>
      <c r="AJ58" s="208">
        <f t="shared" si="122"/>
        <v>18.904</v>
      </c>
      <c r="AK58" s="208">
        <f t="shared" ref="AK58:AP58" si="123">-AK34</f>
        <v>10.83</v>
      </c>
      <c r="AL58" s="208">
        <f t="shared" si="123"/>
        <v>19.356000000000002</v>
      </c>
      <c r="AM58" s="239">
        <f t="shared" si="123"/>
        <v>19.096</v>
      </c>
      <c r="AN58" s="208">
        <f t="shared" si="123"/>
        <v>20.079999999999998</v>
      </c>
      <c r="AO58" s="208">
        <f t="shared" si="123"/>
        <v>18.981000000000002</v>
      </c>
      <c r="AP58" s="208">
        <f t="shared" si="123"/>
        <v>20.605</v>
      </c>
      <c r="AQ58" s="239">
        <f t="shared" ref="AQ58:AV58" si="124">-AQ34</f>
        <v>13.31</v>
      </c>
      <c r="AR58" s="208">
        <f t="shared" si="124"/>
        <v>16.131</v>
      </c>
      <c r="AS58" s="208">
        <f t="shared" si="124"/>
        <v>15.823</v>
      </c>
      <c r="AT58" s="208">
        <f t="shared" si="124"/>
        <v>16.661000000000001</v>
      </c>
      <c r="AU58" s="239">
        <f t="shared" si="124"/>
        <v>14.414999999999999</v>
      </c>
      <c r="AV58" s="208">
        <f t="shared" si="124"/>
        <v>7.3339999999999996</v>
      </c>
      <c r="AW58" s="208">
        <f t="shared" ref="AW58" si="125">-AW34</f>
        <v>16.985999999999997</v>
      </c>
      <c r="AX58" s="208">
        <f>IS!AX10*AX59</f>
        <v>14.847579999999999</v>
      </c>
      <c r="AY58" s="239">
        <f t="shared" ref="AY58:BC58" si="126">-AY34</f>
        <v>3.8940000000000001</v>
      </c>
      <c r="AZ58" s="555">
        <f t="shared" si="126"/>
        <v>6.5419999999999998</v>
      </c>
      <c r="BA58" s="208">
        <f t="shared" si="126"/>
        <v>12.509</v>
      </c>
      <c r="BB58" s="208">
        <f t="shared" si="126"/>
        <v>13.347</v>
      </c>
      <c r="BC58" s="209">
        <f t="shared" si="126"/>
        <v>12.111999999999997</v>
      </c>
      <c r="BD58" s="555">
        <f t="shared" ref="BD58" si="127">-BD34</f>
        <v>10.026</v>
      </c>
      <c r="BE58" s="208">
        <f>IS!BE10*BE59</f>
        <v>13.304499999999999</v>
      </c>
      <c r="BF58" s="208">
        <f t="shared" ref="BF58" si="128">-BF34</f>
        <v>10.613</v>
      </c>
      <c r="BG58" s="239">
        <f>IS!BG10*BG59</f>
        <v>13.538997999999999</v>
      </c>
      <c r="BH58" s="208">
        <f>IS!BH10*BH59</f>
        <v>13.214990579999998</v>
      </c>
      <c r="BI58" s="395">
        <f>IS!BI10*BI59</f>
        <v>13.6326531594</v>
      </c>
      <c r="BJ58" s="208">
        <f>IS!BJ10*BJ59</f>
        <v>14.035498632836999</v>
      </c>
      <c r="BK58" s="239">
        <f>IS!BK10*BK59</f>
        <v>13.904490966596999</v>
      </c>
      <c r="BL58" s="208">
        <f>IS!BL10*BL59</f>
        <v>13.144701167067687</v>
      </c>
      <c r="BM58" s="395">
        <f>IS!BM10*BM59</f>
        <v>13.982610390606871</v>
      </c>
      <c r="BN58" s="208">
        <f>IS!BN10*BN59</f>
        <v>14.453350391906344</v>
      </c>
      <c r="BO58" s="239">
        <f>IS!BO10*BO59</f>
        <v>14.285419862710267</v>
      </c>
      <c r="BP58" s="247"/>
      <c r="BQ58" s="431">
        <f>-BQ34</f>
        <v>45.762</v>
      </c>
      <c r="BR58" s="431">
        <f t="shared" ref="BR58:CA58" si="129">-BR34</f>
        <v>98.5</v>
      </c>
      <c r="BS58" s="431">
        <f t="shared" si="129"/>
        <v>180.696</v>
      </c>
      <c r="BT58" s="431">
        <f t="shared" si="129"/>
        <v>113.462</v>
      </c>
      <c r="BU58" s="431">
        <f t="shared" si="129"/>
        <v>73.242999999999995</v>
      </c>
      <c r="BV58" s="431">
        <f t="shared" si="129"/>
        <v>39.814</v>
      </c>
      <c r="BW58" s="431">
        <f t="shared" si="129"/>
        <v>90.173000000000002</v>
      </c>
      <c r="BX58" s="431">
        <f t="shared" si="129"/>
        <v>88.779000000000011</v>
      </c>
      <c r="BY58" s="431">
        <f t="shared" si="129"/>
        <v>68.186000000000007</v>
      </c>
      <c r="BZ58" s="431">
        <f t="shared" si="129"/>
        <v>72.975999999999999</v>
      </c>
      <c r="CA58" s="434">
        <f t="shared" si="129"/>
        <v>63.03</v>
      </c>
      <c r="CB58" s="395">
        <f>-CB34</f>
        <v>37.254999999999995</v>
      </c>
      <c r="CC58" s="395">
        <f>-CC34</f>
        <v>44.51</v>
      </c>
      <c r="CD58" s="395">
        <f>-CD34</f>
        <v>38.054000000000002</v>
      </c>
      <c r="CE58" s="395">
        <f>-CE34</f>
        <v>54.787633338833999</v>
      </c>
      <c r="CF58" s="395">
        <f>-CF34</f>
        <v>55.866081812291171</v>
      </c>
      <c r="CG58" s="703">
        <f>IS!CG10*CG59</f>
        <v>55.866081812291171</v>
      </c>
      <c r="CH58" s="336"/>
    </row>
    <row r="59" spans="2:86" ht="14.25">
      <c r="B59" s="210" t="s">
        <v>183</v>
      </c>
      <c r="C59" s="207"/>
      <c r="D59" s="211">
        <f>D58/IS!D10</f>
        <v>2.6400620230954422E-2</v>
      </c>
      <c r="E59" s="211">
        <f>E58/IS!E10</f>
        <v>2.2284741245280227E-2</v>
      </c>
      <c r="F59" s="211">
        <f>F58/IS!F10</f>
        <v>3.1531914491644698E-2</v>
      </c>
      <c r="G59" s="212">
        <f>G58/IS!G10</f>
        <v>6.4681748984617954E-2</v>
      </c>
      <c r="H59" s="211">
        <f>H58/IS!H10</f>
        <v>5.0429037475669604E-2</v>
      </c>
      <c r="I59" s="211">
        <f>I58/IS!I10</f>
        <v>4.9803562007304319E-2</v>
      </c>
      <c r="J59" s="211">
        <f>J58/IS!J10</f>
        <v>5.743311441085755E-2</v>
      </c>
      <c r="K59" s="212">
        <f>K58/IS!K10</f>
        <v>7.4007803425654772E-2</v>
      </c>
      <c r="L59" s="211">
        <f>L58/IS!L10</f>
        <v>5.5541485352919057E-2</v>
      </c>
      <c r="M59" s="211">
        <f>M58/IS!M10</f>
        <v>7.4085559727170555E-2</v>
      </c>
      <c r="N59" s="211">
        <f>N58/IS!N10</f>
        <v>9.5965011395124505E-2</v>
      </c>
      <c r="O59" s="212">
        <f>O58/IS!O10</f>
        <v>9.5315881371247094E-2</v>
      </c>
      <c r="P59" s="211">
        <f>P58/IS!P10</f>
        <v>5.5557830092118732E-2</v>
      </c>
      <c r="Q59" s="211">
        <f>Q58/IS!Q10</f>
        <v>4.4511208126557969E-2</v>
      </c>
      <c r="R59" s="211">
        <f>R58/IS!R10</f>
        <v>2.1921645481809336E-2</v>
      </c>
      <c r="S59" s="212">
        <f>S58/IS!S10</f>
        <v>3.8271026156465236E-2</v>
      </c>
      <c r="T59" s="211">
        <f>T58/IS!T10</f>
        <v>0</v>
      </c>
      <c r="U59" s="211">
        <f>U58/IS!U10</f>
        <v>5.5225944277957448E-2</v>
      </c>
      <c r="V59" s="211">
        <f>V58/IS!V10</f>
        <v>1.615582406080051E-2</v>
      </c>
      <c r="W59" s="212">
        <f>W58/IS!W10</f>
        <v>2.7162987675167255E-2</v>
      </c>
      <c r="X59" s="211">
        <f>X58/IS!X10</f>
        <v>6.5473290962998199E-3</v>
      </c>
      <c r="Y59" s="211">
        <f>Y58/IS!Y10</f>
        <v>5.8771190409291005E-3</v>
      </c>
      <c r="Z59" s="211">
        <f>Z58/IS!Z10</f>
        <v>9.4994633282613084E-3</v>
      </c>
      <c r="AA59" s="212">
        <f>AA58/IS!AA10</f>
        <v>2.967947919077546E-2</v>
      </c>
      <c r="AB59" s="211">
        <f>AB58/IS!AB10</f>
        <v>1.9162461911758005E-2</v>
      </c>
      <c r="AC59" s="211">
        <f>AC58/IS!AC10</f>
        <v>2.5547868649843722E-2</v>
      </c>
      <c r="AD59" s="211">
        <f>AD58/IS!AD10</f>
        <v>2.4985224016419848E-2</v>
      </c>
      <c r="AE59" s="212">
        <f>AE58/IS!AE10</f>
        <v>2.9878524796421582E-2</v>
      </c>
      <c r="AF59" s="211">
        <f>AF58/IS!AF10</f>
        <v>2.120882051639951E-2</v>
      </c>
      <c r="AG59" s="211">
        <v>0.03</v>
      </c>
      <c r="AH59" s="211">
        <f>AH58/IS!AH10</f>
        <v>2.11328290634532E-2</v>
      </c>
      <c r="AI59" s="212">
        <f>AI58/IS!AI10</f>
        <v>3.5611908426136492E-2</v>
      </c>
      <c r="AJ59" s="211">
        <f>AJ58/IS!AJ10</f>
        <v>2.3738276212373691E-2</v>
      </c>
      <c r="AK59" s="211">
        <v>0.03</v>
      </c>
      <c r="AL59" s="211">
        <v>0.03</v>
      </c>
      <c r="AM59" s="212">
        <f>AM58/IS!AM10</f>
        <v>2.4630656241374241E-2</v>
      </c>
      <c r="AN59" s="211">
        <f>AN58/IS!AN10</f>
        <v>2.7343202123183301E-2</v>
      </c>
      <c r="AO59" s="211">
        <v>0.03</v>
      </c>
      <c r="AP59" s="211">
        <v>0.03</v>
      </c>
      <c r="AQ59" s="212">
        <f>AQ58/IS!AQ10</f>
        <v>1.4284963010424482E-2</v>
      </c>
      <c r="AR59" s="211">
        <f>AR58/IS!AR10</f>
        <v>1.6841193113600533E-2</v>
      </c>
      <c r="AS59" s="211">
        <f>AS58/IS!AS10</f>
        <v>1.6455808100504919E-2</v>
      </c>
      <c r="AT59" s="211">
        <f>AT58/IS!AT10</f>
        <v>1.7912434310681451E-2</v>
      </c>
      <c r="AU59" s="212">
        <f>AU58/IS!AU10</f>
        <v>1.6811436675172486E-2</v>
      </c>
      <c r="AV59" s="211">
        <f>AV58/IS!AV10</f>
        <v>1.0125806309092515E-2</v>
      </c>
      <c r="AW59" s="211">
        <f>AW58/IS!AW10</f>
        <v>2.3907376859978718E-2</v>
      </c>
      <c r="AX59" s="211">
        <v>2.1999999999999999E-2</v>
      </c>
      <c r="AY59" s="212">
        <f>AY58/IS!AY10</f>
        <v>6.319807581821546E-3</v>
      </c>
      <c r="AZ59" s="447">
        <f>AZ58/IS!AZ10</f>
        <v>1.2096401403789047E-2</v>
      </c>
      <c r="BA59" s="494">
        <f>BA58/IS!BA10</f>
        <v>1.9969540424390649E-2</v>
      </c>
      <c r="BB59" s="494">
        <f>BB58/IS!BB10</f>
        <v>2.0395096741857698E-2</v>
      </c>
      <c r="BC59" s="212">
        <f>BC58/IS!BC10</f>
        <v>2.1197059852992646E-2</v>
      </c>
      <c r="BD59" s="447">
        <f>BD58/IS!BD10</f>
        <v>1.7310680617424638E-2</v>
      </c>
      <c r="BE59" s="494">
        <v>2.1999999999999999E-2</v>
      </c>
      <c r="BF59" s="643">
        <f>BF58/IS!BF10</f>
        <v>1.7220453608782705E-2</v>
      </c>
      <c r="BG59" s="384">
        <v>2.1999999999999999E-2</v>
      </c>
      <c r="BH59" s="328">
        <v>2.1999999999999999E-2</v>
      </c>
      <c r="BI59" s="328">
        <v>2.1999999999999999E-2</v>
      </c>
      <c r="BJ59" s="328">
        <v>2.1999999999999999E-2</v>
      </c>
      <c r="BK59" s="284">
        <v>2.1999999999999999E-2</v>
      </c>
      <c r="BL59" s="328">
        <v>2.1999999999999999E-2</v>
      </c>
      <c r="BM59" s="328">
        <v>2.1999999999999999E-2</v>
      </c>
      <c r="BN59" s="328">
        <v>2.1999999999999999E-2</v>
      </c>
      <c r="BO59" s="284">
        <v>2.1999999999999999E-2</v>
      </c>
      <c r="BP59" s="247"/>
      <c r="BQ59" s="643">
        <f>BQ58/IS!BQ10</f>
        <v>3.7369547110029565E-2</v>
      </c>
      <c r="BR59" s="643">
        <f>BR58/IS!BR10</f>
        <v>5.8972642680866397E-2</v>
      </c>
      <c r="BS59" s="643">
        <f>BS58/IS!BS10</f>
        <v>8.0756075945463635E-2</v>
      </c>
      <c r="BT59" s="643">
        <f>BT58/IS!BT10</f>
        <v>3.9196557286040351E-2</v>
      </c>
      <c r="BU59" s="643">
        <f>BU58/IS!BU10</f>
        <v>2.4823398110801229E-2</v>
      </c>
      <c r="BV59" s="643">
        <f>BV58/IS!BV10</f>
        <v>1.4180355573822866E-2</v>
      </c>
      <c r="BW59" s="643">
        <f>BW58/IS!BW10</f>
        <v>2.4965578991404232E-2</v>
      </c>
      <c r="BX59" s="643">
        <f>BX58/IS!BX10</f>
        <v>2.6165031947751872E-2</v>
      </c>
      <c r="BY59" s="643">
        <f>BY58/IS!BY10</f>
        <v>2.1519079223513007E-2</v>
      </c>
      <c r="BZ59" s="211">
        <f>BZ58/IS!BZ10</f>
        <v>2.143578897896839E-2</v>
      </c>
      <c r="CA59" s="211">
        <f>CA58/IS!CA10</f>
        <v>1.7003137069347606E-2</v>
      </c>
      <c r="CB59" s="211">
        <f>CB58/IS!CB10</f>
        <v>1.3667406747601094E-2</v>
      </c>
      <c r="CC59" s="211">
        <f>CC58/IS!CC10</f>
        <v>1.8599710494733076E-2</v>
      </c>
      <c r="CD59" s="494">
        <f>CD58/IS!CD10</f>
        <v>1.5753168620668386E-2</v>
      </c>
      <c r="CE59" s="494">
        <f>CE58/IS!CE10</f>
        <v>2.1999999999999999E-2</v>
      </c>
      <c r="CF59" s="643">
        <f>CF58/IS!CF10</f>
        <v>2.1999999999999999E-2</v>
      </c>
      <c r="CG59" s="704">
        <v>2.1999999999999999E-2</v>
      </c>
      <c r="CH59" s="336"/>
    </row>
    <row r="60" spans="2:86" ht="14.25">
      <c r="B60" s="206" t="s">
        <v>182</v>
      </c>
      <c r="C60" s="207"/>
      <c r="D60" s="208"/>
      <c r="E60" s="208"/>
      <c r="F60" s="208"/>
      <c r="G60" s="209"/>
      <c r="H60" s="208"/>
      <c r="I60" s="208"/>
      <c r="J60" s="208"/>
      <c r="K60" s="209"/>
      <c r="L60" s="208"/>
      <c r="M60" s="208"/>
      <c r="N60" s="208"/>
      <c r="O60" s="209"/>
      <c r="P60" s="208"/>
      <c r="Q60" s="208"/>
      <c r="R60" s="208"/>
      <c r="S60" s="209"/>
      <c r="T60" s="208"/>
      <c r="U60" s="208"/>
      <c r="V60" s="208"/>
      <c r="W60" s="209"/>
      <c r="X60" s="208"/>
      <c r="Y60" s="208"/>
      <c r="Z60" s="208"/>
      <c r="AA60" s="209"/>
      <c r="AB60" s="208"/>
      <c r="AC60" s="208"/>
      <c r="AD60" s="208"/>
      <c r="AE60" s="214"/>
      <c r="AF60" s="213"/>
      <c r="AG60" s="213"/>
      <c r="AH60" s="208"/>
      <c r="AI60" s="209"/>
      <c r="AJ60" s="213"/>
      <c r="AK60" s="213"/>
      <c r="AL60" s="213"/>
      <c r="AM60" s="209"/>
      <c r="AN60" s="213"/>
      <c r="AO60" s="213"/>
      <c r="AP60" s="213"/>
      <c r="AQ60" s="209"/>
      <c r="AR60" s="213"/>
      <c r="AS60" s="208"/>
      <c r="AT60" s="208"/>
      <c r="AU60" s="443"/>
      <c r="AV60" s="208"/>
      <c r="AW60" s="208"/>
      <c r="AX60" s="208"/>
      <c r="AY60" s="443"/>
      <c r="AZ60" s="555"/>
      <c r="BA60" s="208"/>
      <c r="BB60" s="208"/>
      <c r="BC60" s="209"/>
      <c r="BD60" s="208">
        <v>0</v>
      </c>
      <c r="BE60" s="556">
        <v>0</v>
      </c>
      <c r="BF60" s="208"/>
      <c r="BG60" s="720">
        <v>11.428002000000021</v>
      </c>
      <c r="BH60" s="208"/>
      <c r="BI60" s="208"/>
      <c r="BJ60" s="208"/>
      <c r="BK60" s="209"/>
      <c r="BL60" s="208"/>
      <c r="BM60" s="208"/>
      <c r="BN60" s="208"/>
      <c r="BO60" s="209"/>
      <c r="BP60" s="247"/>
      <c r="BQ60" s="67"/>
      <c r="BR60" s="67"/>
      <c r="BS60" s="67"/>
      <c r="BT60" s="67"/>
      <c r="BU60" s="67"/>
      <c r="BV60" s="67"/>
      <c r="BW60" s="67"/>
      <c r="BX60" s="67"/>
      <c r="BY60" s="67"/>
      <c r="BZ60" s="67"/>
      <c r="CA60" s="67"/>
      <c r="CB60" s="338"/>
      <c r="CC60" s="338"/>
      <c r="CD60" s="338"/>
      <c r="CE60" s="338"/>
      <c r="CF60" s="338"/>
      <c r="CG60" s="705"/>
      <c r="CH60" s="336"/>
    </row>
    <row r="61" spans="2:86" ht="14.25">
      <c r="B61" s="215" t="s">
        <v>184</v>
      </c>
      <c r="C61" s="216"/>
      <c r="D61" s="240"/>
      <c r="E61" s="240"/>
      <c r="F61" s="240"/>
      <c r="G61" s="241"/>
      <c r="H61" s="240"/>
      <c r="I61" s="240"/>
      <c r="J61" s="240"/>
      <c r="K61" s="241"/>
      <c r="L61" s="240"/>
      <c r="M61" s="240"/>
      <c r="N61" s="240"/>
      <c r="O61" s="241"/>
      <c r="P61" s="240"/>
      <c r="Q61" s="240"/>
      <c r="R61" s="240"/>
      <c r="S61" s="241"/>
      <c r="T61" s="240"/>
      <c r="U61" s="240"/>
      <c r="V61" s="240"/>
      <c r="W61" s="241"/>
      <c r="X61" s="240"/>
      <c r="Y61" s="240"/>
      <c r="Z61" s="240"/>
      <c r="AA61" s="241"/>
      <c r="AB61" s="240"/>
      <c r="AC61" s="240"/>
      <c r="AD61" s="240"/>
      <c r="AE61" s="241"/>
      <c r="AF61" s="240"/>
      <c r="AG61" s="240"/>
      <c r="AH61" s="240"/>
      <c r="AI61" s="241"/>
      <c r="AJ61" s="240"/>
      <c r="AK61" s="240"/>
      <c r="AL61" s="240"/>
      <c r="AM61" s="241"/>
      <c r="AN61" s="240"/>
      <c r="AO61" s="240"/>
      <c r="AP61" s="240"/>
      <c r="AQ61" s="241"/>
      <c r="AR61" s="240"/>
      <c r="AS61" s="240"/>
      <c r="AT61" s="240"/>
      <c r="AU61" s="241"/>
      <c r="AV61" s="240"/>
      <c r="AW61" s="240"/>
      <c r="AX61" s="240"/>
      <c r="AY61" s="241"/>
      <c r="AZ61" s="376"/>
      <c r="BA61" s="240"/>
      <c r="BB61" s="240"/>
      <c r="BC61" s="241"/>
      <c r="BD61" s="240"/>
      <c r="BE61" s="240"/>
      <c r="BF61" s="240"/>
      <c r="BG61" s="241"/>
      <c r="BH61" s="240"/>
      <c r="BI61" s="240"/>
      <c r="BJ61" s="240"/>
      <c r="BK61" s="241"/>
      <c r="BL61" s="240"/>
      <c r="BM61" s="240"/>
      <c r="BN61" s="240"/>
      <c r="BO61" s="241"/>
      <c r="BP61" s="247"/>
      <c r="BQ61" s="432"/>
      <c r="BR61" s="432"/>
      <c r="BS61" s="432"/>
      <c r="BT61" s="432"/>
      <c r="BU61" s="432"/>
      <c r="BV61" s="432"/>
      <c r="BW61" s="432"/>
      <c r="BX61" s="432"/>
      <c r="BY61" s="432"/>
      <c r="BZ61" s="432"/>
      <c r="CA61" s="432"/>
      <c r="CB61" s="254"/>
      <c r="CC61" s="254"/>
      <c r="CD61" s="254"/>
      <c r="CE61" s="254"/>
      <c r="CF61" s="254"/>
      <c r="CG61" s="241"/>
      <c r="CH61" s="336"/>
    </row>
    <row r="62" spans="2:86" ht="14.25">
      <c r="B62" s="206" t="s">
        <v>185</v>
      </c>
      <c r="C62" s="207"/>
      <c r="D62" s="222">
        <f>D63*BS!D25</f>
        <v>248.5642</v>
      </c>
      <c r="E62" s="222">
        <f>E63*BS!E25</f>
        <v>254.54470000000003</v>
      </c>
      <c r="F62" s="222">
        <f>F63*BS!F25</f>
        <v>267.35560000000004</v>
      </c>
      <c r="G62" s="214">
        <v>279.58199999999999</v>
      </c>
      <c r="H62" s="213">
        <v>307.89600000000002</v>
      </c>
      <c r="I62" s="213">
        <v>341.89600000000002</v>
      </c>
      <c r="J62" s="213">
        <v>366.108</v>
      </c>
      <c r="K62" s="214">
        <v>411.517</v>
      </c>
      <c r="L62" s="213">
        <v>443.66899999999998</v>
      </c>
      <c r="M62" s="213">
        <v>508.71600000000001</v>
      </c>
      <c r="N62" s="213">
        <v>563.93100000000004</v>
      </c>
      <c r="O62" s="214">
        <v>681.74</v>
      </c>
      <c r="P62" s="213">
        <v>678.32399999999996</v>
      </c>
      <c r="Q62" s="213">
        <v>694.19</v>
      </c>
      <c r="R62" s="213">
        <v>690.024</v>
      </c>
      <c r="S62" s="214">
        <v>687.30899999999997</v>
      </c>
      <c r="T62" s="213">
        <v>711.41800000000001</v>
      </c>
      <c r="U62" s="213">
        <v>723.75099999999998</v>
      </c>
      <c r="V62" s="213">
        <v>735.40499999999997</v>
      </c>
      <c r="W62" s="214">
        <v>747.42399999999998</v>
      </c>
      <c r="X62" s="213">
        <v>750.77700000000004</v>
      </c>
      <c r="Y62" s="213">
        <v>753.56700000000001</v>
      </c>
      <c r="Z62" s="213">
        <v>770.61900000000003</v>
      </c>
      <c r="AA62" s="245">
        <v>762.78</v>
      </c>
      <c r="AB62" s="213">
        <v>777.35699999999997</v>
      </c>
      <c r="AC62" s="213">
        <v>794.58</v>
      </c>
      <c r="AD62" s="213">
        <v>813.20299999999997</v>
      </c>
      <c r="AE62" s="214">
        <v>832.01700000000005</v>
      </c>
      <c r="AF62" s="213">
        <v>845.06700000000001</v>
      </c>
      <c r="AG62" s="213">
        <v>868.16399999999999</v>
      </c>
      <c r="AH62" s="213">
        <v>876.34</v>
      </c>
      <c r="AI62" s="214">
        <v>898.79100000000005</v>
      </c>
      <c r="AJ62" s="213">
        <v>909.56500000000005</v>
      </c>
      <c r="AK62" s="213">
        <v>925.30899999999997</v>
      </c>
      <c r="AL62" s="213">
        <v>935.01700000000005</v>
      </c>
      <c r="AM62" s="214">
        <v>961.88900000000001</v>
      </c>
      <c r="AN62" s="213">
        <v>973.12900000000002</v>
      </c>
      <c r="AO62" s="213">
        <v>965.87</v>
      </c>
      <c r="AP62" s="213">
        <v>978.33</v>
      </c>
      <c r="AQ62" s="214">
        <v>985.06399999999996</v>
      </c>
      <c r="AR62" s="213">
        <v>994.01900000000001</v>
      </c>
      <c r="AS62" s="213">
        <v>1006.944</v>
      </c>
      <c r="AT62" s="213">
        <v>1022.962</v>
      </c>
      <c r="AU62" s="214">
        <v>1034.203</v>
      </c>
      <c r="AV62" s="213">
        <v>1040.6990000000001</v>
      </c>
      <c r="AW62" s="213">
        <v>1056.1479999999999</v>
      </c>
      <c r="AX62" s="213">
        <v>1061.616</v>
      </c>
      <c r="AY62" s="458">
        <v>1007.8390000000001</v>
      </c>
      <c r="AZ62" s="213">
        <v>1004.926</v>
      </c>
      <c r="BA62" s="213">
        <v>1056.1479999999999</v>
      </c>
      <c r="BB62" s="213">
        <v>1025.1469999999999</v>
      </c>
      <c r="BC62" s="245">
        <v>1009.244</v>
      </c>
      <c r="BD62" s="213">
        <v>946.21199999999999</v>
      </c>
      <c r="BE62" s="213">
        <v>945.61599999999999</v>
      </c>
      <c r="BF62" s="213">
        <v>890.57299999999998</v>
      </c>
      <c r="BG62" s="329">
        <f t="shared" ref="BG62" si="130">BF62+BG58+BG60+BG61</f>
        <v>915.54</v>
      </c>
      <c r="BH62" s="222">
        <f t="shared" ref="BH62" si="131">BG62+BH58+BH60+BH61</f>
        <v>928.75499057999991</v>
      </c>
      <c r="BI62" s="222">
        <f t="shared" ref="BI62" si="132">BH62+BI58+BI60+BI61</f>
        <v>942.38764373939989</v>
      </c>
      <c r="BJ62" s="222">
        <f t="shared" ref="BJ62" si="133">BI62+BJ58+BJ60+BJ61</f>
        <v>956.42314237223684</v>
      </c>
      <c r="BK62" s="329">
        <f t="shared" ref="BK62" si="134">BJ62+BK58+BK60+BK61</f>
        <v>970.32763333883383</v>
      </c>
      <c r="BL62" s="222">
        <f t="shared" ref="BL62" si="135">BK62+BL58+BL60+BL61</f>
        <v>983.47233450590147</v>
      </c>
      <c r="BM62" s="222">
        <f t="shared" ref="BM62" si="136">BL62+BM58+BM60+BM61</f>
        <v>997.45494489650832</v>
      </c>
      <c r="BN62" s="222">
        <f t="shared" ref="BN62" si="137">BM62+BN58+BN60+BN61</f>
        <v>1011.9082952884147</v>
      </c>
      <c r="BO62" s="329">
        <f t="shared" ref="BO62" si="138">BN62+BO58+BO60+BO61</f>
        <v>1026.1937151511249</v>
      </c>
      <c r="BP62" s="247"/>
      <c r="BQ62" s="431">
        <f>G62</f>
        <v>279.58199999999999</v>
      </c>
      <c r="BR62" s="431">
        <f>K62</f>
        <v>411.517</v>
      </c>
      <c r="BS62" s="431">
        <f>O62</f>
        <v>681.74</v>
      </c>
      <c r="BT62" s="431">
        <f>S62</f>
        <v>687.30899999999997</v>
      </c>
      <c r="BU62" s="431">
        <f>W62</f>
        <v>747.42399999999998</v>
      </c>
      <c r="BV62" s="431">
        <f>AA62</f>
        <v>762.78</v>
      </c>
      <c r="BW62" s="431">
        <f>AE62</f>
        <v>832.01700000000005</v>
      </c>
      <c r="BX62" s="431">
        <f>AI62</f>
        <v>898.79100000000005</v>
      </c>
      <c r="BY62" s="431">
        <f>AM62</f>
        <v>961.88900000000001</v>
      </c>
      <c r="BZ62" s="431">
        <f>AQ62</f>
        <v>985.06399999999996</v>
      </c>
      <c r="CA62" s="431">
        <f>AU62</f>
        <v>1034.203</v>
      </c>
      <c r="CB62" s="208">
        <f>AY62</f>
        <v>1007.8390000000001</v>
      </c>
      <c r="CC62" s="208">
        <f>BC62</f>
        <v>1009.244</v>
      </c>
      <c r="CD62" s="208">
        <f>BG62</f>
        <v>915.54</v>
      </c>
      <c r="CE62" s="208">
        <f>BK62</f>
        <v>970.32763333883383</v>
      </c>
      <c r="CF62" s="208">
        <f>BO62</f>
        <v>1026.1937151511249</v>
      </c>
      <c r="CG62" s="706">
        <f>CF62+CG58+CG60+CG61</f>
        <v>1082.0597969634161</v>
      </c>
      <c r="CH62" s="336"/>
    </row>
    <row r="63" spans="2:86" ht="14.25">
      <c r="B63" s="210" t="s">
        <v>186</v>
      </c>
      <c r="C63" s="207"/>
      <c r="D63" s="334">
        <v>0.1</v>
      </c>
      <c r="E63" s="334">
        <v>0.1</v>
      </c>
      <c r="F63" s="334">
        <v>0.1</v>
      </c>
      <c r="G63" s="212">
        <f>G62/BS!G25</f>
        <v>0.10024589793622143</v>
      </c>
      <c r="H63" s="211">
        <f>H62/BS!H25</f>
        <v>0.10643742165737562</v>
      </c>
      <c r="I63" s="211">
        <f>I62/BS!I25</f>
        <v>0.11243024820114432</v>
      </c>
      <c r="J63" s="211">
        <f>J62/BS!J25</f>
        <v>0.11377512919456988</v>
      </c>
      <c r="K63" s="212">
        <f>K62/BS!K25</f>
        <v>0.11742510927360376</v>
      </c>
      <c r="L63" s="211">
        <f>L62/BS!L25</f>
        <v>0.12310091706463845</v>
      </c>
      <c r="M63" s="211">
        <f>M62/BS!M25</f>
        <v>0.13296594380633953</v>
      </c>
      <c r="N63" s="211">
        <f>N62/BS!N25</f>
        <v>0.14450720856325347</v>
      </c>
      <c r="O63" s="212">
        <f>O62/BS!O25</f>
        <v>0.15057093005278618</v>
      </c>
      <c r="P63" s="211">
        <f>P62/BS!P25</f>
        <v>0.15222119967065911</v>
      </c>
      <c r="Q63" s="211">
        <f>Q62/BS!Q25</f>
        <v>0.15847270472653593</v>
      </c>
      <c r="R63" s="211">
        <f>R62/BS!R25</f>
        <v>0.15439735215513306</v>
      </c>
      <c r="S63" s="212">
        <f>S62/BS!S25</f>
        <v>0.15103720525276479</v>
      </c>
      <c r="T63" s="211">
        <f>T62/BS!T25</f>
        <v>0.15433379772587941</v>
      </c>
      <c r="U63" s="211">
        <f>U62/BS!U25</f>
        <v>0.15320448298453562</v>
      </c>
      <c r="V63" s="211">
        <f>V62/BS!V25</f>
        <v>0.15480564697858437</v>
      </c>
      <c r="W63" s="212">
        <f>W62/BS!W25</f>
        <v>0.16932264056907251</v>
      </c>
      <c r="X63" s="211">
        <f>X62/BS!X25</f>
        <v>0.16904781150906814</v>
      </c>
      <c r="Y63" s="211">
        <f>Y62/BS!Y25</f>
        <v>0.16235311150566484</v>
      </c>
      <c r="Z63" s="211">
        <f>Z62/BS!Z25</f>
        <v>0.15766430973951048</v>
      </c>
      <c r="AA63" s="212">
        <f>AA62/BS!AA25</f>
        <v>0.14751283132273821</v>
      </c>
      <c r="AB63" s="211">
        <f>AB62/BS!AB25</f>
        <v>0.14183840329366482</v>
      </c>
      <c r="AC63" s="211">
        <f>AC62/BS!AC25</f>
        <v>0.13542568383936876</v>
      </c>
      <c r="AD63" s="211">
        <f>AD62/BS!AD25</f>
        <v>0.13284001495016393</v>
      </c>
      <c r="AE63" s="212">
        <f>AE62/BS!AE25</f>
        <v>0.13127112502893193</v>
      </c>
      <c r="AF63" s="211">
        <f>AF62/BS!AF25</f>
        <v>0.1484499105594326</v>
      </c>
      <c r="AG63" s="211">
        <f>AG62/BS!AG25</f>
        <v>0.14894992127562146</v>
      </c>
      <c r="AH63" s="211">
        <f>AH62/BS!AH25</f>
        <v>0.14935810306994185</v>
      </c>
      <c r="AI63" s="212">
        <f>AI62/BS!AI25</f>
        <v>0.15583397585728181</v>
      </c>
      <c r="AJ63" s="211">
        <f>AJ62/BS!AJ25</f>
        <v>0.15905587542242097</v>
      </c>
      <c r="AK63" s="211">
        <f>AK62/BS!AK25</f>
        <v>0.16569081996192353</v>
      </c>
      <c r="AL63" s="211">
        <f>AL62/BS!AL25</f>
        <v>0.17232306060832805</v>
      </c>
      <c r="AM63" s="212">
        <f>AM62/BS!AM25</f>
        <v>0.18280732469187136</v>
      </c>
      <c r="AN63" s="211">
        <f>AN62/BS!AN25</f>
        <v>0.19002094639756917</v>
      </c>
      <c r="AO63" s="211">
        <f>AO62/BS!AO25</f>
        <v>0.18559275852554183</v>
      </c>
      <c r="AP63" s="211">
        <f>AP62/BS!AP25</f>
        <v>0.18293531210802783</v>
      </c>
      <c r="AQ63" s="212">
        <f>AQ62/BS!AQ25</f>
        <v>0.18071219828985818</v>
      </c>
      <c r="AR63" s="211">
        <f>AR62/BS!AR25</f>
        <v>0.17491182430601454</v>
      </c>
      <c r="AS63" s="211">
        <f>AS62/BS!AS25</f>
        <v>0.17166664336734921</v>
      </c>
      <c r="AT63" s="211">
        <f>AT62/BS!AT25</f>
        <v>0.17490096698352328</v>
      </c>
      <c r="AU63" s="212">
        <f>AU62/BS!AU25</f>
        <v>0.17575373611558859</v>
      </c>
      <c r="AV63" s="211">
        <f>AV62/BS!AV25</f>
        <v>0.17813938226125803</v>
      </c>
      <c r="AW63" s="211">
        <f>AW62/BS!AW25</f>
        <v>0.18640243588195882</v>
      </c>
      <c r="AX63" s="211">
        <f>AX62/BS!AX25</f>
        <v>0.1927924040647058</v>
      </c>
      <c r="AY63" s="212">
        <f>AY62/BS!AY25</f>
        <v>0.1851921133042283</v>
      </c>
      <c r="AZ63" s="466">
        <f>AZ62/BS!AZ25</f>
        <v>0.21578266916406078</v>
      </c>
      <c r="BA63" s="466">
        <f>BA62/BS!BA25</f>
        <v>0.22391786079857931</v>
      </c>
      <c r="BB63" s="494">
        <f>BB62/BS!BB25</f>
        <v>0.21561860204112107</v>
      </c>
      <c r="BC63" s="212">
        <f>BC62/BS!BC25</f>
        <v>0.21710475084164221</v>
      </c>
      <c r="BD63" s="494">
        <f>BD62/BS!BD25</f>
        <v>0.20409051564879022</v>
      </c>
      <c r="BE63" s="494">
        <f>BE62/BS!BE25</f>
        <v>0.20613107499809258</v>
      </c>
      <c r="BF63" s="643">
        <f>BF62/BS!BF25</f>
        <v>0.19020380145760415</v>
      </c>
      <c r="BG63" s="212">
        <f>BG62/BS!BG25</f>
        <v>0.19445288700540131</v>
      </c>
      <c r="BH63" s="494">
        <f>BH62/BS!BH25</f>
        <v>0.19247939656240878</v>
      </c>
      <c r="BI63" s="494">
        <f>BI62/BS!BI25</f>
        <v>0.18978663723103606</v>
      </c>
      <c r="BJ63" s="494">
        <f>BJ62/BS!BJ25</f>
        <v>0.18705187109793486</v>
      </c>
      <c r="BK63" s="212">
        <f>BK62/BS!BK25</f>
        <v>0.18463218466134731</v>
      </c>
      <c r="BL63" s="494">
        <f>BL62/BS!BL25</f>
        <v>0.18270765032043593</v>
      </c>
      <c r="BM63" s="494">
        <f>BM62/BS!BM25</f>
        <v>0.18016527804889459</v>
      </c>
      <c r="BN63" s="494">
        <f>BN62/BS!BN25</f>
        <v>0.1777697946827908</v>
      </c>
      <c r="BO63" s="212">
        <f>BO62/BS!BO25</f>
        <v>0.17569049550096671</v>
      </c>
      <c r="BP63" s="24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338"/>
      <c r="CC63" s="338"/>
      <c r="CD63" s="338"/>
      <c r="CE63" s="338"/>
      <c r="CF63" s="338"/>
      <c r="CG63" s="644">
        <f>CG62/BS!CG25</f>
        <v>0.16516917507941559</v>
      </c>
      <c r="CH63" s="336"/>
    </row>
    <row r="64" spans="2:86" ht="14.25">
      <c r="B64" s="215" t="s">
        <v>278</v>
      </c>
      <c r="C64" s="216"/>
      <c r="D64" s="222">
        <f>D62-D67</f>
        <v>100.26920000000001</v>
      </c>
      <c r="E64" s="222">
        <f>E62-E67</f>
        <v>106.04670000000004</v>
      </c>
      <c r="F64" s="222">
        <f>F62-F67</f>
        <v>117.91660000000005</v>
      </c>
      <c r="G64" s="217">
        <v>117.812</v>
      </c>
      <c r="H64" s="213">
        <v>119.348</v>
      </c>
      <c r="I64" s="213">
        <v>131.46899999999999</v>
      </c>
      <c r="J64" s="213">
        <v>143.79300000000001</v>
      </c>
      <c r="K64" s="217">
        <v>150.596</v>
      </c>
      <c r="L64" s="213">
        <v>164.27099999999999</v>
      </c>
      <c r="M64" s="213">
        <v>179.42</v>
      </c>
      <c r="N64" s="213">
        <v>197.2</v>
      </c>
      <c r="O64" s="217">
        <v>240.797</v>
      </c>
      <c r="P64" s="213">
        <v>244.24700000000001</v>
      </c>
      <c r="Q64" s="213">
        <v>268.01299999999998</v>
      </c>
      <c r="R64" s="213">
        <v>271.12400000000002</v>
      </c>
      <c r="S64" s="217">
        <v>271.06799999999998</v>
      </c>
      <c r="T64" s="213">
        <v>290.154</v>
      </c>
      <c r="U64" s="213">
        <v>310.76299999999998</v>
      </c>
      <c r="V64" s="213">
        <v>333.88400000000001</v>
      </c>
      <c r="W64" s="217">
        <v>356.57100000000003</v>
      </c>
      <c r="X64" s="213">
        <v>379.548</v>
      </c>
      <c r="Y64" s="213">
        <v>400.84800000000001</v>
      </c>
      <c r="Z64" s="213">
        <v>421.34300000000002</v>
      </c>
      <c r="AA64" s="217">
        <v>420.28300000000002</v>
      </c>
      <c r="AB64" s="213">
        <v>436.71600000000001</v>
      </c>
      <c r="AC64" s="213">
        <v>451.13499999999999</v>
      </c>
      <c r="AD64" s="213">
        <v>465.61500000000001</v>
      </c>
      <c r="AE64" s="217">
        <v>473.577</v>
      </c>
      <c r="AF64" s="213">
        <v>490.584</v>
      </c>
      <c r="AG64" s="213">
        <v>504.4</v>
      </c>
      <c r="AH64" s="213">
        <v>502.71199999999999</v>
      </c>
      <c r="AI64" s="217">
        <v>514.99</v>
      </c>
      <c r="AJ64" s="213">
        <v>527.19100000000003</v>
      </c>
      <c r="AK64" s="213">
        <v>544.15499999999997</v>
      </c>
      <c r="AL64" s="213">
        <v>558.58000000000004</v>
      </c>
      <c r="AM64" s="217">
        <v>574.86199999999997</v>
      </c>
      <c r="AN64" s="213">
        <v>588.51700000000005</v>
      </c>
      <c r="AO64" s="213">
        <v>602.38400000000001</v>
      </c>
      <c r="AP64" s="213">
        <v>620.17999999999995</v>
      </c>
      <c r="AQ64" s="217">
        <v>628.899</v>
      </c>
      <c r="AR64" s="213">
        <v>644.69799999999998</v>
      </c>
      <c r="AS64" s="213">
        <v>662.10799999999995</v>
      </c>
      <c r="AT64" s="213">
        <v>679.86099999999999</v>
      </c>
      <c r="AU64" s="217">
        <v>693.56399999999996</v>
      </c>
      <c r="AV64" s="213">
        <v>714.94500000000005</v>
      </c>
      <c r="AW64" s="213">
        <v>733.88599999999997</v>
      </c>
      <c r="AX64" s="213">
        <v>751.96900000000005</v>
      </c>
      <c r="AY64" s="217">
        <v>708.29899999999998</v>
      </c>
      <c r="AZ64" s="213">
        <v>721.34199999999998</v>
      </c>
      <c r="BA64" s="213">
        <f>733.886--47.4879999999999</f>
        <v>781.37399999999991</v>
      </c>
      <c r="BB64" s="213">
        <v>759.16300000000001</v>
      </c>
      <c r="BC64" s="217">
        <v>765.84699999999998</v>
      </c>
      <c r="BD64" s="213">
        <v>706.85400000000004</v>
      </c>
      <c r="BE64" s="213">
        <v>710.26199999999994</v>
      </c>
      <c r="BF64" s="213">
        <v>692.4</v>
      </c>
      <c r="BG64" s="330">
        <f t="shared" ref="BG64" si="139">BF64+BG73</f>
        <v>713.31799999999998</v>
      </c>
      <c r="BH64" s="222">
        <f t="shared" ref="BH64" si="140">BG64+BH73</f>
        <v>733.45988</v>
      </c>
      <c r="BI64" s="487">
        <f t="shared" ref="BI64" si="141">BH64+BI73</f>
        <v>753.89248979275999</v>
      </c>
      <c r="BJ64" s="222">
        <f t="shared" ref="BJ64" si="142">BI64+BJ73</f>
        <v>774.62501795502681</v>
      </c>
      <c r="BK64" s="330">
        <f t="shared" ref="BK64" si="143">BJ64+BK73</f>
        <v>795.66632708721602</v>
      </c>
      <c r="BL64" s="222">
        <f t="shared" ref="BL64" si="144">BK64+BL73</f>
        <v>817.01353502067036</v>
      </c>
      <c r="BM64" s="487">
        <f t="shared" ref="BM64" si="145">BL64+BM73</f>
        <v>838.64992637980015</v>
      </c>
      <c r="BN64" s="222">
        <f t="shared" ref="BN64" si="146">BM64+BN73</f>
        <v>860.59393516752334</v>
      </c>
      <c r="BO64" s="330">
        <f t="shared" ref="BO64" si="147">BN64+BO73</f>
        <v>882.85591766386847</v>
      </c>
      <c r="BP64" s="247"/>
      <c r="BQ64" s="431">
        <f>G64</f>
        <v>117.812</v>
      </c>
      <c r="BR64" s="431">
        <f>K64</f>
        <v>150.596</v>
      </c>
      <c r="BS64" s="431">
        <f>O64</f>
        <v>240.797</v>
      </c>
      <c r="BT64" s="431">
        <f>S64</f>
        <v>271.06799999999998</v>
      </c>
      <c r="BU64" s="431">
        <f>W64</f>
        <v>356.57100000000003</v>
      </c>
      <c r="BV64" s="431">
        <f>AA64</f>
        <v>420.28300000000002</v>
      </c>
      <c r="BW64" s="431">
        <f>AE64</f>
        <v>473.577</v>
      </c>
      <c r="BX64" s="431">
        <f>AI64</f>
        <v>514.99</v>
      </c>
      <c r="BY64" s="431">
        <f>AM64</f>
        <v>574.86199999999997</v>
      </c>
      <c r="BZ64" s="431">
        <f>AQ64</f>
        <v>628.899</v>
      </c>
      <c r="CA64" s="431">
        <f>AU64</f>
        <v>693.56399999999996</v>
      </c>
      <c r="CB64" s="208">
        <f>AY64</f>
        <v>708.29899999999998</v>
      </c>
      <c r="CC64" s="208">
        <f>BC64</f>
        <v>765.84699999999998</v>
      </c>
      <c r="CD64" s="208">
        <f>BG64</f>
        <v>713.31799999999998</v>
      </c>
      <c r="CE64" s="208">
        <f>BK64</f>
        <v>795.66632708721602</v>
      </c>
      <c r="CF64" s="208">
        <f>BO64</f>
        <v>882.85591766386847</v>
      </c>
      <c r="CG64" s="707">
        <f>CF64+CG73</f>
        <v>964.95141487595845</v>
      </c>
      <c r="CH64" s="336"/>
    </row>
    <row r="65" spans="2:86" ht="15">
      <c r="B65" s="218" t="s">
        <v>187</v>
      </c>
      <c r="C65" s="219"/>
      <c r="D65" s="220">
        <f t="shared" ref="D65:AU65" si="148">D62-D64</f>
        <v>148.29499999999999</v>
      </c>
      <c r="E65" s="220">
        <f t="shared" si="148"/>
        <v>148.49799999999999</v>
      </c>
      <c r="F65" s="220">
        <f t="shared" si="148"/>
        <v>149.43899999999999</v>
      </c>
      <c r="G65" s="221">
        <f t="shared" si="148"/>
        <v>161.76999999999998</v>
      </c>
      <c r="H65" s="220">
        <f t="shared" si="148"/>
        <v>188.548</v>
      </c>
      <c r="I65" s="220">
        <f t="shared" si="148"/>
        <v>210.42700000000002</v>
      </c>
      <c r="J65" s="220">
        <f t="shared" si="148"/>
        <v>222.315</v>
      </c>
      <c r="K65" s="221">
        <f t="shared" si="148"/>
        <v>260.92099999999999</v>
      </c>
      <c r="L65" s="220">
        <f t="shared" si="148"/>
        <v>279.39800000000002</v>
      </c>
      <c r="M65" s="220">
        <f t="shared" si="148"/>
        <v>329.29600000000005</v>
      </c>
      <c r="N65" s="220">
        <f t="shared" si="148"/>
        <v>366.73100000000005</v>
      </c>
      <c r="O65" s="221">
        <f t="shared" si="148"/>
        <v>440.94299999999998</v>
      </c>
      <c r="P65" s="220">
        <f t="shared" si="148"/>
        <v>434.07699999999994</v>
      </c>
      <c r="Q65" s="220">
        <f t="shared" si="148"/>
        <v>426.17700000000008</v>
      </c>
      <c r="R65" s="220">
        <f t="shared" si="148"/>
        <v>418.9</v>
      </c>
      <c r="S65" s="221">
        <f t="shared" si="148"/>
        <v>416.24099999999999</v>
      </c>
      <c r="T65" s="220">
        <f t="shared" si="148"/>
        <v>421.26400000000001</v>
      </c>
      <c r="U65" s="220">
        <f t="shared" si="148"/>
        <v>412.988</v>
      </c>
      <c r="V65" s="220">
        <f t="shared" si="148"/>
        <v>401.52099999999996</v>
      </c>
      <c r="W65" s="221">
        <f t="shared" si="148"/>
        <v>390.85299999999995</v>
      </c>
      <c r="X65" s="220">
        <f t="shared" si="148"/>
        <v>371.22900000000004</v>
      </c>
      <c r="Y65" s="220">
        <f t="shared" si="148"/>
        <v>352.71899999999999</v>
      </c>
      <c r="Z65" s="220">
        <f t="shared" si="148"/>
        <v>349.27600000000001</v>
      </c>
      <c r="AA65" s="221">
        <f t="shared" si="148"/>
        <v>342.49699999999996</v>
      </c>
      <c r="AB65" s="220">
        <f t="shared" si="148"/>
        <v>340.64099999999996</v>
      </c>
      <c r="AC65" s="220">
        <f t="shared" si="148"/>
        <v>343.44500000000005</v>
      </c>
      <c r="AD65" s="220">
        <f t="shared" si="148"/>
        <v>347.58799999999997</v>
      </c>
      <c r="AE65" s="221">
        <f t="shared" si="148"/>
        <v>358.44000000000005</v>
      </c>
      <c r="AF65" s="220">
        <f t="shared" si="148"/>
        <v>354.483</v>
      </c>
      <c r="AG65" s="220">
        <f t="shared" si="148"/>
        <v>363.76400000000001</v>
      </c>
      <c r="AH65" s="220">
        <f t="shared" si="148"/>
        <v>373.62800000000004</v>
      </c>
      <c r="AI65" s="221">
        <f t="shared" si="148"/>
        <v>383.80100000000004</v>
      </c>
      <c r="AJ65" s="220">
        <f t="shared" si="148"/>
        <v>382.37400000000002</v>
      </c>
      <c r="AK65" s="220">
        <f t="shared" si="148"/>
        <v>381.154</v>
      </c>
      <c r="AL65" s="220">
        <f t="shared" si="148"/>
        <v>376.43700000000001</v>
      </c>
      <c r="AM65" s="221">
        <f t="shared" si="148"/>
        <v>387.02700000000004</v>
      </c>
      <c r="AN65" s="220">
        <f t="shared" si="148"/>
        <v>384.61199999999997</v>
      </c>
      <c r="AO65" s="220">
        <f t="shared" si="148"/>
        <v>363.48599999999999</v>
      </c>
      <c r="AP65" s="220">
        <f t="shared" si="148"/>
        <v>358.15000000000009</v>
      </c>
      <c r="AQ65" s="221">
        <f t="shared" si="148"/>
        <v>356.16499999999996</v>
      </c>
      <c r="AR65" s="220">
        <f>AR62-AR64</f>
        <v>349.32100000000003</v>
      </c>
      <c r="AS65" s="220">
        <f>AS62-AS64</f>
        <v>344.83600000000001</v>
      </c>
      <c r="AT65" s="220">
        <f t="shared" si="148"/>
        <v>343.101</v>
      </c>
      <c r="AU65" s="221">
        <f t="shared" si="148"/>
        <v>340.63900000000001</v>
      </c>
      <c r="AV65" s="220">
        <f t="shared" ref="AV65:AW65" si="149">AV62-AV64</f>
        <v>325.75400000000002</v>
      </c>
      <c r="AW65" s="220">
        <f t="shared" si="149"/>
        <v>322.26199999999994</v>
      </c>
      <c r="AX65" s="220">
        <f>AX62-AX64</f>
        <v>309.64699999999993</v>
      </c>
      <c r="AY65" s="221">
        <f t="shared" ref="AY65:BA65" si="150">AY62-AY64</f>
        <v>299.54000000000008</v>
      </c>
      <c r="AZ65" s="220">
        <f t="shared" si="150"/>
        <v>283.58400000000006</v>
      </c>
      <c r="BA65" s="220">
        <f t="shared" si="150"/>
        <v>274.774</v>
      </c>
      <c r="BB65" s="220">
        <f>BB62-BB64</f>
        <v>265.98399999999992</v>
      </c>
      <c r="BC65" s="221">
        <f t="shared" ref="BC65" si="151">BC62-BC64</f>
        <v>243.39700000000005</v>
      </c>
      <c r="BD65" s="220">
        <f t="shared" ref="BD65:BE65" si="152">BD62-BD64</f>
        <v>239.35799999999995</v>
      </c>
      <c r="BE65" s="220">
        <f t="shared" si="152"/>
        <v>235.35400000000004</v>
      </c>
      <c r="BF65" s="220">
        <f>BF62-BF64</f>
        <v>198.173</v>
      </c>
      <c r="BG65" s="221">
        <f t="shared" ref="BG65:BI65" si="153">BG62-BG64</f>
        <v>202.22199999999998</v>
      </c>
      <c r="BH65" s="220">
        <f t="shared" si="153"/>
        <v>195.29511057999991</v>
      </c>
      <c r="BI65" s="220">
        <f t="shared" si="153"/>
        <v>188.4951539466399</v>
      </c>
      <c r="BJ65" s="220">
        <f t="shared" ref="BJ65:BM65" si="154">BJ62-BJ64</f>
        <v>181.79812441721003</v>
      </c>
      <c r="BK65" s="221">
        <f t="shared" si="154"/>
        <v>174.66130625161782</v>
      </c>
      <c r="BL65" s="220">
        <f t="shared" si="154"/>
        <v>166.45879948523111</v>
      </c>
      <c r="BM65" s="220">
        <f t="shared" si="154"/>
        <v>158.80501851670817</v>
      </c>
      <c r="BN65" s="220">
        <f t="shared" ref="BN65:BO65" si="155">BN62-BN64</f>
        <v>151.31436012089137</v>
      </c>
      <c r="BO65" s="221">
        <f t="shared" si="155"/>
        <v>143.33779748725647</v>
      </c>
      <c r="BP65" s="247"/>
      <c r="BQ65" s="433">
        <f t="shared" ref="BQ65:CA65" si="156">BQ62-BQ64</f>
        <v>161.76999999999998</v>
      </c>
      <c r="BR65" s="433">
        <f t="shared" si="156"/>
        <v>260.92099999999999</v>
      </c>
      <c r="BS65" s="433">
        <f t="shared" si="156"/>
        <v>440.94299999999998</v>
      </c>
      <c r="BT65" s="433">
        <f t="shared" si="156"/>
        <v>416.24099999999999</v>
      </c>
      <c r="BU65" s="433">
        <f t="shared" si="156"/>
        <v>390.85299999999995</v>
      </c>
      <c r="BV65" s="433">
        <f t="shared" si="156"/>
        <v>342.49699999999996</v>
      </c>
      <c r="BW65" s="433">
        <f t="shared" si="156"/>
        <v>358.44000000000005</v>
      </c>
      <c r="BX65" s="433">
        <f t="shared" si="156"/>
        <v>383.80100000000004</v>
      </c>
      <c r="BY65" s="433">
        <f t="shared" si="156"/>
        <v>387.02700000000004</v>
      </c>
      <c r="BZ65" s="433">
        <f t="shared" si="156"/>
        <v>356.16499999999996</v>
      </c>
      <c r="CA65" s="433">
        <f t="shared" si="156"/>
        <v>340.63900000000001</v>
      </c>
      <c r="CB65" s="220">
        <f t="shared" ref="CB65:CG65" si="157">CB62-CB64</f>
        <v>299.54000000000008</v>
      </c>
      <c r="CC65" s="220">
        <f t="shared" si="157"/>
        <v>243.39700000000005</v>
      </c>
      <c r="CD65" s="220">
        <f t="shared" si="157"/>
        <v>202.22199999999998</v>
      </c>
      <c r="CE65" s="220">
        <f t="shared" si="157"/>
        <v>174.66130625161782</v>
      </c>
      <c r="CF65" s="220">
        <f t="shared" si="157"/>
        <v>143.33779748725647</v>
      </c>
      <c r="CG65" s="221">
        <f t="shared" si="157"/>
        <v>117.1083820874577</v>
      </c>
      <c r="CH65" s="336"/>
    </row>
    <row r="66" spans="2:86" ht="14.25">
      <c r="B66" s="203"/>
      <c r="C66" s="203"/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  <c r="BM66" s="222"/>
      <c r="BN66" s="222"/>
      <c r="BO66" s="222"/>
      <c r="BQ66" s="67"/>
      <c r="BR66" s="67"/>
      <c r="BS66" s="67"/>
      <c r="BT66" s="67"/>
      <c r="BU66" s="67"/>
      <c r="BV66" s="67"/>
      <c r="BW66" s="67"/>
      <c r="BX66" s="67"/>
      <c r="BY66" s="67"/>
      <c r="BZ66" s="67"/>
      <c r="CA66" s="67"/>
      <c r="CB66" s="338"/>
      <c r="CC66" s="338"/>
      <c r="CD66" s="338"/>
      <c r="CE66" s="338"/>
      <c r="CF66" s="338"/>
      <c r="CG66" s="708"/>
    </row>
    <row r="67" spans="2:86" ht="14.25">
      <c r="B67" s="150" t="s">
        <v>137</v>
      </c>
      <c r="C67" s="151"/>
      <c r="D67" s="152">
        <f>BS!D20</f>
        <v>148.29499999999999</v>
      </c>
      <c r="E67" s="152">
        <f>BS!E20</f>
        <v>148.49799999999999</v>
      </c>
      <c r="F67" s="152">
        <f>BS!F20</f>
        <v>149.43899999999999</v>
      </c>
      <c r="G67" s="153">
        <f>BS!G20</f>
        <v>161.77000000000001</v>
      </c>
      <c r="H67" s="152">
        <f>BS!H20</f>
        <v>188.548</v>
      </c>
      <c r="I67" s="152">
        <f>BS!I20</f>
        <v>210.42699999999999</v>
      </c>
      <c r="J67" s="152">
        <f>BS!J20</f>
        <v>222.315</v>
      </c>
      <c r="K67" s="153">
        <f>BS!K20</f>
        <v>260.92099999999999</v>
      </c>
      <c r="L67" s="152">
        <f>BS!L20</f>
        <v>279.39800000000002</v>
      </c>
      <c r="M67" s="152">
        <f>BS!M20</f>
        <v>329.29599999999999</v>
      </c>
      <c r="N67" s="152">
        <f>BS!N20</f>
        <v>366.73099999999999</v>
      </c>
      <c r="O67" s="153">
        <f>BS!O20</f>
        <v>440.94299999999998</v>
      </c>
      <c r="P67" s="152">
        <f>BS!P20</f>
        <v>434.077</v>
      </c>
      <c r="Q67" s="152">
        <f>BS!Q20</f>
        <v>426.17700000000002</v>
      </c>
      <c r="R67" s="152">
        <f>BS!R20</f>
        <v>418.9</v>
      </c>
      <c r="S67" s="153">
        <f>BS!S20</f>
        <v>416.24099999999999</v>
      </c>
      <c r="T67" s="152">
        <f>BS!T20</f>
        <v>421.26400000000001</v>
      </c>
      <c r="U67" s="152">
        <f>BS!U20</f>
        <v>412.988</v>
      </c>
      <c r="V67" s="152">
        <f>BS!V20</f>
        <v>401.52100000000002</v>
      </c>
      <c r="W67" s="153">
        <f>BS!W20</f>
        <v>390.85300000000001</v>
      </c>
      <c r="X67" s="152">
        <f>BS!X20</f>
        <v>371.22899999999998</v>
      </c>
      <c r="Y67" s="152">
        <f>BS!Y20</f>
        <v>352.71899999999999</v>
      </c>
      <c r="Z67" s="152">
        <f>BS!Z20</f>
        <v>349.27600000000001</v>
      </c>
      <c r="AA67" s="153">
        <f>BS!AA20</f>
        <v>342.49700000000001</v>
      </c>
      <c r="AB67" s="152">
        <f>BS!AB20</f>
        <v>340.64100000000002</v>
      </c>
      <c r="AC67" s="152">
        <f>BS!AC20</f>
        <v>343.44499999999999</v>
      </c>
      <c r="AD67" s="152">
        <f>BS!AD20</f>
        <v>347.58800000000002</v>
      </c>
      <c r="AE67" s="153">
        <f>BS!AE20</f>
        <v>358.44</v>
      </c>
      <c r="AF67" s="152">
        <f>BS!AF20</f>
        <v>354.483</v>
      </c>
      <c r="AG67" s="152">
        <f>BS!AG20</f>
        <v>363.76400000000001</v>
      </c>
      <c r="AH67" s="152">
        <f>BS!AH20</f>
        <v>373.62799999999999</v>
      </c>
      <c r="AI67" s="153">
        <f>BS!AI20</f>
        <v>383.80099999999999</v>
      </c>
      <c r="AJ67" s="152">
        <f>BS!AJ20</f>
        <v>382.37400000000002</v>
      </c>
      <c r="AK67" s="152">
        <f>BS!AK20</f>
        <v>381.154</v>
      </c>
      <c r="AL67" s="152">
        <f>BS!AL20</f>
        <v>376.43700000000001</v>
      </c>
      <c r="AM67" s="153">
        <f>BS!AM20</f>
        <v>387.02699999999999</v>
      </c>
      <c r="AN67" s="152">
        <f>BS!AN20</f>
        <v>384.61200000000002</v>
      </c>
      <c r="AO67" s="152">
        <f>BS!AO20</f>
        <v>363.48599999999999</v>
      </c>
      <c r="AP67" s="152">
        <f>BS!AP20</f>
        <v>358.15</v>
      </c>
      <c r="AQ67" s="153">
        <f>BS!AQ20</f>
        <v>356.16500000000002</v>
      </c>
      <c r="AR67" s="152">
        <f>BS!AR20</f>
        <v>349.32100000000003</v>
      </c>
      <c r="AS67" s="152">
        <f>BS!AS20</f>
        <v>344.83600000000001</v>
      </c>
      <c r="AT67" s="152">
        <f>BS!AT20</f>
        <v>343.101</v>
      </c>
      <c r="AU67" s="153">
        <f>BS!AU20</f>
        <v>340.63900000000001</v>
      </c>
      <c r="AV67" s="152">
        <f>BS!AV20</f>
        <v>325.75400000000002</v>
      </c>
      <c r="AW67" s="152">
        <f>BS!AW20</f>
        <v>322.262</v>
      </c>
      <c r="AX67" s="152">
        <f>BS!AX20</f>
        <v>309.64699999999999</v>
      </c>
      <c r="AY67" s="153">
        <f>BS!AY20</f>
        <v>299.54000000000002</v>
      </c>
      <c r="AZ67" s="152">
        <f>BS!AZ20</f>
        <v>283.584</v>
      </c>
      <c r="BA67" s="152">
        <f>BS!BA20</f>
        <v>274.774</v>
      </c>
      <c r="BB67" s="152">
        <f>BS!BB20</f>
        <v>265.98399999999998</v>
      </c>
      <c r="BC67" s="153">
        <f>BS!BC20</f>
        <v>243.39699999999999</v>
      </c>
      <c r="BD67" s="152">
        <f>BS!BD20</f>
        <v>239.358</v>
      </c>
      <c r="BE67" s="152">
        <f>BS!BE20</f>
        <v>235.35400000000001</v>
      </c>
      <c r="BF67" s="152">
        <f>BS!BF20</f>
        <v>198.173</v>
      </c>
      <c r="BG67" s="153">
        <f>BS!BG20</f>
        <v>202.22200000000001</v>
      </c>
      <c r="BH67" s="152">
        <f>BS!BH20</f>
        <v>195.29511057999991</v>
      </c>
      <c r="BI67" s="152">
        <f>BS!BI20</f>
        <v>188.4951539466399</v>
      </c>
      <c r="BJ67" s="152">
        <f>BS!BJ20</f>
        <v>181.79812441721003</v>
      </c>
      <c r="BK67" s="153">
        <f>BS!BK20</f>
        <v>174.66130625161782</v>
      </c>
      <c r="BL67" s="152">
        <f>BS!BL20</f>
        <v>166.45879948523111</v>
      </c>
      <c r="BM67" s="152">
        <f>BS!BM20</f>
        <v>158.80501851670817</v>
      </c>
      <c r="BN67" s="152">
        <f>BS!BN20</f>
        <v>151.31436012089137</v>
      </c>
      <c r="BO67" s="153">
        <f>BS!BO20</f>
        <v>143.33779748725647</v>
      </c>
      <c r="BP67" s="247"/>
      <c r="BQ67" s="152">
        <f>BS!BQ20</f>
        <v>161.77000000000001</v>
      </c>
      <c r="BR67" s="152">
        <f>BS!BR20</f>
        <v>260.92099999999999</v>
      </c>
      <c r="BS67" s="152">
        <f>BS!BS20</f>
        <v>440.94299999999998</v>
      </c>
      <c r="BT67" s="152">
        <f>BS!BT20</f>
        <v>416.24099999999999</v>
      </c>
      <c r="BU67" s="152">
        <f>BS!BU20</f>
        <v>390.85300000000001</v>
      </c>
      <c r="BV67" s="152">
        <f>BS!BV20</f>
        <v>342.49700000000001</v>
      </c>
      <c r="BW67" s="152">
        <f>BS!BW20</f>
        <v>358.44</v>
      </c>
      <c r="BX67" s="152">
        <f>BS!BX20</f>
        <v>383.80099999999999</v>
      </c>
      <c r="BY67" s="152">
        <f>BS!BY20</f>
        <v>387.02699999999999</v>
      </c>
      <c r="BZ67" s="152">
        <f>BS!BZ20</f>
        <v>356.16500000000002</v>
      </c>
      <c r="CA67" s="152">
        <f>BS!CA20</f>
        <v>340.63900000000001</v>
      </c>
      <c r="CB67" s="152">
        <f>BS!CB20</f>
        <v>299.54000000000002</v>
      </c>
      <c r="CC67" s="152">
        <f>BS!CC20</f>
        <v>243.39699999999999</v>
      </c>
      <c r="CD67" s="152">
        <f>BS!CD20</f>
        <v>202.22200000000001</v>
      </c>
      <c r="CE67" s="152">
        <f>BS!CE20</f>
        <v>174.66130625161782</v>
      </c>
      <c r="CF67" s="152">
        <f>BS!CF20</f>
        <v>143.33779748725647</v>
      </c>
      <c r="CG67" s="702">
        <f>BS!CG20</f>
        <v>117.1083820874577</v>
      </c>
      <c r="CH67" s="336"/>
    </row>
    <row r="68" spans="2:86" ht="14.25">
      <c r="B68" s="127" t="s">
        <v>121</v>
      </c>
      <c r="C68" s="128"/>
      <c r="D68" s="129">
        <f t="shared" ref="D68:AU68" si="158">IF(ROUND(D67,4)=ROUND(D65,4),0,(D67-D65))</f>
        <v>0</v>
      </c>
      <c r="E68" s="129">
        <f t="shared" si="158"/>
        <v>0</v>
      </c>
      <c r="F68" s="129">
        <f t="shared" si="158"/>
        <v>0</v>
      </c>
      <c r="G68" s="130">
        <f t="shared" si="158"/>
        <v>0</v>
      </c>
      <c r="H68" s="129">
        <f t="shared" si="158"/>
        <v>0</v>
      </c>
      <c r="I68" s="129">
        <f t="shared" si="158"/>
        <v>0</v>
      </c>
      <c r="J68" s="129">
        <f t="shared" si="158"/>
        <v>0</v>
      </c>
      <c r="K68" s="130">
        <f t="shared" si="158"/>
        <v>0</v>
      </c>
      <c r="L68" s="129">
        <f t="shared" si="158"/>
        <v>0</v>
      </c>
      <c r="M68" s="129">
        <f t="shared" si="158"/>
        <v>0</v>
      </c>
      <c r="N68" s="129">
        <f t="shared" si="158"/>
        <v>0</v>
      </c>
      <c r="O68" s="130">
        <f t="shared" si="158"/>
        <v>0</v>
      </c>
      <c r="P68" s="129">
        <f t="shared" si="158"/>
        <v>0</v>
      </c>
      <c r="Q68" s="129">
        <f t="shared" si="158"/>
        <v>0</v>
      </c>
      <c r="R68" s="129">
        <f t="shared" si="158"/>
        <v>0</v>
      </c>
      <c r="S68" s="130">
        <f t="shared" si="158"/>
        <v>0</v>
      </c>
      <c r="T68" s="129">
        <f t="shared" si="158"/>
        <v>0</v>
      </c>
      <c r="U68" s="129">
        <f t="shared" si="158"/>
        <v>0</v>
      </c>
      <c r="V68" s="129">
        <f t="shared" si="158"/>
        <v>0</v>
      </c>
      <c r="W68" s="130">
        <f t="shared" si="158"/>
        <v>0</v>
      </c>
      <c r="X68" s="129">
        <f t="shared" si="158"/>
        <v>0</v>
      </c>
      <c r="Y68" s="129">
        <f t="shared" si="158"/>
        <v>0</v>
      </c>
      <c r="Z68" s="129">
        <f t="shared" si="158"/>
        <v>0</v>
      </c>
      <c r="AA68" s="130">
        <f t="shared" si="158"/>
        <v>0</v>
      </c>
      <c r="AB68" s="129">
        <f t="shared" si="158"/>
        <v>0</v>
      </c>
      <c r="AC68" s="129">
        <f t="shared" si="158"/>
        <v>0</v>
      </c>
      <c r="AD68" s="129">
        <f t="shared" si="158"/>
        <v>0</v>
      </c>
      <c r="AE68" s="130">
        <f t="shared" si="158"/>
        <v>0</v>
      </c>
      <c r="AF68" s="129">
        <f t="shared" si="158"/>
        <v>0</v>
      </c>
      <c r="AG68" s="129">
        <f t="shared" si="158"/>
        <v>0</v>
      </c>
      <c r="AH68" s="129">
        <f t="shared" si="158"/>
        <v>0</v>
      </c>
      <c r="AI68" s="130">
        <f t="shared" si="158"/>
        <v>0</v>
      </c>
      <c r="AJ68" s="129">
        <f t="shared" si="158"/>
        <v>0</v>
      </c>
      <c r="AK68" s="129">
        <f t="shared" si="158"/>
        <v>0</v>
      </c>
      <c r="AL68" s="129">
        <f t="shared" si="158"/>
        <v>0</v>
      </c>
      <c r="AM68" s="130">
        <f t="shared" si="158"/>
        <v>0</v>
      </c>
      <c r="AN68" s="129">
        <f t="shared" si="158"/>
        <v>0</v>
      </c>
      <c r="AO68" s="129">
        <f t="shared" si="158"/>
        <v>0</v>
      </c>
      <c r="AP68" s="129">
        <f t="shared" si="158"/>
        <v>0</v>
      </c>
      <c r="AQ68" s="130">
        <f t="shared" si="158"/>
        <v>0</v>
      </c>
      <c r="AR68" s="129">
        <f>IF(ROUND(AR67,4)=ROUND(AR65,4),0,(AR67-AR65))</f>
        <v>0</v>
      </c>
      <c r="AS68" s="129">
        <f>IF(ROUND(AS67,4)=ROUND(AS65,4),0,(AS67-AS65))</f>
        <v>0</v>
      </c>
      <c r="AT68" s="129">
        <f t="shared" si="158"/>
        <v>0</v>
      </c>
      <c r="AU68" s="130">
        <f t="shared" si="158"/>
        <v>0</v>
      </c>
      <c r="AV68" s="129">
        <f t="shared" ref="AV68:AY68" si="159">IF(ROUND(AV67,4)=ROUND(AV65,4),0,(AV67-AV65))</f>
        <v>0</v>
      </c>
      <c r="AW68" s="129">
        <f t="shared" si="159"/>
        <v>0</v>
      </c>
      <c r="AX68" s="457">
        <f t="shared" si="159"/>
        <v>0</v>
      </c>
      <c r="AY68" s="440">
        <f t="shared" si="159"/>
        <v>0</v>
      </c>
      <c r="AZ68" s="129">
        <f t="shared" ref="AZ68:BC68" si="160">IF(ROUND(AZ67,4)=ROUND(AZ65,4),0,(AZ67-AZ65))</f>
        <v>0</v>
      </c>
      <c r="BA68" s="129">
        <f t="shared" si="160"/>
        <v>0</v>
      </c>
      <c r="BB68" s="457">
        <f t="shared" si="160"/>
        <v>0</v>
      </c>
      <c r="BC68" s="130">
        <f t="shared" si="160"/>
        <v>0</v>
      </c>
      <c r="BD68" s="129">
        <f t="shared" ref="BD68:BF68" si="161">IF(ROUND(BD67,4)=ROUND(BD65,4),0,(BD67-BD65))</f>
        <v>0</v>
      </c>
      <c r="BE68" s="129">
        <f t="shared" si="161"/>
        <v>0</v>
      </c>
      <c r="BF68" s="457">
        <f t="shared" si="161"/>
        <v>0</v>
      </c>
      <c r="BG68" s="130">
        <f t="shared" ref="BG68:BI68" si="162">IF(ROUND(BG67,4)=ROUND(BG65,4),0,(BG67-BG65))</f>
        <v>0</v>
      </c>
      <c r="BH68" s="129">
        <f t="shared" si="162"/>
        <v>0</v>
      </c>
      <c r="BI68" s="129">
        <f t="shared" si="162"/>
        <v>0</v>
      </c>
      <c r="BJ68" s="129">
        <f t="shared" ref="BJ68:BM68" si="163">IF(ROUND(BJ67,4)=ROUND(BJ65,4),0,(BJ67-BJ65))</f>
        <v>0</v>
      </c>
      <c r="BK68" s="130">
        <f t="shared" si="163"/>
        <v>0</v>
      </c>
      <c r="BL68" s="129">
        <f t="shared" si="163"/>
        <v>0</v>
      </c>
      <c r="BM68" s="129">
        <f t="shared" si="163"/>
        <v>0</v>
      </c>
      <c r="BN68" s="129">
        <f t="shared" ref="BN68:BO68" si="164">IF(ROUND(BN67,4)=ROUND(BN65,4),0,(BN67-BN65))</f>
        <v>0</v>
      </c>
      <c r="BO68" s="130">
        <f t="shared" si="164"/>
        <v>0</v>
      </c>
      <c r="BP68" s="247"/>
      <c r="BQ68" s="129">
        <f t="shared" ref="BQ68:CA68" si="165">IF(ROUND(BQ67,4)=ROUND(BQ65,4),0,(BQ67-BQ65))</f>
        <v>0</v>
      </c>
      <c r="BR68" s="129">
        <f t="shared" si="165"/>
        <v>0</v>
      </c>
      <c r="BS68" s="129">
        <f t="shared" si="165"/>
        <v>0</v>
      </c>
      <c r="BT68" s="129">
        <f t="shared" si="165"/>
        <v>0</v>
      </c>
      <c r="BU68" s="129">
        <f t="shared" si="165"/>
        <v>0</v>
      </c>
      <c r="BV68" s="129">
        <f t="shared" si="165"/>
        <v>0</v>
      </c>
      <c r="BW68" s="129">
        <f t="shared" si="165"/>
        <v>0</v>
      </c>
      <c r="BX68" s="129">
        <f t="shared" si="165"/>
        <v>0</v>
      </c>
      <c r="BY68" s="129">
        <f t="shared" si="165"/>
        <v>0</v>
      </c>
      <c r="BZ68" s="129">
        <f t="shared" si="165"/>
        <v>0</v>
      </c>
      <c r="CA68" s="129">
        <f t="shared" si="165"/>
        <v>0</v>
      </c>
      <c r="CB68" s="129">
        <f t="shared" ref="CB68:CG68" si="166">IF(ROUND(CB67,4)=ROUND(CB65,4),0,(CB67-CB65))</f>
        <v>0</v>
      </c>
      <c r="CC68" s="129">
        <f t="shared" si="166"/>
        <v>0</v>
      </c>
      <c r="CD68" s="129">
        <f t="shared" si="166"/>
        <v>0</v>
      </c>
      <c r="CE68" s="129">
        <f t="shared" si="166"/>
        <v>0</v>
      </c>
      <c r="CF68" s="129">
        <f t="shared" si="166"/>
        <v>0</v>
      </c>
      <c r="CG68" s="130">
        <f t="shared" si="166"/>
        <v>0</v>
      </c>
      <c r="CH68" s="336"/>
    </row>
    <row r="69" spans="2:86" ht="14.25">
      <c r="B69" s="203"/>
      <c r="C69" s="203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204"/>
      <c r="R69" s="204"/>
      <c r="S69" s="204"/>
      <c r="T69" s="204"/>
      <c r="U69" s="204"/>
      <c r="V69" s="204"/>
      <c r="W69" s="204"/>
      <c r="X69" s="204"/>
      <c r="Y69" s="204"/>
      <c r="Z69" s="204"/>
      <c r="AA69" s="204"/>
      <c r="AB69" s="204"/>
      <c r="AC69" s="204"/>
      <c r="AD69" s="204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  <c r="AP69" s="204"/>
      <c r="AQ69" s="204"/>
      <c r="AR69" s="204"/>
      <c r="AS69" s="204"/>
      <c r="AT69" s="204"/>
      <c r="AU69" s="204"/>
      <c r="AV69" s="204"/>
      <c r="AW69" s="204"/>
      <c r="AX69" s="204"/>
      <c r="AY69" s="204"/>
      <c r="AZ69" s="204"/>
      <c r="BA69" s="204"/>
      <c r="BB69" s="204"/>
      <c r="BC69" s="554"/>
      <c r="BD69" s="204"/>
      <c r="BE69" s="204"/>
      <c r="BF69" s="204"/>
      <c r="BG69" s="204"/>
      <c r="BH69" s="204"/>
      <c r="BI69" s="204"/>
      <c r="BJ69" s="204"/>
      <c r="BK69" s="204"/>
      <c r="BL69" s="204"/>
      <c r="BM69" s="204"/>
      <c r="BN69" s="204"/>
      <c r="BO69" s="204"/>
      <c r="BQ69" s="67"/>
      <c r="BR69" s="67"/>
      <c r="BS69" s="67"/>
      <c r="BT69" s="67"/>
      <c r="BU69" s="67"/>
      <c r="BV69" s="67"/>
      <c r="BW69" s="67"/>
      <c r="BX69" s="67"/>
      <c r="BY69" s="67"/>
      <c r="BZ69" s="67"/>
      <c r="CA69" s="67"/>
      <c r="CB69" s="338"/>
      <c r="CC69" s="338"/>
      <c r="CD69" s="338"/>
      <c r="CE69" s="338"/>
      <c r="CF69" s="338"/>
      <c r="CG69" s="709"/>
    </row>
    <row r="70" spans="2:86" ht="14.25">
      <c r="B70" s="203"/>
      <c r="C70" s="203"/>
      <c r="D70" s="204"/>
      <c r="E70" s="223"/>
      <c r="F70" s="204"/>
      <c r="G70" s="204"/>
      <c r="H70" s="204"/>
      <c r="I70" s="223"/>
      <c r="J70" s="204"/>
      <c r="K70" s="204"/>
      <c r="L70" s="204"/>
      <c r="M70" s="223"/>
      <c r="N70" s="204"/>
      <c r="O70" s="204"/>
      <c r="P70" s="204"/>
      <c r="Q70" s="223"/>
      <c r="R70" s="204"/>
      <c r="S70" s="204"/>
      <c r="T70" s="204"/>
      <c r="U70" s="223"/>
      <c r="V70" s="204"/>
      <c r="W70" s="204"/>
      <c r="X70" s="204"/>
      <c r="Y70" s="223"/>
      <c r="Z70" s="204"/>
      <c r="AA70" s="204"/>
      <c r="AB70" s="204"/>
      <c r="AC70" s="223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  <c r="AP70" s="204"/>
      <c r="AQ70" s="204"/>
      <c r="AR70" s="204"/>
      <c r="AS70" s="204"/>
      <c r="AT70" s="204"/>
      <c r="AU70" s="204"/>
      <c r="AV70" s="204"/>
      <c r="AW70" s="204"/>
      <c r="AX70" s="204"/>
      <c r="AY70" s="204"/>
      <c r="AZ70" s="204"/>
      <c r="BA70" s="204"/>
      <c r="BB70" s="204"/>
      <c r="BC70" s="204"/>
      <c r="BD70" s="204"/>
      <c r="BE70" s="204"/>
      <c r="BF70" s="204"/>
      <c r="BG70" s="204"/>
      <c r="BH70" s="204"/>
      <c r="BI70" s="204"/>
      <c r="BJ70" s="204"/>
      <c r="BK70" s="204"/>
      <c r="BL70" s="204"/>
      <c r="BM70" s="204"/>
      <c r="BN70" s="204"/>
      <c r="BO70" s="204"/>
      <c r="BQ70" s="67"/>
      <c r="BR70" s="67"/>
      <c r="BS70" s="67"/>
      <c r="BT70" s="67"/>
      <c r="BU70" s="67"/>
      <c r="BV70" s="67"/>
      <c r="BW70" s="67"/>
      <c r="BX70" s="67"/>
      <c r="BY70" s="67"/>
      <c r="BZ70" s="67"/>
      <c r="CA70" s="67"/>
      <c r="CB70" s="338"/>
      <c r="CC70" s="338"/>
      <c r="CD70" s="338"/>
      <c r="CE70" s="338"/>
      <c r="CF70" s="338"/>
      <c r="CG70" s="709"/>
    </row>
    <row r="71" spans="2:86" ht="14.25">
      <c r="B71" s="203"/>
      <c r="C71" s="203"/>
      <c r="D71" s="204"/>
      <c r="E71" s="204"/>
      <c r="F71" s="204"/>
      <c r="G71" s="204"/>
      <c r="H71" s="204"/>
      <c r="I71" s="204"/>
      <c r="J71" s="204"/>
      <c r="K71" s="204"/>
      <c r="L71" s="204"/>
      <c r="M71" s="204"/>
      <c r="N71" s="204"/>
      <c r="O71" s="204"/>
      <c r="P71" s="204"/>
      <c r="Q71" s="204"/>
      <c r="R71" s="204"/>
      <c r="S71" s="204"/>
      <c r="T71" s="204"/>
      <c r="U71" s="204"/>
      <c r="V71" s="204"/>
      <c r="W71" s="204"/>
      <c r="X71" s="204"/>
      <c r="Y71" s="204"/>
      <c r="Z71" s="204"/>
      <c r="AA71" s="204"/>
      <c r="AB71" s="204"/>
      <c r="AC71" s="204"/>
      <c r="AD71" s="204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  <c r="AP71" s="204"/>
      <c r="AQ71" s="204"/>
      <c r="AR71" s="204"/>
      <c r="AS71" s="204"/>
      <c r="AT71" s="204"/>
      <c r="AU71" s="204"/>
      <c r="AV71" s="204"/>
      <c r="AW71" s="204"/>
      <c r="AX71" s="204"/>
      <c r="AY71" s="204"/>
      <c r="AZ71" s="204"/>
      <c r="BA71" s="204"/>
      <c r="BB71" s="204"/>
      <c r="BC71" s="204"/>
      <c r="BD71" s="204"/>
      <c r="BE71" s="204"/>
      <c r="BF71" s="204"/>
      <c r="BG71" s="204"/>
      <c r="BH71" s="204"/>
      <c r="BI71" s="204"/>
      <c r="BJ71" s="204"/>
      <c r="BK71" s="204"/>
      <c r="BL71" s="204"/>
      <c r="BM71" s="204"/>
      <c r="BN71" s="204"/>
      <c r="BO71" s="204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A71" s="67"/>
      <c r="CB71" s="338"/>
      <c r="CC71" s="338"/>
      <c r="CE71" s="338"/>
      <c r="CF71" s="338"/>
      <c r="CG71" s="709"/>
    </row>
    <row r="72" spans="2:86" ht="15">
      <c r="B72" s="132" t="s">
        <v>188</v>
      </c>
      <c r="C72" s="133"/>
      <c r="D72" s="13" t="str">
        <f t="shared" ref="D72:AU72" si="167">D57</f>
        <v>F1Q05A</v>
      </c>
      <c r="E72" s="14" t="str">
        <f t="shared" si="167"/>
        <v>F2Q05A</v>
      </c>
      <c r="F72" s="14" t="str">
        <f t="shared" si="167"/>
        <v>F3Q05A</v>
      </c>
      <c r="G72" s="15" t="str">
        <f t="shared" si="167"/>
        <v>F4Q05A</v>
      </c>
      <c r="H72" s="13" t="str">
        <f t="shared" si="167"/>
        <v>F1Q06A</v>
      </c>
      <c r="I72" s="14" t="str">
        <f t="shared" si="167"/>
        <v>F2Q06A</v>
      </c>
      <c r="J72" s="14" t="str">
        <f t="shared" si="167"/>
        <v>F3Q06A</v>
      </c>
      <c r="K72" s="15" t="str">
        <f t="shared" si="167"/>
        <v>F4Q06A</v>
      </c>
      <c r="L72" s="13" t="str">
        <f t="shared" si="167"/>
        <v>F1Q07A</v>
      </c>
      <c r="M72" s="14" t="str">
        <f t="shared" si="167"/>
        <v>F2Q07A</v>
      </c>
      <c r="N72" s="14" t="str">
        <f t="shared" si="167"/>
        <v>F3Q07A</v>
      </c>
      <c r="O72" s="15" t="str">
        <f t="shared" si="167"/>
        <v>F4Q07A</v>
      </c>
      <c r="P72" s="13" t="str">
        <f t="shared" si="167"/>
        <v>F1Q08A</v>
      </c>
      <c r="Q72" s="14" t="str">
        <f t="shared" si="167"/>
        <v>F2Q08A</v>
      </c>
      <c r="R72" s="14" t="str">
        <f t="shared" si="167"/>
        <v>F3Q08A</v>
      </c>
      <c r="S72" s="15" t="str">
        <f t="shared" si="167"/>
        <v>F4Q08A</v>
      </c>
      <c r="T72" s="13" t="str">
        <f t="shared" si="167"/>
        <v>F1Q09A</v>
      </c>
      <c r="U72" s="14" t="str">
        <f t="shared" si="167"/>
        <v>F2Q09A</v>
      </c>
      <c r="V72" s="14" t="str">
        <f t="shared" si="167"/>
        <v>F3Q09A</v>
      </c>
      <c r="W72" s="15" t="str">
        <f t="shared" si="167"/>
        <v>F4Q09A</v>
      </c>
      <c r="X72" s="13" t="str">
        <f t="shared" si="167"/>
        <v>F1Q10A</v>
      </c>
      <c r="Y72" s="14" t="str">
        <f t="shared" si="167"/>
        <v>F2Q10A</v>
      </c>
      <c r="Z72" s="14" t="str">
        <f t="shared" si="167"/>
        <v>F3Q10A</v>
      </c>
      <c r="AA72" s="15" t="str">
        <f t="shared" si="167"/>
        <v>F4Q10A</v>
      </c>
      <c r="AB72" s="13" t="str">
        <f t="shared" si="167"/>
        <v>F1Q11A</v>
      </c>
      <c r="AC72" s="14" t="str">
        <f t="shared" si="167"/>
        <v>F2Q11A</v>
      </c>
      <c r="AD72" s="14" t="str">
        <f t="shared" si="167"/>
        <v>F3Q11A</v>
      </c>
      <c r="AE72" s="15" t="str">
        <f t="shared" si="167"/>
        <v>F4Q11A</v>
      </c>
      <c r="AF72" s="13" t="str">
        <f>AF57</f>
        <v>F1Q12A</v>
      </c>
      <c r="AG72" s="14" t="str">
        <f t="shared" si="167"/>
        <v>F2Q12A</v>
      </c>
      <c r="AH72" s="14" t="str">
        <f t="shared" si="167"/>
        <v>F3Q12A</v>
      </c>
      <c r="AI72" s="15" t="str">
        <f t="shared" si="167"/>
        <v>F4Q12A</v>
      </c>
      <c r="AJ72" s="13" t="str">
        <f>AJ57</f>
        <v>F1Q13A</v>
      </c>
      <c r="AK72" s="14" t="str">
        <f>AK57</f>
        <v>F2Q13A</v>
      </c>
      <c r="AL72" s="14" t="str">
        <f t="shared" si="167"/>
        <v>F3Q13A</v>
      </c>
      <c r="AM72" s="15" t="str">
        <f>AM57</f>
        <v>F4Q13A</v>
      </c>
      <c r="AN72" s="13" t="str">
        <f t="shared" si="167"/>
        <v>F1Q14A</v>
      </c>
      <c r="AO72" s="14" t="str">
        <f t="shared" si="167"/>
        <v>F2Q14A</v>
      </c>
      <c r="AP72" s="14" t="str">
        <f t="shared" si="167"/>
        <v>F3Q14A</v>
      </c>
      <c r="AQ72" s="15" t="str">
        <f t="shared" si="167"/>
        <v>F4Q14A</v>
      </c>
      <c r="AR72" s="13" t="str">
        <f t="shared" si="167"/>
        <v>F1Q15A</v>
      </c>
      <c r="AS72" s="14" t="str">
        <f t="shared" si="167"/>
        <v>F2Q15A</v>
      </c>
      <c r="AT72" s="14" t="str">
        <f t="shared" si="167"/>
        <v>F3Q15A</v>
      </c>
      <c r="AU72" s="15" t="str">
        <f t="shared" si="167"/>
        <v>F4Q15A</v>
      </c>
      <c r="AV72" s="13" t="str">
        <f t="shared" ref="AV72:AY72" si="168">AV57</f>
        <v>F1Q16A</v>
      </c>
      <c r="AW72" s="14" t="str">
        <f t="shared" si="168"/>
        <v>F2Q16A</v>
      </c>
      <c r="AX72" s="14" t="str">
        <f t="shared" si="168"/>
        <v>F3Q16A</v>
      </c>
      <c r="AY72" s="15" t="str">
        <f t="shared" si="168"/>
        <v>F4Q16A</v>
      </c>
      <c r="AZ72" s="13" t="str">
        <f t="shared" ref="AZ72:BC72" si="169">AZ57</f>
        <v>F1Q17A</v>
      </c>
      <c r="BA72" s="14" t="str">
        <f t="shared" si="169"/>
        <v>F2Q17A</v>
      </c>
      <c r="BB72" s="14" t="str">
        <f t="shared" si="169"/>
        <v>F3Q17A</v>
      </c>
      <c r="BC72" s="15" t="str">
        <f t="shared" si="169"/>
        <v>F4Q17A</v>
      </c>
      <c r="BD72" s="475" t="str">
        <f t="shared" ref="BD72:BE72" si="170">BD57</f>
        <v>F1Q18A</v>
      </c>
      <c r="BE72" s="475" t="str">
        <f t="shared" si="170"/>
        <v>F2Q18A</v>
      </c>
      <c r="BF72" s="475" t="str">
        <f t="shared" ref="BF72:BI72" si="171">BF57</f>
        <v>F3Q18A</v>
      </c>
      <c r="BG72" s="476" t="str">
        <f t="shared" si="171"/>
        <v>F4Q18A</v>
      </c>
      <c r="BH72" s="475" t="str">
        <f t="shared" si="171"/>
        <v>F1Q19E</v>
      </c>
      <c r="BI72" s="475" t="str">
        <f t="shared" si="171"/>
        <v>F2Q19E</v>
      </c>
      <c r="BJ72" s="475" t="str">
        <f t="shared" ref="BJ72:BM72" si="172">BJ57</f>
        <v>F3Q19E</v>
      </c>
      <c r="BK72" s="476" t="str">
        <f t="shared" si="172"/>
        <v>F4Q19E</v>
      </c>
      <c r="BL72" s="475" t="str">
        <f t="shared" si="172"/>
        <v>F1Q20E</v>
      </c>
      <c r="BM72" s="475" t="str">
        <f t="shared" si="172"/>
        <v>F2Q20E</v>
      </c>
      <c r="BN72" s="475" t="str">
        <f t="shared" ref="BN72:BO72" si="173">BN57</f>
        <v>F3Q20E</v>
      </c>
      <c r="BO72" s="572" t="str">
        <f t="shared" si="173"/>
        <v>F4Q20E</v>
      </c>
      <c r="BP72" s="247"/>
      <c r="BQ72" s="560" t="str">
        <f>BQ57</f>
        <v>FY2005A</v>
      </c>
      <c r="BR72" s="560" t="str">
        <f t="shared" ref="BR72:CC72" si="174">BR57</f>
        <v>FY2006A</v>
      </c>
      <c r="BS72" s="560" t="str">
        <f t="shared" si="174"/>
        <v>FY2007A</v>
      </c>
      <c r="BT72" s="560" t="str">
        <f t="shared" si="174"/>
        <v>FY2008A</v>
      </c>
      <c r="BU72" s="560" t="str">
        <f t="shared" si="174"/>
        <v>FY2009A</v>
      </c>
      <c r="BV72" s="560" t="str">
        <f t="shared" si="174"/>
        <v>FY2010A</v>
      </c>
      <c r="BW72" s="560" t="str">
        <f t="shared" si="174"/>
        <v>FY2011A</v>
      </c>
      <c r="BX72" s="560" t="str">
        <f t="shared" si="174"/>
        <v>FY2012A</v>
      </c>
      <c r="BY72" s="560" t="str">
        <f t="shared" si="174"/>
        <v>FY2013A</v>
      </c>
      <c r="BZ72" s="14" t="str">
        <f t="shared" si="174"/>
        <v>FY2014A</v>
      </c>
      <c r="CA72" s="14" t="str">
        <f t="shared" si="174"/>
        <v>FY2015A</v>
      </c>
      <c r="CB72" s="14" t="str">
        <f>CB57</f>
        <v>FY2016A</v>
      </c>
      <c r="CC72" s="14" t="str">
        <f t="shared" si="174"/>
        <v>FY2017A</v>
      </c>
      <c r="CD72" s="14" t="str">
        <f t="shared" ref="CD72:CE72" si="175">CD57</f>
        <v>FY2018A</v>
      </c>
      <c r="CE72" s="560" t="str">
        <f t="shared" si="175"/>
        <v>FY2019E</v>
      </c>
      <c r="CF72" s="560" t="str">
        <f t="shared" ref="CF72:CG72" si="176">CF57</f>
        <v>FY2020E</v>
      </c>
      <c r="CG72" s="15" t="str">
        <f t="shared" si="176"/>
        <v>FY2021E</v>
      </c>
      <c r="CH72" s="336"/>
    </row>
    <row r="73" spans="2:86" ht="15">
      <c r="B73" s="224" t="s">
        <v>189</v>
      </c>
      <c r="C73" s="207"/>
      <c r="D73" s="225">
        <f t="shared" ref="D73:AD73" si="177">D62*D74</f>
        <v>9.3729999999999993</v>
      </c>
      <c r="E73" s="225">
        <f t="shared" si="177"/>
        <v>10.017000000000001</v>
      </c>
      <c r="F73" s="225">
        <f t="shared" si="177"/>
        <v>11.313000000000001</v>
      </c>
      <c r="G73" s="226">
        <f t="shared" si="177"/>
        <v>13.619999999999996</v>
      </c>
      <c r="H73" s="225">
        <f t="shared" si="177"/>
        <v>13.430999999999999</v>
      </c>
      <c r="I73" s="225">
        <f t="shared" si="177"/>
        <v>14.158000000000001</v>
      </c>
      <c r="J73" s="225">
        <f t="shared" si="177"/>
        <v>14.251000000000003</v>
      </c>
      <c r="K73" s="226">
        <f t="shared" si="177"/>
        <v>14.919999999999993</v>
      </c>
      <c r="L73" s="225">
        <f t="shared" si="177"/>
        <v>15.615</v>
      </c>
      <c r="M73" s="225">
        <f t="shared" si="177"/>
        <v>16.942999999999998</v>
      </c>
      <c r="N73" s="225">
        <f t="shared" si="177"/>
        <v>19.960999999999999</v>
      </c>
      <c r="O73" s="226">
        <f t="shared" si="177"/>
        <v>24.640999999999998</v>
      </c>
      <c r="P73" s="225">
        <f t="shared" si="177"/>
        <v>26.53</v>
      </c>
      <c r="Q73" s="225">
        <f t="shared" si="177"/>
        <v>25.890000000000004</v>
      </c>
      <c r="R73" s="225">
        <f t="shared" si="177"/>
        <v>26.384</v>
      </c>
      <c r="S73" s="226">
        <f t="shared" si="177"/>
        <v>27.007999999999996</v>
      </c>
      <c r="T73" s="225">
        <f t="shared" si="177"/>
        <v>28.617999999999999</v>
      </c>
      <c r="U73" s="225">
        <f t="shared" si="177"/>
        <v>28.032000000000004</v>
      </c>
      <c r="V73" s="225">
        <f t="shared" si="177"/>
        <v>29.13600000000001</v>
      </c>
      <c r="W73" s="226">
        <f t="shared" si="177"/>
        <v>27.037999999999993</v>
      </c>
      <c r="X73" s="225">
        <f t="shared" si="177"/>
        <v>25.375</v>
      </c>
      <c r="Y73" s="225">
        <f t="shared" si="177"/>
        <v>25.03</v>
      </c>
      <c r="Z73" s="225">
        <f t="shared" si="177"/>
        <v>24.570999999999998</v>
      </c>
      <c r="AA73" s="226">
        <f t="shared" si="177"/>
        <v>24.238</v>
      </c>
      <c r="AB73" s="225">
        <f t="shared" si="177"/>
        <v>23.077999999999999</v>
      </c>
      <c r="AC73" s="225">
        <f t="shared" si="177"/>
        <v>22.773</v>
      </c>
      <c r="AD73" s="225">
        <f t="shared" si="177"/>
        <v>23.140000000000004</v>
      </c>
      <c r="AE73" s="153">
        <f t="shared" ref="AE73:AJ73" si="178">AE62*AE74</f>
        <v>24.199000000000002</v>
      </c>
      <c r="AF73" s="225">
        <f t="shared" si="178"/>
        <v>24.036999999999999</v>
      </c>
      <c r="AG73" s="225">
        <f t="shared" si="178"/>
        <v>22.437000000000001</v>
      </c>
      <c r="AH73" s="225">
        <f t="shared" si="178"/>
        <v>20.178999999999998</v>
      </c>
      <c r="AI73" s="153">
        <f t="shared" si="178"/>
        <v>21.800999999999998</v>
      </c>
      <c r="AJ73" s="225">
        <f t="shared" si="178"/>
        <v>21.199000000000002</v>
      </c>
      <c r="AK73" s="225">
        <f t="shared" ref="AK73:AQ73" si="179">AK62*AK74</f>
        <v>21.285</v>
      </c>
      <c r="AL73" s="225">
        <f t="shared" si="179"/>
        <v>22.317</v>
      </c>
      <c r="AM73" s="153">
        <f t="shared" si="179"/>
        <v>26.227</v>
      </c>
      <c r="AN73" s="225">
        <f t="shared" si="179"/>
        <v>24.966000000000001</v>
      </c>
      <c r="AO73" s="225">
        <f t="shared" si="179"/>
        <v>25.696999999999999</v>
      </c>
      <c r="AP73" s="225">
        <f t="shared" si="179"/>
        <v>25.913</v>
      </c>
      <c r="AQ73" s="153">
        <f t="shared" si="179"/>
        <v>26.175999999999995</v>
      </c>
      <c r="AR73" s="225">
        <f t="shared" ref="AR73:AX73" si="180">AR62*AR74</f>
        <v>27.006</v>
      </c>
      <c r="AS73" s="225">
        <f t="shared" si="180"/>
        <v>26.263000000000002</v>
      </c>
      <c r="AT73" s="225">
        <f t="shared" si="180"/>
        <v>26.515000000000001</v>
      </c>
      <c r="AU73" s="153">
        <f t="shared" si="180"/>
        <v>26.463999999999999</v>
      </c>
      <c r="AV73" s="225">
        <f t="shared" si="180"/>
        <v>26.62</v>
      </c>
      <c r="AW73" s="225">
        <f t="shared" si="180"/>
        <v>25.191000000000006</v>
      </c>
      <c r="AX73" s="225">
        <f t="shared" si="180"/>
        <v>25.565000000000001</v>
      </c>
      <c r="AY73" s="153">
        <f t="shared" ref="AY73:BB73" si="181">AY62*AY74</f>
        <v>22.8</v>
      </c>
      <c r="AZ73" s="225">
        <f t="shared" si="181"/>
        <v>21.788</v>
      </c>
      <c r="BA73" s="225">
        <f t="shared" si="181"/>
        <v>26.866</v>
      </c>
      <c r="BB73" s="225">
        <f t="shared" si="181"/>
        <v>27.187999999999999</v>
      </c>
      <c r="BC73" s="153">
        <f t="shared" ref="BC73:BF73" si="182">BC62*BC74</f>
        <v>32.009</v>
      </c>
      <c r="BD73" s="225">
        <f t="shared" si="182"/>
        <v>20.742000000000001</v>
      </c>
      <c r="BE73" s="225">
        <f t="shared" si="182"/>
        <v>20.443999999999999</v>
      </c>
      <c r="BF73" s="225">
        <f t="shared" si="182"/>
        <v>21.382999999999999</v>
      </c>
      <c r="BG73" s="153">
        <f t="shared" ref="BG73" si="183">BG62*BG74</f>
        <v>20.917999999999999</v>
      </c>
      <c r="BH73" s="225">
        <f t="shared" ref="BH73" si="184">BG62*BH74</f>
        <v>20.141879999999997</v>
      </c>
      <c r="BI73" s="488">
        <f t="shared" ref="BI73" si="185">BH62*BI74</f>
        <v>20.432609792759997</v>
      </c>
      <c r="BJ73" s="225">
        <f t="shared" ref="BJ73" si="186">BI62*BJ74</f>
        <v>20.732528162266796</v>
      </c>
      <c r="BK73" s="259">
        <f t="shared" ref="BK73" si="187">BJ62*BK74</f>
        <v>21.041309132189209</v>
      </c>
      <c r="BL73" s="225">
        <f t="shared" ref="BL73" si="188">BK62*BL74</f>
        <v>21.347207933454342</v>
      </c>
      <c r="BM73" s="488">
        <f t="shared" ref="BM73" si="189">BL62*BM74</f>
        <v>21.636391359129831</v>
      </c>
      <c r="BN73" s="225">
        <f t="shared" ref="BN73" si="190">BM62*BN74</f>
        <v>21.944008787723181</v>
      </c>
      <c r="BO73" s="259">
        <f t="shared" ref="BO73" si="191">BN62*BO74</f>
        <v>22.261982496345123</v>
      </c>
      <c r="BP73" s="247"/>
      <c r="BQ73" s="26">
        <f>SUM(D73:G73)</f>
        <v>44.323</v>
      </c>
      <c r="BR73" s="26">
        <f>SUM(H73:K73)</f>
        <v>56.76</v>
      </c>
      <c r="BS73" s="26">
        <f>SUM(L73:O73)</f>
        <v>77.16</v>
      </c>
      <c r="BT73" s="26">
        <f>SUM(P73:S73)</f>
        <v>105.812</v>
      </c>
      <c r="BU73" s="26">
        <f>SUM(T73:W73)</f>
        <v>112.82400000000001</v>
      </c>
      <c r="BV73" s="26">
        <f>SUM(X73:AA73)</f>
        <v>99.213999999999999</v>
      </c>
      <c r="BW73" s="26">
        <f>SUM(AB73:AE73)</f>
        <v>93.19</v>
      </c>
      <c r="BX73" s="26">
        <f>SUM(AF73:AI73)</f>
        <v>88.454000000000008</v>
      </c>
      <c r="BY73" s="26">
        <f>SUM(AJ73:AM73)</f>
        <v>91.028000000000006</v>
      </c>
      <c r="BZ73" s="26">
        <f>SUM(AN73:AQ73)</f>
        <v>102.75199999999998</v>
      </c>
      <c r="CA73" s="26">
        <f>SUM(AR73:AU73)</f>
        <v>106.248</v>
      </c>
      <c r="CB73" s="26">
        <f>SUM(AV73:AY73)</f>
        <v>100.176</v>
      </c>
      <c r="CC73" s="26">
        <f>SUM(AZ73:BC73)</f>
        <v>107.851</v>
      </c>
      <c r="CD73" s="26">
        <f>SUM(BD73:BG73)</f>
        <v>83.486999999999995</v>
      </c>
      <c r="CE73" s="26">
        <f>SUM(BH73:BK73)</f>
        <v>82.348327087215992</v>
      </c>
      <c r="CF73" s="26">
        <f>SUM(BL73:BO73)</f>
        <v>87.189590576652478</v>
      </c>
      <c r="CG73" s="710">
        <f>CF62*CG74</f>
        <v>82.095497212089995</v>
      </c>
      <c r="CH73" s="336"/>
    </row>
    <row r="74" spans="2:86" ht="14.25">
      <c r="B74" s="227" t="s">
        <v>190</v>
      </c>
      <c r="C74" s="216"/>
      <c r="D74" s="228">
        <f t="shared" ref="D74:AD74" si="192">D76/D62</f>
        <v>3.7708567846858075E-2</v>
      </c>
      <c r="E74" s="229">
        <f t="shared" si="192"/>
        <v>3.9352616652399364E-2</v>
      </c>
      <c r="F74" s="229">
        <f t="shared" si="192"/>
        <v>4.2314430668368264E-2</v>
      </c>
      <c r="G74" s="230">
        <f t="shared" si="192"/>
        <v>4.8715582548232703E-2</v>
      </c>
      <c r="H74" s="228">
        <f t="shared" si="192"/>
        <v>4.3621872320523808E-2</v>
      </c>
      <c r="I74" s="229">
        <f t="shared" si="192"/>
        <v>4.1410253410393803E-2</v>
      </c>
      <c r="J74" s="229">
        <f t="shared" si="192"/>
        <v>3.892567220601572E-2</v>
      </c>
      <c r="K74" s="230">
        <f t="shared" si="192"/>
        <v>3.6256096345958957E-2</v>
      </c>
      <c r="L74" s="228">
        <f t="shared" si="192"/>
        <v>3.5195156749739109E-2</v>
      </c>
      <c r="M74" s="229">
        <f t="shared" si="192"/>
        <v>3.3305419919955337E-2</v>
      </c>
      <c r="N74" s="229">
        <f t="shared" si="192"/>
        <v>3.5396174354663953E-2</v>
      </c>
      <c r="O74" s="230">
        <f t="shared" si="192"/>
        <v>3.6144277877196582E-2</v>
      </c>
      <c r="P74" s="228">
        <f t="shared" si="192"/>
        <v>3.9111103248595069E-2</v>
      </c>
      <c r="Q74" s="229">
        <f t="shared" si="192"/>
        <v>3.7295264985090539E-2</v>
      </c>
      <c r="R74" s="229">
        <f t="shared" si="192"/>
        <v>3.8236351199378571E-2</v>
      </c>
      <c r="S74" s="230">
        <f t="shared" si="192"/>
        <v>3.9295280579768339E-2</v>
      </c>
      <c r="T74" s="228">
        <f t="shared" si="192"/>
        <v>4.0226702163847411E-2</v>
      </c>
      <c r="U74" s="229">
        <f t="shared" si="192"/>
        <v>3.8731552702517859E-2</v>
      </c>
      <c r="V74" s="229">
        <f t="shared" si="192"/>
        <v>3.9618985456993099E-2</v>
      </c>
      <c r="W74" s="230">
        <f t="shared" si="192"/>
        <v>3.61749154429079E-2</v>
      </c>
      <c r="X74" s="228">
        <f t="shared" si="192"/>
        <v>3.3798318275599808E-2</v>
      </c>
      <c r="Y74" s="229">
        <f t="shared" si="192"/>
        <v>3.3215361076055612E-2</v>
      </c>
      <c r="Z74" s="229">
        <f t="shared" si="192"/>
        <v>3.1884757577998982E-2</v>
      </c>
      <c r="AA74" s="230">
        <f t="shared" si="192"/>
        <v>3.1775872466504103E-2</v>
      </c>
      <c r="AB74" s="228">
        <f t="shared" si="192"/>
        <v>2.9687775372190642E-2</v>
      </c>
      <c r="AC74" s="229">
        <f t="shared" si="192"/>
        <v>2.8660424375141581E-2</v>
      </c>
      <c r="AD74" s="229">
        <f t="shared" si="192"/>
        <v>2.8455379530080441E-2</v>
      </c>
      <c r="AE74" s="229">
        <f t="shared" ref="AE74:AJ74" si="193">AE76/AE62</f>
        <v>2.9084742258872115E-2</v>
      </c>
      <c r="AF74" s="376">
        <f t="shared" si="193"/>
        <v>2.8443898531122384E-2</v>
      </c>
      <c r="AG74" s="240">
        <f t="shared" si="193"/>
        <v>2.584419533636502E-2</v>
      </c>
      <c r="AH74" s="240">
        <f t="shared" si="193"/>
        <v>2.3026450920875456E-2</v>
      </c>
      <c r="AI74" s="229">
        <f t="shared" si="193"/>
        <v>2.4255917115324918E-2</v>
      </c>
      <c r="AJ74" s="376">
        <f t="shared" si="193"/>
        <v>2.3306745532204954E-2</v>
      </c>
      <c r="AK74" s="240">
        <f t="shared" ref="AK74:AP74" si="194">AK76/AK62</f>
        <v>2.3003126523139839E-2</v>
      </c>
      <c r="AL74" s="240">
        <f t="shared" si="194"/>
        <v>2.3868015233947618E-2</v>
      </c>
      <c r="AM74" s="229">
        <f t="shared" si="194"/>
        <v>2.7266139856054077E-2</v>
      </c>
      <c r="AN74" s="376">
        <f t="shared" si="194"/>
        <v>2.565538587381529E-2</v>
      </c>
      <c r="AO74" s="240">
        <f t="shared" si="194"/>
        <v>2.6605029662376923E-2</v>
      </c>
      <c r="AP74" s="240">
        <f t="shared" si="194"/>
        <v>2.6486972698373759E-2</v>
      </c>
      <c r="AQ74" s="229">
        <f t="shared" ref="AQ74:AV74" si="195">AQ76/AQ62</f>
        <v>2.6572892725751824E-2</v>
      </c>
      <c r="AR74" s="376">
        <f t="shared" si="195"/>
        <v>2.716849476720264E-2</v>
      </c>
      <c r="AS74" s="240">
        <f t="shared" si="195"/>
        <v>2.6081887374074429E-2</v>
      </c>
      <c r="AT74" s="240">
        <f t="shared" si="195"/>
        <v>2.5919828889049642E-2</v>
      </c>
      <c r="AU74" s="229">
        <f t="shared" si="195"/>
        <v>2.5588786727557353E-2</v>
      </c>
      <c r="AV74" s="376">
        <f t="shared" si="195"/>
        <v>2.5578961832383812E-2</v>
      </c>
      <c r="AW74" s="240">
        <f t="shared" ref="AW74:AZ74" si="196">AW76/AW62</f>
        <v>2.3851770774550543E-2</v>
      </c>
      <c r="AX74" s="240">
        <f t="shared" si="196"/>
        <v>2.408121203900469E-2</v>
      </c>
      <c r="AY74" s="229">
        <f t="shared" si="196"/>
        <v>2.2622660960728846E-2</v>
      </c>
      <c r="AZ74" s="376">
        <f t="shared" si="196"/>
        <v>2.168119841659983E-2</v>
      </c>
      <c r="BA74" s="240">
        <f t="shared" ref="BA74:BD74" si="197">BA76/BA62</f>
        <v>2.5437722743403387E-2</v>
      </c>
      <c r="BB74" s="240">
        <f t="shared" si="197"/>
        <v>2.6521074538578372E-2</v>
      </c>
      <c r="BC74" s="229">
        <f t="shared" si="197"/>
        <v>3.171581896944644E-2</v>
      </c>
      <c r="BD74" s="376">
        <f t="shared" si="197"/>
        <v>2.1921091679243131E-2</v>
      </c>
      <c r="BE74" s="240">
        <f t="shared" ref="BE74:BG74" si="198">BE76/BE62</f>
        <v>2.1619769547046582E-2</v>
      </c>
      <c r="BF74" s="240">
        <f t="shared" si="198"/>
        <v>2.4010384325597114E-2</v>
      </c>
      <c r="BG74" s="230">
        <f t="shared" si="198"/>
        <v>2.2847718286475742E-2</v>
      </c>
      <c r="BH74" s="316">
        <v>2.1999999999999999E-2</v>
      </c>
      <c r="BI74" s="316">
        <f>BH74</f>
        <v>2.1999999999999999E-2</v>
      </c>
      <c r="BJ74" s="316">
        <f>BI74</f>
        <v>2.1999999999999999E-2</v>
      </c>
      <c r="BK74" s="315">
        <f>BJ74</f>
        <v>2.1999999999999999E-2</v>
      </c>
      <c r="BL74" s="316">
        <v>2.1999999999999999E-2</v>
      </c>
      <c r="BM74" s="316">
        <f>BL74</f>
        <v>2.1999999999999999E-2</v>
      </c>
      <c r="BN74" s="316">
        <f>BM74</f>
        <v>2.1999999999999999E-2</v>
      </c>
      <c r="BO74" s="315">
        <f>BN74</f>
        <v>2.1999999999999999E-2</v>
      </c>
      <c r="BP74" s="247"/>
      <c r="BQ74" s="240">
        <f>BQ76/BQ62</f>
        <v>0.15853309583592651</v>
      </c>
      <c r="BR74" s="240">
        <f>BR76/BR62</f>
        <v>0.13792868824374205</v>
      </c>
      <c r="BS74" s="240">
        <f t="shared" ref="BS74:CA74" si="199">BS76/BS62</f>
        <v>0.11318097808548713</v>
      </c>
      <c r="BT74" s="240">
        <f t="shared" si="199"/>
        <v>0.15395113406051719</v>
      </c>
      <c r="BU74" s="240">
        <f t="shared" si="199"/>
        <v>0.15095046452883504</v>
      </c>
      <c r="BV74" s="240">
        <f t="shared" si="199"/>
        <v>0.13006895828417106</v>
      </c>
      <c r="BW74" s="240">
        <f t="shared" si="199"/>
        <v>0.11200492297633341</v>
      </c>
      <c r="BX74" s="240">
        <f t="shared" si="199"/>
        <v>9.8414425600612379E-2</v>
      </c>
      <c r="BY74" s="240">
        <f t="shared" si="199"/>
        <v>9.4634620002931741E-2</v>
      </c>
      <c r="BZ74" s="240">
        <f t="shared" si="199"/>
        <v>0.10430997376820185</v>
      </c>
      <c r="CA74" s="240">
        <f t="shared" si="199"/>
        <v>0.10273418274748769</v>
      </c>
      <c r="CB74" s="229">
        <f>CB76/CB62</f>
        <v>9.9396828263244419E-2</v>
      </c>
      <c r="CC74" s="229">
        <f>CC76/CC62</f>
        <v>0.10686315697690549</v>
      </c>
      <c r="CD74" s="229">
        <f>CD76/CD62</f>
        <v>9.1188806605937478E-2</v>
      </c>
      <c r="CE74" s="229">
        <f>CE76/CE62</f>
        <v>8.4866517512091039E-2</v>
      </c>
      <c r="CF74" s="229">
        <f>CF76/CF62</f>
        <v>8.4964066032905183E-2</v>
      </c>
      <c r="CG74" s="315">
        <v>0.08</v>
      </c>
      <c r="CH74" s="336"/>
    </row>
    <row r="75" spans="2:86" ht="14.25">
      <c r="B75" s="203"/>
      <c r="C75" s="203"/>
      <c r="D75" s="222"/>
      <c r="E75" s="222"/>
      <c r="F75" s="222"/>
      <c r="G75" s="222"/>
      <c r="H75" s="222"/>
      <c r="I75" s="222"/>
      <c r="J75" s="222"/>
      <c r="K75" s="222"/>
      <c r="L75" s="222"/>
      <c r="M75" s="222"/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2"/>
      <c r="BE75" s="222"/>
      <c r="BF75" s="222"/>
      <c r="BG75" s="222"/>
      <c r="BH75" s="222"/>
      <c r="BI75" s="222"/>
      <c r="BJ75" s="222"/>
      <c r="BK75" s="222"/>
      <c r="BL75" s="222"/>
      <c r="BM75" s="222"/>
      <c r="BN75" s="222"/>
      <c r="BO75" s="222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A75" s="67"/>
      <c r="CB75" s="338"/>
      <c r="CC75" s="338"/>
      <c r="CD75" s="338"/>
      <c r="CE75" s="338"/>
      <c r="CF75" s="338"/>
      <c r="CG75" s="708"/>
    </row>
    <row r="76" spans="2:86" ht="14.25">
      <c r="B76" s="150" t="s">
        <v>191</v>
      </c>
      <c r="C76" s="151"/>
      <c r="D76" s="152">
        <f>CFS!D13</f>
        <v>9.3729999999999993</v>
      </c>
      <c r="E76" s="152">
        <f>CFS!E13</f>
        <v>10.017000000000001</v>
      </c>
      <c r="F76" s="152">
        <f>CFS!F13</f>
        <v>11.313000000000001</v>
      </c>
      <c r="G76" s="153">
        <f>CFS!G13</f>
        <v>13.619999999999996</v>
      </c>
      <c r="H76" s="152">
        <f>CFS!H13</f>
        <v>13.430999999999999</v>
      </c>
      <c r="I76" s="152">
        <f>CFS!I13</f>
        <v>14.157999999999999</v>
      </c>
      <c r="J76" s="152">
        <f>CFS!J13</f>
        <v>14.251000000000003</v>
      </c>
      <c r="K76" s="153">
        <f>CFS!K13</f>
        <v>14.919999999999993</v>
      </c>
      <c r="L76" s="152">
        <f>CFS!L13</f>
        <v>15.615</v>
      </c>
      <c r="M76" s="152">
        <f>CFS!M13</f>
        <v>16.942999999999998</v>
      </c>
      <c r="N76" s="152">
        <f>CFS!N13</f>
        <v>19.960999999999999</v>
      </c>
      <c r="O76" s="153">
        <f>CFS!O13</f>
        <v>24.640999999999998</v>
      </c>
      <c r="P76" s="152">
        <f>CFS!P13</f>
        <v>26.53</v>
      </c>
      <c r="Q76" s="152">
        <f>CFS!Q13</f>
        <v>25.89</v>
      </c>
      <c r="R76" s="152">
        <f>CFS!R13</f>
        <v>26.384</v>
      </c>
      <c r="S76" s="153">
        <f>CFS!S13</f>
        <v>27.007999999999996</v>
      </c>
      <c r="T76" s="152">
        <f>CFS!T13</f>
        <v>28.617999999999999</v>
      </c>
      <c r="U76" s="152">
        <f>CFS!U13</f>
        <v>28.032</v>
      </c>
      <c r="V76" s="152">
        <f>CFS!V13</f>
        <v>29.136000000000006</v>
      </c>
      <c r="W76" s="153">
        <f>CFS!W13</f>
        <v>27.037999999999993</v>
      </c>
      <c r="X76" s="152">
        <f>CFS!X13</f>
        <v>25.375</v>
      </c>
      <c r="Y76" s="152">
        <f>CFS!Y13</f>
        <v>25.03</v>
      </c>
      <c r="Z76" s="152">
        <f>CFS!Z13</f>
        <v>24.570999999999998</v>
      </c>
      <c r="AA76" s="153">
        <f>CFS!AA13</f>
        <v>24.238</v>
      </c>
      <c r="AB76" s="152">
        <f>CFS!AB13</f>
        <v>23.077999999999999</v>
      </c>
      <c r="AC76" s="152">
        <f>CFS!AC13</f>
        <v>22.773</v>
      </c>
      <c r="AD76" s="152">
        <f>CFS!AD13</f>
        <v>23.140000000000004</v>
      </c>
      <c r="AE76" s="153">
        <f>CFS!AE13</f>
        <v>24.199000000000002</v>
      </c>
      <c r="AF76" s="152">
        <f>CFS!AF13</f>
        <v>24.036999999999999</v>
      </c>
      <c r="AG76" s="152">
        <f>CFS!AG13</f>
        <v>22.437000000000001</v>
      </c>
      <c r="AH76" s="152">
        <f>CFS!AH13</f>
        <v>20.178999999999998</v>
      </c>
      <c r="AI76" s="153">
        <f>CFS!AI13</f>
        <v>21.800999999999998</v>
      </c>
      <c r="AJ76" s="152">
        <f>CFS!AJ13</f>
        <v>21.199000000000002</v>
      </c>
      <c r="AK76" s="152">
        <f>CFS!AK13</f>
        <v>21.285</v>
      </c>
      <c r="AL76" s="152">
        <f>CFS!AL13</f>
        <v>22.317</v>
      </c>
      <c r="AM76" s="153">
        <f>CFS!AM13</f>
        <v>26.227</v>
      </c>
      <c r="AN76" s="152">
        <f>CFS!AN13</f>
        <v>24.966000000000001</v>
      </c>
      <c r="AO76" s="152">
        <f>CFS!AO13</f>
        <v>25.696999999999999</v>
      </c>
      <c r="AP76" s="152">
        <f>CFS!AP13</f>
        <v>25.913</v>
      </c>
      <c r="AQ76" s="153">
        <f>CFS!AQ13</f>
        <v>26.175999999999995</v>
      </c>
      <c r="AR76" s="152">
        <f>CFS!AR13</f>
        <v>27.006</v>
      </c>
      <c r="AS76" s="152">
        <f>CFS!AS13</f>
        <v>26.263000000000002</v>
      </c>
      <c r="AT76" s="152">
        <f>CFS!AT13</f>
        <v>26.515000000000001</v>
      </c>
      <c r="AU76" s="153">
        <f>CFS!AU13</f>
        <v>26.463999999999999</v>
      </c>
      <c r="AV76" s="152">
        <f>CFS!AV13</f>
        <v>26.62</v>
      </c>
      <c r="AW76" s="152">
        <f>CFS!AW13</f>
        <v>25.191000000000006</v>
      </c>
      <c r="AX76" s="152">
        <f>CFS!AX13</f>
        <v>25.565000000000001</v>
      </c>
      <c r="AY76" s="153">
        <f>CFS!AY13</f>
        <v>22.8</v>
      </c>
      <c r="AZ76" s="152">
        <f>CFS!AZ13</f>
        <v>21.788</v>
      </c>
      <c r="BA76" s="152">
        <f>CFS!BA13</f>
        <v>26.866</v>
      </c>
      <c r="BB76" s="152">
        <f>CFS!BB13</f>
        <v>27.187999999999999</v>
      </c>
      <c r="BC76" s="153">
        <f>CFS!BC13</f>
        <v>32.009</v>
      </c>
      <c r="BD76" s="152">
        <f>CFS!BD13</f>
        <v>20.742000000000001</v>
      </c>
      <c r="BE76" s="152">
        <f>CFS!BE13</f>
        <v>20.443999999999999</v>
      </c>
      <c r="BF76" s="152">
        <f>CFS!BF13</f>
        <v>21.382999999999999</v>
      </c>
      <c r="BG76" s="153">
        <f>CFS!BG13</f>
        <v>20.917999999999999</v>
      </c>
      <c r="BH76" s="152">
        <f>CFS!BH13</f>
        <v>20.141879999999997</v>
      </c>
      <c r="BI76" s="152">
        <f>CFS!BI13</f>
        <v>20.432609792759997</v>
      </c>
      <c r="BJ76" s="152">
        <f>CFS!BJ13</f>
        <v>20.732528162266796</v>
      </c>
      <c r="BK76" s="153">
        <f>CFS!BK13</f>
        <v>21.041309132189209</v>
      </c>
      <c r="BL76" s="152">
        <f>CFS!BL13</f>
        <v>21.347207933454342</v>
      </c>
      <c r="BM76" s="152">
        <f>CFS!BM13</f>
        <v>21.636391359129831</v>
      </c>
      <c r="BN76" s="152">
        <f>CFS!BN13</f>
        <v>21.944008787723181</v>
      </c>
      <c r="BO76" s="153">
        <f>CFS!BO13</f>
        <v>22.261982496345123</v>
      </c>
      <c r="BP76" s="247"/>
      <c r="BQ76" s="152">
        <f>CFS!BQ13</f>
        <v>44.323</v>
      </c>
      <c r="BR76" s="152">
        <f>CFS!BR13</f>
        <v>56.76</v>
      </c>
      <c r="BS76" s="152">
        <f>CFS!BS13</f>
        <v>77.16</v>
      </c>
      <c r="BT76" s="152">
        <f>CFS!BT13</f>
        <v>105.812</v>
      </c>
      <c r="BU76" s="152">
        <f>CFS!BU13</f>
        <v>112.824</v>
      </c>
      <c r="BV76" s="152">
        <f>CFS!BV13</f>
        <v>99.213999999999999</v>
      </c>
      <c r="BW76" s="152">
        <f>CFS!BW13</f>
        <v>93.19</v>
      </c>
      <c r="BX76" s="152">
        <f>CFS!BX13</f>
        <v>88.454000000000008</v>
      </c>
      <c r="BY76" s="152">
        <f>CFS!BY13</f>
        <v>91.028000000000006</v>
      </c>
      <c r="BZ76" s="152">
        <f>CFS!BZ13</f>
        <v>102.75199999999998</v>
      </c>
      <c r="CA76" s="152">
        <f>CFS!CA13</f>
        <v>106.248</v>
      </c>
      <c r="CB76" s="152">
        <f>CFS!CB13</f>
        <v>100.176</v>
      </c>
      <c r="CC76" s="152">
        <f>CFS!CC13</f>
        <v>107.851</v>
      </c>
      <c r="CD76" s="152">
        <f>CFS!CD13</f>
        <v>83.486999999999995</v>
      </c>
      <c r="CE76" s="152">
        <f>CFS!CE13</f>
        <v>82.348327087215992</v>
      </c>
      <c r="CF76" s="152">
        <f>CFS!CF13</f>
        <v>87.189590576652478</v>
      </c>
      <c r="CG76" s="702">
        <f>CFS!CG13</f>
        <v>82.095497212089995</v>
      </c>
      <c r="CH76" s="336"/>
    </row>
    <row r="77" spans="2:86" ht="14.25">
      <c r="B77" s="127" t="s">
        <v>121</v>
      </c>
      <c r="C77" s="128"/>
      <c r="D77" s="129">
        <f t="shared" ref="D77:AU77" si="200">IF(ROUND(D76,4)=ROUND(D73,4),0,(D76-D73))</f>
        <v>0</v>
      </c>
      <c r="E77" s="129">
        <f t="shared" si="200"/>
        <v>0</v>
      </c>
      <c r="F77" s="129">
        <f t="shared" si="200"/>
        <v>0</v>
      </c>
      <c r="G77" s="130">
        <f t="shared" si="200"/>
        <v>0</v>
      </c>
      <c r="H77" s="129">
        <f t="shared" si="200"/>
        <v>0</v>
      </c>
      <c r="I77" s="129">
        <f t="shared" si="200"/>
        <v>0</v>
      </c>
      <c r="J77" s="129">
        <f t="shared" si="200"/>
        <v>0</v>
      </c>
      <c r="K77" s="130">
        <f t="shared" si="200"/>
        <v>0</v>
      </c>
      <c r="L77" s="129">
        <f t="shared" si="200"/>
        <v>0</v>
      </c>
      <c r="M77" s="129">
        <f t="shared" si="200"/>
        <v>0</v>
      </c>
      <c r="N77" s="129">
        <f t="shared" si="200"/>
        <v>0</v>
      </c>
      <c r="O77" s="130">
        <f t="shared" si="200"/>
        <v>0</v>
      </c>
      <c r="P77" s="129">
        <f t="shared" si="200"/>
        <v>0</v>
      </c>
      <c r="Q77" s="129">
        <f t="shared" si="200"/>
        <v>0</v>
      </c>
      <c r="R77" s="129">
        <f t="shared" si="200"/>
        <v>0</v>
      </c>
      <c r="S77" s="130">
        <f t="shared" si="200"/>
        <v>0</v>
      </c>
      <c r="T77" s="129">
        <f t="shared" si="200"/>
        <v>0</v>
      </c>
      <c r="U77" s="129">
        <f t="shared" si="200"/>
        <v>0</v>
      </c>
      <c r="V77" s="129">
        <f t="shared" si="200"/>
        <v>0</v>
      </c>
      <c r="W77" s="130">
        <f t="shared" si="200"/>
        <v>0</v>
      </c>
      <c r="X77" s="129">
        <f t="shared" si="200"/>
        <v>0</v>
      </c>
      <c r="Y77" s="129">
        <f t="shared" si="200"/>
        <v>0</v>
      </c>
      <c r="Z77" s="129">
        <f t="shared" si="200"/>
        <v>0</v>
      </c>
      <c r="AA77" s="130">
        <f t="shared" si="200"/>
        <v>0</v>
      </c>
      <c r="AB77" s="129">
        <f t="shared" si="200"/>
        <v>0</v>
      </c>
      <c r="AC77" s="129">
        <f t="shared" si="200"/>
        <v>0</v>
      </c>
      <c r="AD77" s="129">
        <f t="shared" si="200"/>
        <v>0</v>
      </c>
      <c r="AE77" s="130">
        <f t="shared" si="200"/>
        <v>0</v>
      </c>
      <c r="AF77" s="129">
        <f t="shared" si="200"/>
        <v>0</v>
      </c>
      <c r="AG77" s="129">
        <f t="shared" si="200"/>
        <v>0</v>
      </c>
      <c r="AH77" s="129">
        <f t="shared" si="200"/>
        <v>0</v>
      </c>
      <c r="AI77" s="130">
        <f t="shared" si="200"/>
        <v>0</v>
      </c>
      <c r="AJ77" s="129">
        <f t="shared" si="200"/>
        <v>0</v>
      </c>
      <c r="AK77" s="129">
        <f t="shared" si="200"/>
        <v>0</v>
      </c>
      <c r="AL77" s="129">
        <f t="shared" si="200"/>
        <v>0</v>
      </c>
      <c r="AM77" s="130">
        <f t="shared" si="200"/>
        <v>0</v>
      </c>
      <c r="AN77" s="129">
        <f t="shared" si="200"/>
        <v>0</v>
      </c>
      <c r="AO77" s="129">
        <f t="shared" si="200"/>
        <v>0</v>
      </c>
      <c r="AP77" s="129">
        <f t="shared" si="200"/>
        <v>0</v>
      </c>
      <c r="AQ77" s="130">
        <f>IF(ROUND(AQ76,4)=ROUND(AQ73,4),0,(AQ76-AQ73))</f>
        <v>0</v>
      </c>
      <c r="AR77" s="129">
        <f>IF(ROUND(AR76,4)=ROUND(AR73,4),0,(AR76-AR73))</f>
        <v>0</v>
      </c>
      <c r="AS77" s="129">
        <f>IF(ROUND(AS76,4)=ROUND(AS73,4),0,(AS76-AS73))</f>
        <v>0</v>
      </c>
      <c r="AT77" s="129">
        <f t="shared" si="200"/>
        <v>0</v>
      </c>
      <c r="AU77" s="130">
        <f t="shared" si="200"/>
        <v>0</v>
      </c>
      <c r="AV77" s="129">
        <f>IF(ROUND(AV76,4)=ROUND(AV73,4),0,(AV76-AV73))</f>
        <v>0</v>
      </c>
      <c r="AW77" s="129">
        <f t="shared" ref="AW77:AY77" si="201">IF(ROUND(AW76,4)=ROUND(AW73,4),0,(AW76-AW73))</f>
        <v>0</v>
      </c>
      <c r="AX77" s="129">
        <f t="shared" si="201"/>
        <v>0</v>
      </c>
      <c r="AY77" s="130">
        <f t="shared" si="201"/>
        <v>0</v>
      </c>
      <c r="AZ77" s="129">
        <f>IF(ROUND(AZ76,4)=ROUND(AZ73,4),0,(AZ76-AZ73))</f>
        <v>0</v>
      </c>
      <c r="BA77" s="129">
        <f t="shared" ref="BA77:BC77" si="202">IF(ROUND(BA76,4)=ROUND(BA73,4),0,(BA76-BA73))</f>
        <v>0</v>
      </c>
      <c r="BB77" s="129">
        <f t="shared" si="202"/>
        <v>0</v>
      </c>
      <c r="BC77" s="130">
        <f t="shared" si="202"/>
        <v>0</v>
      </c>
      <c r="BD77" s="129">
        <f>IF(ROUND(BD76,4)=ROUND(BD73,4),0,(BD76-BD73))</f>
        <v>0</v>
      </c>
      <c r="BE77" s="129">
        <f t="shared" ref="BE77:BG77" si="203">IF(ROUND(BE76,4)=ROUND(BE73,4),0,(BE76-BE73))</f>
        <v>0</v>
      </c>
      <c r="BF77" s="129">
        <f t="shared" si="203"/>
        <v>0</v>
      </c>
      <c r="BG77" s="130">
        <f t="shared" si="203"/>
        <v>0</v>
      </c>
      <c r="BH77" s="129">
        <f t="shared" ref="BH77:BI77" si="204">IF(ROUND(BH76,4)=ROUND(BH73,4),0,(BH76-BH73))</f>
        <v>0</v>
      </c>
      <c r="BI77" s="129">
        <f t="shared" si="204"/>
        <v>0</v>
      </c>
      <c r="BJ77" s="129">
        <f t="shared" ref="BJ77:BM77" si="205">IF(ROUND(BJ76,4)=ROUND(BJ73,4),0,(BJ76-BJ73))</f>
        <v>0</v>
      </c>
      <c r="BK77" s="130">
        <f t="shared" si="205"/>
        <v>0</v>
      </c>
      <c r="BL77" s="129">
        <f t="shared" si="205"/>
        <v>0</v>
      </c>
      <c r="BM77" s="129">
        <f t="shared" si="205"/>
        <v>0</v>
      </c>
      <c r="BN77" s="129">
        <f t="shared" ref="BN77:BO77" si="206">IF(ROUND(BN76,4)=ROUND(BN73,4),0,(BN76-BN73))</f>
        <v>0</v>
      </c>
      <c r="BO77" s="130">
        <f t="shared" si="206"/>
        <v>0</v>
      </c>
      <c r="BP77" s="247"/>
      <c r="BQ77" s="129">
        <f t="shared" ref="BQ77:CA77" si="207">IF(ROUND(BQ76,4)=ROUND(BQ73,4),0,(BQ76-BQ73))</f>
        <v>0</v>
      </c>
      <c r="BR77" s="129">
        <f t="shared" si="207"/>
        <v>0</v>
      </c>
      <c r="BS77" s="129">
        <f t="shared" si="207"/>
        <v>0</v>
      </c>
      <c r="BT77" s="129">
        <f t="shared" si="207"/>
        <v>0</v>
      </c>
      <c r="BU77" s="129">
        <f t="shared" si="207"/>
        <v>0</v>
      </c>
      <c r="BV77" s="129">
        <f t="shared" si="207"/>
        <v>0</v>
      </c>
      <c r="BW77" s="129">
        <f t="shared" si="207"/>
        <v>0</v>
      </c>
      <c r="BX77" s="129">
        <f t="shared" si="207"/>
        <v>0</v>
      </c>
      <c r="BY77" s="129">
        <f t="shared" si="207"/>
        <v>0</v>
      </c>
      <c r="BZ77" s="129">
        <f t="shared" si="207"/>
        <v>0</v>
      </c>
      <c r="CA77" s="129">
        <f t="shared" si="207"/>
        <v>0</v>
      </c>
      <c r="CB77" s="129">
        <f t="shared" ref="CB77:CG77" si="208">IF(ROUND(CB76,4)=ROUND(CB73,4),0,(CB76-CB73))</f>
        <v>0</v>
      </c>
      <c r="CC77" s="129">
        <f t="shared" si="208"/>
        <v>0</v>
      </c>
      <c r="CD77" s="129">
        <f t="shared" si="208"/>
        <v>0</v>
      </c>
      <c r="CE77" s="129">
        <f t="shared" si="208"/>
        <v>0</v>
      </c>
      <c r="CF77" s="129">
        <f t="shared" si="208"/>
        <v>0</v>
      </c>
      <c r="CG77" s="130">
        <f t="shared" si="208"/>
        <v>0</v>
      </c>
      <c r="CH77" s="336"/>
    </row>
    <row r="78" spans="2:86" ht="14.25">
      <c r="B78" s="203"/>
      <c r="C78" s="203"/>
      <c r="D78" s="231"/>
      <c r="E78" s="231"/>
      <c r="F78" s="231"/>
      <c r="G78" s="231"/>
      <c r="H78" s="231"/>
      <c r="I78" s="231"/>
      <c r="J78" s="231"/>
      <c r="K78" s="231"/>
      <c r="L78" s="231"/>
      <c r="M78" s="231"/>
      <c r="N78" s="231"/>
      <c r="O78" s="231"/>
      <c r="P78" s="231"/>
      <c r="Q78" s="231"/>
      <c r="R78" s="231"/>
      <c r="S78" s="231"/>
      <c r="T78" s="231"/>
      <c r="U78" s="231"/>
      <c r="V78" s="231"/>
      <c r="W78" s="231"/>
      <c r="X78" s="231"/>
      <c r="Y78" s="231"/>
      <c r="Z78" s="231"/>
      <c r="AA78" s="231"/>
      <c r="AB78" s="231"/>
      <c r="AC78" s="231"/>
      <c r="AD78" s="231"/>
      <c r="AE78" s="231"/>
      <c r="AF78" s="231"/>
      <c r="AG78" s="231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03"/>
      <c r="BF78" s="231"/>
      <c r="BG78" s="231"/>
      <c r="BH78" s="231"/>
      <c r="BI78" s="203"/>
      <c r="BJ78" s="231"/>
      <c r="BK78" s="231"/>
      <c r="BL78" s="231"/>
      <c r="BM78" s="203"/>
      <c r="BN78" s="231"/>
      <c r="BO78" s="231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A78" s="67"/>
      <c r="CB78" s="338"/>
      <c r="CC78" s="338"/>
      <c r="CD78" s="338"/>
      <c r="CE78" s="338"/>
      <c r="CF78" s="338"/>
      <c r="CG78" s="547"/>
    </row>
    <row r="79" spans="2:86" ht="14.25">
      <c r="B79" s="203"/>
      <c r="C79" s="203"/>
      <c r="D79" s="231"/>
      <c r="E79" s="231"/>
      <c r="F79" s="231"/>
      <c r="G79" s="231"/>
      <c r="H79" s="231"/>
      <c r="I79" s="231"/>
      <c r="J79" s="231"/>
      <c r="K79" s="231"/>
      <c r="L79" s="231"/>
      <c r="M79" s="231"/>
      <c r="N79" s="231"/>
      <c r="O79" s="231"/>
      <c r="P79" s="231"/>
      <c r="Q79" s="231"/>
      <c r="R79" s="231"/>
      <c r="S79" s="231"/>
      <c r="T79" s="231"/>
      <c r="U79" s="231"/>
      <c r="V79" s="231"/>
      <c r="W79" s="231"/>
      <c r="X79" s="231"/>
      <c r="Y79" s="231"/>
      <c r="Z79" s="231"/>
      <c r="AA79" s="231"/>
      <c r="AB79" s="231"/>
      <c r="AC79" s="231"/>
      <c r="AD79" s="231"/>
      <c r="AE79" s="231"/>
      <c r="AF79" s="231"/>
      <c r="AG79" s="231"/>
      <c r="AH79" s="231"/>
      <c r="AI79" s="231"/>
      <c r="AJ79" s="231"/>
      <c r="AK79" s="231"/>
      <c r="AL79" s="231"/>
      <c r="AM79" s="231"/>
      <c r="AN79" s="231"/>
      <c r="AO79" s="231"/>
      <c r="AP79" s="231"/>
      <c r="AQ79" s="231"/>
      <c r="AR79" s="231"/>
      <c r="AS79" s="231"/>
      <c r="AT79" s="231"/>
      <c r="AU79" s="231"/>
      <c r="AV79" s="231"/>
      <c r="AW79" s="231"/>
      <c r="AX79" s="231"/>
      <c r="AY79" s="231"/>
      <c r="AZ79" s="231"/>
      <c r="BA79" s="231"/>
      <c r="BB79" s="231"/>
      <c r="BC79" s="231"/>
      <c r="BD79" s="231"/>
      <c r="BE79" s="203"/>
      <c r="BF79" s="231"/>
      <c r="BG79" s="231"/>
      <c r="BH79" s="231"/>
      <c r="BI79" s="203"/>
      <c r="BJ79" s="231"/>
      <c r="BK79" s="231"/>
      <c r="BL79" s="231"/>
      <c r="BM79" s="203"/>
      <c r="BN79" s="231"/>
      <c r="BO79" s="231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A79" s="67"/>
      <c r="CB79" s="338"/>
      <c r="CC79" s="338"/>
      <c r="CD79" s="338"/>
      <c r="CE79" s="338"/>
      <c r="CF79" s="338"/>
      <c r="CG79" s="547"/>
    </row>
    <row r="80" spans="2:86" ht="15">
      <c r="B80" s="132" t="s">
        <v>192</v>
      </c>
      <c r="C80" s="133"/>
      <c r="D80" s="13" t="str">
        <f t="shared" ref="D80:AU80" si="209">D72</f>
        <v>F1Q05A</v>
      </c>
      <c r="E80" s="14" t="str">
        <f t="shared" si="209"/>
        <v>F2Q05A</v>
      </c>
      <c r="F80" s="14" t="str">
        <f t="shared" si="209"/>
        <v>F3Q05A</v>
      </c>
      <c r="G80" s="15" t="str">
        <f t="shared" si="209"/>
        <v>F4Q05A</v>
      </c>
      <c r="H80" s="13" t="str">
        <f t="shared" si="209"/>
        <v>F1Q06A</v>
      </c>
      <c r="I80" s="14" t="str">
        <f t="shared" si="209"/>
        <v>F2Q06A</v>
      </c>
      <c r="J80" s="14" t="str">
        <f t="shared" si="209"/>
        <v>F3Q06A</v>
      </c>
      <c r="K80" s="15" t="str">
        <f t="shared" si="209"/>
        <v>F4Q06A</v>
      </c>
      <c r="L80" s="13" t="str">
        <f t="shared" si="209"/>
        <v>F1Q07A</v>
      </c>
      <c r="M80" s="14" t="str">
        <f t="shared" si="209"/>
        <v>F2Q07A</v>
      </c>
      <c r="N80" s="14" t="str">
        <f t="shared" si="209"/>
        <v>F3Q07A</v>
      </c>
      <c r="O80" s="15" t="str">
        <f t="shared" si="209"/>
        <v>F4Q07A</v>
      </c>
      <c r="P80" s="13" t="str">
        <f t="shared" si="209"/>
        <v>F1Q08A</v>
      </c>
      <c r="Q80" s="14" t="str">
        <f t="shared" si="209"/>
        <v>F2Q08A</v>
      </c>
      <c r="R80" s="14" t="str">
        <f t="shared" si="209"/>
        <v>F3Q08A</v>
      </c>
      <c r="S80" s="15" t="str">
        <f t="shared" si="209"/>
        <v>F4Q08A</v>
      </c>
      <c r="T80" s="13" t="str">
        <f t="shared" si="209"/>
        <v>F1Q09A</v>
      </c>
      <c r="U80" s="14" t="str">
        <f t="shared" si="209"/>
        <v>F2Q09A</v>
      </c>
      <c r="V80" s="14" t="str">
        <f t="shared" si="209"/>
        <v>F3Q09A</v>
      </c>
      <c r="W80" s="15" t="str">
        <f t="shared" si="209"/>
        <v>F4Q09A</v>
      </c>
      <c r="X80" s="13" t="str">
        <f t="shared" si="209"/>
        <v>F1Q10A</v>
      </c>
      <c r="Y80" s="14" t="str">
        <f t="shared" si="209"/>
        <v>F2Q10A</v>
      </c>
      <c r="Z80" s="14" t="str">
        <f t="shared" si="209"/>
        <v>F3Q10A</v>
      </c>
      <c r="AA80" s="15" t="str">
        <f t="shared" si="209"/>
        <v>F4Q10A</v>
      </c>
      <c r="AB80" s="13" t="str">
        <f t="shared" si="209"/>
        <v>F1Q11A</v>
      </c>
      <c r="AC80" s="14" t="str">
        <f t="shared" si="209"/>
        <v>F2Q11A</v>
      </c>
      <c r="AD80" s="14" t="str">
        <f t="shared" si="209"/>
        <v>F3Q11A</v>
      </c>
      <c r="AE80" s="15" t="str">
        <f t="shared" si="209"/>
        <v>F4Q11A</v>
      </c>
      <c r="AF80" s="13" t="str">
        <f t="shared" si="209"/>
        <v>F1Q12A</v>
      </c>
      <c r="AG80" s="14" t="str">
        <f t="shared" si="209"/>
        <v>F2Q12A</v>
      </c>
      <c r="AH80" s="14" t="str">
        <f t="shared" ref="AH80:AM80" si="210">AH72</f>
        <v>F3Q12A</v>
      </c>
      <c r="AI80" s="15" t="str">
        <f t="shared" si="210"/>
        <v>F4Q12A</v>
      </c>
      <c r="AJ80" s="13" t="str">
        <f t="shared" si="210"/>
        <v>F1Q13A</v>
      </c>
      <c r="AK80" s="14" t="str">
        <f t="shared" si="210"/>
        <v>F2Q13A</v>
      </c>
      <c r="AL80" s="14" t="str">
        <f t="shared" si="210"/>
        <v>F3Q13A</v>
      </c>
      <c r="AM80" s="15" t="str">
        <f t="shared" si="210"/>
        <v>F4Q13A</v>
      </c>
      <c r="AN80" s="13" t="str">
        <f t="shared" si="209"/>
        <v>F1Q14A</v>
      </c>
      <c r="AO80" s="14" t="str">
        <f t="shared" si="209"/>
        <v>F2Q14A</v>
      </c>
      <c r="AP80" s="14" t="str">
        <f t="shared" si="209"/>
        <v>F3Q14A</v>
      </c>
      <c r="AQ80" s="15" t="str">
        <f t="shared" si="209"/>
        <v>F4Q14A</v>
      </c>
      <c r="AR80" s="13" t="str">
        <f t="shared" si="209"/>
        <v>F1Q15A</v>
      </c>
      <c r="AS80" s="14" t="str">
        <f t="shared" si="209"/>
        <v>F2Q15A</v>
      </c>
      <c r="AT80" s="14" t="str">
        <f t="shared" si="209"/>
        <v>F3Q15A</v>
      </c>
      <c r="AU80" s="15" t="str">
        <f t="shared" si="209"/>
        <v>F4Q15A</v>
      </c>
      <c r="AV80" s="13" t="str">
        <f t="shared" ref="AV80:AY80" si="211">AV72</f>
        <v>F1Q16A</v>
      </c>
      <c r="AW80" s="14" t="str">
        <f t="shared" si="211"/>
        <v>F2Q16A</v>
      </c>
      <c r="AX80" s="14" t="str">
        <f t="shared" si="211"/>
        <v>F3Q16A</v>
      </c>
      <c r="AY80" s="15" t="str">
        <f t="shared" si="211"/>
        <v>F4Q16A</v>
      </c>
      <c r="AZ80" s="13" t="str">
        <f t="shared" ref="AZ80:BC80" si="212">AZ72</f>
        <v>F1Q17A</v>
      </c>
      <c r="BA80" s="14" t="str">
        <f t="shared" si="212"/>
        <v>F2Q17A</v>
      </c>
      <c r="BB80" s="14" t="str">
        <f t="shared" si="212"/>
        <v>F3Q17A</v>
      </c>
      <c r="BC80" s="15" t="str">
        <f t="shared" si="212"/>
        <v>F4Q17A</v>
      </c>
      <c r="BD80" s="475" t="str">
        <f t="shared" ref="BD80:BE80" si="213">BD72</f>
        <v>F1Q18A</v>
      </c>
      <c r="BE80" s="475" t="str">
        <f t="shared" si="213"/>
        <v>F2Q18A</v>
      </c>
      <c r="BF80" s="475" t="str">
        <f t="shared" ref="BF80:BI80" si="214">BF72</f>
        <v>F3Q18A</v>
      </c>
      <c r="BG80" s="476" t="str">
        <f t="shared" si="214"/>
        <v>F4Q18A</v>
      </c>
      <c r="BH80" s="475" t="str">
        <f t="shared" si="214"/>
        <v>F1Q19E</v>
      </c>
      <c r="BI80" s="475" t="str">
        <f t="shared" si="214"/>
        <v>F2Q19E</v>
      </c>
      <c r="BJ80" s="475" t="str">
        <f t="shared" ref="BJ80:BM80" si="215">BJ72</f>
        <v>F3Q19E</v>
      </c>
      <c r="BK80" s="476" t="str">
        <f t="shared" si="215"/>
        <v>F4Q19E</v>
      </c>
      <c r="BL80" s="475" t="str">
        <f t="shared" si="215"/>
        <v>F1Q20E</v>
      </c>
      <c r="BM80" s="475" t="str">
        <f t="shared" si="215"/>
        <v>F2Q20E</v>
      </c>
      <c r="BN80" s="475" t="str">
        <f t="shared" ref="BN80:BO80" si="216">BN72</f>
        <v>F3Q20E</v>
      </c>
      <c r="BO80" s="572" t="str">
        <f t="shared" si="216"/>
        <v>F4Q20E</v>
      </c>
      <c r="BP80" s="247"/>
      <c r="BQ80" s="560" t="str">
        <f>BQ72</f>
        <v>FY2005A</v>
      </c>
      <c r="BR80" s="560" t="str">
        <f t="shared" ref="BR80:CC80" si="217">BR72</f>
        <v>FY2006A</v>
      </c>
      <c r="BS80" s="560" t="str">
        <f t="shared" si="217"/>
        <v>FY2007A</v>
      </c>
      <c r="BT80" s="560" t="str">
        <f t="shared" si="217"/>
        <v>FY2008A</v>
      </c>
      <c r="BU80" s="560" t="str">
        <f t="shared" si="217"/>
        <v>FY2009A</v>
      </c>
      <c r="BV80" s="560" t="str">
        <f t="shared" si="217"/>
        <v>FY2010A</v>
      </c>
      <c r="BW80" s="560" t="str">
        <f t="shared" si="217"/>
        <v>FY2011A</v>
      </c>
      <c r="BX80" s="560" t="str">
        <f t="shared" si="217"/>
        <v>FY2012A</v>
      </c>
      <c r="BY80" s="560" t="str">
        <f t="shared" si="217"/>
        <v>FY2013A</v>
      </c>
      <c r="BZ80" s="14" t="str">
        <f t="shared" si="217"/>
        <v>FY2014A</v>
      </c>
      <c r="CA80" s="14" t="str">
        <f t="shared" si="217"/>
        <v>FY2015A</v>
      </c>
      <c r="CB80" s="14" t="str">
        <f>CB72</f>
        <v>FY2016A</v>
      </c>
      <c r="CC80" s="14" t="str">
        <f t="shared" si="217"/>
        <v>FY2017A</v>
      </c>
      <c r="CD80" s="14" t="str">
        <f t="shared" ref="CD80:CE80" si="218">CD72</f>
        <v>FY2018A</v>
      </c>
      <c r="CE80" s="560" t="str">
        <f t="shared" si="218"/>
        <v>FY2019E</v>
      </c>
      <c r="CF80" s="560" t="str">
        <f t="shared" ref="CF80:CG80" si="219">CF72</f>
        <v>FY2020E</v>
      </c>
      <c r="CG80" s="15" t="str">
        <f t="shared" si="219"/>
        <v>FY2021E</v>
      </c>
      <c r="CH80" s="336"/>
    </row>
    <row r="81" spans="2:86" ht="14.25">
      <c r="B81" s="206" t="s">
        <v>193</v>
      </c>
      <c r="C81" s="207"/>
      <c r="D81" s="232">
        <f t="shared" ref="D81:AU81" si="220">D29+D34</f>
        <v>20.886999999999976</v>
      </c>
      <c r="E81" s="232">
        <f t="shared" si="220"/>
        <v>46.527000000000001</v>
      </c>
      <c r="F81" s="232">
        <f t="shared" si="220"/>
        <v>62.531000000000049</v>
      </c>
      <c r="G81" s="233">
        <f t="shared" si="220"/>
        <v>45.822999999999851</v>
      </c>
      <c r="H81" s="232">
        <f t="shared" si="220"/>
        <v>50.508999999999986</v>
      </c>
      <c r="I81" s="232">
        <f t="shared" si="220"/>
        <v>92.683999999999997</v>
      </c>
      <c r="J81" s="232">
        <f t="shared" si="220"/>
        <v>58.440000000000012</v>
      </c>
      <c r="K81" s="233">
        <f t="shared" si="220"/>
        <v>102.16400000000004</v>
      </c>
      <c r="L81" s="232">
        <f t="shared" si="220"/>
        <v>17.735000000000021</v>
      </c>
      <c r="M81" s="232">
        <f t="shared" si="220"/>
        <v>125.80200000000002</v>
      </c>
      <c r="N81" s="232">
        <f t="shared" si="220"/>
        <v>81.512000000000086</v>
      </c>
      <c r="O81" s="233">
        <f t="shared" si="220"/>
        <v>-68.434000000000481</v>
      </c>
      <c r="P81" s="232">
        <f t="shared" si="220"/>
        <v>18.891999999999967</v>
      </c>
      <c r="Q81" s="232">
        <f t="shared" si="220"/>
        <v>-94.188999999999936</v>
      </c>
      <c r="R81" s="232">
        <f t="shared" si="220"/>
        <v>8.0560000000000151</v>
      </c>
      <c r="S81" s="233">
        <f t="shared" si="220"/>
        <v>131.13100000000017</v>
      </c>
      <c r="T81" s="232">
        <f t="shared" si="220"/>
        <v>130.19300000000004</v>
      </c>
      <c r="U81" s="232">
        <f t="shared" si="220"/>
        <v>136.35200000000003</v>
      </c>
      <c r="V81" s="232">
        <f t="shared" si="220"/>
        <v>245.68500000000009</v>
      </c>
      <c r="W81" s="233">
        <f t="shared" si="220"/>
        <v>95.211999999999662</v>
      </c>
      <c r="X81" s="232">
        <f t="shared" si="220"/>
        <v>141.11500000000001</v>
      </c>
      <c r="Y81" s="232">
        <f t="shared" si="220"/>
        <v>178.5679999999999</v>
      </c>
      <c r="Z81" s="232">
        <f t="shared" si="220"/>
        <v>195.90499999999994</v>
      </c>
      <c r="AA81" s="233">
        <f t="shared" si="220"/>
        <v>256.11099999999988</v>
      </c>
      <c r="AB81" s="232">
        <f t="shared" si="220"/>
        <v>239.19599999999994</v>
      </c>
      <c r="AC81" s="232">
        <f t="shared" si="220"/>
        <v>296.33500000000004</v>
      </c>
      <c r="AD81" s="232">
        <f t="shared" si="220"/>
        <v>343.91700000000003</v>
      </c>
      <c r="AE81" s="233">
        <f t="shared" si="220"/>
        <v>223.92700000000005</v>
      </c>
      <c r="AF81" s="232">
        <f t="shared" si="220"/>
        <v>160.131</v>
      </c>
      <c r="AG81" s="232">
        <f t="shared" si="220"/>
        <v>238.18600000000001</v>
      </c>
      <c r="AH81" s="232">
        <f t="shared" ref="AH81:AM81" si="221">AH29+AH34</f>
        <v>241.50200000000004</v>
      </c>
      <c r="AI81" s="233">
        <f t="shared" si="221"/>
        <v>42.648999999999958</v>
      </c>
      <c r="AJ81" s="232">
        <f t="shared" si="221"/>
        <v>179.76900000000001</v>
      </c>
      <c r="AK81" s="232">
        <f t="shared" si="221"/>
        <v>178.36199999999999</v>
      </c>
      <c r="AL81" s="232">
        <f t="shared" si="221"/>
        <v>117.221</v>
      </c>
      <c r="AM81" s="233">
        <f t="shared" si="221"/>
        <v>185.49899999999988</v>
      </c>
      <c r="AN81" s="232">
        <f t="shared" si="220"/>
        <v>63.775000000000063</v>
      </c>
      <c r="AO81" s="232">
        <f t="shared" si="220"/>
        <v>67.515000000000043</v>
      </c>
      <c r="AP81" s="232">
        <f t="shared" si="220"/>
        <v>156.59400000000005</v>
      </c>
      <c r="AQ81" s="233">
        <f t="shared" si="220"/>
        <v>87.179000000000059</v>
      </c>
      <c r="AR81" s="232">
        <f t="shared" si="220"/>
        <v>219.006</v>
      </c>
      <c r="AS81" s="232">
        <f t="shared" si="220"/>
        <v>141.13099999999994</v>
      </c>
      <c r="AT81" s="232">
        <f t="shared" si="220"/>
        <v>177.98299999999998</v>
      </c>
      <c r="AU81" s="233">
        <f t="shared" si="220"/>
        <v>127.78599999999997</v>
      </c>
      <c r="AV81" s="232">
        <f t="shared" ref="AV81:AY81" si="222">AV29+AV34</f>
        <v>51.534000000000049</v>
      </c>
      <c r="AW81" s="232">
        <f t="shared" si="222"/>
        <v>9.5979999999998356</v>
      </c>
      <c r="AX81" s="232">
        <f t="shared" si="222"/>
        <v>57.55299999999994</v>
      </c>
      <c r="AY81" s="233">
        <f t="shared" si="222"/>
        <v>49.411999999999956</v>
      </c>
      <c r="AZ81" s="232">
        <f t="shared" ref="AZ81:BC81" si="223">AZ29+AZ34</f>
        <v>-616.14299999999992</v>
      </c>
      <c r="BA81" s="232">
        <f t="shared" si="223"/>
        <v>46.772999999999968</v>
      </c>
      <c r="BB81" s="232">
        <f t="shared" si="223"/>
        <v>108.11400000000009</v>
      </c>
      <c r="BC81" s="233">
        <f t="shared" si="223"/>
        <v>58.310999999999865</v>
      </c>
      <c r="BD81" s="232">
        <f t="shared" ref="BD81:BE81" si="224">BD29+BD34</f>
        <v>125.11999999999996</v>
      </c>
      <c r="BE81" s="396">
        <f t="shared" si="224"/>
        <v>97.231999999999999</v>
      </c>
      <c r="BF81" s="232">
        <f t="shared" ref="BF81:BI81" si="225">BF29+BF34</f>
        <v>205.57799999999997</v>
      </c>
      <c r="BG81" s="233">
        <f t="shared" si="225"/>
        <v>106.34599999999996</v>
      </c>
      <c r="BH81" s="232">
        <f t="shared" si="225"/>
        <v>176.54922983361797</v>
      </c>
      <c r="BI81" s="396">
        <f t="shared" si="225"/>
        <v>164.47562919706309</v>
      </c>
      <c r="BJ81" s="232">
        <f t="shared" ref="BJ81:BM81" si="226">BJ29+BJ34</f>
        <v>171.85714557010314</v>
      </c>
      <c r="BK81" s="233">
        <f t="shared" si="226"/>
        <v>185.73629427450746</v>
      </c>
      <c r="BL81" s="232">
        <f t="shared" si="226"/>
        <v>200.86318739679848</v>
      </c>
      <c r="BM81" s="396">
        <f t="shared" si="226"/>
        <v>164.51267914077616</v>
      </c>
      <c r="BN81" s="232">
        <f t="shared" ref="BN81:BO81" si="227">BN29+BN34</f>
        <v>178.28447433497982</v>
      </c>
      <c r="BO81" s="233">
        <f t="shared" si="227"/>
        <v>193.65733914635373</v>
      </c>
      <c r="BP81" s="247"/>
      <c r="BQ81" s="430">
        <f t="shared" ref="BQ81:CC81" si="228">BQ29+BQ34</f>
        <v>175.76799999999986</v>
      </c>
      <c r="BR81" s="430">
        <f t="shared" si="228"/>
        <v>303.79700000000003</v>
      </c>
      <c r="BS81" s="430">
        <f t="shared" si="228"/>
        <v>156.61499999999958</v>
      </c>
      <c r="BT81" s="430">
        <f t="shared" si="228"/>
        <v>63.890000000000143</v>
      </c>
      <c r="BU81" s="430">
        <f t="shared" si="228"/>
        <v>607.44199999999978</v>
      </c>
      <c r="BV81" s="430">
        <f t="shared" si="228"/>
        <v>771.69899999999973</v>
      </c>
      <c r="BW81" s="430">
        <f t="shared" si="228"/>
        <v>1103.3749999999998</v>
      </c>
      <c r="BX81" s="430">
        <f t="shared" si="228"/>
        <v>682.46800000000007</v>
      </c>
      <c r="BY81" s="430">
        <f t="shared" si="228"/>
        <v>660.85099999999977</v>
      </c>
      <c r="BZ81" s="430">
        <f t="shared" si="228"/>
        <v>375.06300000000016</v>
      </c>
      <c r="CA81" s="435">
        <f t="shared" si="228"/>
        <v>665.90599999999995</v>
      </c>
      <c r="CB81" s="396">
        <f>CB29+CB34</f>
        <v>168.09699999999975</v>
      </c>
      <c r="CC81" s="396">
        <f t="shared" si="228"/>
        <v>-402.94499999999994</v>
      </c>
      <c r="CD81" s="396">
        <f t="shared" ref="CD81:CE81" si="229">CD29+CD34</f>
        <v>534.27599999999995</v>
      </c>
      <c r="CE81" s="396">
        <f t="shared" si="229"/>
        <v>698.61829887529166</v>
      </c>
      <c r="CF81" s="396">
        <f>CF29+CF34</f>
        <v>737.31768001890816</v>
      </c>
      <c r="CG81" s="711">
        <f t="shared" ref="CG81" si="230">CG29+CG34</f>
        <v>739.18388345387359</v>
      </c>
      <c r="CH81" s="336"/>
    </row>
    <row r="82" spans="2:86" ht="14.25">
      <c r="B82" s="215" t="s">
        <v>194</v>
      </c>
      <c r="C82" s="216"/>
      <c r="D82" s="234">
        <f t="shared" ref="D82:AU82" si="231">D81-D14</f>
        <v>19.498999999999974</v>
      </c>
      <c r="E82" s="234">
        <f t="shared" si="231"/>
        <v>45.255000000000003</v>
      </c>
      <c r="F82" s="234">
        <f t="shared" si="231"/>
        <v>61.694000000000045</v>
      </c>
      <c r="G82" s="235">
        <f t="shared" si="231"/>
        <v>45.342999999999854</v>
      </c>
      <c r="H82" s="234">
        <f t="shared" si="231"/>
        <v>40.918999999999983</v>
      </c>
      <c r="I82" s="234">
        <f t="shared" si="231"/>
        <v>63.046999999999997</v>
      </c>
      <c r="J82" s="234">
        <f t="shared" si="231"/>
        <v>48.873000000000012</v>
      </c>
      <c r="K82" s="235">
        <f t="shared" si="231"/>
        <v>49.946000000000055</v>
      </c>
      <c r="L82" s="234">
        <f t="shared" si="231"/>
        <v>-31.02699999999998</v>
      </c>
      <c r="M82" s="234">
        <f t="shared" si="231"/>
        <v>70.198000000000022</v>
      </c>
      <c r="N82" s="234">
        <f t="shared" si="231"/>
        <v>39.384000000000086</v>
      </c>
      <c r="O82" s="235">
        <f t="shared" si="231"/>
        <v>-114.06100000000048</v>
      </c>
      <c r="P82" s="234">
        <f t="shared" si="231"/>
        <v>-27.876000000000033</v>
      </c>
      <c r="Q82" s="234">
        <f t="shared" si="231"/>
        <v>-153.08499999999992</v>
      </c>
      <c r="R82" s="234">
        <f t="shared" si="231"/>
        <v>-47.3</v>
      </c>
      <c r="S82" s="235">
        <f t="shared" si="231"/>
        <v>61.171000000000205</v>
      </c>
      <c r="T82" s="234">
        <f t="shared" si="231"/>
        <v>84.967000000000041</v>
      </c>
      <c r="U82" s="234">
        <f t="shared" si="231"/>
        <v>88.725000000000037</v>
      </c>
      <c r="V82" s="234">
        <f t="shared" si="231"/>
        <v>206.10700000000008</v>
      </c>
      <c r="W82" s="235">
        <f t="shared" si="231"/>
        <v>50.510999999999683</v>
      </c>
      <c r="X82" s="234">
        <f t="shared" si="231"/>
        <v>109.46700000000001</v>
      </c>
      <c r="Y82" s="234">
        <f t="shared" si="231"/>
        <v>148.55299999999991</v>
      </c>
      <c r="Z82" s="234">
        <f t="shared" si="231"/>
        <v>161.52799999999993</v>
      </c>
      <c r="AA82" s="235">
        <f t="shared" si="231"/>
        <v>225.55199999999988</v>
      </c>
      <c r="AB82" s="234">
        <f t="shared" si="231"/>
        <v>212.29999999999995</v>
      </c>
      <c r="AC82" s="234">
        <f t="shared" si="231"/>
        <v>265.64600000000002</v>
      </c>
      <c r="AD82" s="234">
        <f t="shared" si="231"/>
        <v>314.37600000000003</v>
      </c>
      <c r="AE82" s="235">
        <f t="shared" si="231"/>
        <v>192.64800000000005</v>
      </c>
      <c r="AF82" s="234">
        <f t="shared" si="231"/>
        <v>132.65100000000001</v>
      </c>
      <c r="AG82" s="234">
        <f t="shared" si="231"/>
        <v>207.83100000000002</v>
      </c>
      <c r="AH82" s="234">
        <f t="shared" si="231"/>
        <v>210.89100000000005</v>
      </c>
      <c r="AI82" s="235">
        <f t="shared" si="231"/>
        <v>11.232999999999958</v>
      </c>
      <c r="AJ82" s="234">
        <f t="shared" si="231"/>
        <v>152.577</v>
      </c>
      <c r="AK82" s="234">
        <f t="shared" si="231"/>
        <v>145.13399999999999</v>
      </c>
      <c r="AL82" s="234">
        <f t="shared" si="231"/>
        <v>86.847000000000008</v>
      </c>
      <c r="AM82" s="235">
        <f t="shared" si="231"/>
        <v>149.01299999999989</v>
      </c>
      <c r="AN82" s="234">
        <f t="shared" si="231"/>
        <v>30.262000000000064</v>
      </c>
      <c r="AO82" s="234">
        <f t="shared" si="231"/>
        <v>26.424000000000042</v>
      </c>
      <c r="AP82" s="234">
        <f t="shared" si="231"/>
        <v>113.39300000000006</v>
      </c>
      <c r="AQ82" s="235">
        <f t="shared" si="231"/>
        <v>49.111000000000061</v>
      </c>
      <c r="AR82" s="234">
        <f t="shared" si="231"/>
        <v>189.03700000000001</v>
      </c>
      <c r="AS82" s="234">
        <f t="shared" si="231"/>
        <v>106.11099999999993</v>
      </c>
      <c r="AT82" s="234">
        <f t="shared" si="231"/>
        <v>143.68899999999996</v>
      </c>
      <c r="AU82" s="235">
        <f t="shared" si="231"/>
        <v>89.822999999999979</v>
      </c>
      <c r="AV82" s="234">
        <f t="shared" ref="AV82:AY82" si="232">AV81-AV14</f>
        <v>18.313000000000052</v>
      </c>
      <c r="AW82" s="234">
        <f t="shared" si="232"/>
        <v>-27.076000000000164</v>
      </c>
      <c r="AX82" s="234">
        <f t="shared" si="232"/>
        <v>26.087999999999941</v>
      </c>
      <c r="AY82" s="235">
        <f t="shared" si="232"/>
        <v>16.992999999999959</v>
      </c>
      <c r="AZ82" s="234">
        <f t="shared" ref="AZ82:BC82" si="233">AZ81-AZ14</f>
        <v>-640.59599999999989</v>
      </c>
      <c r="BA82" s="234">
        <f t="shared" si="233"/>
        <v>9.5769999999999698</v>
      </c>
      <c r="BB82" s="234">
        <f t="shared" si="233"/>
        <v>79.851000000000084</v>
      </c>
      <c r="BC82" s="235">
        <f t="shared" si="233"/>
        <v>34.252999999999872</v>
      </c>
      <c r="BD82" s="234">
        <f t="shared" ref="BD82:BE82" si="234">BD81-BD14</f>
        <v>101.10299999999997</v>
      </c>
      <c r="BE82" s="234">
        <f t="shared" si="234"/>
        <v>74.81</v>
      </c>
      <c r="BF82" s="234">
        <f t="shared" ref="BF82:BI82" si="235">BF81-BF14</f>
        <v>186.70499999999998</v>
      </c>
      <c r="BG82" s="235">
        <f t="shared" si="235"/>
        <v>84.968999999999966</v>
      </c>
      <c r="BH82" s="234">
        <f t="shared" si="235"/>
        <v>155.15560983361797</v>
      </c>
      <c r="BI82" s="234">
        <f t="shared" si="235"/>
        <v>143.06522299706307</v>
      </c>
      <c r="BJ82" s="234">
        <f t="shared" ref="BJ82:BM82" si="236">BJ81-BJ14</f>
        <v>150.42978530810313</v>
      </c>
      <c r="BK82" s="235">
        <f t="shared" si="236"/>
        <v>164.29181040988746</v>
      </c>
      <c r="BL82" s="234">
        <f t="shared" si="236"/>
        <v>179.40140869353229</v>
      </c>
      <c r="BM82" s="234">
        <f t="shared" si="236"/>
        <v>143.03343265047729</v>
      </c>
      <c r="BN82" s="234">
        <f t="shared" ref="BN82:BO82" si="237">BN81-BN14</f>
        <v>156.78758537977797</v>
      </c>
      <c r="BO82" s="235">
        <f t="shared" si="237"/>
        <v>172.14263130159986</v>
      </c>
      <c r="BP82" s="247"/>
      <c r="BQ82" s="234">
        <f t="shared" ref="BQ82:CC82" si="238">BQ81-BQ14</f>
        <v>171.79099999999985</v>
      </c>
      <c r="BR82" s="234">
        <f t="shared" si="238"/>
        <v>202.78500000000003</v>
      </c>
      <c r="BS82" s="234">
        <f t="shared" si="238"/>
        <v>-35.506000000000398</v>
      </c>
      <c r="BT82" s="234">
        <f t="shared" si="238"/>
        <v>-167.0899999999998</v>
      </c>
      <c r="BU82" s="234">
        <f t="shared" si="238"/>
        <v>430.30999999999977</v>
      </c>
      <c r="BV82" s="234">
        <f t="shared" si="238"/>
        <v>645.09999999999968</v>
      </c>
      <c r="BW82" s="234">
        <f t="shared" si="238"/>
        <v>984.9699999999998</v>
      </c>
      <c r="BX82" s="234">
        <f t="shared" si="238"/>
        <v>562.60600000000011</v>
      </c>
      <c r="BY82" s="234">
        <f t="shared" si="238"/>
        <v>533.5709999999998</v>
      </c>
      <c r="BZ82" s="234">
        <f t="shared" si="238"/>
        <v>219.19000000000017</v>
      </c>
      <c r="CA82" s="436">
        <f t="shared" si="238"/>
        <v>528.66</v>
      </c>
      <c r="CB82" s="234">
        <f>CB81-CB14</f>
        <v>34.317999999999756</v>
      </c>
      <c r="CC82" s="234">
        <f t="shared" si="238"/>
        <v>-516.91499999999996</v>
      </c>
      <c r="CD82" s="234">
        <f t="shared" ref="CD82:CE82" si="239">CD81-CD14</f>
        <v>447.58699999999999</v>
      </c>
      <c r="CE82" s="234">
        <f t="shared" si="239"/>
        <v>612.94242854867161</v>
      </c>
      <c r="CF82" s="234">
        <f>CF81-CF14</f>
        <v>651.36505802538738</v>
      </c>
      <c r="CG82" s="712">
        <f t="shared" ref="CG82" si="240">CG81-CG14</f>
        <v>653.43985442398741</v>
      </c>
      <c r="CH82" s="336"/>
    </row>
    <row r="83" spans="2:86" ht="14.25">
      <c r="B83" s="203"/>
      <c r="C83" s="203"/>
      <c r="D83" s="231"/>
      <c r="E83" s="231"/>
      <c r="F83" s="231"/>
      <c r="G83" s="231"/>
      <c r="H83" s="231"/>
      <c r="I83" s="231"/>
      <c r="J83" s="231"/>
      <c r="K83" s="231"/>
      <c r="L83" s="231"/>
      <c r="M83" s="231"/>
      <c r="N83" s="231"/>
      <c r="O83" s="231"/>
      <c r="P83" s="231"/>
      <c r="Q83" s="231"/>
      <c r="R83" s="231"/>
      <c r="S83" s="231"/>
      <c r="T83" s="231"/>
      <c r="U83" s="231"/>
      <c r="V83" s="231"/>
      <c r="W83" s="231"/>
      <c r="X83" s="231"/>
      <c r="Y83" s="231"/>
      <c r="Z83" s="231"/>
      <c r="AA83" s="231"/>
      <c r="AB83" s="231"/>
      <c r="AC83" s="231"/>
      <c r="AD83" s="231"/>
      <c r="AE83" s="231"/>
      <c r="AF83" s="231"/>
      <c r="AG83" s="231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CA83" s="338"/>
      <c r="CB83" s="338"/>
      <c r="CC83" s="338"/>
      <c r="CD83" s="338"/>
      <c r="CE83" s="338"/>
      <c r="CF83" s="338"/>
    </row>
    <row r="84" spans="2:86" ht="14.25">
      <c r="B84" s="203"/>
      <c r="C84" s="203"/>
      <c r="D84" s="231"/>
      <c r="E84" s="231"/>
      <c r="F84" s="231"/>
      <c r="G84" s="231"/>
      <c r="H84" s="231"/>
      <c r="I84" s="231"/>
      <c r="J84" s="231"/>
      <c r="K84" s="231"/>
      <c r="L84" s="231"/>
      <c r="M84" s="231"/>
      <c r="N84" s="231"/>
      <c r="O84" s="231"/>
      <c r="P84" s="231"/>
      <c r="Q84" s="231"/>
      <c r="R84" s="231"/>
      <c r="S84" s="231"/>
      <c r="T84" s="231"/>
      <c r="U84" s="231"/>
      <c r="V84" s="231"/>
      <c r="W84" s="231"/>
      <c r="X84" s="231"/>
      <c r="Y84" s="231"/>
      <c r="Z84" s="231"/>
      <c r="AA84" s="231"/>
      <c r="AB84" s="231"/>
      <c r="AC84" s="231"/>
      <c r="AD84" s="231"/>
      <c r="AE84" s="231"/>
      <c r="AF84" s="231"/>
      <c r="AG84" s="231"/>
      <c r="AH84" s="231"/>
      <c r="AI84" s="231"/>
      <c r="AJ84" s="231"/>
      <c r="AK84" s="231"/>
      <c r="AL84" s="231"/>
      <c r="AM84" s="231"/>
      <c r="AN84" s="231"/>
      <c r="AO84" s="231"/>
      <c r="AP84" s="231"/>
      <c r="AQ84" s="231"/>
      <c r="AR84" s="231"/>
      <c r="AS84" s="231"/>
      <c r="AT84" s="231"/>
      <c r="AU84" s="231"/>
      <c r="AV84" s="231"/>
      <c r="AW84" s="231"/>
      <c r="AX84" s="231"/>
      <c r="AY84" s="231"/>
      <c r="AZ84" s="231"/>
      <c r="BA84" s="231"/>
      <c r="BB84" s="231"/>
      <c r="BC84" s="231"/>
      <c r="BD84" s="231"/>
      <c r="BE84" s="231"/>
      <c r="BF84" s="231"/>
      <c r="BG84" s="231"/>
      <c r="BH84" s="231"/>
      <c r="BI84" s="231"/>
      <c r="BJ84" s="231"/>
      <c r="BK84" s="231"/>
      <c r="BL84" s="231"/>
      <c r="BM84" s="231"/>
      <c r="BN84" s="231"/>
      <c r="BO84" s="231"/>
      <c r="CA84" s="338"/>
      <c r="CB84" s="338"/>
      <c r="CC84" s="338"/>
      <c r="CE84" s="338"/>
      <c r="CF84" s="338"/>
    </row>
    <row r="85" spans="2:86" ht="14.25">
      <c r="B85" s="203"/>
      <c r="C85" s="203"/>
      <c r="D85" s="231"/>
      <c r="E85" s="231"/>
      <c r="F85" s="231"/>
      <c r="G85" s="231"/>
      <c r="H85" s="231"/>
      <c r="I85" s="231"/>
      <c r="J85" s="231"/>
      <c r="K85" s="231"/>
      <c r="L85" s="231"/>
      <c r="M85" s="231"/>
      <c r="N85" s="231"/>
      <c r="O85" s="231"/>
      <c r="P85" s="231"/>
      <c r="Q85" s="231"/>
      <c r="R85" s="231"/>
      <c r="S85" s="231"/>
      <c r="T85" s="231"/>
      <c r="U85" s="231"/>
      <c r="V85" s="231"/>
      <c r="W85" s="231"/>
      <c r="X85" s="231"/>
      <c r="Y85" s="231"/>
      <c r="Z85" s="231"/>
      <c r="AA85" s="231"/>
      <c r="AB85" s="231"/>
      <c r="AC85" s="231"/>
      <c r="AD85" s="231"/>
      <c r="AE85" s="231"/>
      <c r="AF85" s="231"/>
      <c r="AG85" s="231"/>
      <c r="AH85" s="231"/>
      <c r="AI85" s="231"/>
      <c r="AJ85" s="231"/>
      <c r="AK85" s="231"/>
      <c r="AL85" s="231"/>
      <c r="AM85" s="231"/>
      <c r="AN85" s="231"/>
      <c r="AO85" s="231"/>
      <c r="AP85" s="231"/>
      <c r="AQ85" s="231"/>
      <c r="AR85" s="231"/>
      <c r="AS85" s="231"/>
      <c r="AT85" s="231"/>
      <c r="AU85" s="231"/>
      <c r="AV85" s="231"/>
      <c r="AW85" s="231"/>
      <c r="AX85" s="231"/>
      <c r="AY85" s="231"/>
      <c r="AZ85" s="231"/>
      <c r="BA85" s="231"/>
      <c r="BB85" s="231"/>
      <c r="BC85" s="231"/>
      <c r="BD85" s="231"/>
      <c r="BE85" s="231"/>
      <c r="BF85" s="231"/>
      <c r="BG85" s="231"/>
      <c r="BH85" s="231"/>
      <c r="BI85" s="231"/>
      <c r="BJ85" s="231"/>
      <c r="BK85" s="231"/>
      <c r="BL85" s="231"/>
      <c r="BM85" s="231"/>
      <c r="BN85" s="231"/>
      <c r="BO85" s="231"/>
      <c r="CA85" s="338"/>
      <c r="CB85" s="338"/>
      <c r="CC85" s="338"/>
      <c r="CE85" s="338"/>
      <c r="CF85" s="338"/>
    </row>
    <row r="86" spans="2:86" ht="14.25">
      <c r="B86" s="203"/>
      <c r="C86" s="203"/>
      <c r="D86" s="231"/>
      <c r="E86" s="231"/>
      <c r="F86" s="231"/>
      <c r="G86" s="231"/>
      <c r="H86" s="231"/>
      <c r="I86" s="231"/>
      <c r="J86" s="231"/>
      <c r="K86" s="231"/>
      <c r="L86" s="231"/>
      <c r="M86" s="231"/>
      <c r="N86" s="231"/>
      <c r="O86" s="231"/>
      <c r="P86" s="231"/>
      <c r="Q86" s="231"/>
      <c r="R86" s="231"/>
      <c r="S86" s="231"/>
      <c r="T86" s="231"/>
      <c r="U86" s="231"/>
      <c r="V86" s="231"/>
      <c r="W86" s="231"/>
      <c r="X86" s="231"/>
      <c r="Y86" s="231"/>
      <c r="Z86" s="231"/>
      <c r="AA86" s="231"/>
      <c r="AB86" s="231"/>
      <c r="AC86" s="231"/>
      <c r="AD86" s="231"/>
      <c r="AE86" s="231"/>
      <c r="AF86" s="231"/>
      <c r="AG86" s="231"/>
      <c r="AH86" s="231"/>
      <c r="AI86" s="231"/>
      <c r="AJ86" s="231"/>
      <c r="AK86" s="231"/>
      <c r="AL86" s="231"/>
      <c r="AM86" s="231"/>
      <c r="AN86" s="231"/>
      <c r="AO86" s="231"/>
      <c r="AP86" s="231"/>
      <c r="AQ86" s="231"/>
      <c r="AR86" s="231"/>
      <c r="AS86" s="231"/>
      <c r="AT86" s="231"/>
      <c r="AU86" s="231"/>
      <c r="AV86" s="231"/>
      <c r="AW86" s="231"/>
      <c r="AX86" s="231"/>
      <c r="AY86" s="231"/>
      <c r="AZ86" s="231"/>
      <c r="BA86" s="231"/>
      <c r="BB86" s="231"/>
      <c r="BC86" s="231"/>
      <c r="BD86" s="231"/>
      <c r="BE86" s="231"/>
      <c r="BF86" s="231"/>
      <c r="BG86" s="231"/>
      <c r="BH86" s="231"/>
      <c r="BI86" s="231"/>
      <c r="BJ86" s="231"/>
      <c r="BK86" s="231"/>
      <c r="BL86" s="231"/>
      <c r="BM86" s="231"/>
      <c r="BN86" s="231"/>
      <c r="BO86" s="231"/>
      <c r="CA86" s="338"/>
      <c r="CB86" s="338"/>
      <c r="CC86" s="338"/>
      <c r="CE86" s="338"/>
      <c r="CF86" s="338"/>
    </row>
    <row r="87" spans="2:86" ht="14.25">
      <c r="B87" s="203"/>
      <c r="C87" s="203"/>
      <c r="D87" s="231"/>
      <c r="E87" s="231"/>
      <c r="F87" s="231"/>
      <c r="G87" s="231"/>
      <c r="H87" s="231"/>
      <c r="I87" s="231"/>
      <c r="J87" s="231"/>
      <c r="K87" s="231"/>
      <c r="L87" s="231"/>
      <c r="M87" s="231"/>
      <c r="N87" s="231"/>
      <c r="O87" s="231"/>
      <c r="P87" s="231"/>
      <c r="Q87" s="231"/>
      <c r="R87" s="231"/>
      <c r="S87" s="231"/>
      <c r="T87" s="231"/>
      <c r="U87" s="231"/>
      <c r="V87" s="231"/>
      <c r="W87" s="231"/>
      <c r="X87" s="231"/>
      <c r="Y87" s="231"/>
      <c r="Z87" s="231"/>
      <c r="AA87" s="231"/>
      <c r="AB87" s="231"/>
      <c r="AC87" s="231"/>
      <c r="AD87" s="231"/>
      <c r="AE87" s="231"/>
      <c r="AF87" s="231"/>
      <c r="AG87" s="231"/>
      <c r="AH87" s="231"/>
      <c r="AI87" s="231"/>
      <c r="AJ87" s="231"/>
      <c r="AK87" s="231"/>
      <c r="AL87" s="231"/>
      <c r="AM87" s="231"/>
      <c r="AN87" s="231"/>
      <c r="AO87" s="231"/>
      <c r="AP87" s="231"/>
      <c r="AQ87" s="231"/>
      <c r="AR87" s="231"/>
      <c r="AS87" s="231"/>
      <c r="AT87" s="231"/>
      <c r="AU87" s="231"/>
      <c r="AV87" s="231"/>
      <c r="AW87" s="231"/>
      <c r="AX87" s="231"/>
      <c r="AY87" s="231"/>
      <c r="AZ87" s="231"/>
      <c r="BA87" s="231"/>
      <c r="BB87" s="231"/>
      <c r="BC87" s="231"/>
      <c r="BD87" s="231"/>
      <c r="BE87" s="231"/>
      <c r="BF87" s="231"/>
      <c r="BG87" s="231"/>
      <c r="BH87" s="231"/>
      <c r="BI87" s="231"/>
      <c r="BJ87" s="231"/>
      <c r="BK87" s="231"/>
      <c r="BL87" s="231"/>
      <c r="BM87" s="231"/>
      <c r="BN87" s="231"/>
      <c r="BO87" s="231"/>
      <c r="CA87" s="338"/>
      <c r="CB87" s="338"/>
      <c r="CC87" s="338"/>
      <c r="CE87" s="338"/>
      <c r="CF87" s="338"/>
    </row>
    <row r="88" spans="2:86" ht="14.25">
      <c r="B88" s="203"/>
      <c r="C88" s="203"/>
      <c r="D88" s="231"/>
      <c r="E88" s="231"/>
      <c r="F88" s="231"/>
      <c r="G88" s="231"/>
      <c r="H88" s="231"/>
      <c r="I88" s="231"/>
      <c r="J88" s="231"/>
      <c r="K88" s="231"/>
      <c r="L88" s="231"/>
      <c r="M88" s="231"/>
      <c r="N88" s="231"/>
      <c r="O88" s="231"/>
      <c r="P88" s="231"/>
      <c r="Q88" s="231"/>
      <c r="R88" s="231"/>
      <c r="S88" s="231"/>
      <c r="T88" s="231"/>
      <c r="U88" s="231"/>
      <c r="V88" s="231"/>
      <c r="W88" s="231"/>
      <c r="X88" s="231"/>
      <c r="Y88" s="231"/>
      <c r="Z88" s="231"/>
      <c r="AA88" s="231"/>
      <c r="AB88" s="231"/>
      <c r="AC88" s="231"/>
      <c r="AD88" s="231"/>
      <c r="AE88" s="231"/>
      <c r="AF88" s="231"/>
      <c r="AG88" s="231"/>
      <c r="AH88" s="231"/>
      <c r="AI88" s="231"/>
      <c r="AJ88" s="231"/>
      <c r="AK88" s="231"/>
      <c r="AL88" s="231"/>
      <c r="AM88" s="231"/>
      <c r="AN88" s="231"/>
      <c r="AO88" s="231"/>
      <c r="AP88" s="231"/>
      <c r="AQ88" s="231"/>
      <c r="AR88" s="231"/>
      <c r="AS88" s="231"/>
      <c r="AT88" s="231"/>
      <c r="AU88" s="231"/>
      <c r="AV88" s="231"/>
      <c r="AW88" s="231"/>
      <c r="AX88" s="231"/>
      <c r="AY88" s="231"/>
      <c r="AZ88" s="231"/>
      <c r="BA88" s="231"/>
      <c r="BB88" s="231"/>
      <c r="BC88" s="231"/>
      <c r="BD88" s="231"/>
      <c r="BE88" s="231"/>
      <c r="BF88" s="231"/>
      <c r="BG88" s="231"/>
      <c r="BH88" s="231"/>
      <c r="BI88" s="231"/>
      <c r="BJ88" s="231"/>
      <c r="BK88" s="231"/>
      <c r="BL88" s="231"/>
      <c r="BM88" s="231"/>
      <c r="BN88" s="231"/>
      <c r="BO88" s="231"/>
      <c r="CA88" s="338"/>
      <c r="CB88" s="338"/>
      <c r="CC88" s="338"/>
      <c r="CE88" s="338"/>
      <c r="CF88" s="338"/>
    </row>
    <row r="89" spans="2:86" ht="14.25">
      <c r="B89" s="203"/>
      <c r="C89" s="203"/>
      <c r="D89" s="231"/>
      <c r="E89" s="231"/>
      <c r="F89" s="231"/>
      <c r="G89" s="231"/>
      <c r="H89" s="231"/>
      <c r="I89" s="231"/>
      <c r="J89" s="231"/>
      <c r="K89" s="231"/>
      <c r="L89" s="231"/>
      <c r="M89" s="231"/>
      <c r="N89" s="231"/>
      <c r="O89" s="231"/>
      <c r="P89" s="231"/>
      <c r="Q89" s="231"/>
      <c r="R89" s="231"/>
      <c r="S89" s="231"/>
      <c r="T89" s="231"/>
      <c r="U89" s="231"/>
      <c r="V89" s="231"/>
      <c r="W89" s="231"/>
      <c r="X89" s="231"/>
      <c r="Y89" s="231"/>
      <c r="Z89" s="231"/>
      <c r="AA89" s="231"/>
      <c r="AB89" s="231"/>
      <c r="AC89" s="231"/>
      <c r="AD89" s="231"/>
      <c r="AE89" s="231"/>
      <c r="AF89" s="231"/>
      <c r="AG89" s="231"/>
      <c r="AH89" s="231"/>
      <c r="AI89" s="231"/>
      <c r="AJ89" s="231"/>
      <c r="AK89" s="231"/>
      <c r="AL89" s="231"/>
      <c r="AM89" s="231"/>
      <c r="AN89" s="231"/>
      <c r="AO89" s="231"/>
      <c r="AP89" s="231"/>
      <c r="AQ89" s="231"/>
      <c r="AR89" s="231"/>
      <c r="AS89" s="231"/>
      <c r="AT89" s="231"/>
      <c r="AU89" s="231"/>
      <c r="AV89" s="231"/>
      <c r="AW89" s="231"/>
      <c r="AX89" s="231"/>
      <c r="AY89" s="231"/>
      <c r="AZ89" s="231"/>
      <c r="BA89" s="231"/>
      <c r="BB89" s="231"/>
      <c r="BC89" s="231"/>
      <c r="BD89" s="231"/>
      <c r="BE89" s="231"/>
      <c r="BF89" s="231"/>
      <c r="BG89" s="231"/>
      <c r="BH89" s="231"/>
      <c r="BI89" s="231"/>
      <c r="BJ89" s="231"/>
      <c r="BK89" s="231"/>
      <c r="BL89" s="231"/>
      <c r="BM89" s="231"/>
      <c r="BN89" s="231"/>
      <c r="BO89" s="231"/>
      <c r="CA89" s="338"/>
      <c r="CB89" s="338"/>
      <c r="CC89" s="338"/>
      <c r="CE89" s="338"/>
      <c r="CF89" s="338"/>
    </row>
    <row r="90" spans="2:86" ht="14.25">
      <c r="B90" s="203"/>
      <c r="C90" s="203"/>
      <c r="D90" s="231"/>
      <c r="E90" s="231"/>
      <c r="F90" s="231"/>
      <c r="G90" s="231"/>
      <c r="H90" s="231"/>
      <c r="I90" s="231"/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  <c r="U90" s="231"/>
      <c r="V90" s="231"/>
      <c r="W90" s="231"/>
      <c r="X90" s="231"/>
      <c r="Y90" s="231"/>
      <c r="Z90" s="231"/>
      <c r="AA90" s="231"/>
      <c r="AB90" s="231"/>
      <c r="AC90" s="231"/>
      <c r="AD90" s="231"/>
      <c r="AE90" s="231"/>
      <c r="AF90" s="231"/>
      <c r="AG90" s="231"/>
      <c r="AH90" s="231"/>
      <c r="AI90" s="231"/>
      <c r="AJ90" s="231"/>
      <c r="AK90" s="231"/>
      <c r="AL90" s="231"/>
      <c r="AM90" s="231"/>
      <c r="AN90" s="231"/>
      <c r="AO90" s="231"/>
      <c r="AP90" s="231"/>
      <c r="AQ90" s="231"/>
      <c r="AR90" s="231"/>
      <c r="AS90" s="231"/>
      <c r="AT90" s="231"/>
      <c r="AU90" s="231"/>
      <c r="AV90" s="231"/>
      <c r="AW90" s="231"/>
      <c r="AX90" s="231"/>
      <c r="AY90" s="231"/>
      <c r="AZ90" s="231"/>
      <c r="BA90" s="231"/>
      <c r="BB90" s="231"/>
      <c r="BC90" s="231"/>
      <c r="BD90" s="231"/>
      <c r="BE90" s="231"/>
      <c r="BF90" s="231"/>
      <c r="BG90" s="231"/>
      <c r="BH90" s="231"/>
      <c r="BI90" s="231"/>
      <c r="BJ90" s="231"/>
      <c r="BK90" s="231"/>
      <c r="BL90" s="231"/>
      <c r="BM90" s="231"/>
      <c r="BN90" s="231"/>
      <c r="BO90" s="231"/>
      <c r="CA90" s="338"/>
      <c r="CB90" s="338"/>
      <c r="CC90" s="338"/>
      <c r="CE90" s="338"/>
      <c r="CF90" s="338"/>
    </row>
    <row r="91" spans="2:86" ht="14.25">
      <c r="B91" s="203"/>
      <c r="C91" s="203"/>
      <c r="D91" s="231"/>
      <c r="E91" s="231"/>
      <c r="F91" s="231"/>
      <c r="G91" s="231"/>
      <c r="H91" s="231"/>
      <c r="I91" s="231"/>
      <c r="J91" s="231"/>
      <c r="K91" s="231"/>
      <c r="L91" s="231"/>
      <c r="M91" s="231"/>
      <c r="N91" s="231"/>
      <c r="O91" s="231"/>
      <c r="P91" s="231"/>
      <c r="Q91" s="231"/>
      <c r="R91" s="231"/>
      <c r="S91" s="231"/>
      <c r="T91" s="231"/>
      <c r="U91" s="231"/>
      <c r="V91" s="231"/>
      <c r="W91" s="231"/>
      <c r="X91" s="231"/>
      <c r="Y91" s="231"/>
      <c r="Z91" s="231"/>
      <c r="AA91" s="231"/>
      <c r="AB91" s="231"/>
      <c r="AC91" s="231"/>
      <c r="AD91" s="231"/>
      <c r="AE91" s="231"/>
      <c r="AF91" s="231"/>
      <c r="AG91" s="231"/>
      <c r="AH91" s="231"/>
      <c r="AI91" s="231"/>
      <c r="AJ91" s="231"/>
      <c r="AK91" s="231"/>
      <c r="AL91" s="231"/>
      <c r="AM91" s="231"/>
      <c r="AN91" s="231"/>
      <c r="AO91" s="231"/>
      <c r="AP91" s="231"/>
      <c r="AQ91" s="231"/>
      <c r="AR91" s="231"/>
      <c r="AS91" s="231"/>
      <c r="AT91" s="231"/>
      <c r="AU91" s="231"/>
      <c r="AV91" s="231"/>
      <c r="AW91" s="231"/>
      <c r="AX91" s="231"/>
      <c r="AY91" s="231"/>
      <c r="AZ91" s="231"/>
      <c r="BA91" s="231"/>
      <c r="BB91" s="231"/>
      <c r="BC91" s="231"/>
      <c r="BD91" s="231"/>
      <c r="BE91" s="231"/>
      <c r="BF91" s="231"/>
      <c r="BG91" s="231"/>
      <c r="BH91" s="231"/>
      <c r="BI91" s="231"/>
      <c r="BJ91" s="231"/>
      <c r="BK91" s="231"/>
      <c r="BL91" s="231"/>
      <c r="BM91" s="231"/>
      <c r="BN91" s="231"/>
      <c r="BO91" s="231"/>
      <c r="CA91" s="338"/>
      <c r="CB91" s="338"/>
      <c r="CC91" s="338"/>
      <c r="CE91" s="338"/>
      <c r="CF91" s="338"/>
    </row>
    <row r="92" spans="2:86" ht="14.25">
      <c r="B92" s="203"/>
      <c r="C92" s="203"/>
      <c r="D92" s="231"/>
      <c r="E92" s="231"/>
      <c r="F92" s="231"/>
      <c r="G92" s="231"/>
      <c r="H92" s="231"/>
      <c r="I92" s="231"/>
      <c r="J92" s="231"/>
      <c r="K92" s="231"/>
      <c r="L92" s="231"/>
      <c r="M92" s="231"/>
      <c r="N92" s="231"/>
      <c r="O92" s="231"/>
      <c r="P92" s="231"/>
      <c r="Q92" s="231"/>
      <c r="R92" s="231"/>
      <c r="S92" s="231"/>
      <c r="T92" s="231"/>
      <c r="U92" s="231"/>
      <c r="V92" s="231"/>
      <c r="W92" s="231"/>
      <c r="X92" s="231"/>
      <c r="Y92" s="231"/>
      <c r="Z92" s="231"/>
      <c r="AA92" s="231"/>
      <c r="AB92" s="231"/>
      <c r="AC92" s="231"/>
      <c r="AD92" s="231"/>
      <c r="AE92" s="231"/>
      <c r="AF92" s="231"/>
      <c r="AG92" s="231"/>
      <c r="AH92" s="231"/>
      <c r="AI92" s="231"/>
      <c r="AJ92" s="231"/>
      <c r="AK92" s="231"/>
      <c r="AL92" s="231"/>
      <c r="AM92" s="231"/>
      <c r="AN92" s="231"/>
      <c r="AO92" s="231"/>
      <c r="AP92" s="231"/>
      <c r="AQ92" s="231"/>
      <c r="AR92" s="231"/>
      <c r="AS92" s="231"/>
      <c r="AT92" s="231"/>
      <c r="AU92" s="231"/>
      <c r="AV92" s="231"/>
      <c r="AW92" s="231"/>
      <c r="AX92" s="231"/>
      <c r="AY92" s="231"/>
      <c r="AZ92" s="231"/>
      <c r="BA92" s="231"/>
      <c r="BB92" s="231"/>
      <c r="BC92" s="231"/>
      <c r="BD92" s="231"/>
      <c r="BE92" s="231"/>
      <c r="BF92" s="231"/>
      <c r="BG92" s="231"/>
      <c r="BH92" s="231"/>
      <c r="BI92" s="231"/>
      <c r="BJ92" s="231"/>
      <c r="BK92" s="231"/>
      <c r="BL92" s="231"/>
      <c r="BM92" s="231"/>
      <c r="BN92" s="231"/>
      <c r="BO92" s="231"/>
      <c r="CA92" s="338"/>
      <c r="CB92" s="338"/>
      <c r="CC92" s="338"/>
      <c r="CE92" s="338"/>
      <c r="CF92" s="338"/>
    </row>
    <row r="93" spans="2:86" ht="14.25">
      <c r="B93" s="203"/>
      <c r="C93" s="203"/>
      <c r="D93" s="231"/>
      <c r="E93" s="231"/>
      <c r="F93" s="231"/>
      <c r="G93" s="231"/>
      <c r="H93" s="231"/>
      <c r="I93" s="231"/>
      <c r="J93" s="231"/>
      <c r="K93" s="231"/>
      <c r="L93" s="231"/>
      <c r="M93" s="231"/>
      <c r="N93" s="231"/>
      <c r="O93" s="231"/>
      <c r="P93" s="231"/>
      <c r="Q93" s="231"/>
      <c r="R93" s="231"/>
      <c r="S93" s="231"/>
      <c r="T93" s="231"/>
      <c r="U93" s="231"/>
      <c r="V93" s="231"/>
      <c r="W93" s="231"/>
      <c r="X93" s="231"/>
      <c r="Y93" s="231"/>
      <c r="Z93" s="231"/>
      <c r="AA93" s="231"/>
      <c r="AB93" s="231"/>
      <c r="AC93" s="231"/>
      <c r="AD93" s="231"/>
      <c r="AE93" s="231"/>
      <c r="AF93" s="231"/>
      <c r="AG93" s="231"/>
      <c r="AH93" s="231"/>
      <c r="AI93" s="231"/>
      <c r="AJ93" s="231"/>
      <c r="AK93" s="231"/>
      <c r="AL93" s="231"/>
      <c r="AM93" s="231"/>
      <c r="AN93" s="231"/>
      <c r="AO93" s="231"/>
      <c r="AP93" s="231"/>
      <c r="AQ93" s="231"/>
      <c r="AR93" s="231"/>
      <c r="AS93" s="231"/>
      <c r="AT93" s="231"/>
      <c r="AU93" s="231"/>
      <c r="AV93" s="231"/>
      <c r="AW93" s="231"/>
      <c r="AX93" s="231"/>
      <c r="AY93" s="231"/>
      <c r="AZ93" s="231"/>
      <c r="BA93" s="231"/>
      <c r="BB93" s="231"/>
      <c r="BC93" s="231"/>
      <c r="BD93" s="231"/>
      <c r="BE93" s="231"/>
      <c r="BF93" s="231"/>
      <c r="BG93" s="231"/>
      <c r="BH93" s="231"/>
      <c r="BI93" s="231"/>
      <c r="BJ93" s="231"/>
      <c r="BK93" s="231"/>
      <c r="BL93" s="231"/>
      <c r="BM93" s="231"/>
      <c r="BN93" s="231"/>
      <c r="BO93" s="231"/>
      <c r="CA93" s="338"/>
      <c r="CB93" s="338"/>
      <c r="CC93" s="338"/>
      <c r="CE93" s="338"/>
      <c r="CF93" s="338"/>
    </row>
    <row r="94" spans="2:86" ht="14.25">
      <c r="B94" s="203"/>
      <c r="C94" s="203"/>
      <c r="D94" s="231"/>
      <c r="E94" s="231"/>
      <c r="F94" s="231"/>
      <c r="G94" s="231"/>
      <c r="H94" s="231"/>
      <c r="I94" s="231"/>
      <c r="J94" s="231"/>
      <c r="K94" s="231"/>
      <c r="L94" s="231"/>
      <c r="M94" s="231"/>
      <c r="N94" s="231"/>
      <c r="O94" s="231"/>
      <c r="P94" s="231"/>
      <c r="Q94" s="231"/>
      <c r="R94" s="231"/>
      <c r="S94" s="231"/>
      <c r="T94" s="231"/>
      <c r="U94" s="231"/>
      <c r="V94" s="231"/>
      <c r="W94" s="231"/>
      <c r="X94" s="231"/>
      <c r="Y94" s="231"/>
      <c r="Z94" s="231"/>
      <c r="AA94" s="231"/>
      <c r="AB94" s="231"/>
      <c r="AC94" s="231"/>
      <c r="AD94" s="231"/>
      <c r="AE94" s="231"/>
      <c r="AF94" s="231"/>
      <c r="AG94" s="231"/>
      <c r="AH94" s="231"/>
      <c r="AI94" s="231"/>
      <c r="AJ94" s="231"/>
      <c r="AK94" s="231"/>
      <c r="AL94" s="231"/>
      <c r="AM94" s="231"/>
      <c r="AN94" s="231"/>
      <c r="AO94" s="231"/>
      <c r="AP94" s="231"/>
      <c r="AQ94" s="231"/>
      <c r="AR94" s="231"/>
      <c r="AS94" s="231"/>
      <c r="AT94" s="231"/>
      <c r="AU94" s="231"/>
      <c r="AV94" s="231"/>
      <c r="AW94" s="231"/>
      <c r="AX94" s="231"/>
      <c r="AY94" s="231"/>
      <c r="AZ94" s="231"/>
      <c r="BA94" s="231"/>
      <c r="BB94" s="231"/>
      <c r="BC94" s="231"/>
      <c r="BD94" s="231"/>
      <c r="BE94" s="231"/>
      <c r="BF94" s="231"/>
      <c r="BG94" s="231"/>
      <c r="BH94" s="231"/>
      <c r="BI94" s="231"/>
      <c r="BJ94" s="231"/>
      <c r="BK94" s="231"/>
      <c r="BL94" s="231"/>
      <c r="BM94" s="231"/>
      <c r="BN94" s="231"/>
      <c r="BO94" s="231"/>
      <c r="CA94" s="338"/>
      <c r="CB94" s="338"/>
      <c r="CC94" s="338"/>
      <c r="CE94" s="338"/>
      <c r="CF94" s="338"/>
    </row>
    <row r="95" spans="2:86" ht="14.25">
      <c r="B95" s="203"/>
      <c r="C95" s="203"/>
      <c r="D95" s="231"/>
      <c r="E95" s="231"/>
      <c r="F95" s="231"/>
      <c r="G95" s="231"/>
      <c r="H95" s="231"/>
      <c r="I95" s="231"/>
      <c r="J95" s="231"/>
      <c r="K95" s="231"/>
      <c r="L95" s="231"/>
      <c r="M95" s="231"/>
      <c r="N95" s="231"/>
      <c r="O95" s="231"/>
      <c r="P95" s="231"/>
      <c r="Q95" s="231"/>
      <c r="R95" s="231"/>
      <c r="S95" s="231"/>
      <c r="T95" s="231"/>
      <c r="U95" s="231"/>
      <c r="V95" s="231"/>
      <c r="W95" s="231"/>
      <c r="X95" s="231"/>
      <c r="Y95" s="231"/>
      <c r="Z95" s="231"/>
      <c r="AA95" s="231"/>
      <c r="AB95" s="231"/>
      <c r="AC95" s="231"/>
      <c r="AD95" s="231"/>
      <c r="AE95" s="231"/>
      <c r="AF95" s="231"/>
      <c r="AG95" s="231"/>
      <c r="AH95" s="231"/>
      <c r="AI95" s="231"/>
      <c r="AJ95" s="231"/>
      <c r="AK95" s="231"/>
      <c r="AL95" s="231"/>
      <c r="AM95" s="231"/>
      <c r="AN95" s="231"/>
      <c r="AO95" s="231"/>
      <c r="AP95" s="231"/>
      <c r="AQ95" s="231"/>
      <c r="AR95" s="231"/>
      <c r="AS95" s="231"/>
      <c r="AT95" s="231"/>
      <c r="AU95" s="231"/>
      <c r="AV95" s="231"/>
      <c r="AW95" s="231"/>
      <c r="AX95" s="231"/>
      <c r="AY95" s="231"/>
      <c r="AZ95" s="231"/>
      <c r="BA95" s="231"/>
      <c r="BB95" s="231"/>
      <c r="BC95" s="231"/>
      <c r="BD95" s="231"/>
      <c r="BE95" s="231"/>
      <c r="BF95" s="231"/>
      <c r="BG95" s="231"/>
      <c r="BH95" s="231"/>
      <c r="BI95" s="231"/>
      <c r="BJ95" s="231"/>
      <c r="BK95" s="231"/>
      <c r="BL95" s="231"/>
      <c r="BM95" s="231"/>
      <c r="BN95" s="231"/>
      <c r="BO95" s="231"/>
      <c r="CA95" s="338"/>
      <c r="CB95" s="338"/>
      <c r="CC95" s="338"/>
      <c r="CE95" s="338"/>
      <c r="CF95" s="338"/>
    </row>
    <row r="96" spans="2:86" ht="14.25">
      <c r="B96" s="203"/>
      <c r="C96" s="203"/>
      <c r="D96" s="231"/>
      <c r="E96" s="231"/>
      <c r="F96" s="231"/>
      <c r="G96" s="231"/>
      <c r="H96" s="231"/>
      <c r="I96" s="231"/>
      <c r="J96" s="231"/>
      <c r="K96" s="231"/>
      <c r="L96" s="231"/>
      <c r="M96" s="231"/>
      <c r="N96" s="231"/>
      <c r="O96" s="231"/>
      <c r="P96" s="231"/>
      <c r="Q96" s="231"/>
      <c r="R96" s="231"/>
      <c r="S96" s="231"/>
      <c r="T96" s="231"/>
      <c r="U96" s="231"/>
      <c r="V96" s="231"/>
      <c r="W96" s="231"/>
      <c r="X96" s="231"/>
      <c r="Y96" s="231"/>
      <c r="Z96" s="231"/>
      <c r="AA96" s="231"/>
      <c r="AB96" s="231"/>
      <c r="AC96" s="231"/>
      <c r="AD96" s="231"/>
      <c r="AE96" s="231"/>
      <c r="AF96" s="231"/>
      <c r="AG96" s="231"/>
      <c r="AH96" s="231"/>
      <c r="AI96" s="231"/>
      <c r="AJ96" s="231"/>
      <c r="AK96" s="231"/>
      <c r="AL96" s="231"/>
      <c r="AM96" s="231"/>
      <c r="AN96" s="231"/>
      <c r="AO96" s="231"/>
      <c r="AP96" s="231"/>
      <c r="AQ96" s="231"/>
      <c r="AR96" s="231"/>
      <c r="AS96" s="231"/>
      <c r="AT96" s="231"/>
      <c r="AU96" s="231"/>
      <c r="AV96" s="231"/>
      <c r="AW96" s="231"/>
      <c r="AX96" s="231"/>
      <c r="AY96" s="231"/>
      <c r="AZ96" s="231"/>
      <c r="BA96" s="231"/>
      <c r="BB96" s="231"/>
      <c r="BC96" s="231"/>
      <c r="BD96" s="231"/>
      <c r="BE96" s="231"/>
      <c r="BF96" s="231"/>
      <c r="BG96" s="231"/>
      <c r="BH96" s="231"/>
      <c r="BI96" s="231"/>
      <c r="BJ96" s="231"/>
      <c r="BK96" s="231"/>
      <c r="BL96" s="231"/>
      <c r="BM96" s="231"/>
      <c r="BN96" s="231"/>
      <c r="BO96" s="231"/>
      <c r="CA96" s="338"/>
      <c r="CB96" s="338"/>
      <c r="CC96" s="338"/>
      <c r="CE96" s="338"/>
      <c r="CF96" s="338"/>
    </row>
    <row r="97" spans="2:84" ht="14.25">
      <c r="B97" s="203"/>
      <c r="C97" s="203"/>
      <c r="D97" s="231"/>
      <c r="E97" s="231"/>
      <c r="F97" s="231"/>
      <c r="G97" s="231"/>
      <c r="H97" s="231"/>
      <c r="I97" s="231"/>
      <c r="J97" s="231"/>
      <c r="K97" s="231"/>
      <c r="L97" s="231"/>
      <c r="M97" s="231"/>
      <c r="N97" s="231"/>
      <c r="O97" s="231"/>
      <c r="P97" s="231"/>
      <c r="Q97" s="231"/>
      <c r="R97" s="231"/>
      <c r="S97" s="231"/>
      <c r="T97" s="231"/>
      <c r="U97" s="231"/>
      <c r="V97" s="231"/>
      <c r="W97" s="231"/>
      <c r="X97" s="231"/>
      <c r="Y97" s="231"/>
      <c r="Z97" s="231"/>
      <c r="AA97" s="231"/>
      <c r="AB97" s="231"/>
      <c r="AC97" s="231"/>
      <c r="AD97" s="231"/>
      <c r="AE97" s="231"/>
      <c r="AF97" s="231"/>
      <c r="AG97" s="231"/>
      <c r="AH97" s="231"/>
      <c r="AI97" s="231"/>
      <c r="AJ97" s="231"/>
      <c r="AK97" s="231"/>
      <c r="AL97" s="231"/>
      <c r="AM97" s="231"/>
      <c r="AN97" s="231"/>
      <c r="AO97" s="231"/>
      <c r="AP97" s="231"/>
      <c r="AQ97" s="231"/>
      <c r="AR97" s="231"/>
      <c r="AS97" s="231"/>
      <c r="AT97" s="231"/>
      <c r="AU97" s="231"/>
      <c r="AV97" s="231"/>
      <c r="AW97" s="231"/>
      <c r="AX97" s="231"/>
      <c r="AY97" s="231"/>
      <c r="AZ97" s="231"/>
      <c r="BA97" s="231"/>
      <c r="BB97" s="231"/>
      <c r="BC97" s="231"/>
      <c r="BD97" s="231"/>
      <c r="BE97" s="231"/>
      <c r="BF97" s="231"/>
      <c r="BG97" s="231"/>
      <c r="BH97" s="231"/>
      <c r="BI97" s="231"/>
      <c r="BJ97" s="231"/>
      <c r="BK97" s="231"/>
      <c r="BL97" s="231"/>
      <c r="BM97" s="231"/>
      <c r="BN97" s="231"/>
      <c r="BO97" s="231"/>
      <c r="CA97" s="338"/>
      <c r="CB97" s="338"/>
      <c r="CC97" s="338"/>
      <c r="CE97" s="338"/>
      <c r="CF97" s="338"/>
    </row>
    <row r="98" spans="2:84" ht="14.25">
      <c r="B98" s="203"/>
      <c r="C98" s="203"/>
      <c r="D98" s="231"/>
      <c r="E98" s="231"/>
      <c r="F98" s="231"/>
      <c r="G98" s="231"/>
      <c r="H98" s="231"/>
      <c r="I98" s="231"/>
      <c r="J98" s="231"/>
      <c r="K98" s="231"/>
      <c r="L98" s="231"/>
      <c r="M98" s="231"/>
      <c r="N98" s="231"/>
      <c r="O98" s="231"/>
      <c r="P98" s="231"/>
      <c r="Q98" s="231"/>
      <c r="R98" s="231"/>
      <c r="S98" s="231"/>
      <c r="T98" s="231"/>
      <c r="U98" s="231"/>
      <c r="V98" s="231"/>
      <c r="W98" s="231"/>
      <c r="X98" s="231"/>
      <c r="Y98" s="231"/>
      <c r="Z98" s="231"/>
      <c r="AA98" s="231"/>
      <c r="AB98" s="231"/>
      <c r="AC98" s="231"/>
      <c r="AD98" s="231"/>
      <c r="AE98" s="231"/>
      <c r="AF98" s="231"/>
      <c r="AG98" s="231"/>
      <c r="AH98" s="231"/>
      <c r="AI98" s="231"/>
      <c r="AJ98" s="231"/>
      <c r="AK98" s="231"/>
      <c r="AL98" s="231"/>
      <c r="AM98" s="231"/>
      <c r="AN98" s="231"/>
      <c r="AO98" s="231"/>
      <c r="AP98" s="231"/>
      <c r="AQ98" s="231"/>
      <c r="AR98" s="231"/>
      <c r="AS98" s="231"/>
      <c r="AT98" s="231"/>
      <c r="AU98" s="231"/>
      <c r="AV98" s="231"/>
      <c r="AW98" s="231"/>
      <c r="AX98" s="231"/>
      <c r="AY98" s="231"/>
      <c r="AZ98" s="231"/>
      <c r="BA98" s="231"/>
      <c r="BB98" s="231"/>
      <c r="BC98" s="231"/>
      <c r="BD98" s="231"/>
      <c r="BE98" s="231"/>
      <c r="BF98" s="231"/>
      <c r="BG98" s="231"/>
      <c r="BH98" s="231"/>
      <c r="BI98" s="231"/>
      <c r="BJ98" s="231"/>
      <c r="BK98" s="231"/>
      <c r="BL98" s="231"/>
      <c r="BM98" s="231"/>
      <c r="BN98" s="231"/>
      <c r="BO98" s="231"/>
      <c r="CA98" s="338"/>
      <c r="CB98" s="338"/>
      <c r="CC98" s="338"/>
      <c r="CE98" s="338"/>
      <c r="CF98" s="338"/>
    </row>
    <row r="99" spans="2:84" ht="14.25">
      <c r="B99" s="203"/>
      <c r="C99" s="203"/>
      <c r="D99" s="231"/>
      <c r="E99" s="231"/>
      <c r="F99" s="231"/>
      <c r="G99" s="231"/>
      <c r="H99" s="231"/>
      <c r="I99" s="231"/>
      <c r="J99" s="231"/>
      <c r="K99" s="231"/>
      <c r="L99" s="231"/>
      <c r="M99" s="231"/>
      <c r="N99" s="231"/>
      <c r="O99" s="231"/>
      <c r="P99" s="231"/>
      <c r="Q99" s="231"/>
      <c r="R99" s="231"/>
      <c r="S99" s="231"/>
      <c r="T99" s="231"/>
      <c r="U99" s="231"/>
      <c r="V99" s="231"/>
      <c r="W99" s="231"/>
      <c r="X99" s="231"/>
      <c r="Y99" s="231"/>
      <c r="Z99" s="231"/>
      <c r="AA99" s="231"/>
      <c r="AB99" s="231"/>
      <c r="AC99" s="231"/>
      <c r="AD99" s="231"/>
      <c r="AE99" s="231"/>
      <c r="AF99" s="231"/>
      <c r="AG99" s="231"/>
      <c r="AH99" s="231"/>
      <c r="AI99" s="231"/>
      <c r="AJ99" s="231"/>
      <c r="AK99" s="231"/>
      <c r="AL99" s="231"/>
      <c r="AM99" s="231"/>
      <c r="AN99" s="231"/>
      <c r="AO99" s="231"/>
      <c r="AP99" s="231"/>
      <c r="AQ99" s="231"/>
      <c r="AR99" s="231"/>
      <c r="AS99" s="231"/>
      <c r="AT99" s="231"/>
      <c r="AU99" s="231"/>
      <c r="AV99" s="231"/>
      <c r="AW99" s="231"/>
      <c r="AX99" s="231"/>
      <c r="AY99" s="231"/>
      <c r="AZ99" s="231"/>
      <c r="BA99" s="231"/>
      <c r="BB99" s="231"/>
      <c r="BC99" s="231"/>
      <c r="BD99" s="231"/>
      <c r="BE99" s="231"/>
      <c r="BF99" s="231"/>
      <c r="BG99" s="231"/>
      <c r="BH99" s="231"/>
      <c r="BI99" s="231"/>
      <c r="BJ99" s="231"/>
      <c r="BK99" s="231"/>
      <c r="BL99" s="231"/>
      <c r="BM99" s="231"/>
      <c r="BN99" s="231"/>
      <c r="BO99" s="231"/>
      <c r="CA99" s="338"/>
      <c r="CB99" s="338"/>
      <c r="CC99" s="338"/>
      <c r="CE99" s="338"/>
      <c r="CF99" s="338"/>
    </row>
    <row r="100" spans="2:84" ht="14.25">
      <c r="B100" s="203"/>
      <c r="C100" s="203"/>
      <c r="D100" s="231"/>
      <c r="E100" s="231"/>
      <c r="F100" s="231"/>
      <c r="G100" s="231"/>
      <c r="H100" s="231"/>
      <c r="I100" s="231"/>
      <c r="J100" s="231"/>
      <c r="K100" s="231"/>
      <c r="L100" s="231"/>
      <c r="M100" s="231"/>
      <c r="N100" s="231"/>
      <c r="O100" s="231"/>
      <c r="P100" s="231"/>
      <c r="Q100" s="231"/>
      <c r="R100" s="231"/>
      <c r="S100" s="231"/>
      <c r="T100" s="231"/>
      <c r="U100" s="231"/>
      <c r="V100" s="231"/>
      <c r="W100" s="231"/>
      <c r="X100" s="231"/>
      <c r="Y100" s="231"/>
      <c r="Z100" s="231"/>
      <c r="AA100" s="231"/>
      <c r="AB100" s="231"/>
      <c r="AC100" s="231"/>
      <c r="AD100" s="231"/>
      <c r="AE100" s="231"/>
      <c r="AF100" s="231"/>
      <c r="AG100" s="231"/>
      <c r="AH100" s="231"/>
      <c r="AI100" s="231"/>
      <c r="AJ100" s="231"/>
      <c r="AK100" s="231"/>
      <c r="AL100" s="231"/>
      <c r="AM100" s="231"/>
      <c r="AN100" s="231"/>
      <c r="AO100" s="231"/>
      <c r="AP100" s="231"/>
      <c r="AQ100" s="231"/>
      <c r="AR100" s="231"/>
      <c r="AS100" s="231"/>
      <c r="AT100" s="231"/>
      <c r="AU100" s="231"/>
      <c r="AV100" s="231"/>
      <c r="AW100" s="231"/>
      <c r="AX100" s="231"/>
      <c r="AY100" s="231"/>
      <c r="AZ100" s="231"/>
      <c r="BA100" s="231"/>
      <c r="BB100" s="231"/>
      <c r="BC100" s="231"/>
      <c r="BD100" s="231"/>
      <c r="BE100" s="231"/>
      <c r="BF100" s="231"/>
      <c r="BG100" s="231"/>
      <c r="BH100" s="231"/>
      <c r="BI100" s="231"/>
      <c r="BJ100" s="231"/>
      <c r="BK100" s="231"/>
      <c r="BL100" s="231"/>
      <c r="BM100" s="231"/>
      <c r="BN100" s="231"/>
      <c r="BO100" s="231"/>
      <c r="CA100" s="338"/>
      <c r="CB100" s="338"/>
      <c r="CC100" s="338"/>
      <c r="CE100" s="338"/>
      <c r="CF100" s="338"/>
    </row>
    <row r="101" spans="2:84" ht="14.25">
      <c r="B101" s="203"/>
      <c r="C101" s="203"/>
      <c r="D101" s="231"/>
      <c r="E101" s="231"/>
      <c r="F101" s="231"/>
      <c r="G101" s="231"/>
      <c r="H101" s="231"/>
      <c r="I101" s="231"/>
      <c r="J101" s="231"/>
      <c r="K101" s="231"/>
      <c r="L101" s="231"/>
      <c r="M101" s="231"/>
      <c r="N101" s="231"/>
      <c r="O101" s="231"/>
      <c r="P101" s="231"/>
      <c r="Q101" s="231"/>
      <c r="R101" s="231"/>
      <c r="S101" s="231"/>
      <c r="T101" s="231"/>
      <c r="U101" s="231"/>
      <c r="V101" s="231"/>
      <c r="W101" s="231"/>
      <c r="X101" s="231"/>
      <c r="Y101" s="231"/>
      <c r="Z101" s="231"/>
      <c r="AA101" s="231"/>
      <c r="AB101" s="231"/>
      <c r="AC101" s="231"/>
      <c r="AD101" s="231"/>
      <c r="AE101" s="231"/>
      <c r="AF101" s="231"/>
      <c r="AG101" s="231"/>
      <c r="AH101" s="231"/>
      <c r="AI101" s="231"/>
      <c r="AJ101" s="231"/>
      <c r="AK101" s="231"/>
      <c r="AL101" s="231"/>
      <c r="AM101" s="231"/>
      <c r="AN101" s="231"/>
      <c r="AO101" s="231"/>
      <c r="AP101" s="231"/>
      <c r="AQ101" s="231"/>
      <c r="AR101" s="231"/>
      <c r="AS101" s="231"/>
      <c r="AT101" s="231"/>
      <c r="AU101" s="231"/>
      <c r="AV101" s="231"/>
      <c r="AW101" s="231"/>
      <c r="AX101" s="231"/>
      <c r="AY101" s="231"/>
      <c r="AZ101" s="231"/>
      <c r="BA101" s="231"/>
      <c r="BB101" s="231"/>
      <c r="BC101" s="231"/>
      <c r="BD101" s="231"/>
      <c r="BE101" s="231"/>
      <c r="BF101" s="231"/>
      <c r="BG101" s="231"/>
      <c r="BH101" s="231"/>
      <c r="BI101" s="231"/>
      <c r="BJ101" s="231"/>
      <c r="BK101" s="231"/>
      <c r="BL101" s="231"/>
      <c r="BM101" s="231"/>
      <c r="BN101" s="231"/>
      <c r="BO101" s="231"/>
      <c r="CA101" s="338"/>
      <c r="CB101" s="338"/>
      <c r="CC101" s="338"/>
      <c r="CE101" s="338"/>
      <c r="CF101" s="338"/>
    </row>
    <row r="102" spans="2:84" ht="14.25">
      <c r="B102" s="203"/>
      <c r="C102" s="203"/>
      <c r="D102" s="231"/>
      <c r="E102" s="231"/>
      <c r="F102" s="231"/>
      <c r="G102" s="231"/>
      <c r="H102" s="231"/>
      <c r="I102" s="231"/>
      <c r="J102" s="231"/>
      <c r="K102" s="231"/>
      <c r="L102" s="231"/>
      <c r="M102" s="231"/>
      <c r="N102" s="231"/>
      <c r="O102" s="231"/>
      <c r="P102" s="231"/>
      <c r="Q102" s="231"/>
      <c r="R102" s="231"/>
      <c r="S102" s="231"/>
      <c r="T102" s="231"/>
      <c r="U102" s="231"/>
      <c r="V102" s="231"/>
      <c r="W102" s="231"/>
      <c r="X102" s="231"/>
      <c r="Y102" s="231"/>
      <c r="Z102" s="231"/>
      <c r="AA102" s="231"/>
      <c r="AB102" s="231"/>
      <c r="AC102" s="231"/>
      <c r="AD102" s="231"/>
      <c r="AE102" s="231"/>
      <c r="AF102" s="231"/>
      <c r="AG102" s="231"/>
      <c r="AH102" s="231"/>
      <c r="AI102" s="231"/>
      <c r="AJ102" s="231"/>
      <c r="AK102" s="231"/>
      <c r="AL102" s="231"/>
      <c r="AM102" s="231"/>
      <c r="AN102" s="231"/>
      <c r="AO102" s="231"/>
      <c r="AP102" s="231"/>
      <c r="AQ102" s="231"/>
      <c r="AR102" s="231"/>
      <c r="AS102" s="231"/>
      <c r="AT102" s="231"/>
      <c r="AU102" s="231"/>
      <c r="AV102" s="231"/>
      <c r="AW102" s="231"/>
      <c r="AX102" s="231"/>
      <c r="AY102" s="231"/>
      <c r="AZ102" s="231"/>
      <c r="BA102" s="231"/>
      <c r="BB102" s="231"/>
      <c r="BC102" s="231"/>
      <c r="BD102" s="231"/>
      <c r="BE102" s="231"/>
      <c r="BF102" s="231"/>
      <c r="BG102" s="231"/>
      <c r="BH102" s="231"/>
      <c r="BI102" s="231"/>
      <c r="BJ102" s="231"/>
      <c r="BK102" s="231"/>
      <c r="BL102" s="231"/>
      <c r="BM102" s="231"/>
      <c r="BN102" s="231"/>
      <c r="BO102" s="231"/>
      <c r="CA102" s="338"/>
      <c r="CB102" s="338"/>
      <c r="CC102" s="338"/>
      <c r="CE102" s="338"/>
      <c r="CF102" s="338"/>
    </row>
    <row r="103" spans="2:84" ht="14.25">
      <c r="B103" s="203"/>
      <c r="C103" s="203"/>
      <c r="D103" s="231"/>
      <c r="E103" s="231"/>
      <c r="F103" s="231"/>
      <c r="G103" s="231"/>
      <c r="H103" s="231"/>
      <c r="I103" s="231"/>
      <c r="J103" s="231"/>
      <c r="K103" s="231"/>
      <c r="L103" s="231"/>
      <c r="M103" s="231"/>
      <c r="N103" s="231"/>
      <c r="O103" s="231"/>
      <c r="P103" s="231"/>
      <c r="Q103" s="231"/>
      <c r="R103" s="231"/>
      <c r="S103" s="231"/>
      <c r="T103" s="231"/>
      <c r="U103" s="231"/>
      <c r="V103" s="231"/>
      <c r="W103" s="231"/>
      <c r="X103" s="231"/>
      <c r="Y103" s="231"/>
      <c r="Z103" s="231"/>
      <c r="AA103" s="231"/>
      <c r="AB103" s="231"/>
      <c r="AC103" s="231"/>
      <c r="AD103" s="231"/>
      <c r="AE103" s="231"/>
      <c r="AF103" s="231"/>
      <c r="AG103" s="231"/>
      <c r="AH103" s="231"/>
      <c r="AI103" s="231"/>
      <c r="AJ103" s="231"/>
      <c r="AK103" s="231"/>
      <c r="AL103" s="231"/>
      <c r="AM103" s="231"/>
      <c r="AN103" s="231"/>
      <c r="AO103" s="231"/>
      <c r="AP103" s="231"/>
      <c r="AQ103" s="231"/>
      <c r="AR103" s="231"/>
      <c r="AS103" s="231"/>
      <c r="AT103" s="231"/>
      <c r="AU103" s="231"/>
      <c r="AV103" s="231"/>
      <c r="AW103" s="231"/>
      <c r="AX103" s="231"/>
      <c r="AY103" s="231"/>
      <c r="AZ103" s="231"/>
      <c r="BA103" s="231"/>
      <c r="BB103" s="231"/>
      <c r="BC103" s="231"/>
      <c r="BD103" s="231"/>
      <c r="BE103" s="231"/>
      <c r="BF103" s="231"/>
      <c r="BG103" s="231"/>
      <c r="BH103" s="231"/>
      <c r="BI103" s="231"/>
      <c r="BJ103" s="231"/>
      <c r="BK103" s="231"/>
      <c r="BL103" s="231"/>
      <c r="BM103" s="231"/>
      <c r="BN103" s="231"/>
      <c r="BO103" s="231"/>
      <c r="CA103" s="338"/>
      <c r="CB103" s="338"/>
      <c r="CC103" s="338"/>
      <c r="CE103" s="338"/>
      <c r="CF103" s="338"/>
    </row>
    <row r="104" spans="2:84" ht="14.25">
      <c r="B104" s="203"/>
      <c r="C104" s="203"/>
      <c r="D104" s="231"/>
      <c r="E104" s="231"/>
      <c r="F104" s="231"/>
      <c r="G104" s="231"/>
      <c r="H104" s="231"/>
      <c r="I104" s="231"/>
      <c r="J104" s="231"/>
      <c r="K104" s="231"/>
      <c r="L104" s="231"/>
      <c r="M104" s="231"/>
      <c r="N104" s="231"/>
      <c r="O104" s="231"/>
      <c r="P104" s="231"/>
      <c r="Q104" s="231"/>
      <c r="R104" s="231"/>
      <c r="S104" s="231"/>
      <c r="T104" s="231"/>
      <c r="U104" s="231"/>
      <c r="V104" s="231"/>
      <c r="W104" s="231"/>
      <c r="X104" s="231"/>
      <c r="Y104" s="231"/>
      <c r="Z104" s="231"/>
      <c r="AA104" s="231"/>
      <c r="AB104" s="231"/>
      <c r="AC104" s="231"/>
      <c r="AD104" s="231"/>
      <c r="AE104" s="231"/>
      <c r="AF104" s="231"/>
      <c r="AG104" s="231"/>
      <c r="AH104" s="231"/>
      <c r="AI104" s="231"/>
      <c r="AJ104" s="231"/>
      <c r="AK104" s="231"/>
      <c r="AL104" s="231"/>
      <c r="AM104" s="231"/>
      <c r="AN104" s="231"/>
      <c r="AO104" s="231"/>
      <c r="AP104" s="231"/>
      <c r="AQ104" s="231"/>
      <c r="AR104" s="231"/>
      <c r="AS104" s="231"/>
      <c r="AT104" s="231"/>
      <c r="AU104" s="231"/>
      <c r="AV104" s="231"/>
      <c r="AW104" s="231"/>
      <c r="AX104" s="231"/>
      <c r="AY104" s="231"/>
      <c r="AZ104" s="231"/>
      <c r="BA104" s="231"/>
      <c r="BB104" s="231"/>
      <c r="BC104" s="231"/>
      <c r="BD104" s="231"/>
      <c r="BE104" s="231"/>
      <c r="BF104" s="231"/>
      <c r="BG104" s="231"/>
      <c r="BH104" s="231"/>
      <c r="BI104" s="231"/>
      <c r="BJ104" s="231"/>
      <c r="BK104" s="231"/>
      <c r="BL104" s="231"/>
      <c r="BM104" s="231"/>
      <c r="BN104" s="231"/>
      <c r="BO104" s="231"/>
      <c r="CA104" s="338"/>
      <c r="CB104" s="338"/>
      <c r="CC104" s="338"/>
      <c r="CE104" s="338"/>
      <c r="CF104" s="338"/>
    </row>
    <row r="105" spans="2:84" ht="14.25">
      <c r="B105" s="203"/>
      <c r="C105" s="203"/>
      <c r="D105" s="231"/>
      <c r="E105" s="231"/>
      <c r="F105" s="231"/>
      <c r="G105" s="231"/>
      <c r="H105" s="231"/>
      <c r="I105" s="231"/>
      <c r="J105" s="231"/>
      <c r="K105" s="231"/>
      <c r="L105" s="231"/>
      <c r="M105" s="231"/>
      <c r="N105" s="231"/>
      <c r="O105" s="231"/>
      <c r="P105" s="231"/>
      <c r="Q105" s="231"/>
      <c r="R105" s="231"/>
      <c r="S105" s="231"/>
      <c r="T105" s="231"/>
      <c r="U105" s="231"/>
      <c r="V105" s="231"/>
      <c r="W105" s="231"/>
      <c r="X105" s="231"/>
      <c r="Y105" s="231"/>
      <c r="Z105" s="231"/>
      <c r="AA105" s="231"/>
      <c r="AB105" s="231"/>
      <c r="AC105" s="231"/>
      <c r="AD105" s="231"/>
      <c r="AE105" s="231"/>
      <c r="AF105" s="231"/>
      <c r="AG105" s="231"/>
      <c r="AH105" s="231"/>
      <c r="AI105" s="231"/>
      <c r="AJ105" s="231"/>
      <c r="AK105" s="231"/>
      <c r="AL105" s="231"/>
      <c r="AM105" s="231"/>
      <c r="AN105" s="231"/>
      <c r="AO105" s="231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  <c r="BC105" s="231"/>
      <c r="BD105" s="231"/>
      <c r="BE105" s="231"/>
      <c r="BF105" s="231"/>
      <c r="BG105" s="231"/>
      <c r="BH105" s="231"/>
      <c r="BI105" s="231"/>
      <c r="BJ105" s="231"/>
      <c r="BK105" s="231"/>
      <c r="BL105" s="231"/>
      <c r="BM105" s="231"/>
      <c r="BN105" s="231"/>
      <c r="BO105" s="231"/>
    </row>
    <row r="106" spans="2:84" ht="14.25">
      <c r="B106" s="203"/>
      <c r="C106" s="203"/>
      <c r="D106" s="231"/>
      <c r="E106" s="231"/>
      <c r="F106" s="231"/>
      <c r="G106" s="231"/>
      <c r="H106" s="231"/>
      <c r="I106" s="231"/>
      <c r="J106" s="231"/>
      <c r="K106" s="231"/>
      <c r="L106" s="231"/>
      <c r="M106" s="231"/>
      <c r="N106" s="231"/>
      <c r="O106" s="231"/>
      <c r="P106" s="231"/>
      <c r="Q106" s="231"/>
      <c r="R106" s="231"/>
      <c r="S106" s="231"/>
      <c r="T106" s="231"/>
      <c r="U106" s="231"/>
      <c r="V106" s="231"/>
      <c r="W106" s="231"/>
      <c r="X106" s="231"/>
      <c r="Y106" s="231"/>
      <c r="Z106" s="231"/>
      <c r="AA106" s="231"/>
      <c r="AB106" s="231"/>
      <c r="AC106" s="231"/>
      <c r="AD106" s="231"/>
      <c r="AE106" s="231"/>
      <c r="AF106" s="231"/>
      <c r="AG106" s="231"/>
      <c r="AH106" s="231"/>
      <c r="AI106" s="231"/>
      <c r="AJ106" s="231"/>
      <c r="AK106" s="231"/>
      <c r="AL106" s="231"/>
      <c r="AM106" s="231"/>
      <c r="AN106" s="231"/>
      <c r="AO106" s="231"/>
      <c r="AP106" s="231"/>
      <c r="AQ106" s="231"/>
      <c r="AR106" s="231"/>
      <c r="AS106" s="231"/>
      <c r="AT106" s="231"/>
      <c r="AU106" s="231"/>
      <c r="AV106" s="231"/>
      <c r="AW106" s="231"/>
      <c r="AX106" s="231"/>
      <c r="AY106" s="231"/>
      <c r="AZ106" s="231"/>
      <c r="BA106" s="231"/>
      <c r="BB106" s="231"/>
      <c r="BC106" s="231"/>
      <c r="BD106" s="231"/>
      <c r="BE106" s="231"/>
      <c r="BF106" s="231"/>
      <c r="BG106" s="231"/>
      <c r="BH106" s="231"/>
      <c r="BI106" s="231"/>
      <c r="BJ106" s="231"/>
      <c r="BK106" s="231"/>
      <c r="BL106" s="231"/>
      <c r="BM106" s="231"/>
      <c r="BN106" s="231"/>
      <c r="BO106" s="231"/>
    </row>
    <row r="107" spans="2:84" ht="14.25">
      <c r="B107" s="203"/>
      <c r="C107" s="203"/>
      <c r="D107" s="231"/>
      <c r="E107" s="231"/>
      <c r="F107" s="231"/>
      <c r="G107" s="231"/>
      <c r="H107" s="231"/>
      <c r="I107" s="231"/>
      <c r="J107" s="231"/>
      <c r="K107" s="231"/>
      <c r="L107" s="231"/>
      <c r="M107" s="231"/>
      <c r="N107" s="231"/>
      <c r="O107" s="231"/>
      <c r="P107" s="231"/>
      <c r="Q107" s="231"/>
      <c r="R107" s="231"/>
      <c r="S107" s="231"/>
      <c r="T107" s="231"/>
      <c r="U107" s="231"/>
      <c r="V107" s="231"/>
      <c r="W107" s="231"/>
      <c r="X107" s="231"/>
      <c r="Y107" s="231"/>
      <c r="Z107" s="231"/>
      <c r="AA107" s="231"/>
      <c r="AB107" s="231"/>
      <c r="AC107" s="231"/>
      <c r="AD107" s="231"/>
      <c r="AE107" s="231"/>
      <c r="AF107" s="231"/>
      <c r="AG107" s="231"/>
      <c r="AH107" s="231"/>
      <c r="AI107" s="231"/>
      <c r="AJ107" s="231"/>
      <c r="AK107" s="231"/>
      <c r="AL107" s="231"/>
      <c r="AM107" s="231"/>
      <c r="AN107" s="231"/>
      <c r="AO107" s="231"/>
      <c r="AP107" s="231"/>
      <c r="AQ107" s="231"/>
      <c r="AR107" s="231"/>
      <c r="AS107" s="231"/>
      <c r="AT107" s="231"/>
      <c r="AU107" s="231"/>
      <c r="AV107" s="231"/>
      <c r="AW107" s="231"/>
      <c r="AX107" s="231"/>
      <c r="AY107" s="231"/>
      <c r="AZ107" s="231"/>
      <c r="BA107" s="231"/>
      <c r="BB107" s="231"/>
      <c r="BC107" s="231"/>
      <c r="BD107" s="231"/>
      <c r="BE107" s="231"/>
      <c r="BF107" s="231"/>
      <c r="BG107" s="231"/>
      <c r="BH107" s="231"/>
      <c r="BI107" s="231"/>
      <c r="BJ107" s="231"/>
      <c r="BK107" s="231"/>
      <c r="BL107" s="231"/>
      <c r="BM107" s="231"/>
      <c r="BN107" s="231"/>
      <c r="BO107" s="231"/>
    </row>
    <row r="108" spans="2:84" ht="14.25">
      <c r="B108" s="203"/>
      <c r="C108" s="203"/>
      <c r="D108" s="231"/>
      <c r="E108" s="231"/>
      <c r="F108" s="231"/>
      <c r="G108" s="231"/>
      <c r="H108" s="231"/>
      <c r="I108" s="231"/>
      <c r="J108" s="231"/>
      <c r="K108" s="231"/>
      <c r="L108" s="231"/>
      <c r="M108" s="231"/>
      <c r="N108" s="231"/>
      <c r="O108" s="231"/>
      <c r="P108" s="231"/>
      <c r="Q108" s="231"/>
      <c r="R108" s="231"/>
      <c r="S108" s="231"/>
      <c r="T108" s="231"/>
      <c r="U108" s="231"/>
      <c r="V108" s="231"/>
      <c r="W108" s="231"/>
      <c r="X108" s="231"/>
      <c r="Y108" s="231"/>
      <c r="Z108" s="231"/>
      <c r="AA108" s="231"/>
      <c r="AB108" s="231"/>
      <c r="AC108" s="231"/>
      <c r="AD108" s="231"/>
      <c r="AE108" s="231"/>
      <c r="AF108" s="231"/>
      <c r="AG108" s="231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</row>
    <row r="109" spans="2:84" ht="14.25">
      <c r="B109" s="203"/>
      <c r="C109" s="203"/>
      <c r="D109" s="231"/>
      <c r="E109" s="231"/>
      <c r="F109" s="231"/>
      <c r="G109" s="231"/>
      <c r="H109" s="231"/>
      <c r="I109" s="231"/>
      <c r="J109" s="231"/>
      <c r="K109" s="231"/>
      <c r="L109" s="231"/>
      <c r="M109" s="231"/>
      <c r="N109" s="231"/>
      <c r="O109" s="231"/>
      <c r="P109" s="231"/>
      <c r="Q109" s="231"/>
      <c r="R109" s="231"/>
      <c r="S109" s="231"/>
      <c r="T109" s="231"/>
      <c r="U109" s="231"/>
      <c r="V109" s="231"/>
      <c r="W109" s="231"/>
      <c r="X109" s="231"/>
      <c r="Y109" s="231"/>
      <c r="Z109" s="231"/>
      <c r="AA109" s="231"/>
      <c r="AB109" s="231"/>
      <c r="AC109" s="231"/>
      <c r="AD109" s="231"/>
      <c r="AE109" s="231"/>
      <c r="AF109" s="231"/>
      <c r="AG109" s="231"/>
      <c r="AH109" s="231"/>
      <c r="AI109" s="231"/>
      <c r="AJ109" s="231"/>
      <c r="AK109" s="231"/>
      <c r="AL109" s="231"/>
      <c r="AM109" s="231"/>
      <c r="AN109" s="231"/>
      <c r="AO109" s="231"/>
      <c r="AP109" s="231"/>
      <c r="AQ109" s="231"/>
      <c r="AR109" s="231"/>
      <c r="AS109" s="231"/>
      <c r="AT109" s="231"/>
      <c r="AU109" s="231"/>
      <c r="AV109" s="231"/>
      <c r="AW109" s="231"/>
      <c r="AX109" s="231"/>
      <c r="AY109" s="231"/>
      <c r="AZ109" s="231"/>
      <c r="BA109" s="231"/>
      <c r="BB109" s="231"/>
      <c r="BC109" s="231"/>
      <c r="BD109" s="231"/>
      <c r="BE109" s="231"/>
      <c r="BF109" s="231"/>
      <c r="BG109" s="231"/>
      <c r="BH109" s="231"/>
      <c r="BI109" s="231"/>
      <c r="BJ109" s="231"/>
      <c r="BK109" s="231"/>
      <c r="BL109" s="231"/>
      <c r="BM109" s="231"/>
      <c r="BN109" s="231"/>
      <c r="BO109" s="231"/>
    </row>
    <row r="110" spans="2:84" ht="14.25">
      <c r="B110" s="203"/>
      <c r="C110" s="203"/>
      <c r="D110" s="231"/>
      <c r="E110" s="231"/>
      <c r="F110" s="231"/>
      <c r="G110" s="231"/>
      <c r="H110" s="231"/>
      <c r="I110" s="231"/>
      <c r="J110" s="231"/>
      <c r="K110" s="231"/>
      <c r="L110" s="231"/>
      <c r="M110" s="231"/>
      <c r="N110" s="231"/>
      <c r="O110" s="231"/>
      <c r="P110" s="231"/>
      <c r="Q110" s="231"/>
      <c r="R110" s="231"/>
      <c r="S110" s="231"/>
      <c r="T110" s="231"/>
      <c r="U110" s="231"/>
      <c r="V110" s="231"/>
      <c r="W110" s="231"/>
      <c r="X110" s="231"/>
      <c r="Y110" s="231"/>
      <c r="Z110" s="231"/>
      <c r="AA110" s="231"/>
      <c r="AB110" s="231"/>
      <c r="AC110" s="231"/>
      <c r="AD110" s="231"/>
      <c r="AE110" s="231"/>
      <c r="AF110" s="231"/>
      <c r="AG110" s="231"/>
      <c r="AH110" s="231"/>
      <c r="AI110" s="231"/>
      <c r="AJ110" s="231"/>
      <c r="AK110" s="231"/>
      <c r="AL110" s="231"/>
      <c r="AM110" s="231"/>
      <c r="AN110" s="231"/>
      <c r="AO110" s="231"/>
      <c r="AP110" s="231"/>
      <c r="AQ110" s="231"/>
      <c r="AR110" s="231"/>
      <c r="AS110" s="231"/>
      <c r="AT110" s="231"/>
      <c r="AU110" s="231"/>
      <c r="AV110" s="231"/>
      <c r="AW110" s="231"/>
      <c r="AX110" s="231"/>
      <c r="AY110" s="231"/>
      <c r="AZ110" s="231"/>
      <c r="BA110" s="231"/>
      <c r="BB110" s="231"/>
      <c r="BC110" s="231"/>
      <c r="BD110" s="231"/>
      <c r="BE110" s="231"/>
      <c r="BF110" s="231"/>
      <c r="BG110" s="231"/>
      <c r="BH110" s="231"/>
      <c r="BI110" s="231"/>
      <c r="BJ110" s="231"/>
      <c r="BK110" s="231"/>
      <c r="BL110" s="231"/>
      <c r="BM110" s="231"/>
      <c r="BN110" s="231"/>
      <c r="BO110" s="231"/>
    </row>
    <row r="111" spans="2:84" ht="14.25">
      <c r="B111" s="203"/>
      <c r="C111" s="203"/>
      <c r="D111" s="231"/>
      <c r="E111" s="231"/>
      <c r="F111" s="231"/>
      <c r="G111" s="231"/>
      <c r="H111" s="231"/>
      <c r="I111" s="231"/>
      <c r="J111" s="231"/>
      <c r="K111" s="231"/>
      <c r="L111" s="231"/>
      <c r="M111" s="231"/>
      <c r="N111" s="231"/>
      <c r="O111" s="231"/>
      <c r="P111" s="231"/>
      <c r="Q111" s="231"/>
      <c r="R111" s="231"/>
      <c r="S111" s="231"/>
      <c r="T111" s="231"/>
      <c r="U111" s="231"/>
      <c r="V111" s="231"/>
      <c r="W111" s="231"/>
      <c r="X111" s="231"/>
      <c r="Y111" s="231"/>
      <c r="Z111" s="231"/>
      <c r="AA111" s="231"/>
      <c r="AB111" s="231"/>
      <c r="AC111" s="231"/>
      <c r="AD111" s="231"/>
      <c r="AE111" s="231"/>
      <c r="AF111" s="231"/>
      <c r="AG111" s="231"/>
      <c r="AH111" s="231"/>
      <c r="AI111" s="231"/>
      <c r="AJ111" s="231"/>
      <c r="AK111" s="231"/>
      <c r="AL111" s="231"/>
      <c r="AM111" s="231"/>
      <c r="AN111" s="231"/>
      <c r="AO111" s="231"/>
      <c r="AP111" s="231"/>
      <c r="AQ111" s="231"/>
      <c r="AR111" s="231"/>
      <c r="AS111" s="231"/>
      <c r="AT111" s="231"/>
      <c r="AU111" s="231"/>
      <c r="AV111" s="231"/>
      <c r="AW111" s="231"/>
      <c r="AX111" s="231"/>
      <c r="AY111" s="231"/>
      <c r="AZ111" s="231"/>
      <c r="BA111" s="231"/>
      <c r="BB111" s="231"/>
      <c r="BC111" s="231"/>
      <c r="BD111" s="231"/>
      <c r="BE111" s="231"/>
      <c r="BF111" s="231"/>
      <c r="BG111" s="231"/>
      <c r="BH111" s="231"/>
      <c r="BI111" s="231"/>
      <c r="BJ111" s="231"/>
      <c r="BK111" s="231"/>
      <c r="BL111" s="231"/>
      <c r="BM111" s="231"/>
      <c r="BN111" s="231"/>
      <c r="BO111" s="231"/>
    </row>
    <row r="112" spans="2:84" ht="14.25">
      <c r="B112" s="203"/>
      <c r="C112" s="203"/>
      <c r="D112" s="231"/>
      <c r="E112" s="231"/>
      <c r="F112" s="231"/>
      <c r="G112" s="231"/>
      <c r="H112" s="231"/>
      <c r="I112" s="231"/>
      <c r="J112" s="231"/>
      <c r="K112" s="231"/>
      <c r="L112" s="231"/>
      <c r="M112" s="231"/>
      <c r="N112" s="231"/>
      <c r="O112" s="231"/>
      <c r="P112" s="231"/>
      <c r="Q112" s="231"/>
      <c r="R112" s="231"/>
      <c r="S112" s="231"/>
      <c r="T112" s="231"/>
      <c r="U112" s="231"/>
      <c r="V112" s="231"/>
      <c r="W112" s="231"/>
      <c r="X112" s="231"/>
      <c r="Y112" s="231"/>
      <c r="Z112" s="231"/>
      <c r="AA112" s="231"/>
      <c r="AB112" s="231"/>
      <c r="AC112" s="231"/>
      <c r="AD112" s="231"/>
      <c r="AE112" s="231"/>
      <c r="AF112" s="231"/>
      <c r="AG112" s="231"/>
      <c r="AH112" s="231"/>
      <c r="AI112" s="231"/>
      <c r="AJ112" s="231"/>
      <c r="AK112" s="231"/>
      <c r="AL112" s="231"/>
      <c r="AM112" s="231"/>
      <c r="AN112" s="231"/>
      <c r="AO112" s="231"/>
      <c r="AP112" s="231"/>
      <c r="AQ112" s="231"/>
      <c r="AR112" s="231"/>
      <c r="AS112" s="231"/>
      <c r="AT112" s="231"/>
      <c r="AU112" s="231"/>
      <c r="AV112" s="231"/>
      <c r="AW112" s="231"/>
      <c r="AX112" s="231"/>
      <c r="AY112" s="231"/>
      <c r="AZ112" s="231"/>
      <c r="BA112" s="231"/>
      <c r="BB112" s="231"/>
      <c r="BC112" s="231"/>
      <c r="BD112" s="231"/>
      <c r="BE112" s="231"/>
      <c r="BF112" s="231"/>
      <c r="BG112" s="231"/>
      <c r="BH112" s="231"/>
      <c r="BI112" s="231"/>
      <c r="BJ112" s="231"/>
      <c r="BK112" s="231"/>
      <c r="BL112" s="231"/>
      <c r="BM112" s="231"/>
      <c r="BN112" s="231"/>
      <c r="BO112" s="231"/>
    </row>
    <row r="113" spans="2:67" ht="14.25">
      <c r="B113" s="203"/>
      <c r="C113" s="203"/>
      <c r="D113" s="231"/>
      <c r="E113" s="231"/>
      <c r="F113" s="231"/>
      <c r="G113" s="231"/>
      <c r="H113" s="231"/>
      <c r="I113" s="231"/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  <c r="U113" s="231"/>
      <c r="V113" s="231"/>
      <c r="W113" s="231"/>
      <c r="X113" s="231"/>
      <c r="Y113" s="231"/>
      <c r="Z113" s="231"/>
      <c r="AA113" s="231"/>
      <c r="AB113" s="231"/>
      <c r="AC113" s="231"/>
      <c r="AD113" s="231"/>
      <c r="AE113" s="231"/>
      <c r="AF113" s="231"/>
      <c r="AG113" s="231"/>
      <c r="AH113" s="231"/>
      <c r="AI113" s="231"/>
      <c r="AJ113" s="231"/>
      <c r="AK113" s="231"/>
      <c r="AL113" s="231"/>
      <c r="AM113" s="231"/>
      <c r="AN113" s="231"/>
      <c r="AO113" s="231"/>
      <c r="AP113" s="231"/>
      <c r="AQ113" s="231"/>
      <c r="AR113" s="231"/>
      <c r="AS113" s="231"/>
      <c r="AT113" s="231"/>
      <c r="AU113" s="231"/>
      <c r="AV113" s="231"/>
      <c r="AW113" s="231"/>
      <c r="AX113" s="231"/>
      <c r="AY113" s="231"/>
      <c r="AZ113" s="231"/>
      <c r="BA113" s="231"/>
      <c r="BB113" s="231"/>
      <c r="BC113" s="231"/>
      <c r="BD113" s="231"/>
      <c r="BE113" s="231"/>
      <c r="BF113" s="231"/>
      <c r="BG113" s="231"/>
      <c r="BH113" s="231"/>
      <c r="BI113" s="231"/>
      <c r="BJ113" s="231"/>
      <c r="BK113" s="231"/>
      <c r="BL113" s="231"/>
      <c r="BM113" s="231"/>
      <c r="BN113" s="231"/>
      <c r="BO113" s="231"/>
    </row>
    <row r="114" spans="2:67" ht="14.25">
      <c r="B114" s="203"/>
      <c r="C114" s="203"/>
      <c r="D114" s="231"/>
      <c r="E114" s="231"/>
      <c r="F114" s="231"/>
      <c r="G114" s="231"/>
      <c r="H114" s="231"/>
      <c r="I114" s="231"/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  <c r="U114" s="231"/>
      <c r="V114" s="231"/>
      <c r="W114" s="231"/>
      <c r="X114" s="231"/>
      <c r="Y114" s="231"/>
      <c r="Z114" s="231"/>
      <c r="AA114" s="231"/>
      <c r="AB114" s="231"/>
      <c r="AC114" s="231"/>
      <c r="AD114" s="231"/>
      <c r="AE114" s="231"/>
      <c r="AF114" s="231"/>
      <c r="AG114" s="231"/>
      <c r="AH114" s="231"/>
      <c r="AI114" s="231"/>
      <c r="AJ114" s="231"/>
      <c r="AK114" s="231"/>
      <c r="AL114" s="231"/>
      <c r="AM114" s="231"/>
      <c r="AN114" s="231"/>
      <c r="AO114" s="231"/>
      <c r="AP114" s="231"/>
      <c r="AQ114" s="231"/>
      <c r="AR114" s="231"/>
      <c r="AS114" s="231"/>
      <c r="AT114" s="231"/>
      <c r="AU114" s="231"/>
      <c r="AV114" s="231"/>
      <c r="AW114" s="231"/>
      <c r="AX114" s="231"/>
      <c r="AY114" s="231"/>
      <c r="AZ114" s="231"/>
      <c r="BA114" s="231"/>
      <c r="BB114" s="231"/>
      <c r="BC114" s="231"/>
      <c r="BD114" s="231"/>
      <c r="BE114" s="231"/>
      <c r="BF114" s="231"/>
      <c r="BG114" s="231"/>
      <c r="BH114" s="231"/>
      <c r="BI114" s="231"/>
      <c r="BJ114" s="231"/>
      <c r="BK114" s="231"/>
      <c r="BL114" s="231"/>
      <c r="BM114" s="231"/>
      <c r="BN114" s="231"/>
      <c r="BO114" s="231"/>
    </row>
    <row r="115" spans="2:67" ht="14.25">
      <c r="B115" s="203"/>
      <c r="C115" s="203"/>
      <c r="D115" s="231"/>
      <c r="E115" s="231"/>
      <c r="F115" s="231"/>
      <c r="G115" s="231"/>
      <c r="H115" s="231"/>
      <c r="I115" s="231"/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  <c r="U115" s="231"/>
      <c r="V115" s="231"/>
      <c r="W115" s="231"/>
      <c r="X115" s="231"/>
      <c r="Y115" s="231"/>
      <c r="Z115" s="231"/>
      <c r="AA115" s="231"/>
      <c r="AB115" s="231"/>
      <c r="AC115" s="231"/>
      <c r="AD115" s="231"/>
      <c r="AE115" s="231"/>
      <c r="AF115" s="231"/>
      <c r="AG115" s="231"/>
      <c r="AH115" s="231"/>
      <c r="AI115" s="231"/>
      <c r="AJ115" s="231"/>
      <c r="AK115" s="231"/>
      <c r="AL115" s="231"/>
      <c r="AM115" s="231"/>
      <c r="AN115" s="231"/>
      <c r="AO115" s="231"/>
      <c r="AP115" s="231"/>
      <c r="AQ115" s="231"/>
      <c r="AR115" s="231"/>
      <c r="AS115" s="231"/>
      <c r="AT115" s="231"/>
      <c r="AU115" s="231"/>
      <c r="AV115" s="231"/>
      <c r="AW115" s="231"/>
      <c r="AX115" s="231"/>
      <c r="AY115" s="231"/>
      <c r="AZ115" s="231"/>
      <c r="BA115" s="231"/>
      <c r="BB115" s="231"/>
      <c r="BC115" s="231"/>
      <c r="BD115" s="231"/>
      <c r="BE115" s="231"/>
      <c r="BF115" s="231"/>
      <c r="BG115" s="231"/>
      <c r="BH115" s="231"/>
      <c r="BI115" s="231"/>
      <c r="BJ115" s="231"/>
      <c r="BK115" s="231"/>
      <c r="BL115" s="231"/>
      <c r="BM115" s="231"/>
      <c r="BN115" s="231"/>
      <c r="BO115" s="231"/>
    </row>
    <row r="116" spans="2:67" ht="14.25">
      <c r="B116" s="203"/>
      <c r="C116" s="203"/>
      <c r="D116" s="231"/>
      <c r="E116" s="231"/>
      <c r="F116" s="231"/>
      <c r="G116" s="231"/>
      <c r="H116" s="231"/>
      <c r="I116" s="231"/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  <c r="U116" s="231"/>
      <c r="V116" s="231"/>
      <c r="W116" s="231"/>
      <c r="X116" s="231"/>
      <c r="Y116" s="231"/>
      <c r="Z116" s="231"/>
      <c r="AA116" s="231"/>
      <c r="AB116" s="231"/>
      <c r="AC116" s="231"/>
      <c r="AD116" s="231"/>
      <c r="AE116" s="231"/>
      <c r="AF116" s="231"/>
      <c r="AG116" s="231"/>
      <c r="AH116" s="231"/>
      <c r="AI116" s="231"/>
      <c r="AJ116" s="231"/>
      <c r="AK116" s="231"/>
      <c r="AL116" s="231"/>
      <c r="AM116" s="231"/>
      <c r="AN116" s="231"/>
      <c r="AO116" s="231"/>
      <c r="AP116" s="231"/>
      <c r="AQ116" s="231"/>
      <c r="AR116" s="231"/>
      <c r="AS116" s="231"/>
      <c r="AT116" s="231"/>
      <c r="AU116" s="231"/>
      <c r="AV116" s="231"/>
      <c r="AW116" s="231"/>
      <c r="AX116" s="231"/>
      <c r="AY116" s="231"/>
      <c r="AZ116" s="231"/>
      <c r="BA116" s="231"/>
      <c r="BB116" s="231"/>
      <c r="BC116" s="231"/>
      <c r="BD116" s="231"/>
      <c r="BE116" s="231"/>
      <c r="BF116" s="231"/>
      <c r="BG116" s="231"/>
      <c r="BH116" s="231"/>
      <c r="BI116" s="231"/>
      <c r="BJ116" s="231"/>
      <c r="BK116" s="231"/>
      <c r="BL116" s="231"/>
      <c r="BM116" s="231"/>
      <c r="BN116" s="231"/>
      <c r="BO116" s="231"/>
    </row>
    <row r="117" spans="2:67" ht="14.25">
      <c r="B117" s="203"/>
      <c r="C117" s="203"/>
      <c r="D117" s="231"/>
      <c r="E117" s="231"/>
      <c r="F117" s="231"/>
      <c r="G117" s="231"/>
      <c r="H117" s="231"/>
      <c r="I117" s="231"/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  <c r="U117" s="231"/>
      <c r="V117" s="231"/>
      <c r="W117" s="231"/>
      <c r="X117" s="231"/>
      <c r="Y117" s="231"/>
      <c r="Z117" s="231"/>
      <c r="AA117" s="231"/>
      <c r="AB117" s="231"/>
      <c r="AC117" s="231"/>
      <c r="AD117" s="231"/>
      <c r="AE117" s="231"/>
      <c r="AF117" s="231"/>
      <c r="AG117" s="231"/>
      <c r="AH117" s="231"/>
      <c r="AI117" s="231"/>
      <c r="AJ117" s="231"/>
      <c r="AK117" s="231"/>
      <c r="AL117" s="231"/>
      <c r="AM117" s="231"/>
      <c r="AN117" s="231"/>
      <c r="AO117" s="231"/>
      <c r="AP117" s="231"/>
      <c r="AQ117" s="231"/>
      <c r="AR117" s="231"/>
      <c r="AS117" s="231"/>
      <c r="AT117" s="231"/>
      <c r="AU117" s="231"/>
      <c r="AV117" s="231"/>
      <c r="AW117" s="231"/>
      <c r="AX117" s="231"/>
      <c r="AY117" s="231"/>
      <c r="AZ117" s="231"/>
      <c r="BA117" s="231"/>
      <c r="BB117" s="231"/>
      <c r="BC117" s="231"/>
      <c r="BD117" s="231"/>
      <c r="BE117" s="231"/>
      <c r="BF117" s="231"/>
      <c r="BG117" s="231"/>
      <c r="BH117" s="231"/>
      <c r="BI117" s="231"/>
      <c r="BJ117" s="231"/>
      <c r="BK117" s="231"/>
      <c r="BL117" s="231"/>
      <c r="BM117" s="231"/>
      <c r="BN117" s="231"/>
      <c r="BO117" s="231"/>
    </row>
    <row r="118" spans="2:67" ht="14.25">
      <c r="B118" s="203"/>
      <c r="C118" s="203"/>
      <c r="D118" s="231"/>
      <c r="E118" s="231"/>
      <c r="F118" s="231"/>
      <c r="G118" s="231"/>
      <c r="H118" s="231"/>
      <c r="I118" s="231"/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  <c r="U118" s="231"/>
      <c r="V118" s="231"/>
      <c r="W118" s="231"/>
      <c r="X118" s="231"/>
      <c r="Y118" s="231"/>
      <c r="Z118" s="231"/>
      <c r="AA118" s="231"/>
      <c r="AB118" s="231"/>
      <c r="AC118" s="231"/>
      <c r="AD118" s="231"/>
      <c r="AE118" s="231"/>
      <c r="AF118" s="231"/>
      <c r="AG118" s="231"/>
      <c r="AH118" s="231"/>
      <c r="AI118" s="231"/>
      <c r="AJ118" s="231"/>
      <c r="AK118" s="231"/>
      <c r="AL118" s="231"/>
      <c r="AM118" s="231"/>
      <c r="AN118" s="231"/>
      <c r="AO118" s="231"/>
      <c r="AP118" s="231"/>
      <c r="AQ118" s="231"/>
      <c r="AR118" s="231"/>
      <c r="AS118" s="231"/>
      <c r="AT118" s="231"/>
      <c r="AU118" s="231"/>
      <c r="AV118" s="231"/>
      <c r="AW118" s="231"/>
      <c r="AX118" s="231"/>
      <c r="AY118" s="231"/>
      <c r="AZ118" s="231"/>
      <c r="BA118" s="231"/>
      <c r="BB118" s="231"/>
      <c r="BC118" s="231"/>
      <c r="BD118" s="231"/>
      <c r="BE118" s="231"/>
      <c r="BF118" s="231"/>
      <c r="BG118" s="231"/>
      <c r="BH118" s="231"/>
      <c r="BI118" s="231"/>
      <c r="BJ118" s="231"/>
      <c r="BK118" s="231"/>
      <c r="BL118" s="231"/>
      <c r="BM118" s="231"/>
      <c r="BN118" s="231"/>
      <c r="BO118" s="231"/>
    </row>
    <row r="119" spans="2:67" ht="14.25">
      <c r="B119" s="203"/>
      <c r="C119" s="203"/>
      <c r="D119" s="231"/>
      <c r="E119" s="231"/>
      <c r="F119" s="231"/>
      <c r="G119" s="231"/>
      <c r="H119" s="231"/>
      <c r="I119" s="231"/>
      <c r="J119" s="231"/>
      <c r="K119" s="231"/>
      <c r="L119" s="231"/>
      <c r="M119" s="231"/>
      <c r="N119" s="231"/>
      <c r="O119" s="231"/>
      <c r="P119" s="231"/>
      <c r="Q119" s="231"/>
      <c r="R119" s="231"/>
      <c r="S119" s="231"/>
      <c r="T119" s="231"/>
      <c r="U119" s="231"/>
      <c r="V119" s="231"/>
      <c r="W119" s="231"/>
      <c r="X119" s="231"/>
      <c r="Y119" s="231"/>
      <c r="Z119" s="231"/>
      <c r="AA119" s="231"/>
      <c r="AB119" s="231"/>
      <c r="AC119" s="231"/>
      <c r="AD119" s="231"/>
      <c r="AE119" s="231"/>
      <c r="AF119" s="231"/>
      <c r="AG119" s="231"/>
      <c r="AH119" s="231"/>
      <c r="AI119" s="231"/>
      <c r="AJ119" s="231"/>
      <c r="AK119" s="231"/>
      <c r="AL119" s="231"/>
      <c r="AM119" s="231"/>
      <c r="AN119" s="231"/>
      <c r="AO119" s="231"/>
      <c r="AP119" s="231"/>
      <c r="AQ119" s="231"/>
      <c r="AR119" s="231"/>
      <c r="AS119" s="231"/>
      <c r="AT119" s="231"/>
      <c r="AU119" s="231"/>
      <c r="AV119" s="231"/>
      <c r="AW119" s="231"/>
      <c r="AX119" s="231"/>
      <c r="AY119" s="231"/>
      <c r="AZ119" s="231"/>
      <c r="BA119" s="231"/>
      <c r="BB119" s="231"/>
      <c r="BC119" s="231"/>
      <c r="BD119" s="231"/>
      <c r="BE119" s="231"/>
      <c r="BF119" s="231"/>
      <c r="BG119" s="231"/>
      <c r="BH119" s="231"/>
      <c r="BI119" s="231"/>
      <c r="BJ119" s="231"/>
      <c r="BK119" s="231"/>
      <c r="BL119" s="231"/>
      <c r="BM119" s="231"/>
      <c r="BN119" s="231"/>
      <c r="BO119" s="231"/>
    </row>
    <row r="120" spans="2:67" ht="14.25">
      <c r="B120" s="203"/>
      <c r="C120" s="203"/>
      <c r="D120" s="231"/>
      <c r="E120" s="231"/>
      <c r="F120" s="231"/>
      <c r="G120" s="231"/>
      <c r="H120" s="231"/>
      <c r="I120" s="231"/>
      <c r="J120" s="231"/>
      <c r="K120" s="231"/>
      <c r="L120" s="231"/>
      <c r="M120" s="231"/>
      <c r="N120" s="231"/>
      <c r="O120" s="231"/>
      <c r="P120" s="231"/>
      <c r="Q120" s="231"/>
      <c r="R120" s="231"/>
      <c r="S120" s="231"/>
      <c r="T120" s="231"/>
      <c r="U120" s="231"/>
      <c r="V120" s="231"/>
      <c r="W120" s="231"/>
      <c r="X120" s="231"/>
      <c r="Y120" s="231"/>
      <c r="Z120" s="231"/>
      <c r="AA120" s="231"/>
      <c r="AB120" s="231"/>
      <c r="AC120" s="231"/>
      <c r="AD120" s="231"/>
      <c r="AE120" s="231"/>
      <c r="AF120" s="231"/>
      <c r="AG120" s="231"/>
      <c r="AH120" s="231"/>
      <c r="AI120" s="231"/>
      <c r="AJ120" s="231"/>
      <c r="AK120" s="231"/>
      <c r="AL120" s="231"/>
      <c r="AM120" s="231"/>
      <c r="AN120" s="231"/>
      <c r="AO120" s="231"/>
      <c r="AP120" s="231"/>
      <c r="AQ120" s="231"/>
      <c r="AR120" s="231"/>
      <c r="AS120" s="231"/>
      <c r="AT120" s="231"/>
      <c r="AU120" s="231"/>
      <c r="AV120" s="231"/>
      <c r="AW120" s="231"/>
      <c r="AX120" s="231"/>
      <c r="AY120" s="231"/>
      <c r="AZ120" s="231"/>
      <c r="BA120" s="231"/>
      <c r="BB120" s="231"/>
      <c r="BC120" s="231"/>
      <c r="BD120" s="231"/>
      <c r="BE120" s="231"/>
      <c r="BF120" s="231"/>
      <c r="BG120" s="231"/>
      <c r="BH120" s="231"/>
      <c r="BI120" s="231"/>
      <c r="BJ120" s="231"/>
      <c r="BK120" s="231"/>
      <c r="BL120" s="231"/>
      <c r="BM120" s="231"/>
      <c r="BN120" s="231"/>
      <c r="BO120" s="231"/>
    </row>
    <row r="121" spans="2:67" ht="14.25">
      <c r="B121" s="203"/>
      <c r="C121" s="203"/>
      <c r="D121" s="231"/>
      <c r="E121" s="231"/>
      <c r="F121" s="231"/>
      <c r="G121" s="231"/>
      <c r="H121" s="231"/>
      <c r="I121" s="231"/>
      <c r="J121" s="231"/>
      <c r="K121" s="231"/>
      <c r="L121" s="231"/>
      <c r="M121" s="231"/>
      <c r="N121" s="231"/>
      <c r="O121" s="231"/>
      <c r="P121" s="231"/>
      <c r="Q121" s="231"/>
      <c r="R121" s="231"/>
      <c r="S121" s="231"/>
      <c r="T121" s="231"/>
      <c r="U121" s="231"/>
      <c r="V121" s="231"/>
      <c r="W121" s="231"/>
      <c r="X121" s="231"/>
      <c r="Y121" s="231"/>
      <c r="Z121" s="231"/>
      <c r="AA121" s="231"/>
      <c r="AB121" s="231"/>
      <c r="AC121" s="231"/>
      <c r="AD121" s="231"/>
      <c r="AE121" s="231"/>
      <c r="AF121" s="231"/>
      <c r="AG121" s="231"/>
      <c r="AH121" s="231"/>
      <c r="AI121" s="231"/>
      <c r="AJ121" s="231"/>
      <c r="AK121" s="231"/>
      <c r="AL121" s="231"/>
      <c r="AM121" s="231"/>
      <c r="AN121" s="231"/>
      <c r="AO121" s="231"/>
      <c r="AP121" s="231"/>
      <c r="AQ121" s="231"/>
      <c r="AR121" s="231"/>
      <c r="AS121" s="231"/>
      <c r="AT121" s="231"/>
      <c r="AU121" s="231"/>
      <c r="AV121" s="231"/>
      <c r="AW121" s="231"/>
      <c r="AX121" s="231"/>
      <c r="AY121" s="231"/>
      <c r="AZ121" s="231"/>
      <c r="BA121" s="231"/>
      <c r="BB121" s="231"/>
      <c r="BC121" s="231"/>
      <c r="BD121" s="231"/>
      <c r="BE121" s="231"/>
      <c r="BF121" s="231"/>
      <c r="BG121" s="231"/>
      <c r="BH121" s="231"/>
      <c r="BI121" s="231"/>
      <c r="BJ121" s="231"/>
      <c r="BK121" s="231"/>
      <c r="BL121" s="231"/>
      <c r="BM121" s="231"/>
      <c r="BN121" s="231"/>
      <c r="BO121" s="231"/>
    </row>
    <row r="122" spans="2:67" ht="14.25">
      <c r="B122" s="203"/>
      <c r="C122" s="203"/>
      <c r="D122" s="231"/>
      <c r="E122" s="231"/>
      <c r="F122" s="231"/>
      <c r="G122" s="231"/>
      <c r="H122" s="231"/>
      <c r="I122" s="231"/>
      <c r="J122" s="231"/>
      <c r="K122" s="231"/>
      <c r="L122" s="231"/>
      <c r="M122" s="231"/>
      <c r="N122" s="231"/>
      <c r="O122" s="231"/>
      <c r="P122" s="231"/>
      <c r="Q122" s="231"/>
      <c r="R122" s="231"/>
      <c r="S122" s="231"/>
      <c r="T122" s="231"/>
      <c r="U122" s="231"/>
      <c r="V122" s="231"/>
      <c r="W122" s="231"/>
      <c r="X122" s="231"/>
      <c r="Y122" s="231"/>
      <c r="Z122" s="231"/>
      <c r="AA122" s="231"/>
      <c r="AB122" s="231"/>
      <c r="AC122" s="231"/>
      <c r="AD122" s="231"/>
      <c r="AE122" s="231"/>
      <c r="AF122" s="231"/>
      <c r="AG122" s="231"/>
      <c r="AH122" s="231"/>
      <c r="AI122" s="231"/>
      <c r="AJ122" s="231"/>
      <c r="AK122" s="231"/>
      <c r="AL122" s="231"/>
      <c r="AM122" s="231"/>
      <c r="AN122" s="231"/>
      <c r="AO122" s="231"/>
      <c r="AP122" s="231"/>
      <c r="AQ122" s="231"/>
      <c r="AR122" s="231"/>
      <c r="AS122" s="231"/>
      <c r="AT122" s="231"/>
      <c r="AU122" s="231"/>
      <c r="AV122" s="231"/>
      <c r="AW122" s="231"/>
      <c r="AX122" s="231"/>
      <c r="AY122" s="231"/>
      <c r="AZ122" s="231"/>
      <c r="BA122" s="231"/>
      <c r="BB122" s="231"/>
      <c r="BC122" s="231"/>
      <c r="BD122" s="231"/>
      <c r="BE122" s="231"/>
      <c r="BF122" s="231"/>
      <c r="BG122" s="231"/>
      <c r="BH122" s="231"/>
      <c r="BI122" s="231"/>
      <c r="BJ122" s="231"/>
      <c r="BK122" s="231"/>
      <c r="BL122" s="231"/>
      <c r="BM122" s="231"/>
      <c r="BN122" s="231"/>
      <c r="BO122" s="231"/>
    </row>
    <row r="123" spans="2:67" ht="14.25">
      <c r="B123" s="203"/>
      <c r="C123" s="203"/>
      <c r="D123" s="231"/>
      <c r="E123" s="231"/>
      <c r="F123" s="231"/>
      <c r="G123" s="231"/>
      <c r="H123" s="231"/>
      <c r="I123" s="231"/>
      <c r="J123" s="231"/>
      <c r="K123" s="231"/>
      <c r="L123" s="231"/>
      <c r="M123" s="231"/>
      <c r="N123" s="231"/>
      <c r="O123" s="231"/>
      <c r="P123" s="231"/>
      <c r="Q123" s="231"/>
      <c r="R123" s="231"/>
      <c r="S123" s="231"/>
      <c r="T123" s="231"/>
      <c r="U123" s="231"/>
      <c r="V123" s="231"/>
      <c r="W123" s="231"/>
      <c r="X123" s="231"/>
      <c r="Y123" s="231"/>
      <c r="Z123" s="231"/>
      <c r="AA123" s="231"/>
      <c r="AB123" s="231"/>
      <c r="AC123" s="231"/>
      <c r="AD123" s="231"/>
      <c r="AE123" s="231"/>
      <c r="AF123" s="231"/>
      <c r="AG123" s="231"/>
      <c r="AH123" s="231"/>
      <c r="AI123" s="231"/>
      <c r="AJ123" s="231"/>
      <c r="AK123" s="231"/>
      <c r="AL123" s="231"/>
      <c r="AM123" s="231"/>
      <c r="AN123" s="231"/>
      <c r="AO123" s="231"/>
      <c r="AP123" s="231"/>
      <c r="AQ123" s="231"/>
      <c r="AR123" s="231"/>
      <c r="AS123" s="231"/>
      <c r="AT123" s="231"/>
      <c r="AU123" s="231"/>
      <c r="AV123" s="231"/>
      <c r="AW123" s="231"/>
      <c r="AX123" s="231"/>
      <c r="AY123" s="231"/>
      <c r="AZ123" s="231"/>
      <c r="BA123" s="231"/>
      <c r="BB123" s="231"/>
      <c r="BC123" s="231"/>
      <c r="BD123" s="231"/>
      <c r="BE123" s="231"/>
      <c r="BF123" s="231"/>
      <c r="BG123" s="231"/>
      <c r="BH123" s="231"/>
      <c r="BI123" s="231"/>
      <c r="BJ123" s="231"/>
      <c r="BK123" s="231"/>
      <c r="BL123" s="231"/>
      <c r="BM123" s="231"/>
      <c r="BN123" s="231"/>
      <c r="BO123" s="231"/>
    </row>
    <row r="124" spans="2:67" ht="14.25">
      <c r="B124" s="203"/>
      <c r="C124" s="203"/>
      <c r="D124" s="231"/>
      <c r="E124" s="231"/>
      <c r="F124" s="231"/>
      <c r="G124" s="231"/>
      <c r="H124" s="231"/>
      <c r="I124" s="231"/>
      <c r="J124" s="231"/>
      <c r="K124" s="231"/>
      <c r="L124" s="231"/>
      <c r="M124" s="231"/>
      <c r="N124" s="231"/>
      <c r="O124" s="231"/>
      <c r="P124" s="231"/>
      <c r="Q124" s="231"/>
      <c r="R124" s="231"/>
      <c r="S124" s="231"/>
      <c r="T124" s="231"/>
      <c r="U124" s="231"/>
      <c r="V124" s="231"/>
      <c r="W124" s="231"/>
      <c r="X124" s="231"/>
      <c r="Y124" s="231"/>
      <c r="Z124" s="231"/>
      <c r="AA124" s="231"/>
      <c r="AB124" s="231"/>
      <c r="AC124" s="231"/>
      <c r="AD124" s="231"/>
      <c r="AE124" s="231"/>
      <c r="AF124" s="231"/>
      <c r="AG124" s="231"/>
      <c r="AH124" s="231"/>
      <c r="AI124" s="231"/>
      <c r="AJ124" s="231"/>
      <c r="AK124" s="231"/>
      <c r="AL124" s="231"/>
      <c r="AM124" s="231"/>
      <c r="AN124" s="231"/>
      <c r="AO124" s="231"/>
      <c r="AP124" s="231"/>
      <c r="AQ124" s="231"/>
      <c r="AR124" s="231"/>
      <c r="AS124" s="231"/>
      <c r="AT124" s="231"/>
      <c r="AU124" s="231"/>
      <c r="AV124" s="231"/>
      <c r="AW124" s="231"/>
      <c r="AX124" s="231"/>
      <c r="AY124" s="231"/>
      <c r="AZ124" s="231"/>
      <c r="BA124" s="231"/>
      <c r="BB124" s="231"/>
      <c r="BC124" s="231"/>
      <c r="BD124" s="231"/>
      <c r="BE124" s="231"/>
      <c r="BF124" s="231"/>
      <c r="BG124" s="231"/>
      <c r="BH124" s="231"/>
      <c r="BI124" s="231"/>
      <c r="BJ124" s="231"/>
      <c r="BK124" s="231"/>
      <c r="BL124" s="231"/>
      <c r="BM124" s="231"/>
      <c r="BN124" s="231"/>
      <c r="BO124" s="231"/>
    </row>
    <row r="125" spans="2:67" ht="14.25">
      <c r="B125" s="203"/>
      <c r="C125" s="203"/>
      <c r="D125" s="231"/>
      <c r="E125" s="231"/>
      <c r="F125" s="231"/>
      <c r="G125" s="231"/>
      <c r="H125" s="231"/>
      <c r="I125" s="231"/>
      <c r="J125" s="231"/>
      <c r="K125" s="231"/>
      <c r="L125" s="231"/>
      <c r="M125" s="231"/>
      <c r="N125" s="231"/>
      <c r="O125" s="231"/>
      <c r="P125" s="231"/>
      <c r="Q125" s="231"/>
      <c r="R125" s="231"/>
      <c r="S125" s="231"/>
      <c r="T125" s="231"/>
      <c r="U125" s="231"/>
      <c r="V125" s="231"/>
      <c r="W125" s="231"/>
      <c r="X125" s="231"/>
      <c r="Y125" s="231"/>
      <c r="Z125" s="231"/>
      <c r="AA125" s="231"/>
      <c r="AB125" s="231"/>
      <c r="AC125" s="231"/>
      <c r="AD125" s="231"/>
      <c r="AE125" s="231"/>
      <c r="AF125" s="231"/>
      <c r="AG125" s="231"/>
      <c r="AH125" s="231"/>
      <c r="AI125" s="231"/>
      <c r="AJ125" s="231"/>
      <c r="AK125" s="231"/>
      <c r="AL125" s="231"/>
      <c r="AM125" s="231"/>
      <c r="AN125" s="231"/>
      <c r="AO125" s="231"/>
      <c r="AP125" s="231"/>
      <c r="AQ125" s="231"/>
      <c r="AR125" s="231"/>
      <c r="AS125" s="231"/>
      <c r="AT125" s="231"/>
      <c r="AU125" s="231"/>
      <c r="AV125" s="231"/>
      <c r="AW125" s="231"/>
      <c r="AX125" s="231"/>
      <c r="AY125" s="231"/>
      <c r="AZ125" s="231"/>
      <c r="BA125" s="231"/>
      <c r="BB125" s="231"/>
      <c r="BC125" s="231"/>
      <c r="BD125" s="231"/>
      <c r="BE125" s="231"/>
      <c r="BF125" s="231"/>
      <c r="BG125" s="231"/>
      <c r="BH125" s="231"/>
      <c r="BI125" s="231"/>
      <c r="BJ125" s="231"/>
      <c r="BK125" s="231"/>
      <c r="BL125" s="231"/>
      <c r="BM125" s="231"/>
      <c r="BN125" s="231"/>
      <c r="BO125" s="231"/>
    </row>
    <row r="126" spans="2:67" ht="14.25">
      <c r="B126" s="203"/>
      <c r="C126" s="203"/>
      <c r="D126" s="231"/>
      <c r="E126" s="231"/>
      <c r="F126" s="231"/>
      <c r="G126" s="231"/>
      <c r="H126" s="231"/>
      <c r="I126" s="231"/>
      <c r="J126" s="231"/>
      <c r="K126" s="231"/>
      <c r="L126" s="231"/>
      <c r="M126" s="231"/>
      <c r="N126" s="231"/>
      <c r="O126" s="231"/>
      <c r="P126" s="231"/>
      <c r="Q126" s="231"/>
      <c r="R126" s="231"/>
      <c r="S126" s="231"/>
      <c r="T126" s="231"/>
      <c r="U126" s="231"/>
      <c r="V126" s="231"/>
      <c r="W126" s="231"/>
      <c r="X126" s="231"/>
      <c r="Y126" s="231"/>
      <c r="Z126" s="231"/>
      <c r="AA126" s="231"/>
      <c r="AB126" s="231"/>
      <c r="AC126" s="231"/>
      <c r="AD126" s="231"/>
      <c r="AE126" s="231"/>
      <c r="AF126" s="231"/>
      <c r="AG126" s="231"/>
      <c r="AH126" s="231"/>
      <c r="AI126" s="231"/>
      <c r="AJ126" s="231"/>
      <c r="AK126" s="231"/>
      <c r="AL126" s="231"/>
      <c r="AM126" s="231"/>
      <c r="AN126" s="231"/>
      <c r="AO126" s="231"/>
      <c r="AP126" s="231"/>
      <c r="AQ126" s="231"/>
      <c r="AR126" s="231"/>
      <c r="AS126" s="231"/>
      <c r="AT126" s="231"/>
      <c r="AU126" s="231"/>
      <c r="AV126" s="231"/>
      <c r="AW126" s="231"/>
      <c r="AX126" s="231"/>
      <c r="AY126" s="231"/>
      <c r="AZ126" s="231"/>
      <c r="BA126" s="231"/>
      <c r="BB126" s="231"/>
      <c r="BC126" s="231"/>
      <c r="BD126" s="231"/>
      <c r="BE126" s="231"/>
      <c r="BF126" s="231"/>
      <c r="BG126" s="231"/>
      <c r="BH126" s="231"/>
      <c r="BI126" s="231"/>
      <c r="BJ126" s="231"/>
      <c r="BK126" s="231"/>
      <c r="BL126" s="231"/>
      <c r="BM126" s="231"/>
      <c r="BN126" s="231"/>
      <c r="BO126" s="231"/>
    </row>
    <row r="127" spans="2:67" ht="14.25">
      <c r="B127" s="203"/>
      <c r="C127" s="203"/>
      <c r="D127" s="231"/>
      <c r="E127" s="231"/>
      <c r="F127" s="231"/>
      <c r="G127" s="231"/>
      <c r="H127" s="231"/>
      <c r="I127" s="231"/>
      <c r="J127" s="231"/>
      <c r="K127" s="231"/>
      <c r="L127" s="231"/>
      <c r="M127" s="231"/>
      <c r="N127" s="231"/>
      <c r="O127" s="231"/>
      <c r="P127" s="231"/>
      <c r="Q127" s="231"/>
      <c r="R127" s="231"/>
      <c r="S127" s="231"/>
      <c r="T127" s="231"/>
      <c r="U127" s="231"/>
      <c r="V127" s="231"/>
      <c r="W127" s="231"/>
      <c r="X127" s="231"/>
      <c r="Y127" s="231"/>
      <c r="Z127" s="231"/>
      <c r="AA127" s="231"/>
      <c r="AB127" s="231"/>
      <c r="AC127" s="231"/>
      <c r="AD127" s="231"/>
      <c r="AE127" s="231"/>
      <c r="AF127" s="231"/>
      <c r="AG127" s="231"/>
      <c r="AH127" s="231"/>
      <c r="AI127" s="231"/>
      <c r="AJ127" s="231"/>
      <c r="AK127" s="231"/>
      <c r="AL127" s="231"/>
      <c r="AM127" s="231"/>
      <c r="AN127" s="231"/>
      <c r="AO127" s="231"/>
      <c r="AP127" s="231"/>
      <c r="AQ127" s="231"/>
      <c r="AR127" s="231"/>
      <c r="AS127" s="231"/>
      <c r="AT127" s="231"/>
      <c r="AU127" s="231"/>
      <c r="AV127" s="231"/>
      <c r="AW127" s="231"/>
      <c r="AX127" s="231"/>
      <c r="AY127" s="231"/>
      <c r="AZ127" s="231"/>
      <c r="BA127" s="231"/>
      <c r="BB127" s="231"/>
      <c r="BC127" s="231"/>
      <c r="BD127" s="231"/>
      <c r="BE127" s="231"/>
      <c r="BF127" s="231"/>
      <c r="BG127" s="231"/>
      <c r="BH127" s="231"/>
      <c r="BI127" s="231"/>
      <c r="BJ127" s="231"/>
      <c r="BK127" s="231"/>
      <c r="BL127" s="231"/>
      <c r="BM127" s="231"/>
      <c r="BN127" s="231"/>
      <c r="BO127" s="231"/>
    </row>
    <row r="128" spans="2:67" ht="14.25">
      <c r="B128" s="203"/>
      <c r="C128" s="203"/>
      <c r="D128" s="231"/>
      <c r="E128" s="231"/>
      <c r="F128" s="231"/>
      <c r="G128" s="231"/>
      <c r="H128" s="231"/>
      <c r="I128" s="231"/>
      <c r="J128" s="231"/>
      <c r="K128" s="231"/>
      <c r="L128" s="231"/>
      <c r="M128" s="231"/>
      <c r="N128" s="231"/>
      <c r="O128" s="231"/>
      <c r="P128" s="231"/>
      <c r="Q128" s="231"/>
      <c r="R128" s="231"/>
      <c r="S128" s="231"/>
      <c r="T128" s="231"/>
      <c r="U128" s="231"/>
      <c r="V128" s="231"/>
      <c r="W128" s="231"/>
      <c r="X128" s="231"/>
      <c r="Y128" s="231"/>
      <c r="Z128" s="231"/>
      <c r="AA128" s="231"/>
      <c r="AB128" s="231"/>
      <c r="AC128" s="231"/>
      <c r="AD128" s="231"/>
      <c r="AE128" s="231"/>
      <c r="AF128" s="231"/>
      <c r="AG128" s="231"/>
      <c r="AH128" s="231"/>
      <c r="AI128" s="231"/>
      <c r="AJ128" s="231"/>
      <c r="AK128" s="231"/>
      <c r="AL128" s="231"/>
      <c r="AM128" s="231"/>
      <c r="AN128" s="231"/>
      <c r="AO128" s="231"/>
      <c r="AP128" s="231"/>
      <c r="AQ128" s="231"/>
      <c r="AR128" s="231"/>
      <c r="AS128" s="231"/>
      <c r="AT128" s="231"/>
      <c r="AU128" s="231"/>
      <c r="AV128" s="231"/>
      <c r="AW128" s="231"/>
      <c r="AX128" s="231"/>
      <c r="AY128" s="231"/>
      <c r="AZ128" s="231"/>
      <c r="BA128" s="231"/>
      <c r="BB128" s="231"/>
      <c r="BC128" s="231"/>
      <c r="BD128" s="231"/>
      <c r="BE128" s="231"/>
      <c r="BF128" s="231"/>
      <c r="BG128" s="231"/>
      <c r="BH128" s="231"/>
      <c r="BI128" s="231"/>
      <c r="BJ128" s="231"/>
      <c r="BK128" s="231"/>
      <c r="BL128" s="231"/>
      <c r="BM128" s="231"/>
      <c r="BN128" s="231"/>
      <c r="BO128" s="231"/>
    </row>
    <row r="129" spans="2:67" ht="14.25">
      <c r="B129" s="203"/>
      <c r="C129" s="203"/>
      <c r="D129" s="231"/>
      <c r="E129" s="231"/>
      <c r="F129" s="231"/>
      <c r="G129" s="231"/>
      <c r="H129" s="231"/>
      <c r="I129" s="231"/>
      <c r="J129" s="231"/>
      <c r="K129" s="231"/>
      <c r="L129" s="231"/>
      <c r="M129" s="231"/>
      <c r="N129" s="231"/>
      <c r="O129" s="231"/>
      <c r="P129" s="231"/>
      <c r="Q129" s="231"/>
      <c r="R129" s="231"/>
      <c r="S129" s="231"/>
      <c r="T129" s="231"/>
      <c r="U129" s="231"/>
      <c r="V129" s="231"/>
      <c r="W129" s="231"/>
      <c r="X129" s="231"/>
      <c r="Y129" s="231"/>
      <c r="Z129" s="231"/>
      <c r="AA129" s="231"/>
      <c r="AB129" s="231"/>
      <c r="AC129" s="231"/>
      <c r="AD129" s="231"/>
      <c r="AE129" s="231"/>
      <c r="AF129" s="231"/>
      <c r="AG129" s="231"/>
      <c r="AH129" s="231"/>
      <c r="AI129" s="231"/>
      <c r="AJ129" s="231"/>
      <c r="AK129" s="231"/>
      <c r="AL129" s="231"/>
      <c r="AM129" s="231"/>
      <c r="AN129" s="231"/>
      <c r="AO129" s="231"/>
      <c r="AP129" s="231"/>
      <c r="AQ129" s="231"/>
      <c r="AR129" s="231"/>
      <c r="AS129" s="231"/>
      <c r="AT129" s="231"/>
      <c r="AU129" s="231"/>
      <c r="AV129" s="231"/>
      <c r="AW129" s="231"/>
      <c r="AX129" s="231"/>
      <c r="AY129" s="231"/>
      <c r="AZ129" s="231"/>
      <c r="BA129" s="231"/>
      <c r="BB129" s="231"/>
      <c r="BC129" s="231"/>
      <c r="BD129" s="231"/>
      <c r="BE129" s="231"/>
      <c r="BF129" s="231"/>
      <c r="BG129" s="231"/>
      <c r="BH129" s="231"/>
      <c r="BI129" s="231"/>
      <c r="BJ129" s="231"/>
      <c r="BK129" s="231"/>
      <c r="BL129" s="231"/>
      <c r="BM129" s="231"/>
      <c r="BN129" s="231"/>
      <c r="BO129" s="231"/>
    </row>
    <row r="130" spans="2:67" ht="14.25">
      <c r="B130" s="203"/>
      <c r="C130" s="203"/>
      <c r="D130" s="231"/>
      <c r="E130" s="231"/>
      <c r="F130" s="231"/>
      <c r="G130" s="231"/>
      <c r="H130" s="231"/>
      <c r="I130" s="231"/>
      <c r="J130" s="231"/>
      <c r="K130" s="231"/>
      <c r="L130" s="231"/>
      <c r="M130" s="231"/>
      <c r="N130" s="231"/>
      <c r="O130" s="231"/>
      <c r="P130" s="231"/>
      <c r="Q130" s="231"/>
      <c r="R130" s="231"/>
      <c r="S130" s="231"/>
      <c r="T130" s="231"/>
      <c r="U130" s="231"/>
      <c r="V130" s="231"/>
      <c r="W130" s="231"/>
      <c r="X130" s="231"/>
      <c r="Y130" s="231"/>
      <c r="Z130" s="231"/>
      <c r="AA130" s="231"/>
      <c r="AB130" s="231"/>
      <c r="AC130" s="231"/>
      <c r="AD130" s="231"/>
      <c r="AE130" s="231"/>
      <c r="AF130" s="231"/>
      <c r="AG130" s="231"/>
      <c r="AH130" s="231"/>
      <c r="AI130" s="231"/>
      <c r="AJ130" s="231"/>
      <c r="AK130" s="231"/>
      <c r="AL130" s="231"/>
      <c r="AM130" s="231"/>
      <c r="AN130" s="231"/>
      <c r="AO130" s="231"/>
      <c r="AP130" s="231"/>
      <c r="AQ130" s="231"/>
      <c r="AR130" s="231"/>
      <c r="AS130" s="231"/>
      <c r="AT130" s="231"/>
      <c r="AU130" s="231"/>
      <c r="AV130" s="231"/>
      <c r="AW130" s="231"/>
      <c r="AX130" s="231"/>
      <c r="AY130" s="231"/>
      <c r="AZ130" s="231"/>
      <c r="BA130" s="231"/>
      <c r="BB130" s="231"/>
      <c r="BC130" s="231"/>
      <c r="BD130" s="231"/>
      <c r="BE130" s="231"/>
      <c r="BF130" s="231"/>
      <c r="BG130" s="231"/>
      <c r="BH130" s="231"/>
      <c r="BI130" s="231"/>
      <c r="BJ130" s="231"/>
      <c r="BK130" s="231"/>
      <c r="BL130" s="231"/>
      <c r="BM130" s="231"/>
      <c r="BN130" s="231"/>
      <c r="BO130" s="231"/>
    </row>
    <row r="131" spans="2:67" ht="14.25">
      <c r="B131" s="203"/>
      <c r="C131" s="203"/>
      <c r="D131" s="231"/>
      <c r="E131" s="231"/>
      <c r="F131" s="231"/>
      <c r="G131" s="231"/>
      <c r="H131" s="231"/>
      <c r="I131" s="231"/>
      <c r="J131" s="231"/>
      <c r="K131" s="231"/>
      <c r="L131" s="231"/>
      <c r="M131" s="231"/>
      <c r="N131" s="231"/>
      <c r="O131" s="231"/>
      <c r="P131" s="231"/>
      <c r="Q131" s="231"/>
      <c r="R131" s="231"/>
      <c r="S131" s="231"/>
      <c r="T131" s="231"/>
      <c r="U131" s="231"/>
      <c r="V131" s="231"/>
      <c r="W131" s="231"/>
      <c r="X131" s="231"/>
      <c r="Y131" s="231"/>
      <c r="Z131" s="231"/>
      <c r="AA131" s="231"/>
      <c r="AB131" s="231"/>
      <c r="AC131" s="231"/>
      <c r="AD131" s="231"/>
      <c r="AE131" s="231"/>
      <c r="AF131" s="231"/>
      <c r="AG131" s="231"/>
      <c r="AH131" s="231"/>
      <c r="AI131" s="231"/>
      <c r="AJ131" s="231"/>
      <c r="AK131" s="231"/>
      <c r="AL131" s="231"/>
      <c r="AM131" s="231"/>
      <c r="AN131" s="231"/>
      <c r="AO131" s="231"/>
      <c r="AP131" s="231"/>
      <c r="AQ131" s="231"/>
      <c r="AR131" s="231"/>
      <c r="AS131" s="231"/>
      <c r="AT131" s="231"/>
      <c r="AU131" s="231"/>
      <c r="AV131" s="231"/>
      <c r="AW131" s="231"/>
      <c r="AX131" s="231"/>
      <c r="AY131" s="231"/>
      <c r="AZ131" s="231"/>
      <c r="BA131" s="231"/>
      <c r="BB131" s="231"/>
      <c r="BC131" s="231"/>
      <c r="BD131" s="231"/>
      <c r="BE131" s="231"/>
      <c r="BF131" s="231"/>
      <c r="BG131" s="231"/>
      <c r="BH131" s="231"/>
      <c r="BI131" s="231"/>
      <c r="BJ131" s="231"/>
      <c r="BK131" s="231"/>
      <c r="BL131" s="231"/>
      <c r="BM131" s="231"/>
      <c r="BN131" s="231"/>
      <c r="BO131" s="231"/>
    </row>
    <row r="132" spans="2:67" ht="14.25">
      <c r="B132" s="203"/>
      <c r="C132" s="203"/>
      <c r="D132" s="231"/>
      <c r="E132" s="231"/>
      <c r="F132" s="231"/>
      <c r="G132" s="231"/>
      <c r="H132" s="231"/>
      <c r="I132" s="231"/>
      <c r="J132" s="231"/>
      <c r="K132" s="231"/>
      <c r="L132" s="231"/>
      <c r="M132" s="231"/>
      <c r="N132" s="231"/>
      <c r="O132" s="231"/>
      <c r="P132" s="231"/>
      <c r="Q132" s="231"/>
      <c r="R132" s="231"/>
      <c r="S132" s="231"/>
      <c r="T132" s="231"/>
      <c r="U132" s="231"/>
      <c r="V132" s="231"/>
      <c r="W132" s="231"/>
      <c r="X132" s="231"/>
      <c r="Y132" s="231"/>
      <c r="Z132" s="231"/>
      <c r="AA132" s="231"/>
      <c r="AB132" s="231"/>
      <c r="AC132" s="231"/>
      <c r="AD132" s="231"/>
      <c r="AE132" s="231"/>
      <c r="AF132" s="231"/>
      <c r="AG132" s="231"/>
      <c r="AH132" s="231"/>
      <c r="AI132" s="231"/>
      <c r="AJ132" s="231"/>
      <c r="AK132" s="231"/>
      <c r="AL132" s="231"/>
      <c r="AM132" s="231"/>
      <c r="AN132" s="231"/>
      <c r="AO132" s="231"/>
      <c r="AP132" s="231"/>
      <c r="AQ132" s="231"/>
      <c r="AR132" s="231"/>
      <c r="AS132" s="231"/>
      <c r="AT132" s="231"/>
      <c r="AU132" s="231"/>
      <c r="AV132" s="231"/>
      <c r="AW132" s="231"/>
      <c r="AX132" s="231"/>
      <c r="AY132" s="231"/>
      <c r="AZ132" s="231"/>
      <c r="BA132" s="231"/>
      <c r="BB132" s="231"/>
      <c r="BC132" s="231"/>
      <c r="BD132" s="231"/>
      <c r="BE132" s="231"/>
      <c r="BF132" s="231"/>
      <c r="BG132" s="231"/>
      <c r="BH132" s="231"/>
      <c r="BI132" s="231"/>
      <c r="BJ132" s="231"/>
      <c r="BK132" s="231"/>
      <c r="BL132" s="231"/>
      <c r="BM132" s="231"/>
      <c r="BN132" s="231"/>
      <c r="BO132" s="231"/>
    </row>
    <row r="133" spans="2:67" ht="14.25">
      <c r="B133" s="203"/>
      <c r="C133" s="203"/>
      <c r="D133" s="231"/>
      <c r="E133" s="231"/>
      <c r="F133" s="231"/>
      <c r="G133" s="231"/>
      <c r="H133" s="231"/>
      <c r="I133" s="231"/>
      <c r="J133" s="231"/>
      <c r="K133" s="231"/>
      <c r="L133" s="231"/>
      <c r="M133" s="231"/>
      <c r="N133" s="231"/>
      <c r="O133" s="231"/>
      <c r="P133" s="231"/>
      <c r="Q133" s="231"/>
      <c r="R133" s="231"/>
      <c r="S133" s="231"/>
      <c r="T133" s="231"/>
      <c r="U133" s="231"/>
      <c r="V133" s="231"/>
      <c r="W133" s="231"/>
      <c r="X133" s="231"/>
      <c r="Y133" s="231"/>
      <c r="Z133" s="231"/>
      <c r="AA133" s="231"/>
      <c r="AB133" s="231"/>
      <c r="AC133" s="231"/>
      <c r="AD133" s="231"/>
      <c r="AE133" s="231"/>
      <c r="AF133" s="231"/>
      <c r="AG133" s="231"/>
      <c r="AH133" s="231"/>
      <c r="AI133" s="231"/>
      <c r="AJ133" s="231"/>
      <c r="AK133" s="231"/>
      <c r="AL133" s="231"/>
      <c r="AM133" s="231"/>
      <c r="AN133" s="231"/>
      <c r="AO133" s="231"/>
      <c r="AP133" s="231"/>
      <c r="AQ133" s="231"/>
      <c r="AR133" s="231"/>
      <c r="AS133" s="231"/>
      <c r="AT133" s="231"/>
      <c r="AU133" s="231"/>
      <c r="AV133" s="231"/>
      <c r="AW133" s="231"/>
      <c r="AX133" s="231"/>
      <c r="AY133" s="231"/>
      <c r="AZ133" s="231"/>
      <c r="BA133" s="231"/>
      <c r="BB133" s="231"/>
      <c r="BC133" s="231"/>
      <c r="BD133" s="231"/>
      <c r="BE133" s="231"/>
      <c r="BF133" s="231"/>
      <c r="BG133" s="231"/>
      <c r="BH133" s="231"/>
      <c r="BI133" s="231"/>
      <c r="BJ133" s="231"/>
      <c r="BK133" s="231"/>
      <c r="BL133" s="231"/>
      <c r="BM133" s="231"/>
      <c r="BN133" s="231"/>
      <c r="BO133" s="231"/>
    </row>
    <row r="134" spans="2:67" ht="14.25">
      <c r="B134" s="203"/>
      <c r="C134" s="203"/>
      <c r="D134" s="231"/>
      <c r="E134" s="231"/>
      <c r="F134" s="231"/>
      <c r="G134" s="231"/>
      <c r="H134" s="231"/>
      <c r="I134" s="231"/>
      <c r="J134" s="231"/>
      <c r="K134" s="231"/>
      <c r="L134" s="231"/>
      <c r="M134" s="231"/>
      <c r="N134" s="231"/>
      <c r="O134" s="231"/>
      <c r="P134" s="231"/>
      <c r="Q134" s="231"/>
      <c r="R134" s="231"/>
      <c r="S134" s="231"/>
      <c r="T134" s="231"/>
      <c r="U134" s="231"/>
      <c r="V134" s="231"/>
      <c r="W134" s="231"/>
      <c r="X134" s="231"/>
      <c r="Y134" s="231"/>
      <c r="Z134" s="231"/>
      <c r="AA134" s="231"/>
      <c r="AB134" s="231"/>
      <c r="AC134" s="231"/>
      <c r="AD134" s="231"/>
      <c r="AE134" s="231"/>
      <c r="AF134" s="231"/>
      <c r="AG134" s="231"/>
      <c r="AH134" s="231"/>
      <c r="AI134" s="231"/>
      <c r="AJ134" s="231"/>
      <c r="AK134" s="231"/>
      <c r="AL134" s="231"/>
      <c r="AM134" s="231"/>
      <c r="AN134" s="231"/>
      <c r="AO134" s="231"/>
      <c r="AP134" s="231"/>
      <c r="AQ134" s="231"/>
      <c r="AR134" s="231"/>
      <c r="AS134" s="231"/>
      <c r="AT134" s="231"/>
      <c r="AU134" s="231"/>
      <c r="AV134" s="231"/>
      <c r="AW134" s="231"/>
      <c r="AX134" s="231"/>
      <c r="AY134" s="231"/>
      <c r="AZ134" s="231"/>
      <c r="BA134" s="231"/>
      <c r="BB134" s="231"/>
      <c r="BC134" s="231"/>
      <c r="BD134" s="231"/>
      <c r="BE134" s="231"/>
      <c r="BF134" s="231"/>
      <c r="BG134" s="231"/>
      <c r="BH134" s="231"/>
      <c r="BI134" s="231"/>
      <c r="BJ134" s="231"/>
      <c r="BK134" s="231"/>
      <c r="BL134" s="231"/>
      <c r="BM134" s="231"/>
      <c r="BN134" s="231"/>
      <c r="BO134" s="231"/>
    </row>
    <row r="135" spans="2:67" ht="14.25">
      <c r="B135" s="203"/>
      <c r="C135" s="203"/>
      <c r="D135" s="231"/>
      <c r="E135" s="231"/>
      <c r="F135" s="231"/>
      <c r="G135" s="231"/>
      <c r="H135" s="231"/>
      <c r="I135" s="231"/>
      <c r="J135" s="231"/>
      <c r="K135" s="231"/>
      <c r="L135" s="231"/>
      <c r="M135" s="231"/>
      <c r="N135" s="231"/>
      <c r="O135" s="231"/>
      <c r="P135" s="231"/>
      <c r="Q135" s="231"/>
      <c r="R135" s="231"/>
      <c r="S135" s="231"/>
      <c r="T135" s="231"/>
      <c r="U135" s="231"/>
      <c r="V135" s="231"/>
      <c r="W135" s="231"/>
      <c r="X135" s="231"/>
      <c r="Y135" s="231"/>
      <c r="Z135" s="231"/>
      <c r="AA135" s="231"/>
      <c r="AB135" s="231"/>
      <c r="AC135" s="231"/>
      <c r="AD135" s="231"/>
      <c r="AE135" s="231"/>
      <c r="AF135" s="231"/>
      <c r="AG135" s="231"/>
      <c r="AH135" s="231"/>
      <c r="AI135" s="231"/>
      <c r="AJ135" s="231"/>
      <c r="AK135" s="231"/>
      <c r="AL135" s="231"/>
      <c r="AM135" s="231"/>
      <c r="AN135" s="231"/>
      <c r="AO135" s="231"/>
      <c r="AP135" s="231"/>
      <c r="AQ135" s="231"/>
      <c r="AR135" s="231"/>
      <c r="AS135" s="231"/>
      <c r="AT135" s="231"/>
      <c r="AU135" s="231"/>
      <c r="AV135" s="231"/>
      <c r="AW135" s="231"/>
      <c r="AX135" s="231"/>
      <c r="AY135" s="231"/>
      <c r="AZ135" s="231"/>
      <c r="BA135" s="231"/>
      <c r="BB135" s="231"/>
      <c r="BC135" s="231"/>
      <c r="BD135" s="231"/>
      <c r="BE135" s="231"/>
      <c r="BF135" s="231"/>
      <c r="BG135" s="231"/>
      <c r="BH135" s="231"/>
      <c r="BI135" s="231"/>
      <c r="BJ135" s="231"/>
      <c r="BK135" s="231"/>
      <c r="BL135" s="231"/>
      <c r="BM135" s="231"/>
      <c r="BN135" s="231"/>
      <c r="BO135" s="231"/>
    </row>
    <row r="136" spans="2:67" ht="14.25">
      <c r="B136" s="203"/>
      <c r="C136" s="203"/>
      <c r="D136" s="231"/>
      <c r="E136" s="231"/>
      <c r="F136" s="231"/>
      <c r="G136" s="231"/>
      <c r="H136" s="231"/>
      <c r="I136" s="231"/>
      <c r="J136" s="231"/>
      <c r="K136" s="231"/>
      <c r="L136" s="231"/>
      <c r="M136" s="231"/>
      <c r="N136" s="231"/>
      <c r="O136" s="231"/>
      <c r="P136" s="231"/>
      <c r="Q136" s="231"/>
      <c r="R136" s="231"/>
      <c r="S136" s="231"/>
      <c r="T136" s="231"/>
      <c r="U136" s="231"/>
      <c r="V136" s="231"/>
      <c r="W136" s="231"/>
      <c r="X136" s="231"/>
      <c r="Y136" s="231"/>
      <c r="Z136" s="231"/>
      <c r="AA136" s="231"/>
      <c r="AB136" s="231"/>
      <c r="AC136" s="231"/>
      <c r="AD136" s="231"/>
      <c r="AE136" s="231"/>
      <c r="AF136" s="231"/>
      <c r="AG136" s="231"/>
      <c r="AH136" s="231"/>
      <c r="AI136" s="231"/>
      <c r="AJ136" s="231"/>
      <c r="AK136" s="231"/>
      <c r="AL136" s="231"/>
      <c r="AM136" s="231"/>
      <c r="AN136" s="231"/>
      <c r="AO136" s="231"/>
      <c r="AP136" s="231"/>
      <c r="AQ136" s="231"/>
      <c r="AR136" s="231"/>
      <c r="AS136" s="231"/>
      <c r="AT136" s="231"/>
      <c r="AU136" s="231"/>
      <c r="AV136" s="231"/>
      <c r="AW136" s="231"/>
      <c r="AX136" s="231"/>
      <c r="AY136" s="231"/>
      <c r="AZ136" s="231"/>
      <c r="BA136" s="231"/>
      <c r="BB136" s="231"/>
      <c r="BC136" s="231"/>
      <c r="BD136" s="231"/>
      <c r="BE136" s="231"/>
      <c r="BF136" s="231"/>
      <c r="BG136" s="231"/>
      <c r="BH136" s="231"/>
      <c r="BI136" s="231"/>
      <c r="BJ136" s="231"/>
      <c r="BK136" s="231"/>
      <c r="BL136" s="231"/>
      <c r="BM136" s="231"/>
      <c r="BN136" s="231"/>
      <c r="BO136" s="231"/>
    </row>
    <row r="137" spans="2:67" ht="14.25">
      <c r="B137" s="203"/>
      <c r="C137" s="203"/>
      <c r="D137" s="231"/>
      <c r="E137" s="231"/>
      <c r="F137" s="231"/>
      <c r="G137" s="231"/>
      <c r="H137" s="231"/>
      <c r="I137" s="231"/>
      <c r="J137" s="231"/>
      <c r="K137" s="231"/>
      <c r="L137" s="231"/>
      <c r="M137" s="231"/>
      <c r="N137" s="231"/>
      <c r="O137" s="231"/>
      <c r="P137" s="231"/>
      <c r="Q137" s="231"/>
      <c r="R137" s="231"/>
      <c r="S137" s="231"/>
      <c r="T137" s="231"/>
      <c r="U137" s="231"/>
      <c r="V137" s="231"/>
      <c r="W137" s="231"/>
      <c r="X137" s="231"/>
      <c r="Y137" s="231"/>
      <c r="Z137" s="231"/>
      <c r="AA137" s="231"/>
      <c r="AB137" s="231"/>
      <c r="AC137" s="231"/>
      <c r="AD137" s="231"/>
      <c r="AE137" s="231"/>
      <c r="AF137" s="231"/>
      <c r="AG137" s="231"/>
      <c r="AH137" s="231"/>
      <c r="AI137" s="231"/>
      <c r="AJ137" s="231"/>
      <c r="AK137" s="231"/>
      <c r="AL137" s="231"/>
      <c r="AM137" s="231"/>
      <c r="AN137" s="231"/>
      <c r="AO137" s="231"/>
      <c r="AP137" s="231"/>
      <c r="AQ137" s="231"/>
      <c r="AR137" s="231"/>
      <c r="AS137" s="231"/>
      <c r="AT137" s="231"/>
      <c r="AU137" s="231"/>
      <c r="AV137" s="231"/>
      <c r="AW137" s="231"/>
      <c r="AX137" s="231"/>
      <c r="AY137" s="231"/>
      <c r="AZ137" s="231"/>
      <c r="BA137" s="231"/>
      <c r="BB137" s="231"/>
      <c r="BC137" s="231"/>
      <c r="BD137" s="231"/>
      <c r="BE137" s="231"/>
      <c r="BF137" s="231"/>
      <c r="BG137" s="231"/>
      <c r="BH137" s="231"/>
      <c r="BI137" s="231"/>
      <c r="BJ137" s="231"/>
      <c r="BK137" s="231"/>
      <c r="BL137" s="231"/>
      <c r="BM137" s="231"/>
      <c r="BN137" s="231"/>
      <c r="BO137" s="231"/>
    </row>
    <row r="138" spans="2:67" ht="14.25">
      <c r="B138" s="203"/>
      <c r="C138" s="203"/>
      <c r="D138" s="231"/>
      <c r="E138" s="231"/>
      <c r="F138" s="231"/>
      <c r="G138" s="231"/>
      <c r="H138" s="231"/>
      <c r="I138" s="231"/>
      <c r="J138" s="231"/>
      <c r="K138" s="231"/>
      <c r="L138" s="231"/>
      <c r="M138" s="231"/>
      <c r="N138" s="231"/>
      <c r="O138" s="231"/>
      <c r="P138" s="231"/>
      <c r="Q138" s="231"/>
      <c r="R138" s="231"/>
      <c r="S138" s="231"/>
      <c r="T138" s="231"/>
      <c r="U138" s="231"/>
      <c r="V138" s="231"/>
      <c r="W138" s="231"/>
      <c r="X138" s="231"/>
      <c r="Y138" s="231"/>
      <c r="Z138" s="231"/>
      <c r="AA138" s="231"/>
      <c r="AB138" s="231"/>
      <c r="AC138" s="231"/>
      <c r="AD138" s="231"/>
      <c r="AE138" s="231"/>
      <c r="AF138" s="231"/>
      <c r="AG138" s="231"/>
      <c r="AH138" s="231"/>
      <c r="AI138" s="231"/>
      <c r="AJ138" s="231"/>
      <c r="AK138" s="231"/>
      <c r="AL138" s="231"/>
      <c r="AM138" s="231"/>
      <c r="AN138" s="231"/>
      <c r="AO138" s="231"/>
      <c r="AP138" s="231"/>
      <c r="AQ138" s="231"/>
      <c r="AR138" s="231"/>
      <c r="AS138" s="231"/>
      <c r="AT138" s="231"/>
      <c r="AU138" s="231"/>
      <c r="AV138" s="231"/>
      <c r="AW138" s="231"/>
      <c r="AX138" s="231"/>
      <c r="AY138" s="231"/>
      <c r="AZ138" s="231"/>
      <c r="BA138" s="231"/>
      <c r="BB138" s="231"/>
      <c r="BC138" s="231"/>
      <c r="BD138" s="231"/>
      <c r="BE138" s="231"/>
      <c r="BF138" s="231"/>
      <c r="BG138" s="231"/>
      <c r="BH138" s="231"/>
      <c r="BI138" s="231"/>
      <c r="BJ138" s="231"/>
      <c r="BK138" s="231"/>
      <c r="BL138" s="231"/>
      <c r="BM138" s="231"/>
      <c r="BN138" s="231"/>
      <c r="BO138" s="231"/>
    </row>
    <row r="139" spans="2:67" ht="14.25">
      <c r="B139" s="203"/>
      <c r="C139" s="203"/>
      <c r="D139" s="231"/>
      <c r="E139" s="231"/>
      <c r="F139" s="231"/>
      <c r="G139" s="231"/>
      <c r="H139" s="231"/>
      <c r="I139" s="231"/>
      <c r="J139" s="231"/>
      <c r="K139" s="231"/>
      <c r="L139" s="231"/>
      <c r="M139" s="231"/>
      <c r="N139" s="231"/>
      <c r="O139" s="231"/>
      <c r="P139" s="231"/>
      <c r="Q139" s="231"/>
      <c r="R139" s="231"/>
      <c r="S139" s="231"/>
      <c r="T139" s="231"/>
      <c r="U139" s="231"/>
      <c r="V139" s="231"/>
      <c r="W139" s="231"/>
      <c r="X139" s="231"/>
      <c r="Y139" s="231"/>
      <c r="Z139" s="231"/>
      <c r="AA139" s="231"/>
      <c r="AB139" s="231"/>
      <c r="AC139" s="231"/>
      <c r="AD139" s="231"/>
      <c r="AE139" s="231"/>
      <c r="AF139" s="231"/>
      <c r="AG139" s="231"/>
      <c r="AH139" s="231"/>
      <c r="AI139" s="231"/>
      <c r="AJ139" s="231"/>
      <c r="AK139" s="231"/>
      <c r="AL139" s="231"/>
      <c r="AM139" s="231"/>
      <c r="AN139" s="231"/>
      <c r="AO139" s="231"/>
      <c r="AP139" s="231"/>
      <c r="AQ139" s="231"/>
      <c r="AR139" s="231"/>
      <c r="AS139" s="231"/>
      <c r="AT139" s="231"/>
      <c r="AU139" s="231"/>
      <c r="AV139" s="231"/>
      <c r="AW139" s="231"/>
      <c r="AX139" s="231"/>
      <c r="AY139" s="231"/>
      <c r="AZ139" s="231"/>
      <c r="BA139" s="231"/>
      <c r="BB139" s="231"/>
      <c r="BC139" s="231"/>
      <c r="BD139" s="231"/>
      <c r="BE139" s="231"/>
      <c r="BF139" s="231"/>
      <c r="BG139" s="231"/>
      <c r="BH139" s="231"/>
      <c r="BI139" s="231"/>
      <c r="BJ139" s="231"/>
      <c r="BK139" s="231"/>
      <c r="BL139" s="231"/>
      <c r="BM139" s="231"/>
      <c r="BN139" s="231"/>
      <c r="BO139" s="231"/>
    </row>
    <row r="140" spans="2:67" ht="14.25">
      <c r="B140" s="203"/>
      <c r="C140" s="203"/>
      <c r="D140" s="231"/>
      <c r="E140" s="231"/>
      <c r="F140" s="231"/>
      <c r="G140" s="231"/>
      <c r="H140" s="231"/>
      <c r="I140" s="231"/>
      <c r="J140" s="231"/>
      <c r="K140" s="231"/>
      <c r="L140" s="231"/>
      <c r="M140" s="231"/>
      <c r="N140" s="231"/>
      <c r="O140" s="231"/>
      <c r="P140" s="231"/>
      <c r="Q140" s="231"/>
      <c r="R140" s="231"/>
      <c r="S140" s="231"/>
      <c r="T140" s="231"/>
      <c r="U140" s="231"/>
      <c r="V140" s="231"/>
      <c r="W140" s="231"/>
      <c r="X140" s="231"/>
      <c r="Y140" s="231"/>
      <c r="Z140" s="231"/>
      <c r="AA140" s="231"/>
      <c r="AB140" s="231"/>
      <c r="AC140" s="231"/>
      <c r="AD140" s="231"/>
      <c r="AE140" s="231"/>
      <c r="AF140" s="231"/>
      <c r="AG140" s="231"/>
      <c r="AH140" s="231"/>
      <c r="AI140" s="231"/>
      <c r="AJ140" s="231"/>
      <c r="AK140" s="231"/>
      <c r="AL140" s="231"/>
      <c r="AM140" s="231"/>
      <c r="AN140" s="231"/>
      <c r="AO140" s="231"/>
      <c r="AP140" s="231"/>
      <c r="AQ140" s="231"/>
      <c r="AR140" s="231"/>
      <c r="AS140" s="231"/>
      <c r="AT140" s="231"/>
      <c r="AU140" s="231"/>
      <c r="AV140" s="231"/>
      <c r="AW140" s="231"/>
      <c r="AX140" s="231"/>
      <c r="AY140" s="231"/>
      <c r="AZ140" s="231"/>
      <c r="BA140" s="231"/>
      <c r="BB140" s="231"/>
      <c r="BC140" s="231"/>
      <c r="BD140" s="231"/>
      <c r="BE140" s="231"/>
      <c r="BF140" s="231"/>
      <c r="BG140" s="231"/>
      <c r="BH140" s="231"/>
      <c r="BI140" s="231"/>
      <c r="BJ140" s="231"/>
      <c r="BK140" s="231"/>
      <c r="BL140" s="231"/>
      <c r="BM140" s="231"/>
      <c r="BN140" s="231"/>
      <c r="BO140" s="231"/>
    </row>
    <row r="141" spans="2:67" ht="14.25">
      <c r="B141" s="203"/>
      <c r="C141" s="203"/>
      <c r="D141" s="231"/>
      <c r="E141" s="231"/>
      <c r="F141" s="231"/>
      <c r="G141" s="231"/>
      <c r="H141" s="231"/>
      <c r="I141" s="231"/>
      <c r="J141" s="231"/>
      <c r="K141" s="231"/>
      <c r="L141" s="231"/>
      <c r="M141" s="231"/>
      <c r="N141" s="231"/>
      <c r="O141" s="231"/>
      <c r="P141" s="231"/>
      <c r="Q141" s="231"/>
      <c r="R141" s="231"/>
      <c r="S141" s="231"/>
      <c r="T141" s="231"/>
      <c r="U141" s="231"/>
      <c r="V141" s="231"/>
      <c r="W141" s="231"/>
      <c r="X141" s="231"/>
      <c r="Y141" s="231"/>
      <c r="Z141" s="231"/>
      <c r="AA141" s="231"/>
      <c r="AB141" s="231"/>
      <c r="AC141" s="231"/>
      <c r="AD141" s="231"/>
      <c r="AE141" s="231"/>
      <c r="AF141" s="231"/>
      <c r="AG141" s="231"/>
      <c r="AH141" s="231"/>
      <c r="AI141" s="231"/>
      <c r="AJ141" s="231"/>
      <c r="AK141" s="231"/>
      <c r="AL141" s="231"/>
      <c r="AM141" s="231"/>
      <c r="AN141" s="231"/>
      <c r="AO141" s="231"/>
      <c r="AP141" s="231"/>
      <c r="AQ141" s="231"/>
      <c r="AR141" s="231"/>
      <c r="AS141" s="231"/>
      <c r="AT141" s="231"/>
      <c r="AU141" s="231"/>
      <c r="AV141" s="231"/>
      <c r="AW141" s="231"/>
      <c r="AX141" s="231"/>
      <c r="AY141" s="231"/>
      <c r="AZ141" s="231"/>
      <c r="BA141" s="231"/>
      <c r="BB141" s="231"/>
      <c r="BC141" s="231"/>
      <c r="BD141" s="231"/>
      <c r="BE141" s="231"/>
      <c r="BF141" s="231"/>
      <c r="BG141" s="231"/>
      <c r="BH141" s="231"/>
      <c r="BI141" s="231"/>
      <c r="BJ141" s="231"/>
      <c r="BK141" s="231"/>
      <c r="BL141" s="231"/>
      <c r="BM141" s="231"/>
      <c r="BN141" s="231"/>
      <c r="BO141" s="231"/>
    </row>
    <row r="142" spans="2:67" ht="14.25">
      <c r="B142" s="203"/>
      <c r="C142" s="203"/>
      <c r="D142" s="231"/>
      <c r="E142" s="231"/>
      <c r="F142" s="231"/>
      <c r="G142" s="231"/>
      <c r="H142" s="231"/>
      <c r="I142" s="231"/>
      <c r="J142" s="231"/>
      <c r="K142" s="231"/>
      <c r="L142" s="231"/>
      <c r="M142" s="231"/>
      <c r="N142" s="231"/>
      <c r="O142" s="231"/>
      <c r="P142" s="231"/>
      <c r="Q142" s="231"/>
      <c r="R142" s="231"/>
      <c r="S142" s="231"/>
      <c r="T142" s="231"/>
      <c r="U142" s="231"/>
      <c r="V142" s="231"/>
      <c r="W142" s="231"/>
      <c r="X142" s="231"/>
      <c r="Y142" s="231"/>
      <c r="Z142" s="231"/>
      <c r="AA142" s="231"/>
      <c r="AB142" s="231"/>
      <c r="AC142" s="231"/>
      <c r="AD142" s="231"/>
      <c r="AE142" s="231"/>
      <c r="AF142" s="231"/>
      <c r="AG142" s="231"/>
      <c r="AH142" s="231"/>
      <c r="AI142" s="231"/>
      <c r="AJ142" s="231"/>
      <c r="AK142" s="231"/>
      <c r="AL142" s="231"/>
      <c r="AM142" s="231"/>
      <c r="AN142" s="231"/>
      <c r="AO142" s="231"/>
      <c r="AP142" s="231"/>
      <c r="AQ142" s="231"/>
      <c r="AR142" s="231"/>
      <c r="AS142" s="231"/>
      <c r="AT142" s="231"/>
      <c r="AU142" s="231"/>
      <c r="AV142" s="231"/>
      <c r="AW142" s="231"/>
      <c r="AX142" s="231"/>
      <c r="AY142" s="231"/>
      <c r="AZ142" s="231"/>
      <c r="BA142" s="231"/>
      <c r="BB142" s="231"/>
      <c r="BC142" s="231"/>
      <c r="BD142" s="231"/>
      <c r="BE142" s="231"/>
      <c r="BF142" s="231"/>
      <c r="BG142" s="231"/>
      <c r="BH142" s="231"/>
      <c r="BI142" s="231"/>
      <c r="BJ142" s="231"/>
      <c r="BK142" s="231"/>
      <c r="BL142" s="231"/>
      <c r="BM142" s="231"/>
      <c r="BN142" s="231"/>
      <c r="BO142" s="231"/>
    </row>
    <row r="143" spans="2:67" ht="14.25">
      <c r="B143" s="203"/>
      <c r="C143" s="203"/>
      <c r="D143" s="231"/>
      <c r="E143" s="231"/>
      <c r="F143" s="231"/>
      <c r="G143" s="231"/>
      <c r="H143" s="231"/>
      <c r="I143" s="231"/>
      <c r="J143" s="231"/>
      <c r="K143" s="231"/>
      <c r="L143" s="231"/>
      <c r="M143" s="231"/>
      <c r="N143" s="231"/>
      <c r="O143" s="231"/>
      <c r="P143" s="231"/>
      <c r="Q143" s="231"/>
      <c r="R143" s="231"/>
      <c r="S143" s="231"/>
      <c r="T143" s="231"/>
      <c r="U143" s="231"/>
      <c r="V143" s="231"/>
      <c r="W143" s="231"/>
      <c r="X143" s="231"/>
      <c r="Y143" s="231"/>
      <c r="Z143" s="231"/>
      <c r="AA143" s="231"/>
      <c r="AB143" s="231"/>
      <c r="AC143" s="231"/>
      <c r="AD143" s="231"/>
      <c r="AE143" s="231"/>
      <c r="AF143" s="231"/>
      <c r="AG143" s="231"/>
      <c r="AH143" s="231"/>
      <c r="AI143" s="231"/>
      <c r="AJ143" s="231"/>
      <c r="AK143" s="231"/>
      <c r="AL143" s="231"/>
      <c r="AM143" s="231"/>
      <c r="AN143" s="231"/>
      <c r="AO143" s="231"/>
      <c r="AP143" s="231"/>
      <c r="AQ143" s="231"/>
      <c r="AR143" s="231"/>
      <c r="AS143" s="231"/>
      <c r="AT143" s="231"/>
      <c r="AU143" s="231"/>
      <c r="AV143" s="231"/>
      <c r="AW143" s="231"/>
      <c r="AX143" s="231"/>
      <c r="AY143" s="231"/>
      <c r="AZ143" s="231"/>
      <c r="BA143" s="231"/>
      <c r="BB143" s="231"/>
      <c r="BC143" s="231"/>
      <c r="BD143" s="231"/>
      <c r="BE143" s="231"/>
      <c r="BF143" s="231"/>
      <c r="BG143" s="231"/>
      <c r="BH143" s="231"/>
      <c r="BI143" s="231"/>
      <c r="BJ143" s="231"/>
      <c r="BK143" s="231"/>
      <c r="BL143" s="231"/>
      <c r="BM143" s="231"/>
      <c r="BN143" s="231"/>
      <c r="BO143" s="231"/>
    </row>
    <row r="144" spans="2:67" ht="14.25">
      <c r="B144" s="203"/>
      <c r="C144" s="203"/>
      <c r="D144" s="231"/>
      <c r="E144" s="231"/>
      <c r="F144" s="231"/>
      <c r="G144" s="231"/>
      <c r="H144" s="231"/>
      <c r="I144" s="231"/>
      <c r="J144" s="231"/>
      <c r="K144" s="231"/>
      <c r="L144" s="231"/>
      <c r="M144" s="231"/>
      <c r="N144" s="231"/>
      <c r="O144" s="231"/>
      <c r="P144" s="231"/>
      <c r="Q144" s="231"/>
      <c r="R144" s="231"/>
      <c r="S144" s="231"/>
      <c r="T144" s="231"/>
      <c r="U144" s="231"/>
      <c r="V144" s="231"/>
      <c r="W144" s="231"/>
      <c r="X144" s="231"/>
      <c r="Y144" s="231"/>
      <c r="Z144" s="231"/>
      <c r="AA144" s="231"/>
      <c r="AB144" s="231"/>
      <c r="AC144" s="231"/>
      <c r="AD144" s="231"/>
      <c r="AE144" s="231"/>
      <c r="AF144" s="231"/>
      <c r="AG144" s="231"/>
      <c r="AH144" s="231"/>
      <c r="AI144" s="231"/>
      <c r="AJ144" s="231"/>
      <c r="AK144" s="231"/>
      <c r="AL144" s="231"/>
      <c r="AM144" s="231"/>
      <c r="AN144" s="231"/>
      <c r="AO144" s="231"/>
      <c r="AP144" s="231"/>
      <c r="AQ144" s="231"/>
      <c r="AR144" s="231"/>
      <c r="AS144" s="231"/>
      <c r="AT144" s="231"/>
      <c r="AU144" s="231"/>
      <c r="AV144" s="231"/>
      <c r="AW144" s="231"/>
      <c r="AX144" s="231"/>
      <c r="AY144" s="231"/>
      <c r="AZ144" s="231"/>
      <c r="BA144" s="231"/>
      <c r="BB144" s="231"/>
      <c r="BC144" s="231"/>
      <c r="BD144" s="231"/>
      <c r="BE144" s="231"/>
      <c r="BF144" s="231"/>
      <c r="BG144" s="231"/>
      <c r="BH144" s="231"/>
      <c r="BI144" s="231"/>
      <c r="BJ144" s="231"/>
      <c r="BK144" s="231"/>
      <c r="BL144" s="231"/>
      <c r="BM144" s="231"/>
      <c r="BN144" s="231"/>
      <c r="BO144" s="231"/>
    </row>
    <row r="145" spans="2:67" ht="14.25">
      <c r="B145" s="203"/>
      <c r="C145" s="203"/>
      <c r="D145" s="231"/>
      <c r="E145" s="231"/>
      <c r="F145" s="231"/>
      <c r="G145" s="231"/>
      <c r="H145" s="231"/>
      <c r="I145" s="231"/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  <c r="U145" s="231"/>
      <c r="V145" s="231"/>
      <c r="W145" s="231"/>
      <c r="X145" s="231"/>
      <c r="Y145" s="231"/>
      <c r="Z145" s="231"/>
      <c r="AA145" s="231"/>
      <c r="AB145" s="231"/>
      <c r="AC145" s="231"/>
      <c r="AD145" s="231"/>
      <c r="AE145" s="231"/>
      <c r="AF145" s="231"/>
      <c r="AG145" s="231"/>
      <c r="AH145" s="231"/>
      <c r="AI145" s="231"/>
      <c r="AJ145" s="231"/>
      <c r="AK145" s="231"/>
      <c r="AL145" s="231"/>
      <c r="AM145" s="231"/>
      <c r="AN145" s="231"/>
      <c r="AO145" s="231"/>
      <c r="AP145" s="231"/>
      <c r="AQ145" s="231"/>
      <c r="AR145" s="231"/>
      <c r="AS145" s="231"/>
      <c r="AT145" s="231"/>
      <c r="AU145" s="231"/>
      <c r="AV145" s="231"/>
      <c r="AW145" s="231"/>
      <c r="AX145" s="231"/>
      <c r="AY145" s="231"/>
      <c r="AZ145" s="231"/>
      <c r="BA145" s="231"/>
      <c r="BB145" s="231"/>
      <c r="BC145" s="231"/>
      <c r="BD145" s="231"/>
      <c r="BE145" s="231"/>
      <c r="BF145" s="231"/>
      <c r="BG145" s="231"/>
      <c r="BH145" s="231"/>
      <c r="BI145" s="231"/>
      <c r="BJ145" s="231"/>
      <c r="BK145" s="231"/>
      <c r="BL145" s="231"/>
      <c r="BM145" s="231"/>
      <c r="BN145" s="231"/>
      <c r="BO145" s="231"/>
    </row>
    <row r="146" spans="2:67" ht="14.25">
      <c r="B146" s="203"/>
      <c r="C146" s="203"/>
      <c r="D146" s="231"/>
      <c r="E146" s="231"/>
      <c r="F146" s="231"/>
      <c r="G146" s="231"/>
      <c r="H146" s="231"/>
      <c r="I146" s="231"/>
      <c r="J146" s="231"/>
      <c r="K146" s="231"/>
      <c r="L146" s="231"/>
      <c r="M146" s="231"/>
      <c r="N146" s="231"/>
      <c r="O146" s="231"/>
      <c r="P146" s="231"/>
      <c r="Q146" s="231"/>
      <c r="R146" s="231"/>
      <c r="S146" s="231"/>
      <c r="T146" s="231"/>
      <c r="U146" s="231"/>
      <c r="V146" s="231"/>
      <c r="W146" s="231"/>
      <c r="X146" s="231"/>
      <c r="Y146" s="231"/>
      <c r="Z146" s="231"/>
      <c r="AA146" s="231"/>
      <c r="AB146" s="231"/>
      <c r="AC146" s="231"/>
      <c r="AD146" s="231"/>
      <c r="AE146" s="231"/>
      <c r="AF146" s="231"/>
      <c r="AG146" s="231"/>
      <c r="AH146" s="231"/>
      <c r="AI146" s="231"/>
      <c r="AJ146" s="231"/>
      <c r="AK146" s="231"/>
      <c r="AL146" s="231"/>
      <c r="AM146" s="231"/>
      <c r="AN146" s="231"/>
      <c r="AO146" s="231"/>
      <c r="AP146" s="231"/>
      <c r="AQ146" s="231"/>
      <c r="AR146" s="231"/>
      <c r="AS146" s="231"/>
      <c r="AT146" s="231"/>
      <c r="AU146" s="231"/>
      <c r="AV146" s="231"/>
      <c r="AW146" s="231"/>
      <c r="AX146" s="231"/>
      <c r="AY146" s="231"/>
      <c r="AZ146" s="231"/>
      <c r="BA146" s="231"/>
      <c r="BB146" s="231"/>
      <c r="BC146" s="231"/>
      <c r="BD146" s="231"/>
      <c r="BE146" s="231"/>
      <c r="BF146" s="231"/>
      <c r="BG146" s="231"/>
      <c r="BH146" s="231"/>
      <c r="BI146" s="231"/>
      <c r="BJ146" s="231"/>
      <c r="BK146" s="231"/>
      <c r="BL146" s="231"/>
      <c r="BM146" s="231"/>
      <c r="BN146" s="231"/>
      <c r="BO146" s="231"/>
    </row>
    <row r="147" spans="2:67" ht="14.25">
      <c r="B147" s="203"/>
      <c r="C147" s="203"/>
      <c r="D147" s="231"/>
      <c r="E147" s="231"/>
      <c r="F147" s="231"/>
      <c r="G147" s="231"/>
      <c r="H147" s="231"/>
      <c r="I147" s="231"/>
      <c r="J147" s="231"/>
      <c r="K147" s="231"/>
      <c r="L147" s="231"/>
      <c r="M147" s="231"/>
      <c r="N147" s="231"/>
      <c r="O147" s="231"/>
      <c r="P147" s="231"/>
      <c r="Q147" s="231"/>
      <c r="R147" s="231"/>
      <c r="S147" s="231"/>
      <c r="T147" s="231"/>
      <c r="U147" s="231"/>
      <c r="V147" s="231"/>
      <c r="W147" s="231"/>
      <c r="X147" s="231"/>
      <c r="Y147" s="231"/>
      <c r="Z147" s="231"/>
      <c r="AA147" s="231"/>
      <c r="AB147" s="231"/>
      <c r="AC147" s="231"/>
      <c r="AD147" s="231"/>
      <c r="AE147" s="231"/>
      <c r="AF147" s="231"/>
      <c r="AG147" s="231"/>
      <c r="AH147" s="231"/>
      <c r="AI147" s="231"/>
      <c r="AJ147" s="231"/>
      <c r="AK147" s="231"/>
      <c r="AL147" s="231"/>
      <c r="AM147" s="231"/>
      <c r="AN147" s="231"/>
      <c r="AO147" s="231"/>
      <c r="AP147" s="231"/>
      <c r="AQ147" s="231"/>
      <c r="AR147" s="231"/>
      <c r="AS147" s="231"/>
      <c r="AT147" s="231"/>
      <c r="AU147" s="231"/>
      <c r="AV147" s="231"/>
      <c r="AW147" s="231"/>
      <c r="AX147" s="231"/>
      <c r="AY147" s="231"/>
      <c r="AZ147" s="231"/>
      <c r="BA147" s="231"/>
      <c r="BB147" s="231"/>
      <c r="BC147" s="231"/>
      <c r="BD147" s="231"/>
      <c r="BE147" s="231"/>
      <c r="BF147" s="231"/>
      <c r="BG147" s="231"/>
      <c r="BH147" s="231"/>
      <c r="BI147" s="231"/>
      <c r="BJ147" s="231"/>
      <c r="BK147" s="231"/>
      <c r="BL147" s="231"/>
      <c r="BM147" s="231"/>
      <c r="BN147" s="231"/>
      <c r="BO147" s="231"/>
    </row>
    <row r="148" spans="2:67" ht="14.25">
      <c r="B148" s="203"/>
      <c r="C148" s="203"/>
      <c r="D148" s="231"/>
      <c r="E148" s="231"/>
      <c r="F148" s="231"/>
      <c r="G148" s="231"/>
      <c r="H148" s="231"/>
      <c r="I148" s="231"/>
      <c r="J148" s="231"/>
      <c r="K148" s="231"/>
      <c r="L148" s="231"/>
      <c r="M148" s="231"/>
      <c r="N148" s="231"/>
      <c r="O148" s="231"/>
      <c r="P148" s="231"/>
      <c r="Q148" s="231"/>
      <c r="R148" s="231"/>
      <c r="S148" s="231"/>
      <c r="T148" s="231"/>
      <c r="U148" s="231"/>
      <c r="V148" s="231"/>
      <c r="W148" s="231"/>
      <c r="X148" s="231"/>
      <c r="Y148" s="231"/>
      <c r="Z148" s="231"/>
      <c r="AA148" s="231"/>
      <c r="AB148" s="231"/>
      <c r="AC148" s="231"/>
      <c r="AD148" s="231"/>
      <c r="AE148" s="231"/>
      <c r="AF148" s="231"/>
      <c r="AG148" s="231"/>
      <c r="AH148" s="231"/>
      <c r="AI148" s="231"/>
      <c r="AJ148" s="231"/>
      <c r="AK148" s="231"/>
      <c r="AL148" s="231"/>
      <c r="AM148" s="231"/>
      <c r="AN148" s="231"/>
      <c r="AO148" s="231"/>
      <c r="AP148" s="231"/>
      <c r="AQ148" s="231"/>
      <c r="AR148" s="231"/>
      <c r="AS148" s="231"/>
      <c r="AT148" s="231"/>
      <c r="AU148" s="231"/>
      <c r="AV148" s="231"/>
      <c r="AW148" s="231"/>
      <c r="AX148" s="231"/>
      <c r="AY148" s="231"/>
      <c r="AZ148" s="231"/>
      <c r="BA148" s="231"/>
      <c r="BB148" s="231"/>
      <c r="BC148" s="231"/>
      <c r="BD148" s="231"/>
      <c r="BE148" s="231"/>
      <c r="BF148" s="231"/>
      <c r="BG148" s="231"/>
      <c r="BH148" s="231"/>
      <c r="BI148" s="231"/>
      <c r="BJ148" s="231"/>
      <c r="BK148" s="231"/>
      <c r="BL148" s="231"/>
      <c r="BM148" s="231"/>
      <c r="BN148" s="231"/>
      <c r="BO148" s="231"/>
    </row>
    <row r="149" spans="2:67" ht="14.25">
      <c r="B149" s="203"/>
      <c r="C149" s="203"/>
      <c r="D149" s="231"/>
      <c r="E149" s="231"/>
      <c r="F149" s="231"/>
      <c r="G149" s="231"/>
      <c r="H149" s="231"/>
      <c r="I149" s="231"/>
      <c r="J149" s="231"/>
      <c r="K149" s="231"/>
      <c r="L149" s="231"/>
      <c r="M149" s="231"/>
      <c r="N149" s="231"/>
      <c r="O149" s="231"/>
      <c r="P149" s="231"/>
      <c r="Q149" s="231"/>
      <c r="R149" s="231"/>
      <c r="S149" s="231"/>
      <c r="T149" s="231"/>
      <c r="U149" s="231"/>
      <c r="V149" s="231"/>
      <c r="W149" s="231"/>
      <c r="X149" s="231"/>
      <c r="Y149" s="231"/>
      <c r="Z149" s="231"/>
      <c r="AA149" s="231"/>
      <c r="AB149" s="231"/>
      <c r="AC149" s="231"/>
      <c r="AD149" s="231"/>
      <c r="AE149" s="231"/>
      <c r="AF149" s="231"/>
      <c r="AG149" s="231"/>
      <c r="AH149" s="231"/>
      <c r="AI149" s="231"/>
      <c r="AJ149" s="231"/>
      <c r="AK149" s="231"/>
      <c r="AL149" s="231"/>
      <c r="AM149" s="231"/>
      <c r="AN149" s="231"/>
      <c r="AO149" s="231"/>
      <c r="AP149" s="231"/>
      <c r="AQ149" s="231"/>
      <c r="AR149" s="231"/>
      <c r="AS149" s="231"/>
      <c r="AT149" s="231"/>
      <c r="AU149" s="231"/>
      <c r="AV149" s="231"/>
      <c r="AW149" s="231"/>
      <c r="AX149" s="231"/>
      <c r="AY149" s="231"/>
      <c r="AZ149" s="231"/>
      <c r="BA149" s="231"/>
      <c r="BB149" s="231"/>
      <c r="BC149" s="231"/>
      <c r="BD149" s="231"/>
      <c r="BE149" s="231"/>
      <c r="BF149" s="231"/>
      <c r="BG149" s="231"/>
      <c r="BH149" s="231"/>
      <c r="BI149" s="231"/>
      <c r="BJ149" s="231"/>
      <c r="BK149" s="231"/>
      <c r="BL149" s="231"/>
      <c r="BM149" s="231"/>
      <c r="BN149" s="231"/>
      <c r="BO149" s="231"/>
    </row>
    <row r="150" spans="2:67" ht="14.25">
      <c r="B150" s="203"/>
      <c r="C150" s="203"/>
      <c r="D150" s="231"/>
      <c r="E150" s="231"/>
      <c r="F150" s="231"/>
      <c r="G150" s="231"/>
      <c r="H150" s="231"/>
      <c r="I150" s="231"/>
      <c r="J150" s="231"/>
      <c r="K150" s="231"/>
      <c r="L150" s="231"/>
      <c r="M150" s="231"/>
      <c r="N150" s="231"/>
      <c r="O150" s="231"/>
      <c r="P150" s="231"/>
      <c r="Q150" s="231"/>
      <c r="R150" s="231"/>
      <c r="S150" s="231"/>
      <c r="T150" s="231"/>
      <c r="U150" s="231"/>
      <c r="V150" s="231"/>
      <c r="W150" s="231"/>
      <c r="X150" s="231"/>
      <c r="Y150" s="231"/>
      <c r="Z150" s="231"/>
      <c r="AA150" s="231"/>
      <c r="AB150" s="231"/>
      <c r="AC150" s="231"/>
      <c r="AD150" s="231"/>
      <c r="AE150" s="231"/>
      <c r="AF150" s="231"/>
      <c r="AG150" s="231"/>
      <c r="AH150" s="231"/>
      <c r="AI150" s="231"/>
      <c r="AJ150" s="231"/>
      <c r="AK150" s="231"/>
      <c r="AL150" s="231"/>
      <c r="AM150" s="231"/>
      <c r="AN150" s="231"/>
      <c r="AO150" s="231"/>
      <c r="AP150" s="231"/>
      <c r="AQ150" s="231"/>
      <c r="AR150" s="231"/>
      <c r="AS150" s="231"/>
      <c r="AT150" s="231"/>
      <c r="AU150" s="231"/>
      <c r="AV150" s="231"/>
      <c r="AW150" s="231"/>
      <c r="AX150" s="231"/>
      <c r="AY150" s="231"/>
      <c r="AZ150" s="231"/>
      <c r="BA150" s="231"/>
      <c r="BB150" s="231"/>
      <c r="BC150" s="231"/>
      <c r="BD150" s="231"/>
      <c r="BE150" s="231"/>
      <c r="BF150" s="231"/>
      <c r="BG150" s="231"/>
      <c r="BH150" s="231"/>
      <c r="BI150" s="231"/>
      <c r="BJ150" s="231"/>
      <c r="BK150" s="231"/>
      <c r="BL150" s="231"/>
      <c r="BM150" s="231"/>
      <c r="BN150" s="231"/>
      <c r="BO150" s="231"/>
    </row>
    <row r="151" spans="2:67" ht="14.25">
      <c r="B151" s="203"/>
      <c r="C151" s="203"/>
      <c r="D151" s="231"/>
      <c r="E151" s="231"/>
      <c r="F151" s="231"/>
      <c r="G151" s="231"/>
      <c r="H151" s="231"/>
      <c r="I151" s="231"/>
      <c r="J151" s="231"/>
      <c r="K151" s="231"/>
      <c r="L151" s="231"/>
      <c r="M151" s="231"/>
      <c r="N151" s="231"/>
      <c r="O151" s="231"/>
      <c r="P151" s="231"/>
      <c r="Q151" s="231"/>
      <c r="R151" s="231"/>
      <c r="S151" s="231"/>
      <c r="T151" s="231"/>
      <c r="U151" s="231"/>
      <c r="V151" s="231"/>
      <c r="W151" s="231"/>
      <c r="X151" s="231"/>
      <c r="Y151" s="231"/>
      <c r="Z151" s="231"/>
      <c r="AA151" s="231"/>
      <c r="AB151" s="231"/>
      <c r="AC151" s="231"/>
      <c r="AD151" s="231"/>
      <c r="AE151" s="231"/>
      <c r="AF151" s="231"/>
      <c r="AG151" s="231"/>
      <c r="AH151" s="231"/>
      <c r="AI151" s="231"/>
      <c r="AJ151" s="231"/>
      <c r="AK151" s="231"/>
      <c r="AL151" s="231"/>
      <c r="AM151" s="231"/>
      <c r="AN151" s="231"/>
      <c r="AO151" s="231"/>
      <c r="AP151" s="231"/>
      <c r="AQ151" s="231"/>
      <c r="AR151" s="231"/>
      <c r="AS151" s="231"/>
      <c r="AT151" s="231"/>
      <c r="AU151" s="231"/>
      <c r="AV151" s="231"/>
      <c r="AW151" s="231"/>
      <c r="AX151" s="231"/>
      <c r="AY151" s="231"/>
      <c r="AZ151" s="231"/>
      <c r="BA151" s="231"/>
      <c r="BB151" s="231"/>
      <c r="BC151" s="231"/>
      <c r="BD151" s="231"/>
      <c r="BE151" s="231"/>
      <c r="BF151" s="231"/>
      <c r="BG151" s="231"/>
      <c r="BH151" s="231"/>
      <c r="BI151" s="231"/>
      <c r="BJ151" s="231"/>
      <c r="BK151" s="231"/>
      <c r="BL151" s="231"/>
      <c r="BM151" s="231"/>
      <c r="BN151" s="231"/>
      <c r="BO151" s="231"/>
    </row>
    <row r="152" spans="2:67" ht="14.25">
      <c r="B152" s="203"/>
      <c r="C152" s="203"/>
      <c r="D152" s="231"/>
      <c r="E152" s="231"/>
      <c r="F152" s="231"/>
      <c r="G152" s="231"/>
      <c r="H152" s="231"/>
      <c r="I152" s="231"/>
      <c r="J152" s="231"/>
      <c r="K152" s="231"/>
      <c r="L152" s="231"/>
      <c r="M152" s="231"/>
      <c r="N152" s="231"/>
      <c r="O152" s="231"/>
      <c r="P152" s="231"/>
      <c r="Q152" s="231"/>
      <c r="R152" s="231"/>
      <c r="S152" s="231"/>
      <c r="T152" s="231"/>
      <c r="U152" s="231"/>
      <c r="V152" s="231"/>
      <c r="W152" s="231"/>
      <c r="X152" s="231"/>
      <c r="Y152" s="231"/>
      <c r="Z152" s="231"/>
      <c r="AA152" s="231"/>
      <c r="AB152" s="231"/>
      <c r="AC152" s="231"/>
      <c r="AD152" s="231"/>
      <c r="AE152" s="231"/>
      <c r="AF152" s="231"/>
      <c r="AG152" s="231"/>
      <c r="AH152" s="231"/>
      <c r="AI152" s="231"/>
      <c r="AJ152" s="231"/>
      <c r="AK152" s="231"/>
      <c r="AL152" s="231"/>
      <c r="AM152" s="231"/>
      <c r="AN152" s="231"/>
      <c r="AO152" s="231"/>
      <c r="AP152" s="231"/>
      <c r="AQ152" s="231"/>
      <c r="AR152" s="231"/>
      <c r="AS152" s="231"/>
      <c r="AT152" s="231"/>
      <c r="AU152" s="231"/>
      <c r="AV152" s="231"/>
      <c r="AW152" s="231"/>
      <c r="AX152" s="231"/>
      <c r="AY152" s="231"/>
      <c r="AZ152" s="231"/>
      <c r="BA152" s="231"/>
      <c r="BB152" s="231"/>
      <c r="BC152" s="231"/>
      <c r="BD152" s="231"/>
      <c r="BE152" s="231"/>
      <c r="BF152" s="231"/>
      <c r="BG152" s="231"/>
      <c r="BH152" s="231"/>
      <c r="BI152" s="231"/>
      <c r="BJ152" s="231"/>
      <c r="BK152" s="231"/>
      <c r="BL152" s="231"/>
      <c r="BM152" s="231"/>
      <c r="BN152" s="231"/>
      <c r="BO152" s="231"/>
    </row>
    <row r="153" spans="2:67" ht="14.25">
      <c r="B153" s="203"/>
      <c r="C153" s="203"/>
      <c r="D153" s="231"/>
      <c r="E153" s="231"/>
      <c r="F153" s="231"/>
      <c r="G153" s="231"/>
      <c r="H153" s="231"/>
      <c r="I153" s="231"/>
      <c r="J153" s="231"/>
      <c r="K153" s="231"/>
      <c r="L153" s="231"/>
      <c r="M153" s="231"/>
      <c r="N153" s="231"/>
      <c r="O153" s="231"/>
      <c r="P153" s="231"/>
      <c r="Q153" s="231"/>
      <c r="R153" s="231"/>
      <c r="S153" s="231"/>
      <c r="T153" s="231"/>
      <c r="U153" s="231"/>
      <c r="V153" s="231"/>
      <c r="W153" s="231"/>
      <c r="X153" s="231"/>
      <c r="Y153" s="231"/>
      <c r="Z153" s="231"/>
      <c r="AA153" s="231"/>
      <c r="AB153" s="231"/>
      <c r="AC153" s="231"/>
      <c r="AD153" s="231"/>
      <c r="AE153" s="231"/>
      <c r="AF153" s="231"/>
      <c r="AG153" s="231"/>
      <c r="AH153" s="231"/>
      <c r="AI153" s="231"/>
      <c r="AJ153" s="231"/>
      <c r="AK153" s="231"/>
      <c r="AL153" s="231"/>
      <c r="AM153" s="231"/>
      <c r="AN153" s="231"/>
      <c r="AO153" s="231"/>
      <c r="AP153" s="231"/>
      <c r="AQ153" s="231"/>
      <c r="AR153" s="231"/>
      <c r="AS153" s="231"/>
      <c r="AT153" s="231"/>
      <c r="AU153" s="231"/>
      <c r="AV153" s="231"/>
      <c r="AW153" s="231"/>
      <c r="AX153" s="231"/>
      <c r="AY153" s="231"/>
      <c r="AZ153" s="231"/>
      <c r="BA153" s="231"/>
      <c r="BB153" s="231"/>
      <c r="BC153" s="231"/>
      <c r="BD153" s="231"/>
      <c r="BE153" s="231"/>
      <c r="BF153" s="231"/>
      <c r="BG153" s="231"/>
      <c r="BH153" s="231"/>
      <c r="BI153" s="231"/>
      <c r="BJ153" s="231"/>
      <c r="BK153" s="231"/>
      <c r="BL153" s="231"/>
      <c r="BM153" s="231"/>
      <c r="BN153" s="231"/>
      <c r="BO153" s="231"/>
    </row>
    <row r="154" spans="2:67" ht="14.25">
      <c r="B154" s="203"/>
      <c r="C154" s="203"/>
      <c r="D154" s="231"/>
      <c r="E154" s="231"/>
      <c r="F154" s="231"/>
      <c r="G154" s="231"/>
      <c r="H154" s="231"/>
      <c r="I154" s="231"/>
      <c r="J154" s="231"/>
      <c r="K154" s="231"/>
      <c r="L154" s="231"/>
      <c r="M154" s="231"/>
      <c r="N154" s="231"/>
      <c r="O154" s="231"/>
      <c r="P154" s="231"/>
      <c r="Q154" s="231"/>
      <c r="R154" s="231"/>
      <c r="S154" s="231"/>
      <c r="T154" s="231"/>
      <c r="U154" s="231"/>
      <c r="V154" s="231"/>
      <c r="W154" s="231"/>
      <c r="X154" s="231"/>
      <c r="Y154" s="231"/>
      <c r="Z154" s="231"/>
      <c r="AA154" s="231"/>
      <c r="AB154" s="231"/>
      <c r="AC154" s="231"/>
      <c r="AD154" s="231"/>
      <c r="AE154" s="231"/>
      <c r="AF154" s="231"/>
      <c r="AG154" s="231"/>
      <c r="AH154" s="231"/>
      <c r="AI154" s="231"/>
      <c r="AJ154" s="231"/>
      <c r="AK154" s="231"/>
      <c r="AL154" s="231"/>
      <c r="AM154" s="231"/>
      <c r="AN154" s="231"/>
      <c r="AO154" s="231"/>
      <c r="AP154" s="231"/>
      <c r="AQ154" s="231"/>
      <c r="AR154" s="231"/>
      <c r="AS154" s="231"/>
      <c r="AT154" s="231"/>
      <c r="AU154" s="231"/>
      <c r="AV154" s="231"/>
      <c r="AW154" s="231"/>
      <c r="AX154" s="231"/>
      <c r="AY154" s="231"/>
      <c r="AZ154" s="231"/>
      <c r="BA154" s="231"/>
      <c r="BB154" s="231"/>
      <c r="BC154" s="231"/>
      <c r="BD154" s="231"/>
      <c r="BE154" s="231"/>
      <c r="BF154" s="231"/>
      <c r="BG154" s="231"/>
      <c r="BH154" s="231"/>
      <c r="BI154" s="231"/>
      <c r="BJ154" s="231"/>
      <c r="BK154" s="231"/>
      <c r="BL154" s="231"/>
      <c r="BM154" s="231"/>
      <c r="BN154" s="231"/>
      <c r="BO154" s="231"/>
    </row>
    <row r="155" spans="2:67" ht="14.25">
      <c r="B155" s="203"/>
      <c r="C155" s="203"/>
      <c r="D155" s="231"/>
      <c r="E155" s="231"/>
      <c r="F155" s="231"/>
      <c r="G155" s="231"/>
      <c r="H155" s="231"/>
      <c r="I155" s="231"/>
      <c r="J155" s="231"/>
      <c r="K155" s="231"/>
      <c r="L155" s="231"/>
      <c r="M155" s="231"/>
      <c r="N155" s="231"/>
      <c r="O155" s="231"/>
      <c r="P155" s="231"/>
      <c r="Q155" s="231"/>
      <c r="R155" s="231"/>
      <c r="S155" s="231"/>
      <c r="T155" s="231"/>
      <c r="U155" s="231"/>
      <c r="V155" s="231"/>
      <c r="W155" s="231"/>
      <c r="X155" s="231"/>
      <c r="Y155" s="231"/>
      <c r="Z155" s="231"/>
      <c r="AA155" s="231"/>
      <c r="AB155" s="231"/>
      <c r="AC155" s="231"/>
      <c r="AD155" s="231"/>
      <c r="AE155" s="231"/>
      <c r="AF155" s="231"/>
      <c r="AG155" s="231"/>
      <c r="AH155" s="231"/>
      <c r="AI155" s="231"/>
      <c r="AJ155" s="231"/>
      <c r="AK155" s="231"/>
      <c r="AL155" s="231"/>
      <c r="AM155" s="231"/>
      <c r="AN155" s="231"/>
      <c r="AO155" s="231"/>
      <c r="AP155" s="231"/>
      <c r="AQ155" s="231"/>
      <c r="AR155" s="231"/>
      <c r="AS155" s="231"/>
      <c r="AT155" s="231"/>
      <c r="AU155" s="231"/>
      <c r="AV155" s="231"/>
      <c r="AW155" s="231"/>
      <c r="AX155" s="231"/>
      <c r="AY155" s="231"/>
      <c r="AZ155" s="231"/>
      <c r="BA155" s="231"/>
      <c r="BB155" s="231"/>
      <c r="BC155" s="231"/>
      <c r="BD155" s="231"/>
      <c r="BE155" s="231"/>
      <c r="BF155" s="231"/>
      <c r="BG155" s="231"/>
      <c r="BH155" s="231"/>
      <c r="BI155" s="231"/>
      <c r="BJ155" s="231"/>
      <c r="BK155" s="231"/>
      <c r="BL155" s="231"/>
      <c r="BM155" s="231"/>
      <c r="BN155" s="231"/>
      <c r="BO155" s="231"/>
    </row>
    <row r="156" spans="2:67" ht="14.25">
      <c r="B156" s="203"/>
      <c r="C156" s="203"/>
      <c r="D156" s="231"/>
      <c r="E156" s="231"/>
      <c r="F156" s="231"/>
      <c r="G156" s="231"/>
      <c r="H156" s="231"/>
      <c r="I156" s="231"/>
      <c r="J156" s="231"/>
      <c r="K156" s="231"/>
      <c r="L156" s="231"/>
      <c r="M156" s="231"/>
      <c r="N156" s="231"/>
      <c r="O156" s="231"/>
      <c r="P156" s="231"/>
      <c r="Q156" s="231"/>
      <c r="R156" s="231"/>
      <c r="S156" s="231"/>
      <c r="T156" s="231"/>
      <c r="U156" s="231"/>
      <c r="V156" s="231"/>
      <c r="W156" s="231"/>
      <c r="X156" s="231"/>
      <c r="Y156" s="231"/>
      <c r="Z156" s="231"/>
      <c r="AA156" s="231"/>
      <c r="AB156" s="231"/>
      <c r="AC156" s="231"/>
      <c r="AD156" s="231"/>
      <c r="AE156" s="231"/>
      <c r="AF156" s="231"/>
      <c r="AG156" s="231"/>
      <c r="AH156" s="231"/>
      <c r="AI156" s="231"/>
      <c r="AJ156" s="231"/>
      <c r="AK156" s="231"/>
      <c r="AL156" s="231"/>
      <c r="AM156" s="231"/>
      <c r="AN156" s="231"/>
      <c r="AO156" s="231"/>
      <c r="AP156" s="231"/>
      <c r="AQ156" s="231"/>
      <c r="AR156" s="231"/>
      <c r="AS156" s="231"/>
      <c r="AT156" s="231"/>
      <c r="AU156" s="231"/>
      <c r="AV156" s="231"/>
      <c r="AW156" s="231"/>
      <c r="AX156" s="231"/>
      <c r="AY156" s="231"/>
      <c r="AZ156" s="231"/>
      <c r="BA156" s="231"/>
      <c r="BB156" s="231"/>
      <c r="BC156" s="231"/>
      <c r="BD156" s="231"/>
      <c r="BE156" s="231"/>
      <c r="BF156" s="231"/>
      <c r="BG156" s="231"/>
      <c r="BH156" s="231"/>
      <c r="BI156" s="231"/>
      <c r="BJ156" s="231"/>
      <c r="BK156" s="231"/>
      <c r="BL156" s="231"/>
      <c r="BM156" s="231"/>
      <c r="BN156" s="231"/>
      <c r="BO156" s="231"/>
    </row>
    <row r="157" spans="2:67" ht="14.25">
      <c r="B157" s="203"/>
      <c r="C157" s="203"/>
      <c r="D157" s="231"/>
      <c r="E157" s="231"/>
      <c r="F157" s="231"/>
      <c r="G157" s="231"/>
      <c r="H157" s="231"/>
      <c r="I157" s="231"/>
      <c r="J157" s="231"/>
      <c r="K157" s="231"/>
      <c r="L157" s="231"/>
      <c r="M157" s="231"/>
      <c r="N157" s="231"/>
      <c r="O157" s="231"/>
      <c r="P157" s="231"/>
      <c r="Q157" s="231"/>
      <c r="R157" s="231"/>
      <c r="S157" s="231"/>
      <c r="T157" s="231"/>
      <c r="U157" s="231"/>
      <c r="V157" s="231"/>
      <c r="W157" s="231"/>
      <c r="X157" s="231"/>
      <c r="Y157" s="231"/>
      <c r="Z157" s="231"/>
      <c r="AA157" s="231"/>
      <c r="AB157" s="231"/>
      <c r="AC157" s="231"/>
      <c r="AD157" s="231"/>
      <c r="AE157" s="231"/>
      <c r="AF157" s="231"/>
      <c r="AG157" s="231"/>
      <c r="AH157" s="231"/>
      <c r="AI157" s="231"/>
      <c r="AJ157" s="231"/>
      <c r="AK157" s="231"/>
      <c r="AL157" s="231"/>
      <c r="AM157" s="231"/>
      <c r="AN157" s="231"/>
      <c r="AO157" s="231"/>
      <c r="AP157" s="231"/>
      <c r="AQ157" s="231"/>
      <c r="AR157" s="231"/>
      <c r="AS157" s="231"/>
      <c r="AT157" s="231"/>
      <c r="AU157" s="231"/>
      <c r="AV157" s="231"/>
      <c r="AW157" s="231"/>
      <c r="AX157" s="231"/>
      <c r="AY157" s="231"/>
      <c r="AZ157" s="231"/>
      <c r="BA157" s="231"/>
      <c r="BB157" s="231"/>
      <c r="BC157" s="231"/>
      <c r="BD157" s="231"/>
      <c r="BE157" s="231"/>
      <c r="BF157" s="231"/>
      <c r="BG157" s="231"/>
      <c r="BH157" s="231"/>
      <c r="BI157" s="231"/>
      <c r="BJ157" s="231"/>
      <c r="BK157" s="231"/>
      <c r="BL157" s="231"/>
      <c r="BM157" s="231"/>
      <c r="BN157" s="231"/>
      <c r="BO157" s="231"/>
    </row>
    <row r="158" spans="2:67" ht="14.25">
      <c r="B158" s="203"/>
      <c r="C158" s="203"/>
      <c r="D158" s="231"/>
      <c r="E158" s="231"/>
      <c r="F158" s="231"/>
      <c r="G158" s="231"/>
      <c r="H158" s="231"/>
      <c r="I158" s="231"/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  <c r="U158" s="231"/>
      <c r="V158" s="231"/>
      <c r="W158" s="231"/>
      <c r="X158" s="231"/>
      <c r="Y158" s="231"/>
      <c r="Z158" s="231"/>
      <c r="AA158" s="231"/>
      <c r="AB158" s="231"/>
      <c r="AC158" s="231"/>
      <c r="AD158" s="231"/>
      <c r="AE158" s="231"/>
      <c r="AF158" s="231"/>
      <c r="AG158" s="231"/>
      <c r="AH158" s="231"/>
      <c r="AI158" s="231"/>
      <c r="AJ158" s="231"/>
      <c r="AK158" s="231"/>
      <c r="AL158" s="231"/>
      <c r="AM158" s="231"/>
      <c r="AN158" s="231"/>
      <c r="AO158" s="231"/>
      <c r="AP158" s="231"/>
      <c r="AQ158" s="231"/>
      <c r="AR158" s="231"/>
      <c r="AS158" s="231"/>
      <c r="AT158" s="231"/>
      <c r="AU158" s="231"/>
      <c r="AV158" s="231"/>
      <c r="AW158" s="231"/>
      <c r="AX158" s="231"/>
      <c r="AY158" s="231"/>
      <c r="AZ158" s="231"/>
      <c r="BA158" s="231"/>
      <c r="BB158" s="231"/>
      <c r="BC158" s="231"/>
      <c r="BD158" s="231"/>
      <c r="BE158" s="231"/>
      <c r="BF158" s="231"/>
      <c r="BG158" s="231"/>
      <c r="BH158" s="231"/>
      <c r="BI158" s="231"/>
      <c r="BJ158" s="231"/>
      <c r="BK158" s="231"/>
      <c r="BL158" s="231"/>
      <c r="BM158" s="231"/>
      <c r="BN158" s="231"/>
      <c r="BO158" s="231"/>
    </row>
    <row r="159" spans="2:67" ht="14.25">
      <c r="B159" s="203"/>
      <c r="C159" s="203"/>
      <c r="D159" s="231"/>
      <c r="E159" s="231"/>
      <c r="F159" s="231"/>
      <c r="G159" s="231"/>
      <c r="H159" s="231"/>
      <c r="I159" s="231"/>
      <c r="J159" s="231"/>
      <c r="K159" s="231"/>
      <c r="L159" s="231"/>
      <c r="M159" s="231"/>
      <c r="N159" s="231"/>
      <c r="O159" s="231"/>
      <c r="P159" s="231"/>
      <c r="Q159" s="231"/>
      <c r="R159" s="231"/>
      <c r="S159" s="231"/>
      <c r="T159" s="231"/>
      <c r="U159" s="231"/>
      <c r="V159" s="231"/>
      <c r="W159" s="231"/>
      <c r="X159" s="231"/>
      <c r="Y159" s="231"/>
      <c r="Z159" s="231"/>
      <c r="AA159" s="231"/>
      <c r="AB159" s="231"/>
      <c r="AC159" s="231"/>
      <c r="AD159" s="231"/>
      <c r="AE159" s="231"/>
      <c r="AF159" s="231"/>
      <c r="AG159" s="231"/>
      <c r="AH159" s="231"/>
      <c r="AI159" s="231"/>
      <c r="AJ159" s="231"/>
      <c r="AK159" s="231"/>
      <c r="AL159" s="231"/>
      <c r="AM159" s="231"/>
      <c r="AN159" s="231"/>
      <c r="AO159" s="231"/>
      <c r="AP159" s="231"/>
      <c r="AQ159" s="231"/>
      <c r="AR159" s="231"/>
      <c r="AS159" s="231"/>
      <c r="AT159" s="231"/>
      <c r="AU159" s="231"/>
      <c r="AV159" s="231"/>
      <c r="AW159" s="231"/>
      <c r="AX159" s="231"/>
      <c r="AY159" s="231"/>
      <c r="AZ159" s="231"/>
      <c r="BA159" s="231"/>
      <c r="BB159" s="231"/>
      <c r="BC159" s="231"/>
      <c r="BD159" s="231"/>
      <c r="BE159" s="231"/>
      <c r="BF159" s="231"/>
      <c r="BG159" s="231"/>
      <c r="BH159" s="231"/>
      <c r="BI159" s="231"/>
      <c r="BJ159" s="231"/>
      <c r="BK159" s="231"/>
      <c r="BL159" s="231"/>
      <c r="BM159" s="231"/>
      <c r="BN159" s="231"/>
      <c r="BO159" s="231"/>
    </row>
    <row r="160" spans="2:67" ht="14.25">
      <c r="B160" s="203"/>
      <c r="C160" s="203"/>
      <c r="D160" s="231"/>
      <c r="E160" s="231"/>
      <c r="F160" s="231"/>
      <c r="G160" s="231"/>
      <c r="H160" s="231"/>
      <c r="I160" s="231"/>
      <c r="J160" s="231"/>
      <c r="K160" s="231"/>
      <c r="L160" s="231"/>
      <c r="M160" s="231"/>
      <c r="N160" s="231"/>
      <c r="O160" s="231"/>
      <c r="P160" s="231"/>
      <c r="Q160" s="231"/>
      <c r="R160" s="231"/>
      <c r="S160" s="231"/>
      <c r="T160" s="231"/>
      <c r="U160" s="231"/>
      <c r="V160" s="231"/>
      <c r="W160" s="231"/>
      <c r="X160" s="231"/>
      <c r="Y160" s="231"/>
      <c r="Z160" s="231"/>
      <c r="AA160" s="231"/>
      <c r="AB160" s="231"/>
      <c r="AC160" s="231"/>
      <c r="AD160" s="231"/>
      <c r="AE160" s="231"/>
      <c r="AF160" s="231"/>
      <c r="AG160" s="231"/>
      <c r="AH160" s="231"/>
      <c r="AI160" s="231"/>
      <c r="AJ160" s="231"/>
      <c r="AK160" s="231"/>
      <c r="AL160" s="231"/>
      <c r="AM160" s="231"/>
      <c r="AN160" s="231"/>
      <c r="AO160" s="231"/>
      <c r="AP160" s="231"/>
      <c r="AQ160" s="231"/>
      <c r="AR160" s="231"/>
      <c r="AS160" s="231"/>
      <c r="AT160" s="231"/>
      <c r="AU160" s="231"/>
      <c r="AV160" s="231"/>
      <c r="AW160" s="231"/>
      <c r="AX160" s="231"/>
      <c r="AY160" s="231"/>
      <c r="AZ160" s="231"/>
      <c r="BA160" s="231"/>
      <c r="BB160" s="231"/>
      <c r="BC160" s="231"/>
      <c r="BD160" s="231"/>
      <c r="BE160" s="231"/>
      <c r="BF160" s="231"/>
      <c r="BG160" s="231"/>
      <c r="BH160" s="231"/>
      <c r="BI160" s="231"/>
      <c r="BJ160" s="231"/>
      <c r="BK160" s="231"/>
      <c r="BL160" s="231"/>
      <c r="BM160" s="231"/>
      <c r="BN160" s="231"/>
      <c r="BO160" s="231"/>
    </row>
    <row r="161" spans="2:67" ht="14.25">
      <c r="B161" s="203"/>
      <c r="C161" s="203"/>
      <c r="D161" s="231"/>
      <c r="E161" s="231"/>
      <c r="F161" s="231"/>
      <c r="G161" s="231"/>
      <c r="H161" s="231"/>
      <c r="I161" s="231"/>
      <c r="J161" s="231"/>
      <c r="K161" s="231"/>
      <c r="L161" s="231"/>
      <c r="M161" s="231"/>
      <c r="N161" s="231"/>
      <c r="O161" s="231"/>
      <c r="P161" s="231"/>
      <c r="Q161" s="231"/>
      <c r="R161" s="231"/>
      <c r="S161" s="231"/>
      <c r="T161" s="231"/>
      <c r="U161" s="231"/>
      <c r="V161" s="231"/>
      <c r="W161" s="231"/>
      <c r="X161" s="231"/>
      <c r="Y161" s="231"/>
      <c r="Z161" s="231"/>
      <c r="AA161" s="231"/>
      <c r="AB161" s="231"/>
      <c r="AC161" s="231"/>
      <c r="AD161" s="231"/>
      <c r="AE161" s="231"/>
      <c r="AF161" s="231"/>
      <c r="AG161" s="231"/>
      <c r="AH161" s="231"/>
      <c r="AI161" s="231"/>
      <c r="AJ161" s="231"/>
      <c r="AK161" s="231"/>
      <c r="AL161" s="231"/>
      <c r="AM161" s="231"/>
      <c r="AN161" s="231"/>
      <c r="AO161" s="231"/>
      <c r="AP161" s="231"/>
      <c r="AQ161" s="231"/>
      <c r="AR161" s="231"/>
      <c r="AS161" s="231"/>
      <c r="AT161" s="231"/>
      <c r="AU161" s="231"/>
      <c r="AV161" s="231"/>
      <c r="AW161" s="231"/>
      <c r="AX161" s="231"/>
      <c r="AY161" s="231"/>
      <c r="AZ161" s="231"/>
      <c r="BA161" s="231"/>
      <c r="BB161" s="231"/>
      <c r="BC161" s="231"/>
      <c r="BD161" s="231"/>
      <c r="BE161" s="231"/>
      <c r="BF161" s="231"/>
      <c r="BG161" s="231"/>
      <c r="BH161" s="231"/>
      <c r="BI161" s="231"/>
      <c r="BJ161" s="231"/>
      <c r="BK161" s="231"/>
      <c r="BL161" s="231"/>
      <c r="BM161" s="231"/>
      <c r="BN161" s="231"/>
      <c r="BO161" s="231"/>
    </row>
    <row r="162" spans="2:67" ht="14.25">
      <c r="B162" s="203"/>
      <c r="C162" s="203"/>
      <c r="D162" s="231"/>
      <c r="E162" s="231"/>
      <c r="F162" s="231"/>
      <c r="G162" s="231"/>
      <c r="H162" s="231"/>
      <c r="I162" s="231"/>
      <c r="J162" s="231"/>
      <c r="K162" s="231"/>
      <c r="L162" s="231"/>
      <c r="M162" s="231"/>
      <c r="N162" s="231"/>
      <c r="O162" s="231"/>
      <c r="P162" s="231"/>
      <c r="Q162" s="231"/>
      <c r="R162" s="231"/>
      <c r="S162" s="231"/>
      <c r="T162" s="231"/>
      <c r="U162" s="231"/>
      <c r="V162" s="231"/>
      <c r="W162" s="231"/>
      <c r="X162" s="231"/>
      <c r="Y162" s="231"/>
      <c r="Z162" s="231"/>
      <c r="AA162" s="231"/>
      <c r="AB162" s="231"/>
      <c r="AC162" s="231"/>
      <c r="AD162" s="231"/>
      <c r="AE162" s="231"/>
      <c r="AF162" s="231"/>
      <c r="AG162" s="231"/>
      <c r="AH162" s="231"/>
      <c r="AI162" s="231"/>
      <c r="AJ162" s="231"/>
      <c r="AK162" s="231"/>
      <c r="AL162" s="231"/>
      <c r="AM162" s="231"/>
      <c r="AN162" s="231"/>
      <c r="AO162" s="231"/>
      <c r="AP162" s="231"/>
      <c r="AQ162" s="231"/>
      <c r="AR162" s="231"/>
      <c r="AS162" s="231"/>
      <c r="AT162" s="231"/>
      <c r="AU162" s="231"/>
      <c r="AV162" s="231"/>
      <c r="AW162" s="231"/>
      <c r="AX162" s="231"/>
      <c r="AY162" s="231"/>
      <c r="AZ162" s="231"/>
      <c r="BA162" s="231"/>
      <c r="BB162" s="231"/>
      <c r="BC162" s="231"/>
      <c r="BD162" s="231"/>
      <c r="BE162" s="231"/>
      <c r="BF162" s="231"/>
      <c r="BG162" s="231"/>
      <c r="BH162" s="231"/>
      <c r="BI162" s="231"/>
      <c r="BJ162" s="231"/>
      <c r="BK162" s="231"/>
      <c r="BL162" s="231"/>
      <c r="BM162" s="231"/>
      <c r="BN162" s="231"/>
      <c r="BO162" s="231"/>
    </row>
    <row r="163" spans="2:67" ht="14.25">
      <c r="B163" s="203"/>
      <c r="C163" s="203"/>
      <c r="D163" s="231"/>
      <c r="E163" s="231"/>
      <c r="F163" s="231"/>
      <c r="G163" s="231"/>
      <c r="H163" s="231"/>
      <c r="I163" s="231"/>
      <c r="J163" s="231"/>
      <c r="K163" s="231"/>
      <c r="L163" s="231"/>
      <c r="M163" s="231"/>
      <c r="N163" s="231"/>
      <c r="O163" s="231"/>
      <c r="P163" s="231"/>
      <c r="Q163" s="231"/>
      <c r="R163" s="231"/>
      <c r="S163" s="231"/>
      <c r="T163" s="231"/>
      <c r="U163" s="231"/>
      <c r="V163" s="231"/>
      <c r="W163" s="231"/>
      <c r="X163" s="231"/>
      <c r="Y163" s="231"/>
      <c r="Z163" s="231"/>
      <c r="AA163" s="231"/>
      <c r="AB163" s="231"/>
      <c r="AC163" s="231"/>
      <c r="AD163" s="231"/>
      <c r="AE163" s="231"/>
      <c r="AF163" s="231"/>
      <c r="AG163" s="231"/>
      <c r="AH163" s="231"/>
      <c r="AI163" s="231"/>
      <c r="AJ163" s="231"/>
      <c r="AK163" s="231"/>
      <c r="AL163" s="231"/>
      <c r="AM163" s="231"/>
      <c r="AN163" s="231"/>
      <c r="AO163" s="231"/>
      <c r="AP163" s="231"/>
      <c r="AQ163" s="231"/>
      <c r="AR163" s="231"/>
      <c r="AS163" s="231"/>
      <c r="AT163" s="231"/>
      <c r="AU163" s="231"/>
      <c r="AV163" s="231"/>
      <c r="AW163" s="231"/>
      <c r="AX163" s="231"/>
      <c r="AY163" s="231"/>
      <c r="AZ163" s="231"/>
      <c r="BA163" s="231"/>
      <c r="BB163" s="231"/>
      <c r="BC163" s="231"/>
      <c r="BD163" s="231"/>
      <c r="BE163" s="231"/>
      <c r="BF163" s="231"/>
      <c r="BG163" s="231"/>
      <c r="BH163" s="231"/>
      <c r="BI163" s="231"/>
      <c r="BJ163" s="231"/>
      <c r="BK163" s="231"/>
      <c r="BL163" s="231"/>
      <c r="BM163" s="231"/>
      <c r="BN163" s="231"/>
      <c r="BO163" s="231"/>
    </row>
    <row r="164" spans="2:67" ht="14.25">
      <c r="B164" s="203"/>
      <c r="C164" s="203"/>
      <c r="D164" s="231"/>
      <c r="E164" s="231"/>
      <c r="F164" s="231"/>
      <c r="G164" s="231"/>
      <c r="H164" s="231"/>
      <c r="I164" s="231"/>
      <c r="J164" s="231"/>
      <c r="K164" s="231"/>
      <c r="L164" s="231"/>
      <c r="M164" s="231"/>
      <c r="N164" s="231"/>
      <c r="O164" s="231"/>
      <c r="P164" s="231"/>
      <c r="Q164" s="231"/>
      <c r="R164" s="231"/>
      <c r="S164" s="231"/>
      <c r="T164" s="231"/>
      <c r="U164" s="231"/>
      <c r="V164" s="231"/>
      <c r="W164" s="231"/>
      <c r="X164" s="231"/>
      <c r="Y164" s="231"/>
      <c r="Z164" s="231"/>
      <c r="AA164" s="231"/>
      <c r="AB164" s="231"/>
      <c r="AC164" s="231"/>
      <c r="AD164" s="231"/>
      <c r="AE164" s="231"/>
      <c r="AF164" s="231"/>
      <c r="AG164" s="231"/>
      <c r="AH164" s="231"/>
      <c r="AI164" s="231"/>
      <c r="AJ164" s="231"/>
      <c r="AK164" s="231"/>
      <c r="AL164" s="231"/>
      <c r="AM164" s="231"/>
      <c r="AN164" s="231"/>
      <c r="AO164" s="231"/>
      <c r="AP164" s="231"/>
      <c r="AQ164" s="231"/>
      <c r="AR164" s="231"/>
      <c r="AS164" s="231"/>
      <c r="AT164" s="231"/>
      <c r="AU164" s="231"/>
      <c r="AV164" s="231"/>
      <c r="AW164" s="231"/>
      <c r="AX164" s="231"/>
      <c r="AY164" s="231"/>
      <c r="AZ164" s="231"/>
      <c r="BA164" s="231"/>
      <c r="BB164" s="231"/>
      <c r="BC164" s="231"/>
      <c r="BD164" s="231"/>
      <c r="BE164" s="231"/>
      <c r="BF164" s="231"/>
      <c r="BG164" s="231"/>
      <c r="BH164" s="231"/>
      <c r="BI164" s="231"/>
      <c r="BJ164" s="231"/>
      <c r="BK164" s="231"/>
      <c r="BL164" s="231"/>
      <c r="BM164" s="231"/>
      <c r="BN164" s="231"/>
      <c r="BO164" s="231"/>
    </row>
    <row r="165" spans="2:67" ht="14.25">
      <c r="B165" s="203"/>
      <c r="C165" s="203"/>
      <c r="D165" s="231"/>
      <c r="E165" s="231"/>
      <c r="F165" s="231"/>
      <c r="G165" s="231"/>
      <c r="H165" s="231"/>
      <c r="I165" s="231"/>
      <c r="J165" s="231"/>
      <c r="K165" s="231"/>
      <c r="L165" s="231"/>
      <c r="M165" s="231"/>
      <c r="N165" s="231"/>
      <c r="O165" s="231"/>
      <c r="P165" s="231"/>
      <c r="Q165" s="231"/>
      <c r="R165" s="231"/>
      <c r="S165" s="231"/>
      <c r="T165" s="231"/>
      <c r="U165" s="231"/>
      <c r="V165" s="231"/>
      <c r="W165" s="231"/>
      <c r="X165" s="231"/>
      <c r="Y165" s="231"/>
      <c r="Z165" s="231"/>
      <c r="AA165" s="231"/>
      <c r="AB165" s="231"/>
      <c r="AC165" s="231"/>
      <c r="AD165" s="231"/>
      <c r="AE165" s="231"/>
      <c r="AF165" s="231"/>
      <c r="AG165" s="231"/>
      <c r="AH165" s="231"/>
      <c r="AI165" s="231"/>
      <c r="AJ165" s="231"/>
      <c r="AK165" s="231"/>
      <c r="AL165" s="231"/>
      <c r="AM165" s="231"/>
      <c r="AN165" s="231"/>
      <c r="AO165" s="231"/>
      <c r="AP165" s="231"/>
      <c r="AQ165" s="231"/>
      <c r="AR165" s="231"/>
      <c r="AS165" s="231"/>
      <c r="AT165" s="231"/>
      <c r="AU165" s="231"/>
      <c r="AV165" s="231"/>
      <c r="AW165" s="231"/>
      <c r="AX165" s="231"/>
      <c r="AY165" s="231"/>
      <c r="AZ165" s="231"/>
      <c r="BA165" s="231"/>
      <c r="BB165" s="231"/>
      <c r="BC165" s="231"/>
      <c r="BD165" s="231"/>
      <c r="BE165" s="231"/>
      <c r="BF165" s="231"/>
      <c r="BG165" s="231"/>
      <c r="BH165" s="231"/>
      <c r="BI165" s="231"/>
      <c r="BJ165" s="231"/>
      <c r="BK165" s="231"/>
      <c r="BL165" s="231"/>
      <c r="BM165" s="231"/>
      <c r="BN165" s="231"/>
      <c r="BO165" s="231"/>
    </row>
    <row r="166" spans="2:67" ht="14.25">
      <c r="B166" s="203"/>
      <c r="C166" s="203"/>
      <c r="D166" s="231"/>
      <c r="E166" s="231"/>
      <c r="F166" s="231"/>
      <c r="G166" s="231"/>
      <c r="H166" s="231"/>
      <c r="I166" s="231"/>
      <c r="J166" s="231"/>
      <c r="K166" s="231"/>
      <c r="L166" s="231"/>
      <c r="M166" s="231"/>
      <c r="N166" s="231"/>
      <c r="O166" s="231"/>
      <c r="P166" s="231"/>
      <c r="Q166" s="231"/>
      <c r="R166" s="231"/>
      <c r="S166" s="231"/>
      <c r="T166" s="231"/>
      <c r="U166" s="231"/>
      <c r="V166" s="231"/>
      <c r="W166" s="231"/>
      <c r="X166" s="231"/>
      <c r="Y166" s="231"/>
      <c r="Z166" s="231"/>
      <c r="AA166" s="231"/>
      <c r="AB166" s="231"/>
      <c r="AC166" s="231"/>
      <c r="AD166" s="231"/>
      <c r="AE166" s="231"/>
      <c r="AF166" s="231"/>
      <c r="AG166" s="231"/>
      <c r="AH166" s="231"/>
      <c r="AI166" s="231"/>
      <c r="AJ166" s="231"/>
      <c r="AK166" s="231"/>
      <c r="AL166" s="231"/>
      <c r="AM166" s="231"/>
      <c r="AN166" s="231"/>
      <c r="AO166" s="231"/>
      <c r="AP166" s="231"/>
      <c r="AQ166" s="231"/>
      <c r="AR166" s="231"/>
      <c r="AS166" s="231"/>
      <c r="AT166" s="231"/>
      <c r="AU166" s="231"/>
      <c r="AV166" s="231"/>
      <c r="AW166" s="231"/>
      <c r="AX166" s="231"/>
      <c r="AY166" s="231"/>
      <c r="AZ166" s="231"/>
      <c r="BA166" s="231"/>
      <c r="BB166" s="231"/>
      <c r="BC166" s="231"/>
      <c r="BD166" s="231"/>
      <c r="BE166" s="231"/>
      <c r="BF166" s="231"/>
      <c r="BG166" s="231"/>
      <c r="BH166" s="231"/>
      <c r="BI166" s="231"/>
      <c r="BJ166" s="231"/>
      <c r="BK166" s="231"/>
      <c r="BL166" s="231"/>
      <c r="BM166" s="231"/>
      <c r="BN166" s="231"/>
      <c r="BO166" s="231"/>
    </row>
    <row r="167" spans="2:67" ht="14.25">
      <c r="B167" s="203"/>
      <c r="C167" s="203"/>
      <c r="D167" s="231"/>
      <c r="E167" s="231"/>
      <c r="F167" s="231"/>
      <c r="G167" s="231"/>
      <c r="H167" s="231"/>
      <c r="I167" s="231"/>
      <c r="J167" s="231"/>
      <c r="K167" s="231"/>
      <c r="L167" s="231"/>
      <c r="M167" s="231"/>
      <c r="N167" s="231"/>
      <c r="O167" s="231"/>
      <c r="P167" s="231"/>
      <c r="Q167" s="231"/>
      <c r="R167" s="231"/>
      <c r="S167" s="231"/>
      <c r="T167" s="231"/>
      <c r="U167" s="231"/>
      <c r="V167" s="231"/>
      <c r="W167" s="231"/>
      <c r="X167" s="231"/>
      <c r="Y167" s="231"/>
      <c r="Z167" s="231"/>
      <c r="AA167" s="231"/>
      <c r="AB167" s="231"/>
      <c r="AC167" s="231"/>
      <c r="AD167" s="231"/>
      <c r="AE167" s="231"/>
      <c r="AF167" s="231"/>
      <c r="AG167" s="231"/>
      <c r="AH167" s="231"/>
      <c r="AI167" s="231"/>
      <c r="AJ167" s="231"/>
      <c r="AK167" s="231"/>
      <c r="AL167" s="231"/>
      <c r="AM167" s="231"/>
      <c r="AN167" s="231"/>
      <c r="AO167" s="231"/>
      <c r="AP167" s="231"/>
      <c r="AQ167" s="231"/>
      <c r="AR167" s="231"/>
      <c r="AS167" s="231"/>
      <c r="AT167" s="231"/>
      <c r="AU167" s="231"/>
      <c r="AV167" s="231"/>
      <c r="AW167" s="231"/>
      <c r="AX167" s="231"/>
      <c r="AY167" s="231"/>
      <c r="AZ167" s="231"/>
      <c r="BA167" s="231"/>
      <c r="BB167" s="231"/>
      <c r="BC167" s="231"/>
      <c r="BD167" s="231"/>
      <c r="BE167" s="231"/>
      <c r="BF167" s="231"/>
      <c r="BG167" s="231"/>
      <c r="BH167" s="231"/>
      <c r="BI167" s="231"/>
      <c r="BJ167" s="231"/>
      <c r="BK167" s="231"/>
      <c r="BL167" s="231"/>
      <c r="BM167" s="231"/>
      <c r="BN167" s="231"/>
      <c r="BO167" s="231"/>
    </row>
    <row r="168" spans="2:67" ht="14.25">
      <c r="B168" s="203"/>
      <c r="C168" s="203"/>
      <c r="D168" s="231"/>
      <c r="E168" s="231"/>
      <c r="F168" s="231"/>
      <c r="G168" s="231"/>
      <c r="H168" s="231"/>
      <c r="I168" s="231"/>
      <c r="J168" s="231"/>
      <c r="K168" s="231"/>
      <c r="L168" s="231"/>
      <c r="M168" s="231"/>
      <c r="N168" s="231"/>
      <c r="O168" s="231"/>
      <c r="P168" s="231"/>
      <c r="Q168" s="231"/>
      <c r="R168" s="231"/>
      <c r="S168" s="231"/>
      <c r="T168" s="231"/>
      <c r="U168" s="231"/>
      <c r="V168" s="231"/>
      <c r="W168" s="231"/>
      <c r="X168" s="231"/>
      <c r="Y168" s="231"/>
      <c r="Z168" s="231"/>
      <c r="AA168" s="231"/>
      <c r="AB168" s="231"/>
      <c r="AC168" s="231"/>
      <c r="AD168" s="231"/>
      <c r="AE168" s="231"/>
      <c r="AF168" s="231"/>
      <c r="AG168" s="231"/>
      <c r="AH168" s="231"/>
      <c r="AI168" s="231"/>
      <c r="AJ168" s="231"/>
      <c r="AK168" s="231"/>
      <c r="AL168" s="231"/>
      <c r="AM168" s="231"/>
      <c r="AN168" s="231"/>
      <c r="AO168" s="231"/>
      <c r="AP168" s="231"/>
      <c r="AQ168" s="231"/>
      <c r="AR168" s="231"/>
      <c r="AS168" s="231"/>
      <c r="AT168" s="231"/>
      <c r="AU168" s="231"/>
      <c r="AV168" s="231"/>
      <c r="AW168" s="231"/>
      <c r="AX168" s="231"/>
      <c r="AY168" s="231"/>
      <c r="AZ168" s="231"/>
      <c r="BA168" s="231"/>
      <c r="BB168" s="231"/>
      <c r="BC168" s="231"/>
      <c r="BD168" s="231"/>
      <c r="BE168" s="231"/>
      <c r="BF168" s="231"/>
      <c r="BG168" s="231"/>
      <c r="BH168" s="231"/>
      <c r="BI168" s="231"/>
      <c r="BJ168" s="231"/>
      <c r="BK168" s="231"/>
      <c r="BL168" s="231"/>
      <c r="BM168" s="231"/>
      <c r="BN168" s="231"/>
      <c r="BO168" s="231"/>
    </row>
    <row r="169" spans="2:67" ht="14.25">
      <c r="B169" s="203"/>
      <c r="C169" s="203"/>
      <c r="D169" s="231"/>
      <c r="E169" s="231"/>
      <c r="F169" s="231"/>
      <c r="G169" s="231"/>
      <c r="H169" s="231"/>
      <c r="I169" s="231"/>
      <c r="J169" s="231"/>
      <c r="K169" s="231"/>
      <c r="L169" s="231"/>
      <c r="M169" s="231"/>
      <c r="N169" s="231"/>
      <c r="O169" s="231"/>
      <c r="P169" s="231"/>
      <c r="Q169" s="231"/>
      <c r="R169" s="231"/>
      <c r="S169" s="231"/>
      <c r="T169" s="231"/>
      <c r="U169" s="231"/>
      <c r="V169" s="231"/>
      <c r="W169" s="231"/>
      <c r="X169" s="231"/>
      <c r="Y169" s="231"/>
      <c r="Z169" s="231"/>
      <c r="AA169" s="231"/>
      <c r="AB169" s="231"/>
      <c r="AC169" s="231"/>
      <c r="AD169" s="231"/>
      <c r="AE169" s="231"/>
      <c r="AF169" s="231"/>
      <c r="AG169" s="231"/>
      <c r="AH169" s="231"/>
      <c r="AI169" s="231"/>
      <c r="AJ169" s="231"/>
      <c r="AK169" s="231"/>
      <c r="AL169" s="231"/>
      <c r="AM169" s="231"/>
      <c r="AN169" s="231"/>
      <c r="AO169" s="231"/>
      <c r="AP169" s="231"/>
      <c r="AQ169" s="231"/>
      <c r="AR169" s="231"/>
      <c r="AS169" s="231"/>
      <c r="AT169" s="231"/>
      <c r="AU169" s="231"/>
      <c r="AV169" s="231"/>
      <c r="AW169" s="231"/>
      <c r="AX169" s="231"/>
      <c r="AY169" s="231"/>
      <c r="AZ169" s="231"/>
      <c r="BA169" s="231"/>
      <c r="BB169" s="231"/>
      <c r="BC169" s="231"/>
      <c r="BD169" s="231"/>
      <c r="BE169" s="231"/>
      <c r="BF169" s="231"/>
      <c r="BG169" s="231"/>
      <c r="BH169" s="231"/>
      <c r="BI169" s="231"/>
      <c r="BJ169" s="231"/>
      <c r="BK169" s="231"/>
      <c r="BL169" s="231"/>
      <c r="BM169" s="231"/>
      <c r="BN169" s="231"/>
      <c r="BO169" s="231"/>
    </row>
    <row r="170" spans="2:67" ht="14.25">
      <c r="B170" s="203"/>
      <c r="C170" s="203"/>
      <c r="D170" s="231"/>
      <c r="E170" s="231"/>
      <c r="F170" s="231"/>
      <c r="G170" s="231"/>
      <c r="H170" s="231"/>
      <c r="I170" s="231"/>
      <c r="J170" s="231"/>
      <c r="K170" s="231"/>
      <c r="L170" s="231"/>
      <c r="M170" s="231"/>
      <c r="N170" s="231"/>
      <c r="O170" s="231"/>
      <c r="P170" s="231"/>
      <c r="Q170" s="231"/>
      <c r="R170" s="231"/>
      <c r="S170" s="231"/>
      <c r="T170" s="231"/>
      <c r="U170" s="231"/>
      <c r="V170" s="231"/>
      <c r="W170" s="231"/>
      <c r="X170" s="231"/>
      <c r="Y170" s="231"/>
      <c r="Z170" s="231"/>
      <c r="AA170" s="231"/>
      <c r="AB170" s="231"/>
      <c r="AC170" s="231"/>
      <c r="AD170" s="231"/>
      <c r="AE170" s="231"/>
      <c r="AF170" s="231"/>
      <c r="AG170" s="231"/>
      <c r="AH170" s="231"/>
      <c r="AI170" s="231"/>
      <c r="AJ170" s="231"/>
      <c r="AK170" s="231"/>
      <c r="AL170" s="231"/>
      <c r="AM170" s="231"/>
      <c r="AN170" s="231"/>
      <c r="AO170" s="231"/>
      <c r="AP170" s="231"/>
      <c r="AQ170" s="231"/>
      <c r="AR170" s="231"/>
      <c r="AS170" s="231"/>
      <c r="AT170" s="231"/>
      <c r="AU170" s="231"/>
      <c r="AV170" s="231"/>
      <c r="AW170" s="231"/>
      <c r="AX170" s="231"/>
      <c r="AY170" s="231"/>
      <c r="AZ170" s="231"/>
      <c r="BA170" s="231"/>
      <c r="BB170" s="231"/>
      <c r="BC170" s="231"/>
      <c r="BD170" s="231"/>
      <c r="BE170" s="231"/>
      <c r="BF170" s="231"/>
      <c r="BG170" s="231"/>
      <c r="BH170" s="231"/>
      <c r="BI170" s="231"/>
      <c r="BJ170" s="231"/>
      <c r="BK170" s="231"/>
      <c r="BL170" s="231"/>
      <c r="BM170" s="231"/>
      <c r="BN170" s="231"/>
      <c r="BO170" s="231"/>
    </row>
    <row r="171" spans="2:67" ht="14.25">
      <c r="B171" s="203"/>
      <c r="C171" s="203"/>
      <c r="D171" s="231"/>
      <c r="E171" s="231"/>
      <c r="F171" s="231"/>
      <c r="G171" s="231"/>
      <c r="H171" s="231"/>
      <c r="I171" s="231"/>
      <c r="J171" s="231"/>
      <c r="K171" s="231"/>
      <c r="L171" s="231"/>
      <c r="M171" s="231"/>
      <c r="N171" s="231"/>
      <c r="O171" s="231"/>
      <c r="P171" s="231"/>
      <c r="Q171" s="231"/>
      <c r="R171" s="231"/>
      <c r="S171" s="231"/>
      <c r="T171" s="231"/>
      <c r="U171" s="231"/>
      <c r="V171" s="231"/>
      <c r="W171" s="231"/>
      <c r="X171" s="231"/>
      <c r="Y171" s="231"/>
      <c r="Z171" s="231"/>
      <c r="AA171" s="231"/>
      <c r="AB171" s="231"/>
      <c r="AC171" s="231"/>
      <c r="AD171" s="231"/>
      <c r="AE171" s="231"/>
      <c r="AF171" s="231"/>
      <c r="AG171" s="231"/>
      <c r="AH171" s="231"/>
      <c r="AI171" s="231"/>
      <c r="AJ171" s="231"/>
      <c r="AK171" s="231"/>
      <c r="AL171" s="231"/>
      <c r="AM171" s="231"/>
      <c r="AN171" s="231"/>
      <c r="AO171" s="231"/>
      <c r="AP171" s="231"/>
      <c r="AQ171" s="231"/>
      <c r="AR171" s="231"/>
      <c r="AS171" s="231"/>
      <c r="AT171" s="231"/>
      <c r="AU171" s="231"/>
      <c r="AV171" s="231"/>
      <c r="AW171" s="231"/>
      <c r="AX171" s="231"/>
      <c r="AY171" s="231"/>
      <c r="AZ171" s="231"/>
      <c r="BA171" s="231"/>
      <c r="BB171" s="231"/>
      <c r="BC171" s="231"/>
      <c r="BD171" s="231"/>
      <c r="BE171" s="231"/>
      <c r="BF171" s="231"/>
      <c r="BG171" s="231"/>
      <c r="BH171" s="231"/>
      <c r="BI171" s="231"/>
      <c r="BJ171" s="231"/>
      <c r="BK171" s="231"/>
      <c r="BL171" s="231"/>
      <c r="BM171" s="231"/>
      <c r="BN171" s="231"/>
      <c r="BO171" s="231"/>
    </row>
    <row r="172" spans="2:67" ht="14.25">
      <c r="B172" s="203"/>
      <c r="C172" s="203"/>
      <c r="D172" s="231"/>
      <c r="E172" s="231"/>
      <c r="F172" s="231"/>
      <c r="G172" s="231"/>
      <c r="H172" s="231"/>
      <c r="I172" s="231"/>
      <c r="J172" s="231"/>
      <c r="K172" s="231"/>
      <c r="L172" s="231"/>
      <c r="M172" s="231"/>
      <c r="N172" s="231"/>
      <c r="O172" s="231"/>
      <c r="P172" s="231"/>
      <c r="Q172" s="231"/>
      <c r="R172" s="231"/>
      <c r="S172" s="231"/>
      <c r="T172" s="231"/>
      <c r="U172" s="231"/>
      <c r="V172" s="231"/>
      <c r="W172" s="231"/>
      <c r="X172" s="231"/>
      <c r="Y172" s="231"/>
      <c r="Z172" s="231"/>
      <c r="AA172" s="231"/>
      <c r="AB172" s="231"/>
      <c r="AC172" s="231"/>
      <c r="AD172" s="231"/>
      <c r="AE172" s="231"/>
      <c r="AF172" s="231"/>
      <c r="AG172" s="231"/>
      <c r="AH172" s="231"/>
      <c r="AI172" s="231"/>
      <c r="AJ172" s="231"/>
      <c r="AK172" s="231"/>
      <c r="AL172" s="231"/>
      <c r="AM172" s="231"/>
      <c r="AN172" s="231"/>
      <c r="AO172" s="231"/>
      <c r="AP172" s="231"/>
      <c r="AQ172" s="231"/>
      <c r="AR172" s="231"/>
      <c r="AS172" s="231"/>
      <c r="AT172" s="231"/>
      <c r="AU172" s="231"/>
      <c r="AV172" s="231"/>
      <c r="AW172" s="231"/>
      <c r="AX172" s="231"/>
      <c r="AY172" s="231"/>
      <c r="AZ172" s="231"/>
      <c r="BA172" s="231"/>
      <c r="BB172" s="231"/>
      <c r="BC172" s="231"/>
      <c r="BD172" s="231"/>
      <c r="BE172" s="231"/>
      <c r="BF172" s="231"/>
      <c r="BG172" s="231"/>
      <c r="BH172" s="231"/>
      <c r="BI172" s="231"/>
      <c r="BJ172" s="231"/>
      <c r="BK172" s="231"/>
      <c r="BL172" s="231"/>
      <c r="BM172" s="231"/>
      <c r="BN172" s="231"/>
      <c r="BO172" s="231"/>
    </row>
    <row r="173" spans="2:67" ht="14.25">
      <c r="B173" s="203"/>
      <c r="C173" s="203"/>
      <c r="D173" s="231"/>
      <c r="E173" s="231"/>
      <c r="F173" s="231"/>
      <c r="G173" s="231"/>
      <c r="H173" s="231"/>
      <c r="I173" s="231"/>
      <c r="J173" s="231"/>
      <c r="K173" s="231"/>
      <c r="L173" s="231"/>
      <c r="M173" s="231"/>
      <c r="N173" s="231"/>
      <c r="O173" s="231"/>
      <c r="P173" s="231"/>
      <c r="Q173" s="231"/>
      <c r="R173" s="231"/>
      <c r="S173" s="231"/>
      <c r="T173" s="231"/>
      <c r="U173" s="231"/>
      <c r="V173" s="231"/>
      <c r="W173" s="231"/>
      <c r="X173" s="231"/>
      <c r="Y173" s="231"/>
      <c r="Z173" s="231"/>
      <c r="AA173" s="231"/>
      <c r="AB173" s="231"/>
      <c r="AC173" s="231"/>
      <c r="AD173" s="231"/>
      <c r="AE173" s="231"/>
      <c r="AF173" s="231"/>
      <c r="AG173" s="231"/>
      <c r="AH173" s="231"/>
      <c r="AI173" s="231"/>
      <c r="AJ173" s="231"/>
      <c r="AK173" s="231"/>
      <c r="AL173" s="231"/>
      <c r="AM173" s="231"/>
      <c r="AN173" s="231"/>
      <c r="AO173" s="231"/>
      <c r="AP173" s="231"/>
      <c r="AQ173" s="231"/>
      <c r="AR173" s="231"/>
      <c r="AS173" s="231"/>
      <c r="AT173" s="231"/>
      <c r="AU173" s="231"/>
      <c r="AV173" s="231"/>
      <c r="AW173" s="231"/>
      <c r="AX173" s="231"/>
      <c r="AY173" s="231"/>
      <c r="AZ173" s="231"/>
      <c r="BA173" s="231"/>
      <c r="BB173" s="231"/>
      <c r="BC173" s="231"/>
      <c r="BD173" s="231"/>
      <c r="BE173" s="231"/>
      <c r="BF173" s="231"/>
      <c r="BG173" s="231"/>
      <c r="BH173" s="231"/>
      <c r="BI173" s="231"/>
      <c r="BJ173" s="231"/>
      <c r="BK173" s="231"/>
      <c r="BL173" s="231"/>
      <c r="BM173" s="231"/>
      <c r="BN173" s="231"/>
      <c r="BO173" s="231"/>
    </row>
    <row r="174" spans="2:67" ht="14.25">
      <c r="B174" s="203"/>
      <c r="C174" s="203"/>
      <c r="D174" s="231"/>
      <c r="E174" s="231"/>
      <c r="F174" s="231"/>
      <c r="G174" s="231"/>
      <c r="H174" s="231"/>
      <c r="I174" s="231"/>
      <c r="J174" s="231"/>
      <c r="K174" s="231"/>
      <c r="L174" s="231"/>
      <c r="M174" s="231"/>
      <c r="N174" s="231"/>
      <c r="O174" s="231"/>
      <c r="P174" s="231"/>
      <c r="Q174" s="231"/>
      <c r="R174" s="231"/>
      <c r="S174" s="231"/>
      <c r="T174" s="231"/>
      <c r="U174" s="231"/>
      <c r="V174" s="231"/>
      <c r="W174" s="231"/>
      <c r="X174" s="231"/>
      <c r="Y174" s="231"/>
      <c r="Z174" s="231"/>
      <c r="AA174" s="231"/>
      <c r="AB174" s="231"/>
      <c r="AC174" s="231"/>
      <c r="AD174" s="231"/>
      <c r="AE174" s="231"/>
      <c r="AF174" s="231"/>
      <c r="AG174" s="231"/>
      <c r="AH174" s="231"/>
      <c r="AI174" s="231"/>
      <c r="AJ174" s="231"/>
      <c r="AK174" s="231"/>
      <c r="AL174" s="231"/>
      <c r="AM174" s="231"/>
      <c r="AN174" s="231"/>
      <c r="AO174" s="231"/>
      <c r="AP174" s="231"/>
      <c r="AQ174" s="231"/>
      <c r="AR174" s="231"/>
      <c r="AS174" s="231"/>
      <c r="AT174" s="231"/>
      <c r="AU174" s="231"/>
      <c r="AV174" s="231"/>
      <c r="AW174" s="231"/>
      <c r="AX174" s="231"/>
      <c r="AY174" s="231"/>
      <c r="AZ174" s="231"/>
      <c r="BA174" s="231"/>
      <c r="BB174" s="231"/>
      <c r="BC174" s="231"/>
      <c r="BD174" s="231"/>
      <c r="BE174" s="231"/>
      <c r="BF174" s="231"/>
      <c r="BG174" s="231"/>
      <c r="BH174" s="231"/>
      <c r="BI174" s="231"/>
      <c r="BJ174" s="231"/>
      <c r="BK174" s="231"/>
      <c r="BL174" s="231"/>
      <c r="BM174" s="231"/>
      <c r="BN174" s="231"/>
      <c r="BO174" s="231"/>
    </row>
    <row r="175" spans="2:67" ht="14.25">
      <c r="B175" s="203"/>
      <c r="C175" s="203"/>
      <c r="D175" s="231"/>
      <c r="E175" s="231"/>
      <c r="F175" s="231"/>
      <c r="G175" s="231"/>
      <c r="H175" s="231"/>
      <c r="I175" s="231"/>
      <c r="J175" s="231"/>
      <c r="K175" s="231"/>
      <c r="L175" s="231"/>
      <c r="M175" s="231"/>
      <c r="N175" s="231"/>
      <c r="O175" s="231"/>
      <c r="P175" s="231"/>
      <c r="Q175" s="231"/>
      <c r="R175" s="231"/>
      <c r="S175" s="231"/>
      <c r="T175" s="231"/>
      <c r="U175" s="231"/>
      <c r="V175" s="231"/>
      <c r="W175" s="231"/>
      <c r="X175" s="231"/>
      <c r="Y175" s="231"/>
      <c r="Z175" s="231"/>
      <c r="AA175" s="231"/>
      <c r="AB175" s="231"/>
      <c r="AC175" s="231"/>
      <c r="AD175" s="231"/>
      <c r="AE175" s="231"/>
      <c r="AF175" s="231"/>
      <c r="AG175" s="231"/>
      <c r="AH175" s="231"/>
      <c r="AI175" s="231"/>
      <c r="AJ175" s="231"/>
      <c r="AK175" s="231"/>
      <c r="AL175" s="231"/>
      <c r="AM175" s="231"/>
      <c r="AN175" s="231"/>
      <c r="AO175" s="231"/>
      <c r="AP175" s="231"/>
      <c r="AQ175" s="231"/>
      <c r="AR175" s="231"/>
      <c r="AS175" s="231"/>
      <c r="AT175" s="231"/>
      <c r="AU175" s="231"/>
      <c r="AV175" s="231"/>
      <c r="AW175" s="231"/>
      <c r="AX175" s="231"/>
      <c r="AY175" s="231"/>
      <c r="AZ175" s="231"/>
      <c r="BA175" s="231"/>
      <c r="BB175" s="231"/>
      <c r="BC175" s="231"/>
      <c r="BD175" s="231"/>
      <c r="BE175" s="231"/>
      <c r="BF175" s="231"/>
      <c r="BG175" s="231"/>
      <c r="BH175" s="231"/>
      <c r="BI175" s="231"/>
      <c r="BJ175" s="231"/>
      <c r="BK175" s="231"/>
      <c r="BL175" s="231"/>
      <c r="BM175" s="231"/>
      <c r="BN175" s="231"/>
      <c r="BO175" s="231"/>
    </row>
    <row r="176" spans="2:67" ht="14.25">
      <c r="B176" s="203"/>
      <c r="C176" s="203"/>
      <c r="D176" s="231"/>
      <c r="E176" s="231"/>
      <c r="F176" s="231"/>
      <c r="G176" s="231"/>
      <c r="H176" s="231"/>
      <c r="I176" s="231"/>
      <c r="J176" s="231"/>
      <c r="K176" s="231"/>
      <c r="L176" s="231"/>
      <c r="M176" s="231"/>
      <c r="N176" s="231"/>
      <c r="O176" s="231"/>
      <c r="P176" s="231"/>
      <c r="Q176" s="231"/>
      <c r="R176" s="231"/>
      <c r="S176" s="231"/>
      <c r="T176" s="231"/>
      <c r="U176" s="231"/>
      <c r="V176" s="231"/>
      <c r="W176" s="231"/>
      <c r="X176" s="231"/>
      <c r="Y176" s="231"/>
      <c r="Z176" s="231"/>
      <c r="AA176" s="231"/>
      <c r="AB176" s="231"/>
      <c r="AC176" s="231"/>
      <c r="AD176" s="231"/>
      <c r="AE176" s="231"/>
      <c r="AF176" s="231"/>
      <c r="AG176" s="231"/>
      <c r="AH176" s="231"/>
      <c r="AI176" s="231"/>
      <c r="AJ176" s="231"/>
      <c r="AK176" s="231"/>
      <c r="AL176" s="231"/>
      <c r="AM176" s="231"/>
      <c r="AN176" s="231"/>
      <c r="AO176" s="231"/>
      <c r="AP176" s="231"/>
      <c r="AQ176" s="231"/>
      <c r="AR176" s="231"/>
      <c r="AS176" s="231"/>
      <c r="AT176" s="231"/>
      <c r="AU176" s="231"/>
      <c r="AV176" s="231"/>
      <c r="AW176" s="231"/>
      <c r="AX176" s="231"/>
      <c r="AY176" s="231"/>
      <c r="AZ176" s="231"/>
      <c r="BA176" s="231"/>
      <c r="BB176" s="231"/>
      <c r="BC176" s="231"/>
      <c r="BD176" s="231"/>
      <c r="BE176" s="231"/>
      <c r="BF176" s="231"/>
      <c r="BG176" s="231"/>
      <c r="BH176" s="231"/>
      <c r="BI176" s="231"/>
      <c r="BJ176" s="231"/>
      <c r="BK176" s="231"/>
      <c r="BL176" s="231"/>
      <c r="BM176" s="231"/>
      <c r="BN176" s="231"/>
      <c r="BO176" s="231"/>
    </row>
    <row r="177" spans="2:67" ht="14.25">
      <c r="B177" s="203"/>
      <c r="C177" s="203"/>
      <c r="D177" s="231"/>
      <c r="E177" s="231"/>
      <c r="F177" s="231"/>
      <c r="G177" s="231"/>
      <c r="H177" s="231"/>
      <c r="I177" s="231"/>
      <c r="J177" s="231"/>
      <c r="K177" s="231"/>
      <c r="L177" s="231"/>
      <c r="M177" s="231"/>
      <c r="N177" s="231"/>
      <c r="O177" s="231"/>
      <c r="P177" s="231"/>
      <c r="Q177" s="231"/>
      <c r="R177" s="231"/>
      <c r="S177" s="231"/>
      <c r="T177" s="231"/>
      <c r="U177" s="231"/>
      <c r="V177" s="231"/>
      <c r="W177" s="231"/>
      <c r="X177" s="231"/>
      <c r="Y177" s="231"/>
      <c r="Z177" s="231"/>
      <c r="AA177" s="231"/>
      <c r="AB177" s="231"/>
      <c r="AC177" s="231"/>
      <c r="AD177" s="231"/>
      <c r="AE177" s="231"/>
      <c r="AF177" s="231"/>
      <c r="AG177" s="231"/>
      <c r="AH177" s="231"/>
      <c r="AI177" s="231"/>
      <c r="AJ177" s="231"/>
      <c r="AK177" s="231"/>
      <c r="AL177" s="231"/>
      <c r="AM177" s="231"/>
      <c r="AN177" s="231"/>
      <c r="AO177" s="231"/>
      <c r="AP177" s="231"/>
      <c r="AQ177" s="231"/>
      <c r="AR177" s="231"/>
      <c r="AS177" s="231"/>
      <c r="AT177" s="231"/>
      <c r="AU177" s="231"/>
      <c r="AV177" s="231"/>
      <c r="AW177" s="231"/>
      <c r="AX177" s="231"/>
      <c r="AY177" s="231"/>
      <c r="AZ177" s="231"/>
      <c r="BA177" s="231"/>
      <c r="BB177" s="231"/>
      <c r="BC177" s="231"/>
      <c r="BD177" s="231"/>
      <c r="BE177" s="231"/>
      <c r="BF177" s="231"/>
      <c r="BG177" s="231"/>
      <c r="BH177" s="231"/>
      <c r="BI177" s="231"/>
      <c r="BJ177" s="231"/>
      <c r="BK177" s="231"/>
      <c r="BL177" s="231"/>
      <c r="BM177" s="231"/>
      <c r="BN177" s="231"/>
      <c r="BO177" s="231"/>
    </row>
    <row r="178" spans="2:67" ht="14.25">
      <c r="B178" s="203"/>
      <c r="C178" s="203"/>
      <c r="D178" s="231"/>
      <c r="E178" s="231"/>
      <c r="F178" s="231"/>
      <c r="G178" s="231"/>
      <c r="H178" s="231"/>
      <c r="I178" s="231"/>
      <c r="J178" s="231"/>
      <c r="K178" s="231"/>
      <c r="L178" s="231"/>
      <c r="M178" s="231"/>
      <c r="N178" s="231"/>
      <c r="O178" s="231"/>
      <c r="P178" s="231"/>
      <c r="Q178" s="231"/>
      <c r="R178" s="231"/>
      <c r="S178" s="231"/>
      <c r="T178" s="231"/>
      <c r="U178" s="231"/>
      <c r="V178" s="231"/>
      <c r="W178" s="231"/>
      <c r="X178" s="231"/>
      <c r="Y178" s="231"/>
      <c r="Z178" s="231"/>
      <c r="AA178" s="231"/>
      <c r="AB178" s="231"/>
      <c r="AC178" s="231"/>
      <c r="AD178" s="231"/>
      <c r="AE178" s="231"/>
      <c r="AF178" s="231"/>
      <c r="AG178" s="231"/>
      <c r="AH178" s="231"/>
      <c r="AI178" s="231"/>
      <c r="AJ178" s="231"/>
      <c r="AK178" s="231"/>
      <c r="AL178" s="231"/>
      <c r="AM178" s="231"/>
      <c r="AN178" s="231"/>
      <c r="AO178" s="231"/>
      <c r="AP178" s="231"/>
      <c r="AQ178" s="231"/>
      <c r="AR178" s="231"/>
      <c r="AS178" s="231"/>
      <c r="AT178" s="231"/>
      <c r="AU178" s="231"/>
      <c r="AV178" s="231"/>
      <c r="AW178" s="231"/>
      <c r="AX178" s="231"/>
      <c r="AY178" s="231"/>
      <c r="AZ178" s="231"/>
      <c r="BA178" s="231"/>
      <c r="BB178" s="231"/>
      <c r="BC178" s="231"/>
      <c r="BD178" s="231"/>
      <c r="BE178" s="231"/>
      <c r="BF178" s="231"/>
      <c r="BG178" s="231"/>
      <c r="BH178" s="231"/>
      <c r="BI178" s="231"/>
      <c r="BJ178" s="231"/>
      <c r="BK178" s="231"/>
      <c r="BL178" s="231"/>
      <c r="BM178" s="231"/>
      <c r="BN178" s="231"/>
      <c r="BO178" s="231"/>
    </row>
    <row r="179" spans="2:67" ht="14.25">
      <c r="B179" s="203"/>
      <c r="C179" s="203"/>
      <c r="D179" s="231"/>
      <c r="E179" s="231"/>
      <c r="F179" s="231"/>
      <c r="G179" s="231"/>
      <c r="H179" s="231"/>
      <c r="I179" s="231"/>
      <c r="J179" s="231"/>
      <c r="K179" s="231"/>
      <c r="L179" s="231"/>
      <c r="M179" s="231"/>
      <c r="N179" s="231"/>
      <c r="O179" s="231"/>
      <c r="P179" s="231"/>
      <c r="Q179" s="231"/>
      <c r="R179" s="231"/>
      <c r="S179" s="231"/>
      <c r="T179" s="231"/>
      <c r="U179" s="231"/>
      <c r="V179" s="231"/>
      <c r="W179" s="231"/>
      <c r="X179" s="231"/>
      <c r="Y179" s="231"/>
      <c r="Z179" s="231"/>
      <c r="AA179" s="231"/>
      <c r="AB179" s="231"/>
      <c r="AC179" s="231"/>
      <c r="AD179" s="231"/>
      <c r="AE179" s="231"/>
      <c r="AF179" s="231"/>
      <c r="AG179" s="231"/>
      <c r="AH179" s="231"/>
      <c r="AI179" s="231"/>
      <c r="AJ179" s="231"/>
      <c r="AK179" s="231"/>
      <c r="AL179" s="231"/>
      <c r="AM179" s="231"/>
      <c r="AN179" s="231"/>
      <c r="AO179" s="231"/>
      <c r="AP179" s="231"/>
      <c r="AQ179" s="231"/>
      <c r="AR179" s="231"/>
      <c r="AS179" s="231"/>
      <c r="AT179" s="231"/>
      <c r="AU179" s="231"/>
      <c r="AV179" s="231"/>
      <c r="AW179" s="231"/>
      <c r="AX179" s="231"/>
      <c r="AY179" s="231"/>
      <c r="AZ179" s="231"/>
      <c r="BA179" s="231"/>
      <c r="BB179" s="231"/>
      <c r="BC179" s="231"/>
      <c r="BD179" s="231"/>
      <c r="BE179" s="231"/>
      <c r="BF179" s="231"/>
      <c r="BG179" s="231"/>
      <c r="BH179" s="231"/>
      <c r="BI179" s="231"/>
      <c r="BJ179" s="231"/>
      <c r="BK179" s="231"/>
      <c r="BL179" s="231"/>
      <c r="BM179" s="231"/>
      <c r="BN179" s="231"/>
      <c r="BO179" s="231"/>
    </row>
    <row r="180" spans="2:67" ht="14.25">
      <c r="B180" s="203"/>
      <c r="C180" s="203"/>
      <c r="D180" s="231"/>
      <c r="E180" s="231"/>
      <c r="F180" s="231"/>
      <c r="G180" s="231"/>
      <c r="H180" s="231"/>
      <c r="I180" s="231"/>
      <c r="J180" s="231"/>
      <c r="K180" s="231"/>
      <c r="L180" s="231"/>
      <c r="M180" s="231"/>
      <c r="N180" s="231"/>
      <c r="O180" s="231"/>
      <c r="P180" s="231"/>
      <c r="Q180" s="231"/>
      <c r="R180" s="231"/>
      <c r="S180" s="231"/>
      <c r="T180" s="231"/>
      <c r="U180" s="231"/>
      <c r="V180" s="231"/>
      <c r="W180" s="231"/>
      <c r="X180" s="231"/>
      <c r="Y180" s="231"/>
      <c r="Z180" s="231"/>
      <c r="AA180" s="231"/>
      <c r="AB180" s="231"/>
      <c r="AC180" s="231"/>
      <c r="AD180" s="231"/>
      <c r="AE180" s="231"/>
      <c r="AF180" s="231"/>
      <c r="AG180" s="231"/>
      <c r="AH180" s="231"/>
      <c r="AI180" s="231"/>
      <c r="AJ180" s="231"/>
      <c r="AK180" s="231"/>
      <c r="AL180" s="231"/>
      <c r="AM180" s="231"/>
      <c r="AN180" s="231"/>
      <c r="AO180" s="231"/>
      <c r="AP180" s="231"/>
      <c r="AQ180" s="231"/>
      <c r="AR180" s="231"/>
      <c r="AS180" s="231"/>
      <c r="AT180" s="231"/>
      <c r="AU180" s="231"/>
      <c r="AV180" s="231"/>
      <c r="AW180" s="231"/>
      <c r="AX180" s="231"/>
      <c r="AY180" s="231"/>
      <c r="AZ180" s="231"/>
      <c r="BA180" s="231"/>
      <c r="BB180" s="231"/>
      <c r="BC180" s="231"/>
      <c r="BD180" s="231"/>
      <c r="BE180" s="231"/>
      <c r="BF180" s="231"/>
      <c r="BG180" s="231"/>
      <c r="BH180" s="231"/>
      <c r="BI180" s="231"/>
      <c r="BJ180" s="231"/>
      <c r="BK180" s="231"/>
      <c r="BL180" s="231"/>
      <c r="BM180" s="231"/>
      <c r="BN180" s="231"/>
      <c r="BO180" s="231"/>
    </row>
    <row r="181" spans="2:67" ht="14.25">
      <c r="B181" s="203"/>
      <c r="C181" s="203"/>
      <c r="D181" s="231"/>
      <c r="E181" s="231"/>
      <c r="F181" s="231"/>
      <c r="G181" s="231"/>
      <c r="H181" s="231"/>
      <c r="I181" s="231"/>
      <c r="J181" s="231"/>
      <c r="K181" s="231"/>
      <c r="L181" s="231"/>
      <c r="M181" s="231"/>
      <c r="N181" s="231"/>
      <c r="O181" s="231"/>
      <c r="P181" s="231"/>
      <c r="Q181" s="231"/>
      <c r="R181" s="231"/>
      <c r="S181" s="231"/>
      <c r="T181" s="231"/>
      <c r="U181" s="231"/>
      <c r="V181" s="231"/>
      <c r="W181" s="231"/>
      <c r="X181" s="231"/>
      <c r="Y181" s="231"/>
      <c r="Z181" s="231"/>
      <c r="AA181" s="231"/>
      <c r="AB181" s="231"/>
      <c r="AC181" s="231"/>
      <c r="AD181" s="231"/>
      <c r="AE181" s="231"/>
      <c r="AF181" s="231"/>
      <c r="AG181" s="231"/>
      <c r="AH181" s="231"/>
      <c r="AI181" s="231"/>
      <c r="AJ181" s="231"/>
      <c r="AK181" s="231"/>
      <c r="AL181" s="231"/>
      <c r="AM181" s="231"/>
      <c r="AN181" s="231"/>
      <c r="AO181" s="231"/>
      <c r="AP181" s="231"/>
      <c r="AQ181" s="231"/>
      <c r="AR181" s="231"/>
      <c r="AS181" s="231"/>
      <c r="AT181" s="231"/>
      <c r="AU181" s="231"/>
      <c r="AV181" s="231"/>
      <c r="AW181" s="231"/>
      <c r="AX181" s="231"/>
      <c r="AY181" s="231"/>
      <c r="AZ181" s="231"/>
      <c r="BA181" s="231"/>
      <c r="BB181" s="231"/>
      <c r="BC181" s="231"/>
      <c r="BD181" s="231"/>
      <c r="BE181" s="231"/>
      <c r="BF181" s="231"/>
      <c r="BG181" s="231"/>
      <c r="BH181" s="231"/>
      <c r="BI181" s="231"/>
      <c r="BJ181" s="231"/>
      <c r="BK181" s="231"/>
      <c r="BL181" s="231"/>
      <c r="BM181" s="231"/>
      <c r="BN181" s="231"/>
      <c r="BO181" s="231"/>
    </row>
    <row r="182" spans="2:67" ht="14.25">
      <c r="B182" s="203"/>
      <c r="C182" s="203"/>
      <c r="D182" s="231"/>
      <c r="E182" s="231"/>
      <c r="F182" s="231"/>
      <c r="G182" s="231"/>
      <c r="H182" s="231"/>
      <c r="I182" s="231"/>
      <c r="J182" s="231"/>
      <c r="K182" s="231"/>
      <c r="L182" s="231"/>
      <c r="M182" s="231"/>
      <c r="N182" s="231"/>
      <c r="O182" s="231"/>
      <c r="P182" s="231"/>
      <c r="Q182" s="231"/>
      <c r="R182" s="231"/>
      <c r="S182" s="231"/>
      <c r="T182" s="231"/>
      <c r="U182" s="231"/>
      <c r="V182" s="231"/>
      <c r="W182" s="231"/>
      <c r="X182" s="231"/>
      <c r="Y182" s="231"/>
      <c r="Z182" s="231"/>
      <c r="AA182" s="231"/>
      <c r="AB182" s="231"/>
      <c r="AC182" s="231"/>
      <c r="AD182" s="231"/>
      <c r="AE182" s="231"/>
      <c r="AF182" s="231"/>
      <c r="AG182" s="231"/>
      <c r="AH182" s="231"/>
      <c r="AI182" s="231"/>
      <c r="AJ182" s="231"/>
      <c r="AK182" s="231"/>
      <c r="AL182" s="231"/>
      <c r="AM182" s="231"/>
      <c r="AN182" s="231"/>
      <c r="AO182" s="231"/>
      <c r="AP182" s="231"/>
      <c r="AQ182" s="231"/>
      <c r="AR182" s="231"/>
      <c r="AS182" s="231"/>
      <c r="AT182" s="231"/>
      <c r="AU182" s="231"/>
      <c r="AV182" s="231"/>
      <c r="AW182" s="231"/>
      <c r="AX182" s="231"/>
      <c r="AY182" s="231"/>
      <c r="AZ182" s="231"/>
      <c r="BA182" s="231"/>
      <c r="BB182" s="231"/>
      <c r="BC182" s="231"/>
      <c r="BD182" s="231"/>
      <c r="BE182" s="231"/>
      <c r="BF182" s="231"/>
      <c r="BG182" s="231"/>
      <c r="BH182" s="231"/>
      <c r="BI182" s="231"/>
      <c r="BJ182" s="231"/>
      <c r="BK182" s="231"/>
      <c r="BL182" s="231"/>
      <c r="BM182" s="231"/>
      <c r="BN182" s="231"/>
      <c r="BO182" s="231"/>
    </row>
    <row r="183" spans="2:67" ht="14.25">
      <c r="B183" s="203"/>
      <c r="C183" s="203"/>
      <c r="D183" s="231"/>
      <c r="E183" s="231"/>
      <c r="F183" s="231"/>
      <c r="G183" s="231"/>
      <c r="H183" s="231"/>
      <c r="I183" s="231"/>
      <c r="J183" s="231"/>
      <c r="K183" s="231"/>
      <c r="L183" s="231"/>
      <c r="M183" s="231"/>
      <c r="N183" s="231"/>
      <c r="O183" s="231"/>
      <c r="P183" s="231"/>
      <c r="Q183" s="231"/>
      <c r="R183" s="231"/>
      <c r="S183" s="231"/>
      <c r="T183" s="231"/>
      <c r="U183" s="231"/>
      <c r="V183" s="231"/>
      <c r="W183" s="231"/>
      <c r="X183" s="231"/>
      <c r="Y183" s="231"/>
      <c r="Z183" s="231"/>
      <c r="AA183" s="231"/>
      <c r="AB183" s="231"/>
      <c r="AC183" s="231"/>
      <c r="AD183" s="231"/>
      <c r="AE183" s="231"/>
      <c r="AF183" s="231"/>
      <c r="AG183" s="231"/>
      <c r="AH183" s="231"/>
      <c r="AI183" s="231"/>
      <c r="AJ183" s="231"/>
      <c r="AK183" s="231"/>
      <c r="AL183" s="231"/>
      <c r="AM183" s="231"/>
      <c r="AN183" s="231"/>
      <c r="AO183" s="231"/>
      <c r="AP183" s="231"/>
      <c r="AQ183" s="231"/>
      <c r="AR183" s="231"/>
      <c r="AS183" s="231"/>
      <c r="AT183" s="231"/>
      <c r="AU183" s="231"/>
      <c r="AV183" s="231"/>
      <c r="AW183" s="231"/>
      <c r="AX183" s="231"/>
      <c r="AY183" s="231"/>
      <c r="AZ183" s="231"/>
      <c r="BA183" s="231"/>
      <c r="BB183" s="231"/>
      <c r="BC183" s="231"/>
      <c r="BD183" s="231"/>
      <c r="BE183" s="231"/>
      <c r="BF183" s="231"/>
      <c r="BG183" s="231"/>
      <c r="BH183" s="231"/>
      <c r="BI183" s="231"/>
      <c r="BJ183" s="231"/>
      <c r="BK183" s="231"/>
      <c r="BL183" s="231"/>
      <c r="BM183" s="231"/>
      <c r="BN183" s="231"/>
      <c r="BO183" s="231"/>
    </row>
    <row r="184" spans="2:67" ht="14.25">
      <c r="B184" s="203"/>
      <c r="C184" s="203"/>
      <c r="D184" s="231"/>
      <c r="E184" s="231"/>
      <c r="F184" s="231"/>
      <c r="G184" s="231"/>
      <c r="H184" s="231"/>
      <c r="I184" s="231"/>
      <c r="J184" s="231"/>
      <c r="K184" s="231"/>
      <c r="L184" s="231"/>
      <c r="M184" s="231"/>
      <c r="N184" s="231"/>
      <c r="O184" s="231"/>
      <c r="P184" s="231"/>
      <c r="Q184" s="231"/>
      <c r="R184" s="231"/>
      <c r="S184" s="231"/>
      <c r="T184" s="231"/>
      <c r="U184" s="231"/>
      <c r="V184" s="231"/>
      <c r="W184" s="231"/>
      <c r="X184" s="231"/>
      <c r="Y184" s="231"/>
      <c r="Z184" s="231"/>
      <c r="AA184" s="231"/>
      <c r="AB184" s="231"/>
      <c r="AC184" s="231"/>
      <c r="AD184" s="231"/>
      <c r="AE184" s="231"/>
      <c r="AF184" s="231"/>
      <c r="AG184" s="231"/>
      <c r="AH184" s="231"/>
      <c r="AI184" s="231"/>
      <c r="AJ184" s="231"/>
      <c r="AK184" s="231"/>
      <c r="AL184" s="231"/>
      <c r="AM184" s="231"/>
      <c r="AN184" s="231"/>
      <c r="AO184" s="231"/>
      <c r="AP184" s="231"/>
      <c r="AQ184" s="231"/>
      <c r="AR184" s="231"/>
      <c r="AS184" s="231"/>
      <c r="AT184" s="231"/>
      <c r="AU184" s="231"/>
      <c r="AV184" s="231"/>
      <c r="AW184" s="231"/>
      <c r="AX184" s="231"/>
      <c r="AY184" s="231"/>
      <c r="AZ184" s="231"/>
      <c r="BA184" s="231"/>
      <c r="BB184" s="231"/>
      <c r="BC184" s="231"/>
      <c r="BD184" s="231"/>
      <c r="BE184" s="231"/>
      <c r="BF184" s="231"/>
      <c r="BG184" s="231"/>
      <c r="BH184" s="231"/>
      <c r="BI184" s="231"/>
      <c r="BJ184" s="231"/>
      <c r="BK184" s="231"/>
      <c r="BL184" s="231"/>
      <c r="BM184" s="231"/>
      <c r="BN184" s="231"/>
      <c r="BO184" s="231"/>
    </row>
    <row r="185" spans="2:67" ht="14.25">
      <c r="B185" s="203"/>
      <c r="C185" s="203"/>
      <c r="D185" s="231"/>
      <c r="E185" s="231"/>
      <c r="F185" s="231"/>
      <c r="G185" s="231"/>
      <c r="H185" s="231"/>
      <c r="I185" s="231"/>
      <c r="J185" s="231"/>
      <c r="K185" s="231"/>
      <c r="L185" s="231"/>
      <c r="M185" s="231"/>
      <c r="N185" s="231"/>
      <c r="O185" s="231"/>
      <c r="P185" s="231"/>
      <c r="Q185" s="231"/>
      <c r="R185" s="231"/>
      <c r="S185" s="231"/>
      <c r="T185" s="231"/>
      <c r="U185" s="231"/>
      <c r="V185" s="231"/>
      <c r="W185" s="231"/>
      <c r="X185" s="231"/>
      <c r="Y185" s="231"/>
      <c r="Z185" s="231"/>
      <c r="AA185" s="231"/>
      <c r="AB185" s="231"/>
      <c r="AC185" s="231"/>
      <c r="AD185" s="231"/>
      <c r="AE185" s="231"/>
      <c r="AF185" s="231"/>
      <c r="AG185" s="231"/>
      <c r="AH185" s="231"/>
      <c r="AI185" s="231"/>
      <c r="AJ185" s="231"/>
      <c r="AK185" s="231"/>
      <c r="AL185" s="231"/>
      <c r="AM185" s="231"/>
      <c r="AN185" s="231"/>
      <c r="AO185" s="231"/>
      <c r="AP185" s="231"/>
      <c r="AQ185" s="231"/>
      <c r="AR185" s="231"/>
      <c r="AS185" s="231"/>
      <c r="AT185" s="231"/>
      <c r="AU185" s="231"/>
      <c r="AV185" s="231"/>
      <c r="AW185" s="231"/>
      <c r="AX185" s="231"/>
      <c r="AY185" s="231"/>
      <c r="AZ185" s="231"/>
      <c r="BA185" s="231"/>
      <c r="BB185" s="231"/>
      <c r="BC185" s="231"/>
      <c r="BD185" s="231"/>
      <c r="BE185" s="231"/>
      <c r="BF185" s="231"/>
      <c r="BG185" s="231"/>
      <c r="BH185" s="231"/>
      <c r="BI185" s="231"/>
      <c r="BJ185" s="231"/>
      <c r="BK185" s="231"/>
      <c r="BL185" s="231"/>
      <c r="BM185" s="231"/>
      <c r="BN185" s="231"/>
      <c r="BO185" s="231"/>
    </row>
    <row r="186" spans="2:67" ht="14.25">
      <c r="B186" s="203"/>
      <c r="C186" s="203"/>
      <c r="D186" s="231"/>
      <c r="E186" s="231"/>
      <c r="F186" s="231"/>
      <c r="G186" s="231"/>
      <c r="H186" s="231"/>
      <c r="I186" s="231"/>
      <c r="J186" s="231"/>
      <c r="K186" s="231"/>
      <c r="L186" s="231"/>
      <c r="M186" s="231"/>
      <c r="N186" s="231"/>
      <c r="O186" s="231"/>
      <c r="P186" s="231"/>
      <c r="Q186" s="231"/>
      <c r="R186" s="231"/>
      <c r="S186" s="231"/>
      <c r="T186" s="231"/>
      <c r="U186" s="231"/>
      <c r="V186" s="231"/>
      <c r="W186" s="231"/>
      <c r="X186" s="231"/>
      <c r="Y186" s="231"/>
      <c r="Z186" s="231"/>
      <c r="AA186" s="231"/>
      <c r="AB186" s="231"/>
      <c r="AC186" s="231"/>
      <c r="AD186" s="231"/>
      <c r="AE186" s="231"/>
      <c r="AF186" s="231"/>
      <c r="AG186" s="231"/>
      <c r="AH186" s="231"/>
      <c r="AI186" s="231"/>
      <c r="AJ186" s="231"/>
      <c r="AK186" s="231"/>
      <c r="AL186" s="231"/>
      <c r="AM186" s="231"/>
      <c r="AN186" s="231"/>
      <c r="AO186" s="231"/>
      <c r="AP186" s="231"/>
      <c r="AQ186" s="231"/>
      <c r="AR186" s="231"/>
      <c r="AS186" s="231"/>
      <c r="AT186" s="231"/>
      <c r="AU186" s="231"/>
      <c r="AV186" s="231"/>
      <c r="AW186" s="231"/>
      <c r="AX186" s="231"/>
      <c r="AY186" s="231"/>
      <c r="AZ186" s="231"/>
      <c r="BA186" s="231"/>
      <c r="BB186" s="231"/>
      <c r="BC186" s="231"/>
      <c r="BD186" s="231"/>
      <c r="BE186" s="231"/>
      <c r="BF186" s="231"/>
      <c r="BG186" s="231"/>
      <c r="BH186" s="231"/>
      <c r="BI186" s="231"/>
      <c r="BJ186" s="231"/>
      <c r="BK186" s="231"/>
      <c r="BL186" s="231"/>
      <c r="BM186" s="231"/>
      <c r="BN186" s="231"/>
      <c r="BO186" s="231"/>
    </row>
    <row r="187" spans="2:67" ht="14.25">
      <c r="B187" s="203"/>
      <c r="C187" s="203"/>
      <c r="D187" s="231"/>
      <c r="E187" s="231"/>
      <c r="F187" s="231"/>
      <c r="G187" s="231"/>
      <c r="H187" s="231"/>
      <c r="I187" s="231"/>
      <c r="J187" s="231"/>
      <c r="K187" s="231"/>
      <c r="L187" s="231"/>
      <c r="M187" s="231"/>
      <c r="N187" s="231"/>
      <c r="O187" s="231"/>
      <c r="P187" s="231"/>
      <c r="Q187" s="231"/>
      <c r="R187" s="231"/>
      <c r="S187" s="231"/>
      <c r="T187" s="231"/>
      <c r="U187" s="231"/>
      <c r="V187" s="231"/>
      <c r="W187" s="231"/>
      <c r="X187" s="231"/>
      <c r="Y187" s="231"/>
      <c r="Z187" s="231"/>
      <c r="AA187" s="231"/>
      <c r="AB187" s="231"/>
      <c r="AC187" s="231"/>
      <c r="AD187" s="231"/>
      <c r="AE187" s="231"/>
      <c r="AF187" s="231"/>
      <c r="AG187" s="231"/>
      <c r="AH187" s="231"/>
      <c r="AI187" s="231"/>
      <c r="AJ187" s="231"/>
      <c r="AK187" s="231"/>
      <c r="AL187" s="231"/>
      <c r="AM187" s="231"/>
      <c r="AN187" s="231"/>
      <c r="AO187" s="231"/>
      <c r="AP187" s="231"/>
      <c r="AQ187" s="231"/>
      <c r="AR187" s="231"/>
      <c r="AS187" s="231"/>
      <c r="AT187" s="231"/>
      <c r="AU187" s="231"/>
      <c r="AV187" s="231"/>
      <c r="AW187" s="231"/>
      <c r="AX187" s="231"/>
      <c r="AY187" s="231"/>
      <c r="AZ187" s="231"/>
      <c r="BA187" s="231"/>
      <c r="BB187" s="231"/>
      <c r="BC187" s="231"/>
      <c r="BD187" s="231"/>
      <c r="BE187" s="231"/>
      <c r="BF187" s="231"/>
      <c r="BG187" s="231"/>
      <c r="BH187" s="231"/>
      <c r="BI187" s="231"/>
      <c r="BJ187" s="231"/>
      <c r="BK187" s="231"/>
      <c r="BL187" s="231"/>
      <c r="BM187" s="231"/>
      <c r="BN187" s="231"/>
      <c r="BO187" s="231"/>
    </row>
    <row r="188" spans="2:67" ht="14.25">
      <c r="B188" s="203"/>
      <c r="C188" s="203"/>
      <c r="D188" s="231"/>
      <c r="E188" s="231"/>
      <c r="F188" s="231"/>
      <c r="G188" s="231"/>
      <c r="H188" s="231"/>
      <c r="I188" s="231"/>
      <c r="J188" s="231"/>
      <c r="K188" s="231"/>
      <c r="L188" s="231"/>
      <c r="M188" s="231"/>
      <c r="N188" s="231"/>
      <c r="O188" s="231"/>
      <c r="P188" s="231"/>
      <c r="Q188" s="231"/>
      <c r="R188" s="231"/>
      <c r="S188" s="231"/>
      <c r="T188" s="231"/>
      <c r="U188" s="231"/>
      <c r="V188" s="231"/>
      <c r="W188" s="231"/>
      <c r="X188" s="231"/>
      <c r="Y188" s="231"/>
      <c r="Z188" s="231"/>
      <c r="AA188" s="231"/>
      <c r="AB188" s="231"/>
      <c r="AC188" s="231"/>
      <c r="AD188" s="231"/>
      <c r="AE188" s="231"/>
      <c r="AF188" s="231"/>
      <c r="AG188" s="231"/>
      <c r="AH188" s="231"/>
      <c r="AI188" s="231"/>
      <c r="AJ188" s="231"/>
      <c r="AK188" s="231"/>
      <c r="AL188" s="231"/>
      <c r="AM188" s="231"/>
      <c r="AN188" s="231"/>
      <c r="AO188" s="231"/>
      <c r="AP188" s="231"/>
      <c r="AQ188" s="231"/>
      <c r="AR188" s="231"/>
      <c r="AS188" s="231"/>
      <c r="AT188" s="231"/>
      <c r="AU188" s="231"/>
      <c r="AV188" s="231"/>
      <c r="AW188" s="231"/>
      <c r="AX188" s="231"/>
      <c r="AY188" s="231"/>
      <c r="AZ188" s="231"/>
      <c r="BA188" s="231"/>
      <c r="BB188" s="231"/>
      <c r="BC188" s="231"/>
      <c r="BD188" s="231"/>
      <c r="BE188" s="231"/>
      <c r="BF188" s="231"/>
      <c r="BG188" s="231"/>
      <c r="BH188" s="231"/>
      <c r="BI188" s="231"/>
      <c r="BJ188" s="231"/>
      <c r="BK188" s="231"/>
      <c r="BL188" s="231"/>
      <c r="BM188" s="231"/>
      <c r="BN188" s="231"/>
      <c r="BO188" s="231"/>
    </row>
    <row r="189" spans="2:67" ht="14.25">
      <c r="B189" s="203"/>
      <c r="C189" s="203"/>
      <c r="D189" s="231"/>
      <c r="E189" s="231"/>
      <c r="F189" s="231"/>
      <c r="G189" s="231"/>
      <c r="H189" s="231"/>
      <c r="I189" s="231"/>
      <c r="J189" s="231"/>
      <c r="K189" s="231"/>
      <c r="L189" s="231"/>
      <c r="M189" s="231"/>
      <c r="N189" s="231"/>
      <c r="O189" s="231"/>
      <c r="P189" s="231"/>
      <c r="Q189" s="231"/>
      <c r="R189" s="231"/>
      <c r="S189" s="231"/>
      <c r="T189" s="231"/>
      <c r="U189" s="231"/>
      <c r="V189" s="231"/>
      <c r="W189" s="231"/>
      <c r="X189" s="231"/>
      <c r="Y189" s="231"/>
      <c r="Z189" s="231"/>
      <c r="AA189" s="231"/>
      <c r="AB189" s="231"/>
      <c r="AC189" s="231"/>
      <c r="AD189" s="231"/>
      <c r="AE189" s="231"/>
      <c r="AF189" s="231"/>
      <c r="AG189" s="231"/>
      <c r="AH189" s="231"/>
      <c r="AI189" s="231"/>
      <c r="AJ189" s="231"/>
      <c r="AK189" s="231"/>
      <c r="AL189" s="231"/>
      <c r="AM189" s="231"/>
      <c r="AN189" s="231"/>
      <c r="AO189" s="231"/>
      <c r="AP189" s="231"/>
      <c r="AQ189" s="231"/>
      <c r="AR189" s="231"/>
      <c r="AS189" s="231"/>
      <c r="AT189" s="231"/>
      <c r="AU189" s="231"/>
      <c r="AV189" s="231"/>
      <c r="AW189" s="231"/>
      <c r="AX189" s="231"/>
      <c r="AY189" s="231"/>
      <c r="AZ189" s="231"/>
      <c r="BA189" s="231"/>
      <c r="BB189" s="231"/>
      <c r="BC189" s="231"/>
      <c r="BD189" s="231"/>
      <c r="BE189" s="231"/>
      <c r="BF189" s="231"/>
      <c r="BG189" s="231"/>
      <c r="BH189" s="231"/>
      <c r="BI189" s="231"/>
      <c r="BJ189" s="231"/>
      <c r="BK189" s="231"/>
      <c r="BL189" s="231"/>
      <c r="BM189" s="231"/>
      <c r="BN189" s="231"/>
      <c r="BO189" s="231"/>
    </row>
    <row r="190" spans="2:67" ht="14.25">
      <c r="B190" s="203"/>
      <c r="C190" s="203"/>
      <c r="D190" s="231"/>
      <c r="E190" s="231"/>
      <c r="F190" s="231"/>
      <c r="G190" s="231"/>
      <c r="H190" s="231"/>
      <c r="I190" s="231"/>
      <c r="J190" s="231"/>
      <c r="K190" s="231"/>
      <c r="L190" s="231"/>
      <c r="M190" s="231"/>
      <c r="N190" s="231"/>
      <c r="O190" s="231"/>
      <c r="P190" s="231"/>
      <c r="Q190" s="231"/>
      <c r="R190" s="231"/>
      <c r="S190" s="231"/>
      <c r="T190" s="231"/>
      <c r="U190" s="231"/>
      <c r="V190" s="231"/>
      <c r="W190" s="231"/>
      <c r="X190" s="231"/>
      <c r="Y190" s="231"/>
      <c r="Z190" s="231"/>
      <c r="AA190" s="231"/>
      <c r="AB190" s="231"/>
      <c r="AC190" s="231"/>
      <c r="AD190" s="231"/>
      <c r="AE190" s="231"/>
      <c r="AF190" s="231"/>
      <c r="AG190" s="231"/>
      <c r="AH190" s="231"/>
      <c r="AI190" s="231"/>
      <c r="AJ190" s="231"/>
      <c r="AK190" s="231"/>
      <c r="AL190" s="231"/>
      <c r="AM190" s="231"/>
      <c r="AN190" s="231"/>
      <c r="AO190" s="231"/>
      <c r="AP190" s="231"/>
      <c r="AQ190" s="231"/>
      <c r="AR190" s="231"/>
      <c r="AS190" s="231"/>
      <c r="AT190" s="231"/>
      <c r="AU190" s="231"/>
      <c r="AV190" s="231"/>
      <c r="AW190" s="231"/>
      <c r="AX190" s="231"/>
      <c r="AY190" s="231"/>
      <c r="AZ190" s="231"/>
      <c r="BA190" s="231"/>
      <c r="BB190" s="231"/>
      <c r="BC190" s="231"/>
      <c r="BD190" s="231"/>
      <c r="BE190" s="231"/>
      <c r="BF190" s="231"/>
      <c r="BG190" s="231"/>
      <c r="BH190" s="231"/>
      <c r="BI190" s="231"/>
      <c r="BJ190" s="231"/>
      <c r="BK190" s="231"/>
      <c r="BL190" s="231"/>
      <c r="BM190" s="231"/>
      <c r="BN190" s="231"/>
      <c r="BO190" s="231"/>
    </row>
    <row r="191" spans="2:67" ht="14.25">
      <c r="B191" s="203"/>
      <c r="C191" s="203"/>
      <c r="D191" s="231"/>
      <c r="E191" s="231"/>
      <c r="F191" s="231"/>
      <c r="G191" s="231"/>
      <c r="H191" s="231"/>
      <c r="I191" s="231"/>
      <c r="J191" s="231"/>
      <c r="K191" s="231"/>
      <c r="L191" s="231"/>
      <c r="M191" s="231"/>
      <c r="N191" s="231"/>
      <c r="O191" s="231"/>
      <c r="P191" s="231"/>
      <c r="Q191" s="231"/>
      <c r="R191" s="231"/>
      <c r="S191" s="231"/>
      <c r="T191" s="231"/>
      <c r="U191" s="231"/>
      <c r="V191" s="231"/>
      <c r="W191" s="231"/>
      <c r="X191" s="231"/>
      <c r="Y191" s="231"/>
      <c r="Z191" s="231"/>
      <c r="AA191" s="231"/>
      <c r="AB191" s="231"/>
      <c r="AC191" s="231"/>
      <c r="AD191" s="231"/>
      <c r="AE191" s="231"/>
      <c r="AF191" s="231"/>
      <c r="AG191" s="231"/>
      <c r="AH191" s="231"/>
      <c r="AI191" s="231"/>
      <c r="AJ191" s="231"/>
      <c r="AK191" s="231"/>
      <c r="AL191" s="231"/>
      <c r="AM191" s="231"/>
      <c r="AN191" s="231"/>
      <c r="AO191" s="231"/>
      <c r="AP191" s="231"/>
      <c r="AQ191" s="231"/>
      <c r="AR191" s="231"/>
      <c r="AS191" s="231"/>
      <c r="AT191" s="231"/>
      <c r="AU191" s="231"/>
      <c r="AV191" s="231"/>
      <c r="AW191" s="231"/>
      <c r="AX191" s="231"/>
      <c r="AY191" s="231"/>
      <c r="AZ191" s="231"/>
      <c r="BA191" s="231"/>
      <c r="BB191" s="231"/>
      <c r="BC191" s="231"/>
      <c r="BD191" s="231"/>
      <c r="BE191" s="231"/>
      <c r="BF191" s="231"/>
      <c r="BG191" s="231"/>
      <c r="BH191" s="231"/>
      <c r="BI191" s="231"/>
      <c r="BJ191" s="231"/>
      <c r="BK191" s="231"/>
      <c r="BL191" s="231"/>
      <c r="BM191" s="231"/>
      <c r="BN191" s="231"/>
      <c r="BO191" s="231"/>
    </row>
    <row r="192" spans="2:67" ht="14.25">
      <c r="B192" s="203"/>
      <c r="C192" s="203"/>
      <c r="D192" s="231"/>
      <c r="E192" s="231"/>
      <c r="F192" s="231"/>
      <c r="G192" s="231"/>
      <c r="H192" s="231"/>
      <c r="I192" s="231"/>
      <c r="J192" s="231"/>
      <c r="K192" s="231"/>
      <c r="L192" s="231"/>
      <c r="M192" s="231"/>
      <c r="N192" s="231"/>
      <c r="O192" s="231"/>
      <c r="P192" s="231"/>
      <c r="Q192" s="231"/>
      <c r="R192" s="231"/>
      <c r="S192" s="231"/>
      <c r="T192" s="231"/>
      <c r="U192" s="231"/>
      <c r="V192" s="231"/>
      <c r="W192" s="231"/>
      <c r="X192" s="231"/>
      <c r="Y192" s="231"/>
      <c r="Z192" s="231"/>
      <c r="AA192" s="231"/>
      <c r="AB192" s="231"/>
      <c r="AC192" s="231"/>
      <c r="AD192" s="231"/>
      <c r="AE192" s="231"/>
      <c r="AF192" s="231"/>
      <c r="AG192" s="231"/>
      <c r="AH192" s="231"/>
      <c r="AI192" s="231"/>
      <c r="AJ192" s="231"/>
      <c r="AK192" s="231"/>
      <c r="AL192" s="231"/>
      <c r="AM192" s="231"/>
      <c r="AN192" s="231"/>
      <c r="AO192" s="231"/>
      <c r="AP192" s="231"/>
      <c r="AQ192" s="231"/>
      <c r="AR192" s="231"/>
      <c r="AS192" s="231"/>
      <c r="AT192" s="231"/>
      <c r="AU192" s="231"/>
      <c r="AV192" s="231"/>
      <c r="AW192" s="231"/>
      <c r="AX192" s="231"/>
      <c r="AY192" s="231"/>
      <c r="AZ192" s="231"/>
      <c r="BA192" s="231"/>
      <c r="BB192" s="231"/>
      <c r="BC192" s="231"/>
      <c r="BD192" s="231"/>
      <c r="BE192" s="231"/>
      <c r="BF192" s="231"/>
      <c r="BG192" s="231"/>
      <c r="BH192" s="231"/>
      <c r="BI192" s="231"/>
      <c r="BJ192" s="231"/>
      <c r="BK192" s="231"/>
      <c r="BL192" s="231"/>
      <c r="BM192" s="231"/>
      <c r="BN192" s="231"/>
      <c r="BO192" s="231"/>
    </row>
    <row r="193" spans="2:67" ht="14.25">
      <c r="B193" s="203"/>
      <c r="C193" s="203"/>
      <c r="D193" s="231"/>
      <c r="E193" s="231"/>
      <c r="F193" s="231"/>
      <c r="G193" s="231"/>
      <c r="H193" s="231"/>
      <c r="I193" s="231"/>
      <c r="J193" s="231"/>
      <c r="K193" s="231"/>
      <c r="L193" s="231"/>
      <c r="M193" s="231"/>
      <c r="N193" s="231"/>
      <c r="O193" s="231"/>
      <c r="P193" s="231"/>
      <c r="Q193" s="231"/>
      <c r="R193" s="231"/>
      <c r="S193" s="231"/>
      <c r="T193" s="231"/>
      <c r="U193" s="231"/>
      <c r="V193" s="231"/>
      <c r="W193" s="231"/>
      <c r="X193" s="231"/>
      <c r="Y193" s="231"/>
      <c r="Z193" s="231"/>
      <c r="AA193" s="231"/>
      <c r="AB193" s="231"/>
      <c r="AC193" s="231"/>
      <c r="AD193" s="231"/>
      <c r="AE193" s="231"/>
      <c r="AF193" s="231"/>
      <c r="AG193" s="231"/>
      <c r="AH193" s="231"/>
      <c r="AI193" s="231"/>
      <c r="AJ193" s="231"/>
      <c r="AK193" s="231"/>
      <c r="AL193" s="231"/>
      <c r="AM193" s="231"/>
      <c r="AN193" s="231"/>
      <c r="AO193" s="231"/>
      <c r="AP193" s="231"/>
      <c r="AQ193" s="231"/>
      <c r="AR193" s="231"/>
      <c r="AS193" s="231"/>
      <c r="AT193" s="231"/>
      <c r="AU193" s="231"/>
      <c r="AV193" s="231"/>
      <c r="AW193" s="231"/>
      <c r="AX193" s="231"/>
      <c r="AY193" s="231"/>
      <c r="AZ193" s="231"/>
      <c r="BA193" s="231"/>
      <c r="BB193" s="231"/>
      <c r="BC193" s="231"/>
      <c r="BD193" s="231"/>
      <c r="BE193" s="231"/>
      <c r="BF193" s="231"/>
      <c r="BG193" s="231"/>
      <c r="BH193" s="231"/>
      <c r="BI193" s="231"/>
      <c r="BJ193" s="231"/>
      <c r="BK193" s="231"/>
      <c r="BL193" s="231"/>
      <c r="BM193" s="231"/>
      <c r="BN193" s="231"/>
      <c r="BO193" s="231"/>
    </row>
    <row r="194" spans="2:67" ht="14.25">
      <c r="B194" s="203"/>
      <c r="C194" s="203"/>
      <c r="D194" s="231"/>
      <c r="E194" s="231"/>
      <c r="F194" s="231"/>
      <c r="G194" s="231"/>
      <c r="H194" s="231"/>
      <c r="I194" s="231"/>
      <c r="J194" s="231"/>
      <c r="K194" s="231"/>
      <c r="L194" s="231"/>
      <c r="M194" s="231"/>
      <c r="N194" s="231"/>
      <c r="O194" s="231"/>
      <c r="P194" s="231"/>
      <c r="Q194" s="231"/>
      <c r="R194" s="231"/>
      <c r="S194" s="231"/>
      <c r="T194" s="231"/>
      <c r="U194" s="231"/>
      <c r="V194" s="231"/>
      <c r="W194" s="231"/>
      <c r="X194" s="231"/>
      <c r="Y194" s="231"/>
      <c r="Z194" s="231"/>
      <c r="AA194" s="231"/>
      <c r="AB194" s="231"/>
      <c r="AC194" s="231"/>
      <c r="AD194" s="231"/>
      <c r="AE194" s="231"/>
      <c r="AF194" s="231"/>
      <c r="AG194" s="231"/>
      <c r="AH194" s="231"/>
      <c r="AI194" s="231"/>
      <c r="AJ194" s="231"/>
      <c r="AK194" s="231"/>
      <c r="AL194" s="231"/>
      <c r="AM194" s="231"/>
      <c r="AN194" s="231"/>
      <c r="AO194" s="231"/>
      <c r="AP194" s="231"/>
      <c r="AQ194" s="231"/>
      <c r="AR194" s="231"/>
      <c r="AS194" s="231"/>
      <c r="AT194" s="231"/>
      <c r="AU194" s="231"/>
      <c r="AV194" s="231"/>
      <c r="AW194" s="231"/>
      <c r="AX194" s="231"/>
      <c r="AY194" s="231"/>
      <c r="AZ194" s="231"/>
      <c r="BA194" s="231"/>
      <c r="BB194" s="231"/>
      <c r="BC194" s="231"/>
      <c r="BD194" s="231"/>
      <c r="BE194" s="231"/>
      <c r="BF194" s="231"/>
      <c r="BG194" s="231"/>
      <c r="BH194" s="231"/>
      <c r="BI194" s="231"/>
      <c r="BJ194" s="231"/>
      <c r="BK194" s="231"/>
      <c r="BL194" s="231"/>
      <c r="BM194" s="231"/>
      <c r="BN194" s="231"/>
      <c r="BO194" s="231"/>
    </row>
    <row r="195" spans="2:67" ht="14.25">
      <c r="B195" s="203"/>
      <c r="C195" s="203"/>
      <c r="D195" s="231"/>
      <c r="E195" s="231"/>
      <c r="F195" s="231"/>
      <c r="G195" s="231"/>
      <c r="H195" s="231"/>
      <c r="I195" s="231"/>
      <c r="J195" s="231"/>
      <c r="K195" s="231"/>
      <c r="L195" s="231"/>
      <c r="M195" s="231"/>
      <c r="N195" s="231"/>
      <c r="O195" s="231"/>
      <c r="P195" s="231"/>
      <c r="Q195" s="231"/>
      <c r="R195" s="231"/>
      <c r="S195" s="231"/>
      <c r="T195" s="231"/>
      <c r="U195" s="231"/>
      <c r="V195" s="231"/>
      <c r="W195" s="231"/>
      <c r="X195" s="231"/>
      <c r="Y195" s="231"/>
      <c r="Z195" s="231"/>
      <c r="AA195" s="231"/>
      <c r="AB195" s="231"/>
      <c r="AC195" s="231"/>
      <c r="AD195" s="231"/>
      <c r="AE195" s="231"/>
      <c r="AF195" s="231"/>
      <c r="AG195" s="231"/>
      <c r="AH195" s="231"/>
      <c r="AI195" s="231"/>
      <c r="AJ195" s="231"/>
      <c r="AK195" s="231"/>
      <c r="AL195" s="231"/>
      <c r="AM195" s="231"/>
      <c r="AN195" s="231"/>
      <c r="AO195" s="231"/>
      <c r="AP195" s="231"/>
      <c r="AQ195" s="231"/>
      <c r="AR195" s="231"/>
      <c r="AS195" s="231"/>
      <c r="AT195" s="231"/>
      <c r="AU195" s="231"/>
      <c r="AV195" s="231"/>
      <c r="AW195" s="231"/>
      <c r="AX195" s="231"/>
      <c r="AY195" s="231"/>
      <c r="AZ195" s="231"/>
      <c r="BA195" s="231"/>
      <c r="BB195" s="231"/>
      <c r="BC195" s="231"/>
      <c r="BD195" s="231"/>
      <c r="BE195" s="231"/>
      <c r="BF195" s="231"/>
      <c r="BG195" s="231"/>
      <c r="BH195" s="231"/>
      <c r="BI195" s="231"/>
      <c r="BJ195" s="231"/>
      <c r="BK195" s="231"/>
      <c r="BL195" s="231"/>
      <c r="BM195" s="231"/>
      <c r="BN195" s="231"/>
      <c r="BO195" s="231"/>
    </row>
    <row r="196" spans="2:67" ht="14.25">
      <c r="B196" s="203"/>
      <c r="C196" s="203"/>
      <c r="D196" s="231"/>
      <c r="E196" s="231"/>
      <c r="F196" s="231"/>
      <c r="G196" s="231"/>
      <c r="H196" s="231"/>
      <c r="I196" s="231"/>
      <c r="J196" s="231"/>
      <c r="K196" s="231"/>
      <c r="L196" s="231"/>
      <c r="M196" s="231"/>
      <c r="N196" s="231"/>
      <c r="O196" s="231"/>
      <c r="P196" s="231"/>
      <c r="Q196" s="231"/>
      <c r="R196" s="231"/>
      <c r="S196" s="231"/>
      <c r="T196" s="231"/>
      <c r="U196" s="231"/>
      <c r="V196" s="231"/>
      <c r="W196" s="231"/>
      <c r="X196" s="231"/>
      <c r="Y196" s="231"/>
      <c r="Z196" s="231"/>
      <c r="AA196" s="231"/>
      <c r="AB196" s="231"/>
      <c r="AC196" s="231"/>
      <c r="AD196" s="231"/>
      <c r="AE196" s="231"/>
      <c r="AF196" s="231"/>
      <c r="AG196" s="231"/>
      <c r="AH196" s="231"/>
      <c r="AI196" s="231"/>
      <c r="AJ196" s="231"/>
      <c r="AK196" s="231"/>
      <c r="AL196" s="231"/>
      <c r="AM196" s="231"/>
      <c r="AN196" s="231"/>
      <c r="AO196" s="231"/>
      <c r="AP196" s="231"/>
      <c r="AQ196" s="231"/>
      <c r="AR196" s="231"/>
      <c r="AS196" s="231"/>
      <c r="AT196" s="231"/>
      <c r="AU196" s="231"/>
      <c r="AV196" s="231"/>
      <c r="AW196" s="231"/>
      <c r="AX196" s="231"/>
      <c r="AY196" s="231"/>
      <c r="AZ196" s="231"/>
      <c r="BA196" s="231"/>
      <c r="BB196" s="231"/>
      <c r="BC196" s="231"/>
      <c r="BD196" s="231"/>
      <c r="BE196" s="231"/>
      <c r="BF196" s="231"/>
      <c r="BG196" s="231"/>
      <c r="BH196" s="231"/>
      <c r="BI196" s="231"/>
      <c r="BJ196" s="231"/>
      <c r="BK196" s="231"/>
      <c r="BL196" s="231"/>
      <c r="BM196" s="231"/>
      <c r="BN196" s="231"/>
      <c r="BO196" s="231"/>
    </row>
    <row r="197" spans="2:67" ht="14.25">
      <c r="B197" s="203"/>
      <c r="C197" s="203"/>
      <c r="D197" s="231"/>
      <c r="E197" s="231"/>
      <c r="F197" s="231"/>
      <c r="G197" s="231"/>
      <c r="H197" s="231"/>
      <c r="I197" s="231"/>
      <c r="J197" s="231"/>
      <c r="K197" s="231"/>
      <c r="L197" s="231"/>
      <c r="M197" s="231"/>
      <c r="N197" s="231"/>
      <c r="O197" s="231"/>
      <c r="P197" s="231"/>
      <c r="Q197" s="231"/>
      <c r="R197" s="231"/>
      <c r="S197" s="231"/>
      <c r="T197" s="231"/>
      <c r="U197" s="231"/>
      <c r="V197" s="231"/>
      <c r="W197" s="231"/>
      <c r="X197" s="231"/>
      <c r="Y197" s="231"/>
      <c r="Z197" s="231"/>
      <c r="AA197" s="231"/>
      <c r="AB197" s="231"/>
      <c r="AC197" s="231"/>
      <c r="AD197" s="231"/>
      <c r="AE197" s="231"/>
      <c r="AF197" s="231"/>
      <c r="AG197" s="231"/>
      <c r="AH197" s="231"/>
      <c r="AI197" s="231"/>
      <c r="AJ197" s="231"/>
      <c r="AK197" s="231"/>
      <c r="AL197" s="231"/>
      <c r="AM197" s="231"/>
      <c r="AN197" s="231"/>
      <c r="AO197" s="231"/>
      <c r="AP197" s="231"/>
      <c r="AQ197" s="231"/>
      <c r="AR197" s="231"/>
      <c r="AS197" s="231"/>
      <c r="AT197" s="231"/>
      <c r="AU197" s="231"/>
      <c r="AV197" s="231"/>
      <c r="AW197" s="231"/>
      <c r="AX197" s="231"/>
      <c r="AY197" s="231"/>
      <c r="AZ197" s="231"/>
      <c r="BA197" s="231"/>
      <c r="BB197" s="231"/>
      <c r="BC197" s="231"/>
      <c r="BD197" s="231"/>
      <c r="BE197" s="231"/>
      <c r="BF197" s="231"/>
      <c r="BG197" s="231"/>
      <c r="BH197" s="231"/>
      <c r="BI197" s="231"/>
      <c r="BJ197" s="231"/>
      <c r="BK197" s="231"/>
      <c r="BL197" s="231"/>
      <c r="BM197" s="231"/>
      <c r="BN197" s="231"/>
      <c r="BO197" s="231"/>
    </row>
    <row r="198" spans="2:67" ht="14.25">
      <c r="B198" s="203"/>
      <c r="C198" s="203"/>
      <c r="D198" s="231"/>
      <c r="E198" s="231"/>
      <c r="F198" s="231"/>
      <c r="G198" s="231"/>
      <c r="H198" s="231"/>
      <c r="I198" s="231"/>
      <c r="J198" s="231"/>
      <c r="K198" s="231"/>
      <c r="L198" s="231"/>
      <c r="M198" s="231"/>
      <c r="N198" s="231"/>
      <c r="O198" s="231"/>
      <c r="P198" s="231"/>
      <c r="Q198" s="231"/>
      <c r="R198" s="231"/>
      <c r="S198" s="231"/>
      <c r="T198" s="231"/>
      <c r="U198" s="231"/>
      <c r="V198" s="231"/>
      <c r="W198" s="231"/>
      <c r="X198" s="231"/>
      <c r="Y198" s="231"/>
      <c r="Z198" s="231"/>
      <c r="AA198" s="231"/>
      <c r="AB198" s="231"/>
      <c r="AC198" s="231"/>
      <c r="AD198" s="231"/>
      <c r="AE198" s="231"/>
      <c r="AF198" s="231"/>
      <c r="AG198" s="231"/>
      <c r="AH198" s="231"/>
      <c r="AI198" s="231"/>
      <c r="AJ198" s="231"/>
      <c r="AK198" s="231"/>
      <c r="AL198" s="231"/>
      <c r="AM198" s="231"/>
      <c r="AN198" s="231"/>
      <c r="AO198" s="231"/>
      <c r="AP198" s="231"/>
      <c r="AQ198" s="231"/>
      <c r="AR198" s="231"/>
      <c r="AS198" s="231"/>
      <c r="AT198" s="231"/>
      <c r="AU198" s="231"/>
      <c r="AV198" s="231"/>
      <c r="AW198" s="231"/>
      <c r="AX198" s="231"/>
      <c r="AY198" s="231"/>
      <c r="AZ198" s="231"/>
      <c r="BA198" s="231"/>
      <c r="BB198" s="231"/>
      <c r="BC198" s="231"/>
      <c r="BD198" s="231"/>
      <c r="BE198" s="231"/>
      <c r="BF198" s="231"/>
      <c r="BG198" s="231"/>
      <c r="BH198" s="231"/>
      <c r="BI198" s="231"/>
      <c r="BJ198" s="231"/>
      <c r="BK198" s="231"/>
      <c r="BL198" s="231"/>
      <c r="BM198" s="231"/>
      <c r="BN198" s="231"/>
      <c r="BO198" s="231"/>
    </row>
    <row r="199" spans="2:67" ht="14.25">
      <c r="B199" s="203"/>
      <c r="C199" s="203"/>
      <c r="D199" s="231"/>
      <c r="E199" s="231"/>
      <c r="F199" s="231"/>
      <c r="G199" s="231"/>
      <c r="H199" s="231"/>
      <c r="I199" s="231"/>
      <c r="J199" s="231"/>
      <c r="K199" s="231"/>
      <c r="L199" s="231"/>
      <c r="M199" s="231"/>
      <c r="N199" s="231"/>
      <c r="O199" s="231"/>
      <c r="P199" s="231"/>
      <c r="Q199" s="231"/>
      <c r="R199" s="231"/>
      <c r="S199" s="231"/>
      <c r="T199" s="231"/>
      <c r="U199" s="231"/>
      <c r="V199" s="231"/>
      <c r="W199" s="231"/>
      <c r="X199" s="231"/>
      <c r="Y199" s="231"/>
      <c r="Z199" s="231"/>
      <c r="AA199" s="231"/>
      <c r="AB199" s="231"/>
      <c r="AC199" s="231"/>
      <c r="AD199" s="231"/>
      <c r="AE199" s="231"/>
      <c r="AF199" s="231"/>
      <c r="AG199" s="231"/>
      <c r="AH199" s="231"/>
      <c r="AI199" s="231"/>
      <c r="AJ199" s="231"/>
      <c r="AK199" s="231"/>
      <c r="AL199" s="231"/>
      <c r="AM199" s="231"/>
      <c r="AN199" s="231"/>
      <c r="AO199" s="231"/>
      <c r="AP199" s="231"/>
      <c r="AQ199" s="231"/>
      <c r="AR199" s="231"/>
      <c r="AS199" s="231"/>
      <c r="AT199" s="231"/>
      <c r="AU199" s="231"/>
      <c r="AV199" s="231"/>
      <c r="AW199" s="231"/>
      <c r="AX199" s="231"/>
      <c r="AY199" s="231"/>
      <c r="AZ199" s="231"/>
      <c r="BA199" s="231"/>
      <c r="BB199" s="231"/>
      <c r="BC199" s="231"/>
      <c r="BD199" s="231"/>
      <c r="BE199" s="231"/>
      <c r="BF199" s="231"/>
      <c r="BG199" s="231"/>
      <c r="BH199" s="231"/>
      <c r="BI199" s="231"/>
      <c r="BJ199" s="231"/>
      <c r="BK199" s="231"/>
      <c r="BL199" s="231"/>
      <c r="BM199" s="231"/>
      <c r="BN199" s="231"/>
      <c r="BO199" s="231"/>
    </row>
    <row r="200" spans="2:67" ht="14.25">
      <c r="B200" s="203"/>
      <c r="C200" s="203"/>
      <c r="D200" s="231"/>
      <c r="E200" s="231"/>
      <c r="F200" s="231"/>
      <c r="G200" s="231"/>
      <c r="H200" s="231"/>
      <c r="I200" s="231"/>
      <c r="J200" s="231"/>
      <c r="K200" s="231"/>
      <c r="L200" s="231"/>
      <c r="M200" s="231"/>
      <c r="N200" s="231"/>
      <c r="O200" s="231"/>
      <c r="P200" s="231"/>
      <c r="Q200" s="231"/>
      <c r="R200" s="231"/>
      <c r="S200" s="231"/>
      <c r="T200" s="231"/>
      <c r="U200" s="231"/>
      <c r="V200" s="231"/>
      <c r="W200" s="231"/>
      <c r="X200" s="231"/>
      <c r="Y200" s="231"/>
      <c r="Z200" s="231"/>
      <c r="AA200" s="231"/>
      <c r="AB200" s="231"/>
      <c r="AC200" s="231"/>
      <c r="AD200" s="231"/>
      <c r="AE200" s="231"/>
      <c r="AF200" s="231"/>
      <c r="AG200" s="231"/>
      <c r="AH200" s="231"/>
      <c r="AI200" s="231"/>
      <c r="AJ200" s="231"/>
      <c r="AK200" s="231"/>
      <c r="AL200" s="231"/>
      <c r="AM200" s="231"/>
      <c r="AN200" s="231"/>
      <c r="AO200" s="231"/>
      <c r="AP200" s="231"/>
      <c r="AQ200" s="231"/>
      <c r="AR200" s="231"/>
      <c r="AS200" s="231"/>
      <c r="AT200" s="231"/>
      <c r="AU200" s="231"/>
      <c r="AV200" s="231"/>
      <c r="AW200" s="231"/>
      <c r="AX200" s="231"/>
      <c r="AY200" s="231"/>
      <c r="AZ200" s="231"/>
      <c r="BA200" s="231"/>
      <c r="BB200" s="231"/>
      <c r="BC200" s="231"/>
      <c r="BD200" s="231"/>
      <c r="BE200" s="231"/>
      <c r="BF200" s="231"/>
      <c r="BG200" s="231"/>
      <c r="BH200" s="231"/>
      <c r="BI200" s="231"/>
      <c r="BJ200" s="231"/>
      <c r="BK200" s="231"/>
      <c r="BL200" s="231"/>
      <c r="BM200" s="231"/>
      <c r="BN200" s="231"/>
      <c r="BO200" s="231"/>
    </row>
    <row r="201" spans="2:67" ht="14.25">
      <c r="B201" s="203"/>
      <c r="C201" s="203"/>
      <c r="D201" s="231"/>
      <c r="E201" s="231"/>
      <c r="F201" s="231"/>
      <c r="G201" s="231"/>
      <c r="H201" s="231"/>
      <c r="I201" s="231"/>
      <c r="J201" s="231"/>
      <c r="K201" s="231"/>
      <c r="L201" s="231"/>
      <c r="M201" s="231"/>
      <c r="N201" s="231"/>
      <c r="O201" s="231"/>
      <c r="P201" s="231"/>
      <c r="Q201" s="231"/>
      <c r="R201" s="231"/>
      <c r="S201" s="231"/>
      <c r="T201" s="231"/>
      <c r="U201" s="231"/>
      <c r="V201" s="231"/>
      <c r="W201" s="231"/>
      <c r="X201" s="231"/>
      <c r="Y201" s="231"/>
      <c r="Z201" s="231"/>
      <c r="AA201" s="231"/>
      <c r="AB201" s="231"/>
      <c r="AC201" s="231"/>
      <c r="AD201" s="231"/>
      <c r="AE201" s="231"/>
      <c r="AF201" s="231"/>
      <c r="AG201" s="231"/>
      <c r="AH201" s="231"/>
      <c r="AI201" s="231"/>
      <c r="AJ201" s="231"/>
      <c r="AK201" s="231"/>
      <c r="AL201" s="231"/>
      <c r="AM201" s="231"/>
      <c r="AN201" s="231"/>
      <c r="AO201" s="231"/>
      <c r="AP201" s="231"/>
      <c r="AQ201" s="231"/>
      <c r="AR201" s="231"/>
      <c r="AS201" s="231"/>
      <c r="AT201" s="231"/>
      <c r="AU201" s="231"/>
      <c r="AV201" s="231"/>
      <c r="AW201" s="231"/>
      <c r="AX201" s="231"/>
      <c r="AY201" s="231"/>
      <c r="AZ201" s="231"/>
      <c r="BA201" s="231"/>
      <c r="BB201" s="231"/>
      <c r="BC201" s="231"/>
      <c r="BD201" s="231"/>
      <c r="BE201" s="231"/>
      <c r="BF201" s="231"/>
      <c r="BG201" s="231"/>
      <c r="BH201" s="231"/>
      <c r="BI201" s="231"/>
      <c r="BJ201" s="231"/>
      <c r="BK201" s="231"/>
      <c r="BL201" s="231"/>
      <c r="BM201" s="231"/>
      <c r="BN201" s="231"/>
      <c r="BO201" s="231"/>
    </row>
    <row r="202" spans="2:67" ht="14.25">
      <c r="B202" s="203"/>
      <c r="C202" s="203"/>
      <c r="D202" s="231"/>
      <c r="E202" s="231"/>
      <c r="F202" s="231"/>
      <c r="G202" s="231"/>
      <c r="H202" s="231"/>
      <c r="I202" s="231"/>
      <c r="J202" s="231"/>
      <c r="K202" s="231"/>
      <c r="L202" s="231"/>
      <c r="M202" s="231"/>
      <c r="N202" s="231"/>
      <c r="O202" s="231"/>
      <c r="P202" s="231"/>
      <c r="Q202" s="231"/>
      <c r="R202" s="231"/>
      <c r="S202" s="231"/>
      <c r="T202" s="231"/>
      <c r="U202" s="231"/>
      <c r="V202" s="231"/>
      <c r="W202" s="231"/>
      <c r="X202" s="231"/>
      <c r="Y202" s="231"/>
      <c r="Z202" s="231"/>
      <c r="AA202" s="231"/>
      <c r="AB202" s="231"/>
      <c r="AC202" s="231"/>
      <c r="AD202" s="231"/>
      <c r="AE202" s="231"/>
      <c r="AF202" s="231"/>
      <c r="AG202" s="231"/>
      <c r="AH202" s="231"/>
      <c r="AI202" s="231"/>
      <c r="AJ202" s="231"/>
      <c r="AK202" s="231"/>
      <c r="AL202" s="231"/>
      <c r="AM202" s="231"/>
      <c r="AN202" s="231"/>
      <c r="AO202" s="231"/>
      <c r="AP202" s="231"/>
      <c r="AQ202" s="231"/>
      <c r="AR202" s="231"/>
      <c r="AS202" s="231"/>
      <c r="AT202" s="231"/>
      <c r="AU202" s="231"/>
      <c r="AV202" s="231"/>
      <c r="AW202" s="231"/>
      <c r="AX202" s="231"/>
      <c r="AY202" s="231"/>
      <c r="AZ202" s="231"/>
      <c r="BA202" s="231"/>
      <c r="BB202" s="231"/>
      <c r="BC202" s="231"/>
      <c r="BD202" s="231"/>
      <c r="BE202" s="231"/>
      <c r="BF202" s="231"/>
      <c r="BG202" s="231"/>
      <c r="BH202" s="231"/>
      <c r="BI202" s="231"/>
      <c r="BJ202" s="231"/>
      <c r="BK202" s="231"/>
      <c r="BL202" s="231"/>
      <c r="BM202" s="231"/>
      <c r="BN202" s="231"/>
      <c r="BO202" s="231"/>
    </row>
    <row r="203" spans="2:67" ht="14.25">
      <c r="B203" s="203"/>
      <c r="C203" s="203"/>
      <c r="D203" s="231"/>
      <c r="E203" s="231"/>
      <c r="F203" s="231"/>
      <c r="G203" s="231"/>
      <c r="H203" s="231"/>
      <c r="I203" s="231"/>
      <c r="J203" s="231"/>
      <c r="K203" s="231"/>
      <c r="L203" s="231"/>
      <c r="M203" s="231"/>
      <c r="N203" s="231"/>
      <c r="O203" s="231"/>
      <c r="P203" s="231"/>
      <c r="Q203" s="231"/>
      <c r="R203" s="231"/>
      <c r="S203" s="231"/>
      <c r="T203" s="231"/>
      <c r="U203" s="231"/>
      <c r="V203" s="231"/>
      <c r="W203" s="231"/>
      <c r="X203" s="231"/>
      <c r="Y203" s="231"/>
      <c r="Z203" s="231"/>
      <c r="AA203" s="231"/>
      <c r="AB203" s="231"/>
      <c r="AC203" s="231"/>
      <c r="AD203" s="231"/>
      <c r="AE203" s="231"/>
      <c r="AF203" s="231"/>
      <c r="AG203" s="231"/>
      <c r="AH203" s="231"/>
      <c r="AI203" s="231"/>
      <c r="AJ203" s="231"/>
      <c r="AK203" s="231"/>
      <c r="AL203" s="231"/>
      <c r="AM203" s="231"/>
      <c r="AN203" s="231"/>
      <c r="AO203" s="231"/>
      <c r="AP203" s="231"/>
      <c r="AQ203" s="231"/>
      <c r="AR203" s="231"/>
      <c r="AS203" s="231"/>
      <c r="AT203" s="231"/>
      <c r="AU203" s="231"/>
      <c r="AV203" s="231"/>
      <c r="AW203" s="231"/>
      <c r="AX203" s="231"/>
      <c r="AY203" s="231"/>
      <c r="AZ203" s="231"/>
      <c r="BA203" s="231"/>
      <c r="BB203" s="231"/>
      <c r="BC203" s="231"/>
      <c r="BD203" s="231"/>
      <c r="BE203" s="231"/>
      <c r="BF203" s="231"/>
      <c r="BG203" s="231"/>
      <c r="BH203" s="231"/>
      <c r="BI203" s="231"/>
      <c r="BJ203" s="231"/>
      <c r="BK203" s="231"/>
      <c r="BL203" s="231"/>
      <c r="BM203" s="231"/>
      <c r="BN203" s="231"/>
      <c r="BO203" s="231"/>
    </row>
    <row r="204" spans="2:67" ht="14.25">
      <c r="B204" s="203"/>
      <c r="C204" s="203"/>
      <c r="D204" s="231"/>
      <c r="E204" s="231"/>
      <c r="F204" s="231"/>
      <c r="G204" s="231"/>
      <c r="H204" s="231"/>
      <c r="I204" s="231"/>
      <c r="J204" s="231"/>
      <c r="K204" s="231"/>
      <c r="L204" s="231"/>
      <c r="M204" s="231"/>
      <c r="N204" s="231"/>
      <c r="O204" s="231"/>
      <c r="P204" s="231"/>
      <c r="Q204" s="231"/>
      <c r="R204" s="231"/>
      <c r="S204" s="231"/>
      <c r="T204" s="231"/>
      <c r="U204" s="231"/>
      <c r="V204" s="231"/>
      <c r="W204" s="231"/>
      <c r="X204" s="231"/>
      <c r="Y204" s="231"/>
      <c r="Z204" s="231"/>
      <c r="AA204" s="231"/>
      <c r="AB204" s="231"/>
      <c r="AC204" s="231"/>
      <c r="AD204" s="231"/>
      <c r="AE204" s="231"/>
      <c r="AF204" s="231"/>
      <c r="AG204" s="231"/>
      <c r="AH204" s="231"/>
      <c r="AI204" s="231"/>
      <c r="AJ204" s="231"/>
      <c r="AK204" s="231"/>
      <c r="AL204" s="231"/>
      <c r="AM204" s="231"/>
      <c r="AN204" s="231"/>
      <c r="AO204" s="231"/>
      <c r="AP204" s="231"/>
      <c r="AQ204" s="231"/>
      <c r="AR204" s="231"/>
      <c r="AS204" s="231"/>
      <c r="AT204" s="231"/>
      <c r="AU204" s="231"/>
      <c r="AV204" s="231"/>
      <c r="AW204" s="231"/>
      <c r="AX204" s="231"/>
      <c r="AY204" s="231"/>
      <c r="AZ204" s="231"/>
      <c r="BA204" s="231"/>
      <c r="BB204" s="231"/>
      <c r="BC204" s="231"/>
      <c r="BD204" s="231"/>
      <c r="BE204" s="231"/>
      <c r="BF204" s="231"/>
      <c r="BG204" s="231"/>
      <c r="BH204" s="231"/>
      <c r="BI204" s="231"/>
      <c r="BJ204" s="231"/>
      <c r="BK204" s="231"/>
      <c r="BL204" s="231"/>
      <c r="BM204" s="231"/>
      <c r="BN204" s="231"/>
      <c r="BO204" s="231"/>
    </row>
    <row r="205" spans="2:67" ht="14.25">
      <c r="B205" s="203"/>
      <c r="C205" s="203"/>
      <c r="D205" s="231"/>
      <c r="E205" s="231"/>
      <c r="F205" s="231"/>
      <c r="G205" s="231"/>
      <c r="H205" s="231"/>
      <c r="I205" s="231"/>
      <c r="J205" s="231"/>
      <c r="K205" s="231"/>
      <c r="L205" s="231"/>
      <c r="M205" s="231"/>
      <c r="N205" s="231"/>
      <c r="O205" s="231"/>
      <c r="P205" s="231"/>
      <c r="Q205" s="231"/>
      <c r="R205" s="231"/>
      <c r="S205" s="231"/>
      <c r="T205" s="231"/>
      <c r="U205" s="231"/>
      <c r="V205" s="231"/>
      <c r="W205" s="231"/>
      <c r="X205" s="231"/>
      <c r="Y205" s="231"/>
      <c r="Z205" s="231"/>
      <c r="AA205" s="231"/>
      <c r="AB205" s="231"/>
      <c r="AC205" s="231"/>
      <c r="AD205" s="231"/>
      <c r="AE205" s="231"/>
      <c r="AF205" s="231"/>
      <c r="AG205" s="231"/>
      <c r="AH205" s="231"/>
      <c r="AI205" s="231"/>
      <c r="AJ205" s="231"/>
      <c r="AK205" s="231"/>
      <c r="AL205" s="231"/>
      <c r="AM205" s="231"/>
      <c r="AN205" s="231"/>
      <c r="AO205" s="231"/>
      <c r="AP205" s="231"/>
      <c r="AQ205" s="231"/>
      <c r="AR205" s="231"/>
      <c r="AS205" s="231"/>
      <c r="AT205" s="231"/>
      <c r="AU205" s="231"/>
      <c r="AV205" s="231"/>
      <c r="AW205" s="231"/>
      <c r="AX205" s="231"/>
      <c r="AY205" s="231"/>
      <c r="AZ205" s="231"/>
      <c r="BA205" s="231"/>
      <c r="BB205" s="231"/>
      <c r="BC205" s="231"/>
      <c r="BD205" s="231"/>
      <c r="BE205" s="231"/>
      <c r="BF205" s="231"/>
      <c r="BG205" s="231"/>
      <c r="BH205" s="231"/>
      <c r="BI205" s="231"/>
      <c r="BJ205" s="231"/>
      <c r="BK205" s="231"/>
      <c r="BL205" s="231"/>
      <c r="BM205" s="231"/>
      <c r="BN205" s="231"/>
      <c r="BO205" s="231"/>
    </row>
    <row r="206" spans="2:67" ht="14.25">
      <c r="B206" s="203"/>
      <c r="C206" s="203"/>
      <c r="D206" s="231"/>
      <c r="E206" s="231"/>
      <c r="F206" s="231"/>
      <c r="G206" s="231"/>
      <c r="H206" s="231"/>
      <c r="I206" s="231"/>
      <c r="J206" s="231"/>
      <c r="K206" s="231"/>
      <c r="L206" s="231"/>
      <c r="M206" s="231"/>
      <c r="N206" s="231"/>
      <c r="O206" s="231"/>
      <c r="P206" s="231"/>
      <c r="Q206" s="231"/>
      <c r="R206" s="231"/>
      <c r="S206" s="231"/>
      <c r="T206" s="231"/>
      <c r="U206" s="231"/>
      <c r="V206" s="231"/>
      <c r="W206" s="231"/>
      <c r="X206" s="231"/>
      <c r="Y206" s="231"/>
      <c r="Z206" s="231"/>
      <c r="AA206" s="231"/>
      <c r="AB206" s="231"/>
      <c r="AC206" s="231"/>
      <c r="AD206" s="231"/>
      <c r="AE206" s="231"/>
      <c r="AF206" s="231"/>
      <c r="AG206" s="231"/>
      <c r="AH206" s="231"/>
      <c r="AI206" s="231"/>
      <c r="AJ206" s="231"/>
      <c r="AK206" s="231"/>
      <c r="AL206" s="231"/>
      <c r="AM206" s="231"/>
      <c r="AN206" s="231"/>
      <c r="AO206" s="231"/>
      <c r="AP206" s="231"/>
      <c r="AQ206" s="231"/>
      <c r="AR206" s="231"/>
      <c r="AS206" s="231"/>
      <c r="AT206" s="231"/>
      <c r="AU206" s="231"/>
      <c r="AV206" s="231"/>
      <c r="AW206" s="231"/>
      <c r="AX206" s="231"/>
      <c r="AY206" s="231"/>
      <c r="AZ206" s="231"/>
      <c r="BA206" s="231"/>
      <c r="BB206" s="231"/>
      <c r="BC206" s="231"/>
      <c r="BD206" s="231"/>
      <c r="BE206" s="231"/>
      <c r="BF206" s="231"/>
      <c r="BG206" s="231"/>
      <c r="BH206" s="231"/>
      <c r="BI206" s="231"/>
      <c r="BJ206" s="231"/>
      <c r="BK206" s="231"/>
      <c r="BL206" s="231"/>
      <c r="BM206" s="231"/>
      <c r="BN206" s="231"/>
      <c r="BO206" s="231"/>
    </row>
    <row r="207" spans="2:67" ht="14.25">
      <c r="B207" s="203"/>
      <c r="C207" s="203"/>
      <c r="D207" s="231"/>
      <c r="E207" s="231"/>
      <c r="F207" s="231"/>
      <c r="G207" s="231"/>
      <c r="H207" s="231"/>
      <c r="I207" s="231"/>
      <c r="J207" s="231"/>
      <c r="K207" s="231"/>
      <c r="L207" s="231"/>
      <c r="M207" s="231"/>
      <c r="N207" s="231"/>
      <c r="O207" s="231"/>
      <c r="P207" s="231"/>
      <c r="Q207" s="231"/>
      <c r="R207" s="231"/>
      <c r="S207" s="231"/>
      <c r="T207" s="231"/>
      <c r="U207" s="231"/>
      <c r="V207" s="231"/>
      <c r="W207" s="231"/>
      <c r="X207" s="231"/>
      <c r="Y207" s="231"/>
      <c r="Z207" s="231"/>
      <c r="AA207" s="231"/>
      <c r="AB207" s="231"/>
      <c r="AC207" s="231"/>
      <c r="AD207" s="231"/>
      <c r="AE207" s="231"/>
      <c r="AF207" s="231"/>
      <c r="AG207" s="231"/>
      <c r="AH207" s="231"/>
      <c r="AI207" s="231"/>
      <c r="AJ207" s="231"/>
      <c r="AK207" s="231"/>
      <c r="AL207" s="231"/>
      <c r="AM207" s="231"/>
      <c r="AN207" s="231"/>
      <c r="AO207" s="231"/>
      <c r="AP207" s="231"/>
      <c r="AQ207" s="231"/>
      <c r="AR207" s="231"/>
      <c r="AS207" s="231"/>
      <c r="AT207" s="231"/>
      <c r="AU207" s="231"/>
      <c r="AV207" s="231"/>
      <c r="AW207" s="231"/>
      <c r="AX207" s="231"/>
      <c r="AY207" s="231"/>
      <c r="AZ207" s="231"/>
      <c r="BA207" s="231"/>
      <c r="BB207" s="231"/>
      <c r="BC207" s="231"/>
      <c r="BD207" s="231"/>
      <c r="BE207" s="231"/>
      <c r="BF207" s="231"/>
      <c r="BG207" s="231"/>
      <c r="BH207" s="231"/>
      <c r="BI207" s="231"/>
      <c r="BJ207" s="231"/>
      <c r="BK207" s="231"/>
      <c r="BL207" s="231"/>
      <c r="BM207" s="231"/>
      <c r="BN207" s="231"/>
      <c r="BO207" s="231"/>
    </row>
    <row r="208" spans="2:67" ht="14.25">
      <c r="B208" s="203"/>
      <c r="C208" s="203"/>
      <c r="D208" s="231"/>
      <c r="E208" s="231"/>
      <c r="F208" s="231"/>
      <c r="G208" s="231"/>
      <c r="H208" s="231"/>
      <c r="I208" s="231"/>
      <c r="J208" s="231"/>
      <c r="K208" s="231"/>
      <c r="L208" s="231"/>
      <c r="M208" s="231"/>
      <c r="N208" s="231"/>
      <c r="O208" s="231"/>
      <c r="P208" s="231"/>
      <c r="Q208" s="231"/>
      <c r="R208" s="231"/>
      <c r="S208" s="231"/>
      <c r="T208" s="231"/>
      <c r="U208" s="231"/>
      <c r="V208" s="231"/>
      <c r="W208" s="231"/>
      <c r="X208" s="231"/>
      <c r="Y208" s="231"/>
      <c r="Z208" s="231"/>
      <c r="AA208" s="231"/>
      <c r="AB208" s="231"/>
      <c r="AC208" s="231"/>
      <c r="AD208" s="231"/>
      <c r="AE208" s="231"/>
      <c r="AF208" s="231"/>
      <c r="AG208" s="231"/>
      <c r="AH208" s="231"/>
      <c r="AI208" s="231"/>
      <c r="AJ208" s="231"/>
      <c r="AK208" s="231"/>
      <c r="AL208" s="231"/>
      <c r="AM208" s="231"/>
      <c r="AN208" s="231"/>
      <c r="AO208" s="231"/>
      <c r="AP208" s="231"/>
      <c r="AQ208" s="231"/>
      <c r="AR208" s="231"/>
      <c r="AS208" s="231"/>
      <c r="AT208" s="231"/>
      <c r="AU208" s="231"/>
      <c r="AV208" s="231"/>
      <c r="AW208" s="231"/>
      <c r="AX208" s="231"/>
      <c r="AY208" s="231"/>
      <c r="AZ208" s="231"/>
      <c r="BA208" s="231"/>
      <c r="BB208" s="231"/>
      <c r="BC208" s="231"/>
      <c r="BD208" s="231"/>
      <c r="BE208" s="231"/>
      <c r="BF208" s="231"/>
      <c r="BG208" s="231"/>
      <c r="BH208" s="231"/>
      <c r="BI208" s="231"/>
      <c r="BJ208" s="231"/>
      <c r="BK208" s="231"/>
      <c r="BL208" s="231"/>
      <c r="BM208" s="231"/>
      <c r="BN208" s="231"/>
      <c r="BO208" s="231"/>
    </row>
    <row r="209" spans="2:67" ht="14.25">
      <c r="B209" s="203"/>
      <c r="C209" s="203"/>
      <c r="D209" s="231"/>
      <c r="E209" s="231"/>
      <c r="F209" s="231"/>
      <c r="G209" s="231"/>
      <c r="H209" s="231"/>
      <c r="I209" s="231"/>
      <c r="J209" s="231"/>
      <c r="K209" s="231"/>
      <c r="L209" s="231"/>
      <c r="M209" s="231"/>
      <c r="N209" s="231"/>
      <c r="O209" s="231"/>
      <c r="P209" s="231"/>
      <c r="Q209" s="231"/>
      <c r="R209" s="231"/>
      <c r="S209" s="231"/>
      <c r="T209" s="231"/>
      <c r="U209" s="231"/>
      <c r="V209" s="231"/>
      <c r="W209" s="231"/>
      <c r="X209" s="231"/>
      <c r="Y209" s="231"/>
      <c r="Z209" s="231"/>
      <c r="AA209" s="231"/>
      <c r="AB209" s="231"/>
      <c r="AC209" s="231"/>
      <c r="AD209" s="231"/>
      <c r="AE209" s="231"/>
      <c r="AF209" s="231"/>
      <c r="AG209" s="231"/>
      <c r="AH209" s="231"/>
      <c r="AI209" s="231"/>
      <c r="AJ209" s="231"/>
      <c r="AK209" s="231"/>
      <c r="AL209" s="231"/>
      <c r="AM209" s="231"/>
      <c r="AN209" s="231"/>
      <c r="AO209" s="231"/>
      <c r="AP209" s="231"/>
      <c r="AQ209" s="231"/>
      <c r="AR209" s="231"/>
      <c r="AS209" s="231"/>
      <c r="AT209" s="231"/>
      <c r="AU209" s="231"/>
      <c r="AV209" s="231"/>
      <c r="AW209" s="231"/>
      <c r="AX209" s="231"/>
      <c r="AY209" s="231"/>
      <c r="AZ209" s="231"/>
      <c r="BA209" s="231"/>
      <c r="BB209" s="231"/>
      <c r="BC209" s="231"/>
      <c r="BD209" s="231"/>
      <c r="BE209" s="231"/>
      <c r="BF209" s="231"/>
      <c r="BG209" s="231"/>
      <c r="BH209" s="231"/>
      <c r="BI209" s="231"/>
      <c r="BJ209" s="231"/>
      <c r="BK209" s="231"/>
      <c r="BL209" s="231"/>
      <c r="BM209" s="231"/>
      <c r="BN209" s="231"/>
      <c r="BO209" s="231"/>
    </row>
    <row r="210" spans="2:67" ht="14.25">
      <c r="B210" s="203"/>
      <c r="C210" s="203"/>
      <c r="D210" s="231"/>
      <c r="E210" s="231"/>
      <c r="F210" s="231"/>
      <c r="G210" s="231"/>
      <c r="H210" s="231"/>
      <c r="I210" s="231"/>
      <c r="J210" s="231"/>
      <c r="K210" s="231"/>
      <c r="L210" s="231"/>
      <c r="M210" s="231"/>
      <c r="N210" s="231"/>
      <c r="O210" s="231"/>
      <c r="P210" s="231"/>
      <c r="Q210" s="231"/>
      <c r="R210" s="231"/>
      <c r="S210" s="231"/>
      <c r="T210" s="231"/>
      <c r="U210" s="231"/>
      <c r="V210" s="231"/>
      <c r="W210" s="231"/>
      <c r="X210" s="231"/>
      <c r="Y210" s="231"/>
      <c r="Z210" s="231"/>
      <c r="AA210" s="231"/>
      <c r="AB210" s="231"/>
      <c r="AC210" s="231"/>
      <c r="AD210" s="231"/>
      <c r="AE210" s="231"/>
      <c r="AF210" s="231"/>
      <c r="AG210" s="231"/>
      <c r="AH210" s="231"/>
      <c r="AI210" s="231"/>
      <c r="AJ210" s="231"/>
      <c r="AK210" s="231"/>
      <c r="AL210" s="231"/>
      <c r="AM210" s="231"/>
      <c r="AN210" s="231"/>
      <c r="AO210" s="231"/>
      <c r="AP210" s="231"/>
      <c r="AQ210" s="231"/>
      <c r="AR210" s="231"/>
      <c r="AS210" s="231"/>
      <c r="AT210" s="231"/>
      <c r="AU210" s="231"/>
      <c r="AV210" s="231"/>
      <c r="AW210" s="231"/>
      <c r="AX210" s="231"/>
      <c r="AY210" s="231"/>
      <c r="AZ210" s="231"/>
      <c r="BA210" s="231"/>
      <c r="BB210" s="231"/>
      <c r="BC210" s="231"/>
      <c r="BD210" s="231"/>
      <c r="BE210" s="231"/>
      <c r="BF210" s="231"/>
      <c r="BG210" s="231"/>
      <c r="BH210" s="231"/>
      <c r="BI210" s="231"/>
      <c r="BJ210" s="231"/>
      <c r="BK210" s="231"/>
      <c r="BL210" s="231"/>
      <c r="BM210" s="231"/>
      <c r="BN210" s="231"/>
      <c r="BO210" s="231"/>
    </row>
    <row r="211" spans="2:67" ht="14.25">
      <c r="B211" s="203"/>
      <c r="C211" s="203"/>
      <c r="D211" s="231"/>
      <c r="E211" s="231"/>
      <c r="F211" s="231"/>
      <c r="G211" s="231"/>
      <c r="H211" s="231"/>
      <c r="I211" s="231"/>
      <c r="J211" s="231"/>
      <c r="K211" s="231"/>
      <c r="L211" s="231"/>
      <c r="M211" s="231"/>
      <c r="N211" s="231"/>
      <c r="O211" s="231"/>
      <c r="P211" s="231"/>
      <c r="Q211" s="231"/>
      <c r="R211" s="231"/>
      <c r="S211" s="231"/>
      <c r="T211" s="231"/>
      <c r="U211" s="231"/>
      <c r="V211" s="231"/>
      <c r="W211" s="231"/>
      <c r="X211" s="231"/>
      <c r="Y211" s="231"/>
      <c r="Z211" s="231"/>
      <c r="AA211" s="231"/>
      <c r="AB211" s="231"/>
      <c r="AC211" s="231"/>
      <c r="AD211" s="231"/>
      <c r="AE211" s="231"/>
      <c r="AF211" s="231"/>
      <c r="AG211" s="231"/>
      <c r="AH211" s="231"/>
      <c r="AI211" s="231"/>
      <c r="AJ211" s="231"/>
      <c r="AK211" s="231"/>
      <c r="AL211" s="231"/>
      <c r="AM211" s="231"/>
      <c r="AN211" s="231"/>
      <c r="AO211" s="231"/>
      <c r="AP211" s="231"/>
      <c r="AQ211" s="231"/>
      <c r="AR211" s="231"/>
      <c r="AS211" s="231"/>
      <c r="AT211" s="231"/>
      <c r="AU211" s="231"/>
      <c r="AV211" s="231"/>
      <c r="AW211" s="231"/>
      <c r="AX211" s="231"/>
      <c r="AY211" s="231"/>
      <c r="AZ211" s="231"/>
      <c r="BA211" s="231"/>
      <c r="BB211" s="231"/>
      <c r="BC211" s="231"/>
      <c r="BD211" s="231"/>
      <c r="BE211" s="231"/>
      <c r="BF211" s="231"/>
      <c r="BG211" s="231"/>
      <c r="BH211" s="231"/>
      <c r="BI211" s="231"/>
      <c r="BJ211" s="231"/>
      <c r="BK211" s="231"/>
      <c r="BL211" s="231"/>
      <c r="BM211" s="231"/>
      <c r="BN211" s="231"/>
      <c r="BO211" s="231"/>
    </row>
    <row r="212" spans="2:67" ht="14.25">
      <c r="B212" s="203"/>
      <c r="C212" s="203"/>
      <c r="D212" s="231"/>
      <c r="E212" s="231"/>
      <c r="F212" s="231"/>
      <c r="G212" s="231"/>
      <c r="H212" s="231"/>
      <c r="I212" s="231"/>
      <c r="J212" s="231"/>
      <c r="K212" s="231"/>
      <c r="L212" s="231"/>
      <c r="M212" s="231"/>
      <c r="N212" s="231"/>
      <c r="O212" s="231"/>
      <c r="P212" s="231"/>
      <c r="Q212" s="231"/>
      <c r="R212" s="231"/>
      <c r="S212" s="231"/>
      <c r="T212" s="231"/>
      <c r="U212" s="231"/>
      <c r="V212" s="231"/>
      <c r="W212" s="231"/>
      <c r="X212" s="231"/>
      <c r="Y212" s="231"/>
      <c r="Z212" s="231"/>
      <c r="AA212" s="231"/>
      <c r="AB212" s="231"/>
      <c r="AC212" s="231"/>
      <c r="AD212" s="231"/>
      <c r="AE212" s="231"/>
      <c r="AF212" s="231"/>
      <c r="AG212" s="231"/>
      <c r="AH212" s="231"/>
      <c r="AI212" s="231"/>
      <c r="AJ212" s="231"/>
      <c r="AK212" s="231"/>
      <c r="AL212" s="231"/>
      <c r="AM212" s="231"/>
      <c r="AN212" s="231"/>
      <c r="AO212" s="231"/>
      <c r="AP212" s="231"/>
      <c r="AQ212" s="231"/>
      <c r="AR212" s="231"/>
      <c r="AS212" s="231"/>
      <c r="AT212" s="231"/>
      <c r="AU212" s="231"/>
      <c r="AV212" s="231"/>
      <c r="AW212" s="231"/>
      <c r="AX212" s="231"/>
      <c r="AY212" s="231"/>
      <c r="AZ212" s="231"/>
      <c r="BA212" s="231"/>
      <c r="BB212" s="231"/>
      <c r="BC212" s="231"/>
      <c r="BD212" s="231"/>
      <c r="BE212" s="231"/>
      <c r="BF212" s="231"/>
      <c r="BG212" s="231"/>
      <c r="BH212" s="231"/>
      <c r="BI212" s="231"/>
      <c r="BJ212" s="231"/>
      <c r="BK212" s="231"/>
      <c r="BL212" s="231"/>
      <c r="BM212" s="231"/>
      <c r="BN212" s="231"/>
      <c r="BO212" s="231"/>
    </row>
    <row r="213" spans="2:67" ht="14.25">
      <c r="B213" s="203"/>
      <c r="C213" s="203"/>
      <c r="D213" s="231"/>
      <c r="E213" s="231"/>
      <c r="F213" s="231"/>
      <c r="G213" s="231"/>
      <c r="H213" s="231"/>
      <c r="I213" s="231"/>
      <c r="J213" s="231"/>
      <c r="K213" s="231"/>
      <c r="L213" s="231"/>
      <c r="M213" s="231"/>
      <c r="N213" s="231"/>
      <c r="O213" s="231"/>
      <c r="P213" s="231"/>
      <c r="Q213" s="231"/>
      <c r="R213" s="231"/>
      <c r="S213" s="231"/>
      <c r="T213" s="231"/>
      <c r="U213" s="231"/>
      <c r="V213" s="231"/>
      <c r="W213" s="231"/>
      <c r="X213" s="231"/>
      <c r="Y213" s="231"/>
      <c r="Z213" s="231"/>
      <c r="AA213" s="231"/>
      <c r="AB213" s="231"/>
      <c r="AC213" s="231"/>
      <c r="AD213" s="231"/>
      <c r="AE213" s="231"/>
      <c r="AF213" s="231"/>
      <c r="AG213" s="231"/>
      <c r="AH213" s="231"/>
      <c r="AI213" s="231"/>
      <c r="AJ213" s="231"/>
      <c r="AK213" s="231"/>
      <c r="AL213" s="231"/>
      <c r="AM213" s="231"/>
      <c r="AN213" s="231"/>
      <c r="AO213" s="231"/>
      <c r="AP213" s="231"/>
      <c r="AQ213" s="231"/>
      <c r="AR213" s="231"/>
      <c r="AS213" s="231"/>
      <c r="AT213" s="231"/>
      <c r="AU213" s="231"/>
      <c r="AV213" s="231"/>
      <c r="AW213" s="231"/>
      <c r="AX213" s="231"/>
      <c r="AY213" s="231"/>
      <c r="AZ213" s="231"/>
      <c r="BA213" s="231"/>
      <c r="BB213" s="231"/>
      <c r="BC213" s="231"/>
      <c r="BD213" s="231"/>
      <c r="BE213" s="231"/>
      <c r="BF213" s="231"/>
      <c r="BG213" s="231"/>
      <c r="BH213" s="231"/>
      <c r="BI213" s="231"/>
      <c r="BJ213" s="231"/>
      <c r="BK213" s="231"/>
      <c r="BL213" s="231"/>
      <c r="BM213" s="231"/>
      <c r="BN213" s="231"/>
      <c r="BO213" s="231"/>
    </row>
    <row r="214" spans="2:67" ht="14.25">
      <c r="B214" s="203"/>
      <c r="C214" s="203"/>
      <c r="D214" s="231"/>
      <c r="E214" s="231"/>
      <c r="F214" s="231"/>
      <c r="G214" s="231"/>
      <c r="H214" s="231"/>
      <c r="I214" s="231"/>
      <c r="J214" s="231"/>
      <c r="K214" s="231"/>
      <c r="L214" s="231"/>
      <c r="M214" s="231"/>
      <c r="N214" s="231"/>
      <c r="O214" s="231"/>
      <c r="P214" s="231"/>
      <c r="Q214" s="231"/>
      <c r="R214" s="231"/>
      <c r="S214" s="231"/>
      <c r="T214" s="231"/>
      <c r="U214" s="231"/>
      <c r="V214" s="231"/>
      <c r="W214" s="231"/>
      <c r="X214" s="231"/>
      <c r="Y214" s="231"/>
      <c r="Z214" s="231"/>
      <c r="AA214" s="231"/>
      <c r="AB214" s="231"/>
      <c r="AC214" s="231"/>
      <c r="AD214" s="231"/>
      <c r="AE214" s="231"/>
      <c r="AF214" s="231"/>
      <c r="AG214" s="231"/>
      <c r="AH214" s="231"/>
      <c r="AI214" s="231"/>
      <c r="AJ214" s="231"/>
      <c r="AK214" s="231"/>
      <c r="AL214" s="231"/>
      <c r="AM214" s="231"/>
      <c r="AN214" s="231"/>
      <c r="AO214" s="231"/>
      <c r="AP214" s="231"/>
      <c r="AQ214" s="231"/>
      <c r="AR214" s="231"/>
      <c r="AS214" s="231"/>
      <c r="AT214" s="231"/>
      <c r="AU214" s="231"/>
      <c r="AV214" s="231"/>
      <c r="AW214" s="231"/>
      <c r="AX214" s="231"/>
      <c r="AY214" s="231"/>
      <c r="AZ214" s="231"/>
      <c r="BA214" s="231"/>
      <c r="BB214" s="231"/>
      <c r="BC214" s="231"/>
      <c r="BD214" s="231"/>
      <c r="BE214" s="231"/>
      <c r="BF214" s="231"/>
      <c r="BG214" s="231"/>
      <c r="BH214" s="231"/>
      <c r="BI214" s="231"/>
      <c r="BJ214" s="231"/>
      <c r="BK214" s="231"/>
      <c r="BL214" s="231"/>
      <c r="BM214" s="231"/>
      <c r="BN214" s="231"/>
      <c r="BO214" s="231"/>
    </row>
    <row r="215" spans="2:67" ht="14.25">
      <c r="B215" s="203"/>
      <c r="C215" s="203"/>
      <c r="D215" s="231"/>
      <c r="E215" s="231"/>
      <c r="F215" s="231"/>
      <c r="G215" s="231"/>
      <c r="H215" s="231"/>
      <c r="I215" s="231"/>
      <c r="J215" s="231"/>
      <c r="K215" s="231"/>
      <c r="L215" s="231"/>
      <c r="M215" s="231"/>
      <c r="N215" s="231"/>
      <c r="O215" s="231"/>
      <c r="P215" s="231"/>
      <c r="Q215" s="231"/>
      <c r="R215" s="231"/>
      <c r="S215" s="231"/>
      <c r="T215" s="231"/>
      <c r="U215" s="231"/>
      <c r="V215" s="231"/>
      <c r="W215" s="231"/>
      <c r="X215" s="231"/>
      <c r="Y215" s="231"/>
      <c r="Z215" s="231"/>
      <c r="AA215" s="231"/>
      <c r="AB215" s="231"/>
      <c r="AC215" s="231"/>
      <c r="AD215" s="231"/>
      <c r="AE215" s="231"/>
      <c r="AF215" s="231"/>
      <c r="AG215" s="231"/>
      <c r="AH215" s="231"/>
      <c r="AI215" s="231"/>
      <c r="AJ215" s="231"/>
      <c r="AK215" s="231"/>
      <c r="AL215" s="231"/>
      <c r="AM215" s="231"/>
      <c r="AN215" s="231"/>
      <c r="AO215" s="231"/>
      <c r="AP215" s="231"/>
      <c r="AQ215" s="231"/>
      <c r="AR215" s="231"/>
      <c r="AS215" s="231"/>
      <c r="AT215" s="231"/>
      <c r="AU215" s="231"/>
      <c r="AV215" s="231"/>
      <c r="AW215" s="231"/>
      <c r="AX215" s="231"/>
      <c r="AY215" s="231"/>
      <c r="AZ215" s="231"/>
      <c r="BA215" s="231"/>
      <c r="BB215" s="231"/>
      <c r="BC215" s="231"/>
      <c r="BD215" s="231"/>
      <c r="BE215" s="231"/>
      <c r="BF215" s="231"/>
      <c r="BG215" s="231"/>
      <c r="BH215" s="231"/>
      <c r="BI215" s="231"/>
      <c r="BJ215" s="231"/>
      <c r="BK215" s="231"/>
      <c r="BL215" s="231"/>
      <c r="BM215" s="231"/>
      <c r="BN215" s="231"/>
      <c r="BO215" s="231"/>
    </row>
    <row r="216" spans="2:67" ht="14.25">
      <c r="B216" s="203"/>
      <c r="C216" s="203"/>
      <c r="D216" s="231"/>
      <c r="E216" s="231"/>
      <c r="F216" s="231"/>
      <c r="G216" s="231"/>
      <c r="H216" s="231"/>
      <c r="I216" s="231"/>
      <c r="J216" s="231"/>
      <c r="K216" s="231"/>
      <c r="L216" s="231"/>
      <c r="M216" s="231"/>
      <c r="N216" s="231"/>
      <c r="O216" s="231"/>
      <c r="P216" s="231"/>
      <c r="Q216" s="231"/>
      <c r="R216" s="231"/>
      <c r="S216" s="231"/>
      <c r="T216" s="231"/>
      <c r="U216" s="231"/>
      <c r="V216" s="231"/>
      <c r="W216" s="231"/>
      <c r="X216" s="231"/>
      <c r="Y216" s="231"/>
      <c r="Z216" s="231"/>
      <c r="AA216" s="231"/>
      <c r="AB216" s="231"/>
      <c r="AC216" s="231"/>
      <c r="AD216" s="231"/>
      <c r="AE216" s="231"/>
      <c r="AF216" s="231"/>
      <c r="AG216" s="231"/>
      <c r="AH216" s="231"/>
      <c r="AI216" s="231"/>
      <c r="AJ216" s="231"/>
      <c r="AK216" s="231"/>
      <c r="AL216" s="231"/>
      <c r="AM216" s="231"/>
      <c r="AN216" s="231"/>
      <c r="AO216" s="231"/>
      <c r="AP216" s="231"/>
      <c r="AQ216" s="231"/>
      <c r="AR216" s="231"/>
      <c r="AS216" s="231"/>
      <c r="AT216" s="231"/>
      <c r="AU216" s="231"/>
      <c r="AV216" s="231"/>
      <c r="AW216" s="231"/>
      <c r="AX216" s="231"/>
      <c r="AY216" s="231"/>
      <c r="AZ216" s="231"/>
      <c r="BA216" s="231"/>
      <c r="BB216" s="231"/>
      <c r="BC216" s="231"/>
      <c r="BD216" s="231"/>
      <c r="BE216" s="231"/>
      <c r="BF216" s="231"/>
      <c r="BG216" s="231"/>
      <c r="BH216" s="231"/>
      <c r="BI216" s="231"/>
      <c r="BJ216" s="231"/>
      <c r="BK216" s="231"/>
      <c r="BL216" s="231"/>
      <c r="BM216" s="231"/>
      <c r="BN216" s="231"/>
      <c r="BO216" s="231"/>
    </row>
    <row r="217" spans="2:67" ht="14.25">
      <c r="B217" s="203"/>
      <c r="C217" s="203"/>
      <c r="D217" s="231"/>
      <c r="E217" s="231"/>
      <c r="F217" s="231"/>
      <c r="G217" s="231"/>
      <c r="H217" s="231"/>
      <c r="I217" s="231"/>
      <c r="J217" s="231"/>
      <c r="K217" s="231"/>
      <c r="L217" s="231"/>
      <c r="M217" s="231"/>
      <c r="N217" s="231"/>
      <c r="O217" s="231"/>
      <c r="P217" s="231"/>
      <c r="Q217" s="231"/>
      <c r="R217" s="231"/>
      <c r="S217" s="231"/>
      <c r="T217" s="231"/>
      <c r="U217" s="231"/>
      <c r="V217" s="231"/>
      <c r="W217" s="231"/>
      <c r="X217" s="231"/>
      <c r="Y217" s="231"/>
      <c r="Z217" s="231"/>
      <c r="AA217" s="231"/>
      <c r="AB217" s="231"/>
      <c r="AC217" s="231"/>
      <c r="AD217" s="231"/>
      <c r="AE217" s="231"/>
      <c r="AF217" s="231"/>
      <c r="AG217" s="231"/>
      <c r="AH217" s="231"/>
      <c r="AI217" s="231"/>
      <c r="AJ217" s="231"/>
      <c r="AK217" s="231"/>
      <c r="AL217" s="231"/>
      <c r="AM217" s="231"/>
      <c r="AN217" s="231"/>
      <c r="AO217" s="231"/>
      <c r="AP217" s="231"/>
      <c r="AQ217" s="231"/>
      <c r="AR217" s="231"/>
      <c r="AS217" s="231"/>
      <c r="AT217" s="231"/>
      <c r="AU217" s="231"/>
      <c r="AV217" s="231"/>
      <c r="AW217" s="231"/>
      <c r="AX217" s="231"/>
      <c r="AY217" s="231"/>
      <c r="AZ217" s="231"/>
      <c r="BA217" s="231"/>
      <c r="BB217" s="231"/>
      <c r="BC217" s="231"/>
      <c r="BD217" s="231"/>
      <c r="BE217" s="231"/>
      <c r="BF217" s="231"/>
      <c r="BG217" s="231"/>
      <c r="BH217" s="231"/>
      <c r="BI217" s="231"/>
      <c r="BJ217" s="231"/>
      <c r="BK217" s="231"/>
      <c r="BL217" s="231"/>
      <c r="BM217" s="231"/>
      <c r="BN217" s="231"/>
      <c r="BO217" s="231"/>
    </row>
    <row r="218" spans="2:67" ht="14.25">
      <c r="B218" s="203"/>
      <c r="C218" s="203"/>
      <c r="D218" s="231"/>
      <c r="E218" s="231"/>
      <c r="F218" s="231"/>
      <c r="G218" s="231"/>
      <c r="H218" s="231"/>
      <c r="I218" s="231"/>
      <c r="J218" s="231"/>
      <c r="K218" s="231"/>
      <c r="L218" s="231"/>
      <c r="M218" s="231"/>
      <c r="N218" s="231"/>
      <c r="O218" s="231"/>
      <c r="P218" s="231"/>
      <c r="Q218" s="231"/>
      <c r="R218" s="231"/>
      <c r="S218" s="231"/>
      <c r="T218" s="231"/>
      <c r="U218" s="231"/>
      <c r="V218" s="231"/>
      <c r="W218" s="231"/>
      <c r="X218" s="231"/>
      <c r="Y218" s="231"/>
      <c r="Z218" s="231"/>
      <c r="AA218" s="231"/>
      <c r="AB218" s="231"/>
      <c r="AC218" s="231"/>
      <c r="AD218" s="231"/>
      <c r="AE218" s="231"/>
      <c r="AF218" s="231"/>
      <c r="AG218" s="231"/>
      <c r="AH218" s="231"/>
      <c r="AI218" s="231"/>
      <c r="AJ218" s="231"/>
      <c r="AK218" s="231"/>
      <c r="AL218" s="231"/>
      <c r="AM218" s="231"/>
      <c r="AN218" s="231"/>
      <c r="AO218" s="231"/>
      <c r="AP218" s="231"/>
      <c r="AQ218" s="231"/>
      <c r="AR218" s="231"/>
      <c r="AS218" s="231"/>
      <c r="AT218" s="231"/>
      <c r="AU218" s="231"/>
      <c r="AV218" s="231"/>
      <c r="AW218" s="231"/>
      <c r="AX218" s="231"/>
      <c r="AY218" s="231"/>
      <c r="AZ218" s="231"/>
      <c r="BA218" s="231"/>
      <c r="BB218" s="231"/>
      <c r="BC218" s="231"/>
      <c r="BD218" s="231"/>
      <c r="BE218" s="231"/>
      <c r="BF218" s="231"/>
      <c r="BG218" s="231"/>
      <c r="BH218" s="231"/>
      <c r="BI218" s="231"/>
      <c r="BJ218" s="231"/>
      <c r="BK218" s="231"/>
      <c r="BL218" s="231"/>
      <c r="BM218" s="231"/>
      <c r="BN218" s="231"/>
      <c r="BO218" s="231"/>
    </row>
    <row r="219" spans="2:67" ht="14.25">
      <c r="B219" s="203"/>
      <c r="C219" s="203"/>
      <c r="D219" s="231"/>
      <c r="E219" s="231"/>
      <c r="F219" s="231"/>
      <c r="G219" s="231"/>
      <c r="H219" s="231"/>
      <c r="I219" s="231"/>
      <c r="J219" s="231"/>
      <c r="K219" s="231"/>
      <c r="L219" s="231"/>
      <c r="M219" s="231"/>
      <c r="N219" s="231"/>
      <c r="O219" s="231"/>
      <c r="P219" s="231"/>
      <c r="Q219" s="231"/>
      <c r="R219" s="231"/>
      <c r="S219" s="231"/>
      <c r="T219" s="231"/>
      <c r="U219" s="231"/>
      <c r="V219" s="231"/>
      <c r="W219" s="231"/>
      <c r="X219" s="231"/>
      <c r="Y219" s="231"/>
      <c r="Z219" s="231"/>
      <c r="AA219" s="231"/>
      <c r="AB219" s="231"/>
      <c r="AC219" s="231"/>
      <c r="AD219" s="231"/>
      <c r="AE219" s="231"/>
      <c r="AF219" s="231"/>
      <c r="AG219" s="231"/>
      <c r="AH219" s="231"/>
      <c r="AI219" s="231"/>
      <c r="AJ219" s="231"/>
      <c r="AK219" s="231"/>
      <c r="AL219" s="231"/>
      <c r="AM219" s="231"/>
      <c r="AN219" s="231"/>
      <c r="AO219" s="231"/>
      <c r="AP219" s="231"/>
      <c r="AQ219" s="231"/>
      <c r="AR219" s="231"/>
      <c r="AS219" s="231"/>
      <c r="AT219" s="231"/>
      <c r="AU219" s="231"/>
      <c r="AV219" s="231"/>
      <c r="AW219" s="231"/>
      <c r="AX219" s="231"/>
      <c r="AY219" s="231"/>
      <c r="AZ219" s="231"/>
      <c r="BA219" s="231"/>
      <c r="BB219" s="231"/>
      <c r="BC219" s="231"/>
      <c r="BD219" s="231"/>
      <c r="BE219" s="231"/>
      <c r="BF219" s="231"/>
      <c r="BG219" s="231"/>
      <c r="BH219" s="231"/>
      <c r="BI219" s="231"/>
      <c r="BJ219" s="231"/>
      <c r="BK219" s="231"/>
      <c r="BL219" s="231"/>
      <c r="BM219" s="231"/>
      <c r="BN219" s="231"/>
      <c r="BO219" s="231"/>
    </row>
    <row r="220" spans="2:67" ht="14.25">
      <c r="B220" s="203"/>
      <c r="C220" s="203"/>
      <c r="D220" s="231"/>
      <c r="E220" s="231"/>
      <c r="F220" s="231"/>
      <c r="G220" s="231"/>
      <c r="H220" s="231"/>
      <c r="I220" s="231"/>
      <c r="J220" s="231"/>
      <c r="K220" s="231"/>
      <c r="L220" s="231"/>
      <c r="M220" s="231"/>
      <c r="N220" s="231"/>
      <c r="O220" s="231"/>
      <c r="P220" s="231"/>
      <c r="Q220" s="231"/>
      <c r="R220" s="231"/>
      <c r="S220" s="231"/>
      <c r="T220" s="231"/>
      <c r="U220" s="231"/>
      <c r="V220" s="231"/>
      <c r="W220" s="231"/>
      <c r="X220" s="231"/>
      <c r="Y220" s="231"/>
      <c r="Z220" s="231"/>
      <c r="AA220" s="231"/>
      <c r="AB220" s="231"/>
      <c r="AC220" s="231"/>
      <c r="AD220" s="231"/>
      <c r="AE220" s="231"/>
      <c r="AF220" s="231"/>
      <c r="AG220" s="231"/>
      <c r="AH220" s="231"/>
      <c r="AI220" s="231"/>
      <c r="AJ220" s="231"/>
      <c r="AK220" s="231"/>
      <c r="AL220" s="231"/>
      <c r="AM220" s="231"/>
      <c r="AN220" s="231"/>
      <c r="AO220" s="231"/>
      <c r="AP220" s="231"/>
      <c r="AQ220" s="231"/>
      <c r="AR220" s="231"/>
      <c r="AS220" s="231"/>
      <c r="AT220" s="231"/>
      <c r="AU220" s="231"/>
      <c r="AV220" s="231"/>
      <c r="AW220" s="231"/>
      <c r="AX220" s="231"/>
      <c r="AY220" s="231"/>
      <c r="AZ220" s="231"/>
      <c r="BA220" s="231"/>
      <c r="BB220" s="231"/>
      <c r="BC220" s="231"/>
      <c r="BD220" s="231"/>
      <c r="BE220" s="231"/>
      <c r="BF220" s="231"/>
      <c r="BG220" s="231"/>
      <c r="BH220" s="231"/>
      <c r="BI220" s="231"/>
      <c r="BJ220" s="231"/>
      <c r="BK220" s="231"/>
      <c r="BL220" s="231"/>
      <c r="BM220" s="231"/>
      <c r="BN220" s="231"/>
      <c r="BO220" s="231"/>
    </row>
    <row r="221" spans="2:67" ht="14.25">
      <c r="B221" s="203"/>
      <c r="C221" s="203"/>
      <c r="D221" s="231"/>
      <c r="E221" s="231"/>
      <c r="F221" s="231"/>
      <c r="G221" s="231"/>
      <c r="H221" s="231"/>
      <c r="I221" s="231"/>
      <c r="J221" s="231"/>
      <c r="K221" s="231"/>
      <c r="L221" s="231"/>
      <c r="M221" s="231"/>
      <c r="N221" s="231"/>
      <c r="O221" s="231"/>
      <c r="P221" s="231"/>
      <c r="Q221" s="231"/>
      <c r="R221" s="231"/>
      <c r="S221" s="231"/>
      <c r="T221" s="231"/>
      <c r="U221" s="231"/>
      <c r="V221" s="231"/>
      <c r="W221" s="231"/>
      <c r="X221" s="231"/>
      <c r="Y221" s="231"/>
      <c r="Z221" s="231"/>
      <c r="AA221" s="231"/>
      <c r="AB221" s="231"/>
      <c r="AC221" s="231"/>
      <c r="AD221" s="231"/>
      <c r="AE221" s="231"/>
      <c r="AF221" s="231"/>
      <c r="AG221" s="231"/>
      <c r="AH221" s="231"/>
      <c r="AI221" s="231"/>
      <c r="AJ221" s="231"/>
      <c r="AK221" s="231"/>
      <c r="AL221" s="231"/>
      <c r="AM221" s="231"/>
      <c r="AN221" s="231"/>
      <c r="AO221" s="231"/>
      <c r="AP221" s="231"/>
      <c r="AQ221" s="231"/>
      <c r="AR221" s="231"/>
      <c r="AS221" s="231"/>
      <c r="AT221" s="231"/>
      <c r="AU221" s="231"/>
      <c r="AV221" s="231"/>
      <c r="AW221" s="231"/>
      <c r="AX221" s="231"/>
      <c r="AY221" s="231"/>
      <c r="AZ221" s="231"/>
      <c r="BA221" s="231"/>
      <c r="BB221" s="231"/>
      <c r="BC221" s="231"/>
      <c r="BD221" s="231"/>
      <c r="BE221" s="231"/>
      <c r="BF221" s="231"/>
      <c r="BG221" s="231"/>
      <c r="BH221" s="231"/>
      <c r="BI221" s="231"/>
      <c r="BJ221" s="231"/>
      <c r="BK221" s="231"/>
      <c r="BL221" s="231"/>
      <c r="BM221" s="231"/>
      <c r="BN221" s="231"/>
      <c r="BO221" s="231"/>
    </row>
    <row r="222" spans="2:67" ht="14.25">
      <c r="B222" s="203"/>
      <c r="C222" s="203"/>
      <c r="D222" s="231"/>
      <c r="E222" s="231"/>
      <c r="F222" s="231"/>
      <c r="G222" s="231"/>
      <c r="H222" s="231"/>
      <c r="I222" s="231"/>
      <c r="J222" s="231"/>
      <c r="K222" s="231"/>
      <c r="L222" s="231"/>
      <c r="M222" s="231"/>
      <c r="N222" s="231"/>
      <c r="O222" s="231"/>
      <c r="P222" s="231"/>
      <c r="Q222" s="231"/>
      <c r="R222" s="231"/>
      <c r="S222" s="231"/>
      <c r="T222" s="231"/>
      <c r="U222" s="231"/>
      <c r="V222" s="231"/>
      <c r="W222" s="231"/>
      <c r="X222" s="231"/>
      <c r="Y222" s="231"/>
      <c r="Z222" s="231"/>
      <c r="AA222" s="231"/>
      <c r="AB222" s="231"/>
      <c r="AC222" s="231"/>
      <c r="AD222" s="231"/>
      <c r="AE222" s="231"/>
      <c r="AF222" s="231"/>
      <c r="AG222" s="231"/>
      <c r="AH222" s="231"/>
      <c r="AI222" s="231"/>
      <c r="AJ222" s="231"/>
      <c r="AK222" s="231"/>
      <c r="AL222" s="231"/>
      <c r="AM222" s="231"/>
      <c r="AN222" s="231"/>
      <c r="AO222" s="231"/>
      <c r="AP222" s="231"/>
      <c r="AQ222" s="231"/>
      <c r="AR222" s="231"/>
      <c r="AS222" s="231"/>
      <c r="AT222" s="231"/>
      <c r="AU222" s="231"/>
      <c r="AV222" s="231"/>
      <c r="AW222" s="231"/>
      <c r="AX222" s="231"/>
      <c r="AY222" s="231"/>
      <c r="AZ222" s="231"/>
      <c r="BA222" s="231"/>
      <c r="BB222" s="231"/>
      <c r="BC222" s="231"/>
      <c r="BD222" s="231"/>
      <c r="BE222" s="231"/>
      <c r="BF222" s="231"/>
      <c r="BG222" s="231"/>
      <c r="BH222" s="231"/>
      <c r="BI222" s="231"/>
      <c r="BJ222" s="231"/>
      <c r="BK222" s="231"/>
      <c r="BL222" s="231"/>
      <c r="BM222" s="231"/>
      <c r="BN222" s="231"/>
      <c r="BO222" s="231"/>
    </row>
    <row r="223" spans="2:67" ht="14.25">
      <c r="B223" s="203"/>
      <c r="C223" s="203"/>
      <c r="D223" s="231"/>
      <c r="E223" s="231"/>
      <c r="F223" s="231"/>
      <c r="G223" s="231"/>
      <c r="H223" s="231"/>
      <c r="I223" s="231"/>
      <c r="J223" s="231"/>
      <c r="K223" s="231"/>
      <c r="L223" s="231"/>
      <c r="M223" s="231"/>
      <c r="N223" s="231"/>
      <c r="O223" s="231"/>
      <c r="P223" s="231"/>
      <c r="Q223" s="231"/>
      <c r="R223" s="231"/>
      <c r="S223" s="231"/>
      <c r="T223" s="231"/>
      <c r="U223" s="231"/>
      <c r="V223" s="231"/>
      <c r="W223" s="231"/>
      <c r="X223" s="231"/>
      <c r="Y223" s="231"/>
      <c r="Z223" s="231"/>
      <c r="AA223" s="231"/>
      <c r="AB223" s="231"/>
      <c r="AC223" s="231"/>
      <c r="AD223" s="231"/>
      <c r="AE223" s="231"/>
      <c r="AF223" s="231"/>
      <c r="AG223" s="231"/>
      <c r="AH223" s="231"/>
      <c r="AI223" s="231"/>
      <c r="AJ223" s="231"/>
      <c r="AK223" s="231"/>
      <c r="AL223" s="231"/>
      <c r="AM223" s="231"/>
      <c r="AN223" s="231"/>
      <c r="AO223" s="231"/>
      <c r="AP223" s="231"/>
      <c r="AQ223" s="231"/>
      <c r="AR223" s="231"/>
      <c r="AS223" s="231"/>
      <c r="AT223" s="231"/>
      <c r="AU223" s="231"/>
      <c r="AV223" s="231"/>
      <c r="AW223" s="231"/>
      <c r="AX223" s="231"/>
      <c r="AY223" s="231"/>
      <c r="AZ223" s="231"/>
      <c r="BA223" s="231"/>
      <c r="BB223" s="231"/>
      <c r="BC223" s="231"/>
      <c r="BD223" s="231"/>
      <c r="BE223" s="231"/>
      <c r="BF223" s="231"/>
      <c r="BG223" s="231"/>
      <c r="BH223" s="231"/>
      <c r="BI223" s="231"/>
      <c r="BJ223" s="231"/>
      <c r="BK223" s="231"/>
      <c r="BL223" s="231"/>
      <c r="BM223" s="231"/>
      <c r="BN223" s="231"/>
      <c r="BO223" s="231"/>
    </row>
    <row r="224" spans="2:67" ht="14.25">
      <c r="B224" s="203"/>
      <c r="C224" s="203"/>
      <c r="D224" s="231"/>
      <c r="E224" s="231"/>
      <c r="F224" s="231"/>
      <c r="G224" s="231"/>
      <c r="H224" s="231"/>
      <c r="I224" s="231"/>
      <c r="J224" s="231"/>
      <c r="K224" s="231"/>
      <c r="L224" s="231"/>
      <c r="M224" s="231"/>
      <c r="N224" s="231"/>
      <c r="O224" s="231"/>
      <c r="P224" s="231"/>
      <c r="Q224" s="231"/>
      <c r="R224" s="231"/>
      <c r="S224" s="231"/>
      <c r="T224" s="231"/>
      <c r="U224" s="231"/>
      <c r="V224" s="231"/>
      <c r="W224" s="231"/>
      <c r="X224" s="231"/>
      <c r="Y224" s="231"/>
      <c r="Z224" s="231"/>
      <c r="AA224" s="231"/>
      <c r="AB224" s="231"/>
      <c r="AC224" s="231"/>
      <c r="AD224" s="231"/>
      <c r="AE224" s="231"/>
      <c r="AF224" s="231"/>
      <c r="AG224" s="231"/>
      <c r="AH224" s="231"/>
      <c r="AI224" s="231"/>
      <c r="AJ224" s="231"/>
      <c r="AK224" s="231"/>
      <c r="AL224" s="231"/>
      <c r="AM224" s="231"/>
      <c r="AN224" s="231"/>
      <c r="AO224" s="231"/>
      <c r="AP224" s="231"/>
      <c r="AQ224" s="231"/>
      <c r="AR224" s="231"/>
      <c r="AS224" s="231"/>
      <c r="AT224" s="231"/>
      <c r="AU224" s="231"/>
      <c r="AV224" s="231"/>
      <c r="AW224" s="231"/>
      <c r="AX224" s="231"/>
      <c r="AY224" s="231"/>
      <c r="AZ224" s="231"/>
      <c r="BA224" s="231"/>
      <c r="BB224" s="231"/>
      <c r="BC224" s="231"/>
      <c r="BD224" s="231"/>
      <c r="BE224" s="231"/>
      <c r="BF224" s="231"/>
      <c r="BG224" s="231"/>
      <c r="BH224" s="231"/>
      <c r="BI224" s="231"/>
      <c r="BJ224" s="231"/>
      <c r="BK224" s="231"/>
      <c r="BL224" s="231"/>
      <c r="BM224" s="231"/>
      <c r="BN224" s="231"/>
      <c r="BO224" s="231"/>
    </row>
    <row r="225" spans="2:67" ht="14.25">
      <c r="B225" s="203"/>
      <c r="C225" s="203"/>
      <c r="D225" s="231"/>
      <c r="E225" s="231"/>
      <c r="F225" s="231"/>
      <c r="G225" s="231"/>
      <c r="H225" s="231"/>
      <c r="I225" s="231"/>
      <c r="J225" s="231"/>
      <c r="K225" s="231"/>
      <c r="L225" s="231"/>
      <c r="M225" s="231"/>
      <c r="N225" s="231"/>
      <c r="O225" s="231"/>
      <c r="P225" s="231"/>
      <c r="Q225" s="231"/>
      <c r="R225" s="231"/>
      <c r="S225" s="231"/>
      <c r="T225" s="231"/>
      <c r="U225" s="231"/>
      <c r="V225" s="231"/>
      <c r="W225" s="231"/>
      <c r="X225" s="231"/>
      <c r="Y225" s="231"/>
      <c r="Z225" s="231"/>
      <c r="AA225" s="231"/>
      <c r="AB225" s="231"/>
      <c r="AC225" s="231"/>
      <c r="AD225" s="231"/>
      <c r="AE225" s="231"/>
      <c r="AF225" s="231"/>
      <c r="AG225" s="231"/>
      <c r="AH225" s="231"/>
      <c r="AI225" s="231"/>
      <c r="AJ225" s="231"/>
      <c r="AK225" s="231"/>
      <c r="AL225" s="231"/>
      <c r="AM225" s="231"/>
      <c r="AN225" s="231"/>
      <c r="AO225" s="231"/>
      <c r="AP225" s="231"/>
      <c r="AQ225" s="231"/>
      <c r="AR225" s="231"/>
      <c r="AS225" s="231"/>
      <c r="AT225" s="231"/>
      <c r="AU225" s="231"/>
      <c r="AV225" s="231"/>
      <c r="AW225" s="231"/>
      <c r="AX225" s="231"/>
      <c r="AY225" s="231"/>
      <c r="AZ225" s="231"/>
      <c r="BA225" s="231"/>
      <c r="BB225" s="231"/>
      <c r="BC225" s="231"/>
      <c r="BD225" s="231"/>
      <c r="BE225" s="231"/>
      <c r="BF225" s="231"/>
      <c r="BG225" s="231"/>
      <c r="BH225" s="231"/>
      <c r="BI225" s="231"/>
      <c r="BJ225" s="231"/>
      <c r="BK225" s="231"/>
      <c r="BL225" s="231"/>
      <c r="BM225" s="231"/>
      <c r="BN225" s="231"/>
      <c r="BO225" s="231"/>
    </row>
    <row r="226" spans="2:67" ht="14.25">
      <c r="B226" s="203"/>
      <c r="C226" s="203"/>
      <c r="D226" s="231"/>
      <c r="E226" s="231"/>
      <c r="F226" s="231"/>
      <c r="G226" s="231"/>
      <c r="H226" s="231"/>
      <c r="I226" s="231"/>
      <c r="J226" s="231"/>
      <c r="K226" s="231"/>
      <c r="L226" s="231"/>
      <c r="M226" s="231"/>
      <c r="N226" s="231"/>
      <c r="O226" s="231"/>
      <c r="P226" s="231"/>
      <c r="Q226" s="231"/>
      <c r="R226" s="231"/>
      <c r="S226" s="231"/>
      <c r="T226" s="231"/>
      <c r="U226" s="231"/>
      <c r="V226" s="231"/>
      <c r="W226" s="231"/>
      <c r="X226" s="231"/>
      <c r="Y226" s="231"/>
      <c r="Z226" s="231"/>
      <c r="AA226" s="231"/>
      <c r="AB226" s="231"/>
      <c r="AC226" s="231"/>
      <c r="AD226" s="231"/>
      <c r="AE226" s="231"/>
      <c r="AF226" s="231"/>
      <c r="AG226" s="231"/>
      <c r="AH226" s="231"/>
      <c r="AI226" s="231"/>
      <c r="AJ226" s="231"/>
      <c r="AK226" s="231"/>
      <c r="AL226" s="231"/>
      <c r="AM226" s="231"/>
      <c r="AN226" s="231"/>
      <c r="AO226" s="231"/>
      <c r="AP226" s="231"/>
      <c r="AQ226" s="231"/>
      <c r="AR226" s="231"/>
      <c r="AS226" s="231"/>
      <c r="AT226" s="231"/>
      <c r="AU226" s="231"/>
      <c r="AV226" s="231"/>
      <c r="AW226" s="231"/>
      <c r="AX226" s="231"/>
      <c r="AY226" s="231"/>
      <c r="AZ226" s="231"/>
      <c r="BA226" s="231"/>
      <c r="BB226" s="231"/>
      <c r="BC226" s="231"/>
      <c r="BD226" s="231"/>
      <c r="BE226" s="231"/>
      <c r="BF226" s="231"/>
      <c r="BG226" s="231"/>
      <c r="BH226" s="231"/>
      <c r="BI226" s="231"/>
      <c r="BJ226" s="231"/>
      <c r="BK226" s="231"/>
      <c r="BL226" s="231"/>
      <c r="BM226" s="231"/>
      <c r="BN226" s="231"/>
      <c r="BO226" s="231"/>
    </row>
    <row r="227" spans="2:67" ht="14.25">
      <c r="B227" s="203"/>
      <c r="C227" s="203"/>
      <c r="D227" s="231"/>
      <c r="E227" s="231"/>
      <c r="F227" s="231"/>
      <c r="G227" s="231"/>
      <c r="H227" s="231"/>
      <c r="I227" s="231"/>
      <c r="J227" s="231"/>
      <c r="K227" s="231"/>
      <c r="L227" s="231"/>
      <c r="M227" s="231"/>
      <c r="N227" s="231"/>
      <c r="O227" s="231"/>
      <c r="P227" s="231"/>
      <c r="Q227" s="231"/>
      <c r="R227" s="231"/>
      <c r="S227" s="231"/>
      <c r="T227" s="231"/>
      <c r="U227" s="231"/>
      <c r="V227" s="231"/>
      <c r="W227" s="231"/>
      <c r="X227" s="231"/>
      <c r="Y227" s="231"/>
      <c r="Z227" s="231"/>
      <c r="AA227" s="231"/>
      <c r="AB227" s="231"/>
      <c r="AC227" s="231"/>
      <c r="AD227" s="231"/>
      <c r="AE227" s="231"/>
      <c r="AF227" s="231"/>
      <c r="AG227" s="231"/>
      <c r="AH227" s="231"/>
      <c r="AI227" s="231"/>
      <c r="AJ227" s="231"/>
      <c r="AK227" s="231"/>
      <c r="AL227" s="231"/>
      <c r="AM227" s="231"/>
      <c r="AN227" s="231"/>
      <c r="AO227" s="231"/>
      <c r="AP227" s="231"/>
      <c r="AQ227" s="231"/>
      <c r="AR227" s="231"/>
      <c r="AS227" s="231"/>
      <c r="AT227" s="231"/>
      <c r="AU227" s="231"/>
      <c r="AV227" s="231"/>
      <c r="AW227" s="231"/>
      <c r="AX227" s="231"/>
      <c r="AY227" s="231"/>
      <c r="AZ227" s="231"/>
      <c r="BA227" s="231"/>
      <c r="BB227" s="231"/>
      <c r="BC227" s="231"/>
      <c r="BD227" s="231"/>
      <c r="BE227" s="231"/>
      <c r="BF227" s="231"/>
      <c r="BG227" s="231"/>
      <c r="BH227" s="231"/>
      <c r="BI227" s="231"/>
      <c r="BJ227" s="231"/>
      <c r="BK227" s="231"/>
      <c r="BL227" s="231"/>
      <c r="BM227" s="231"/>
      <c r="BN227" s="231"/>
      <c r="BO227" s="231"/>
    </row>
    <row r="228" spans="2:67" ht="14.25">
      <c r="B228" s="203"/>
      <c r="C228" s="203"/>
      <c r="D228" s="231"/>
      <c r="E228" s="231"/>
      <c r="F228" s="231"/>
      <c r="G228" s="231"/>
      <c r="H228" s="231"/>
      <c r="I228" s="231"/>
      <c r="J228" s="231"/>
      <c r="K228" s="231"/>
      <c r="L228" s="231"/>
      <c r="M228" s="231"/>
      <c r="N228" s="231"/>
      <c r="O228" s="231"/>
      <c r="P228" s="231"/>
      <c r="Q228" s="231"/>
      <c r="R228" s="231"/>
      <c r="S228" s="231"/>
      <c r="T228" s="231"/>
      <c r="U228" s="231"/>
      <c r="V228" s="231"/>
      <c r="W228" s="231"/>
      <c r="X228" s="231"/>
      <c r="Y228" s="231"/>
      <c r="Z228" s="231"/>
      <c r="AA228" s="231"/>
      <c r="AB228" s="231"/>
      <c r="AC228" s="231"/>
      <c r="AD228" s="231"/>
      <c r="AE228" s="231"/>
      <c r="AF228" s="231"/>
      <c r="AG228" s="231"/>
      <c r="AH228" s="231"/>
      <c r="AI228" s="231"/>
      <c r="AJ228" s="231"/>
      <c r="AK228" s="231"/>
      <c r="AL228" s="231"/>
      <c r="AM228" s="231"/>
      <c r="AN228" s="231"/>
      <c r="AO228" s="231"/>
      <c r="AP228" s="231"/>
      <c r="AQ228" s="231"/>
      <c r="AR228" s="231"/>
      <c r="AS228" s="231"/>
      <c r="AT228" s="231"/>
      <c r="AU228" s="231"/>
      <c r="AV228" s="231"/>
      <c r="AW228" s="231"/>
      <c r="AX228" s="231"/>
      <c r="AY228" s="231"/>
      <c r="AZ228" s="231"/>
      <c r="BA228" s="231"/>
      <c r="BB228" s="231"/>
      <c r="BC228" s="231"/>
      <c r="BD228" s="231"/>
      <c r="BE228" s="231"/>
      <c r="BF228" s="231"/>
      <c r="BG228" s="231"/>
      <c r="BH228" s="231"/>
      <c r="BI228" s="231"/>
      <c r="BJ228" s="231"/>
      <c r="BK228" s="231"/>
      <c r="BL228" s="231"/>
      <c r="BM228" s="231"/>
      <c r="BN228" s="231"/>
      <c r="BO228" s="231"/>
    </row>
    <row r="229" spans="2:67" ht="14.25">
      <c r="B229" s="203"/>
      <c r="C229" s="203"/>
      <c r="D229" s="231"/>
      <c r="E229" s="231"/>
      <c r="F229" s="231"/>
      <c r="G229" s="231"/>
      <c r="H229" s="231"/>
      <c r="I229" s="231"/>
      <c r="J229" s="231"/>
      <c r="K229" s="231"/>
      <c r="L229" s="231"/>
      <c r="M229" s="231"/>
      <c r="N229" s="231"/>
      <c r="O229" s="231"/>
      <c r="P229" s="231"/>
      <c r="Q229" s="231"/>
      <c r="R229" s="231"/>
      <c r="S229" s="231"/>
      <c r="T229" s="231"/>
      <c r="U229" s="231"/>
      <c r="V229" s="231"/>
      <c r="W229" s="231"/>
      <c r="X229" s="231"/>
      <c r="Y229" s="231"/>
      <c r="Z229" s="231"/>
      <c r="AA229" s="231"/>
      <c r="AB229" s="231"/>
      <c r="AC229" s="231"/>
      <c r="AD229" s="231"/>
      <c r="AE229" s="231"/>
      <c r="AF229" s="231"/>
      <c r="AG229" s="231"/>
      <c r="AH229" s="231"/>
      <c r="AI229" s="231"/>
      <c r="AJ229" s="231"/>
      <c r="AK229" s="231"/>
      <c r="AL229" s="231"/>
      <c r="AM229" s="231"/>
      <c r="AN229" s="231"/>
      <c r="AO229" s="231"/>
      <c r="AP229" s="231"/>
      <c r="AQ229" s="231"/>
      <c r="AR229" s="231"/>
      <c r="AS229" s="231"/>
      <c r="AT229" s="231"/>
      <c r="AU229" s="231"/>
      <c r="AV229" s="231"/>
      <c r="AW229" s="231"/>
      <c r="AX229" s="231"/>
      <c r="AY229" s="231"/>
      <c r="AZ229" s="231"/>
      <c r="BA229" s="231"/>
      <c r="BB229" s="231"/>
      <c r="BC229" s="231"/>
      <c r="BD229" s="231"/>
      <c r="BE229" s="231"/>
      <c r="BF229" s="231"/>
      <c r="BG229" s="231"/>
      <c r="BH229" s="231"/>
      <c r="BI229" s="231"/>
      <c r="BJ229" s="231"/>
      <c r="BK229" s="231"/>
      <c r="BL229" s="231"/>
      <c r="BM229" s="231"/>
      <c r="BN229" s="231"/>
      <c r="BO229" s="231"/>
    </row>
    <row r="230" spans="2:67" ht="14.25">
      <c r="B230" s="203"/>
      <c r="C230" s="203"/>
      <c r="D230" s="231"/>
      <c r="E230" s="231"/>
      <c r="F230" s="231"/>
      <c r="G230" s="231"/>
      <c r="H230" s="231"/>
      <c r="I230" s="231"/>
      <c r="J230" s="231"/>
      <c r="K230" s="231"/>
      <c r="L230" s="231"/>
      <c r="M230" s="231"/>
      <c r="N230" s="231"/>
      <c r="O230" s="231"/>
      <c r="P230" s="231"/>
      <c r="Q230" s="231"/>
      <c r="R230" s="231"/>
      <c r="S230" s="231"/>
      <c r="T230" s="231"/>
      <c r="U230" s="231"/>
      <c r="V230" s="231"/>
      <c r="W230" s="231"/>
      <c r="X230" s="231"/>
      <c r="Y230" s="231"/>
      <c r="Z230" s="231"/>
      <c r="AA230" s="231"/>
      <c r="AB230" s="231"/>
      <c r="AC230" s="231"/>
      <c r="AD230" s="231"/>
      <c r="AE230" s="231"/>
      <c r="AF230" s="231"/>
      <c r="AG230" s="231"/>
      <c r="AH230" s="231"/>
      <c r="AI230" s="231"/>
      <c r="AJ230" s="231"/>
      <c r="AK230" s="231"/>
      <c r="AL230" s="231"/>
      <c r="AM230" s="231"/>
      <c r="AN230" s="231"/>
      <c r="AO230" s="231"/>
      <c r="AP230" s="231"/>
      <c r="AQ230" s="231"/>
      <c r="AR230" s="231"/>
      <c r="AS230" s="231"/>
      <c r="AT230" s="231"/>
      <c r="AU230" s="231"/>
      <c r="AV230" s="231"/>
      <c r="AW230" s="231"/>
      <c r="AX230" s="231"/>
      <c r="AY230" s="231"/>
      <c r="AZ230" s="231"/>
      <c r="BA230" s="231"/>
      <c r="BB230" s="231"/>
      <c r="BC230" s="231"/>
      <c r="BD230" s="231"/>
      <c r="BE230" s="231"/>
      <c r="BF230" s="231"/>
      <c r="BG230" s="231"/>
      <c r="BH230" s="231"/>
      <c r="BI230" s="231"/>
      <c r="BJ230" s="231"/>
      <c r="BK230" s="231"/>
      <c r="BL230" s="231"/>
      <c r="BM230" s="231"/>
      <c r="BN230" s="231"/>
      <c r="BO230" s="231"/>
    </row>
    <row r="231" spans="2:67" ht="14.25">
      <c r="B231" s="203"/>
      <c r="C231" s="203"/>
      <c r="D231" s="231"/>
      <c r="E231" s="231"/>
      <c r="F231" s="231"/>
      <c r="G231" s="231"/>
      <c r="H231" s="231"/>
      <c r="I231" s="231"/>
      <c r="J231" s="231"/>
      <c r="K231" s="231"/>
      <c r="L231" s="231"/>
      <c r="M231" s="231"/>
      <c r="N231" s="231"/>
      <c r="O231" s="231"/>
      <c r="P231" s="231"/>
      <c r="Q231" s="231"/>
      <c r="R231" s="231"/>
      <c r="S231" s="231"/>
      <c r="T231" s="231"/>
      <c r="U231" s="231"/>
      <c r="V231" s="231"/>
      <c r="W231" s="231"/>
      <c r="X231" s="231"/>
      <c r="Y231" s="231"/>
      <c r="Z231" s="231"/>
      <c r="AA231" s="231"/>
      <c r="AB231" s="231"/>
      <c r="AC231" s="231"/>
      <c r="AD231" s="231"/>
      <c r="AE231" s="231"/>
      <c r="AF231" s="231"/>
      <c r="AG231" s="231"/>
      <c r="AH231" s="231"/>
      <c r="AI231" s="231"/>
      <c r="AJ231" s="231"/>
      <c r="AK231" s="231"/>
      <c r="AL231" s="231"/>
      <c r="AM231" s="231"/>
      <c r="AN231" s="231"/>
      <c r="AO231" s="231"/>
      <c r="AP231" s="231"/>
      <c r="AQ231" s="231"/>
      <c r="AR231" s="231"/>
      <c r="AS231" s="231"/>
      <c r="AT231" s="231"/>
      <c r="AU231" s="231"/>
      <c r="AV231" s="231"/>
      <c r="AW231" s="231"/>
      <c r="AX231" s="231"/>
      <c r="AY231" s="231"/>
      <c r="AZ231" s="231"/>
      <c r="BA231" s="231"/>
      <c r="BB231" s="231"/>
      <c r="BC231" s="231"/>
      <c r="BD231" s="231"/>
      <c r="BE231" s="231"/>
      <c r="BF231" s="231"/>
      <c r="BG231" s="231"/>
      <c r="BH231" s="231"/>
      <c r="BI231" s="231"/>
      <c r="BJ231" s="231"/>
      <c r="BK231" s="231"/>
      <c r="BL231" s="231"/>
      <c r="BM231" s="231"/>
      <c r="BN231" s="231"/>
      <c r="BO231" s="231"/>
    </row>
    <row r="232" spans="2:67" ht="14.25">
      <c r="B232" s="203"/>
      <c r="C232" s="203"/>
      <c r="D232" s="231"/>
      <c r="E232" s="231"/>
      <c r="F232" s="231"/>
      <c r="G232" s="231"/>
      <c r="H232" s="231"/>
      <c r="I232" s="231"/>
      <c r="J232" s="231"/>
      <c r="K232" s="231"/>
      <c r="L232" s="231"/>
      <c r="M232" s="231"/>
      <c r="N232" s="231"/>
      <c r="O232" s="231"/>
      <c r="P232" s="231"/>
      <c r="Q232" s="231"/>
      <c r="R232" s="231"/>
      <c r="S232" s="231"/>
      <c r="T232" s="231"/>
      <c r="U232" s="231"/>
      <c r="V232" s="231"/>
      <c r="W232" s="231"/>
      <c r="X232" s="231"/>
      <c r="Y232" s="231"/>
      <c r="Z232" s="231"/>
      <c r="AA232" s="231"/>
      <c r="AB232" s="231"/>
      <c r="AC232" s="231"/>
      <c r="AD232" s="231"/>
      <c r="AE232" s="231"/>
      <c r="AF232" s="231"/>
      <c r="AG232" s="231"/>
      <c r="AH232" s="231"/>
      <c r="AI232" s="231"/>
      <c r="AJ232" s="231"/>
      <c r="AK232" s="231"/>
      <c r="AL232" s="231"/>
      <c r="AM232" s="231"/>
      <c r="AN232" s="231"/>
      <c r="AO232" s="231"/>
      <c r="AP232" s="231"/>
      <c r="AQ232" s="231"/>
      <c r="AR232" s="231"/>
      <c r="AS232" s="231"/>
      <c r="AT232" s="231"/>
      <c r="AU232" s="231"/>
      <c r="AV232" s="231"/>
      <c r="AW232" s="231"/>
      <c r="AX232" s="231"/>
      <c r="AY232" s="231"/>
      <c r="AZ232" s="231"/>
      <c r="BA232" s="231"/>
      <c r="BB232" s="231"/>
      <c r="BC232" s="231"/>
      <c r="BD232" s="231"/>
      <c r="BE232" s="231"/>
      <c r="BF232" s="231"/>
      <c r="BG232" s="231"/>
      <c r="BH232" s="231"/>
      <c r="BI232" s="231"/>
      <c r="BJ232" s="231"/>
      <c r="BK232" s="231"/>
      <c r="BL232" s="231"/>
      <c r="BM232" s="231"/>
      <c r="BN232" s="231"/>
      <c r="BO232" s="231"/>
    </row>
    <row r="233" spans="2:67" ht="14.25">
      <c r="B233" s="203"/>
      <c r="C233" s="203"/>
      <c r="D233" s="231"/>
      <c r="E233" s="231"/>
      <c r="F233" s="231"/>
      <c r="G233" s="231"/>
      <c r="H233" s="231"/>
      <c r="I233" s="231"/>
      <c r="J233" s="231"/>
      <c r="K233" s="231"/>
      <c r="L233" s="231"/>
      <c r="M233" s="231"/>
      <c r="N233" s="231"/>
      <c r="O233" s="231"/>
      <c r="P233" s="231"/>
      <c r="Q233" s="231"/>
      <c r="R233" s="231"/>
      <c r="S233" s="231"/>
      <c r="T233" s="231"/>
      <c r="U233" s="231"/>
      <c r="V233" s="231"/>
      <c r="W233" s="231"/>
      <c r="X233" s="231"/>
      <c r="Y233" s="231"/>
      <c r="Z233" s="231"/>
      <c r="AA233" s="231"/>
      <c r="AB233" s="231"/>
      <c r="AC233" s="231"/>
      <c r="AD233" s="231"/>
      <c r="AE233" s="231"/>
      <c r="AF233" s="231"/>
      <c r="AG233" s="231"/>
      <c r="AH233" s="231"/>
      <c r="AI233" s="231"/>
      <c r="AJ233" s="231"/>
      <c r="AK233" s="231"/>
      <c r="AL233" s="231"/>
      <c r="AM233" s="231"/>
      <c r="AN233" s="231"/>
      <c r="AO233" s="231"/>
      <c r="AP233" s="231"/>
      <c r="AQ233" s="231"/>
      <c r="AR233" s="231"/>
      <c r="AS233" s="231"/>
      <c r="AT233" s="231"/>
      <c r="AU233" s="231"/>
      <c r="AV233" s="231"/>
      <c r="AW233" s="231"/>
      <c r="AX233" s="231"/>
      <c r="AY233" s="231"/>
      <c r="AZ233" s="231"/>
      <c r="BA233" s="231"/>
      <c r="BB233" s="231"/>
      <c r="BC233" s="231"/>
      <c r="BD233" s="231"/>
      <c r="BE233" s="231"/>
      <c r="BF233" s="231"/>
      <c r="BG233" s="231"/>
      <c r="BH233" s="231"/>
      <c r="BI233" s="231"/>
      <c r="BJ233" s="231"/>
      <c r="BK233" s="231"/>
      <c r="BL233" s="231"/>
      <c r="BM233" s="231"/>
      <c r="BN233" s="231"/>
      <c r="BO233" s="231"/>
    </row>
    <row r="234" spans="2:67" ht="14.25">
      <c r="B234" s="203"/>
      <c r="C234" s="203"/>
      <c r="D234" s="231"/>
      <c r="E234" s="231"/>
      <c r="F234" s="231"/>
      <c r="G234" s="231"/>
      <c r="H234" s="231"/>
      <c r="I234" s="231"/>
      <c r="J234" s="231"/>
      <c r="K234" s="231"/>
      <c r="L234" s="231"/>
      <c r="M234" s="231"/>
      <c r="N234" s="231"/>
      <c r="O234" s="231"/>
      <c r="P234" s="231"/>
      <c r="Q234" s="231"/>
      <c r="R234" s="231"/>
      <c r="S234" s="231"/>
      <c r="T234" s="231"/>
      <c r="U234" s="231"/>
      <c r="V234" s="231"/>
      <c r="W234" s="231"/>
      <c r="X234" s="231"/>
      <c r="Y234" s="231"/>
      <c r="Z234" s="231"/>
      <c r="AA234" s="231"/>
      <c r="AB234" s="231"/>
      <c r="AC234" s="231"/>
      <c r="AD234" s="231"/>
      <c r="AE234" s="231"/>
      <c r="AF234" s="231"/>
      <c r="AG234" s="231"/>
      <c r="AH234" s="231"/>
      <c r="AI234" s="231"/>
      <c r="AJ234" s="231"/>
      <c r="AK234" s="231"/>
      <c r="AL234" s="231"/>
      <c r="AM234" s="231"/>
      <c r="AN234" s="231"/>
      <c r="AO234" s="231"/>
      <c r="AP234" s="231"/>
      <c r="AQ234" s="231"/>
      <c r="AR234" s="231"/>
      <c r="AS234" s="231"/>
      <c r="AT234" s="231"/>
      <c r="AU234" s="231"/>
      <c r="AV234" s="231"/>
      <c r="AW234" s="231"/>
      <c r="AX234" s="231"/>
      <c r="AY234" s="231"/>
      <c r="AZ234" s="231"/>
      <c r="BA234" s="231"/>
      <c r="BB234" s="231"/>
      <c r="BC234" s="231"/>
      <c r="BD234" s="231"/>
      <c r="BE234" s="231"/>
      <c r="BF234" s="231"/>
      <c r="BG234" s="231"/>
      <c r="BH234" s="231"/>
      <c r="BI234" s="231"/>
      <c r="BJ234" s="231"/>
      <c r="BK234" s="231"/>
      <c r="BL234" s="231"/>
      <c r="BM234" s="231"/>
      <c r="BN234" s="231"/>
      <c r="BO234" s="231"/>
    </row>
    <row r="235" spans="2:67" ht="14.25">
      <c r="B235" s="203"/>
      <c r="C235" s="203"/>
      <c r="D235" s="231"/>
      <c r="E235" s="231"/>
      <c r="F235" s="231"/>
      <c r="G235" s="231"/>
      <c r="H235" s="231"/>
      <c r="I235" s="231"/>
      <c r="J235" s="231"/>
      <c r="K235" s="231"/>
      <c r="L235" s="231"/>
      <c r="M235" s="231"/>
      <c r="N235" s="231"/>
      <c r="O235" s="231"/>
      <c r="P235" s="231"/>
      <c r="Q235" s="231"/>
      <c r="R235" s="231"/>
      <c r="S235" s="231"/>
      <c r="T235" s="231"/>
      <c r="U235" s="231"/>
      <c r="V235" s="231"/>
      <c r="W235" s="231"/>
      <c r="X235" s="231"/>
      <c r="Y235" s="231"/>
      <c r="Z235" s="231"/>
      <c r="AA235" s="231"/>
      <c r="AB235" s="231"/>
      <c r="AC235" s="231"/>
      <c r="AD235" s="231"/>
      <c r="AE235" s="231"/>
      <c r="AF235" s="231"/>
      <c r="AG235" s="231"/>
      <c r="AH235" s="231"/>
      <c r="AI235" s="231"/>
      <c r="AJ235" s="231"/>
      <c r="AK235" s="231"/>
      <c r="AL235" s="231"/>
      <c r="AM235" s="231"/>
      <c r="AN235" s="231"/>
      <c r="AO235" s="231"/>
      <c r="AP235" s="231"/>
      <c r="AQ235" s="231"/>
      <c r="AR235" s="231"/>
      <c r="AS235" s="231"/>
      <c r="AT235" s="231"/>
      <c r="AU235" s="231"/>
      <c r="AV235" s="231"/>
      <c r="AW235" s="231"/>
      <c r="AX235" s="231"/>
      <c r="AY235" s="231"/>
      <c r="AZ235" s="231"/>
      <c r="BA235" s="231"/>
      <c r="BB235" s="231"/>
      <c r="BC235" s="231"/>
      <c r="BD235" s="231"/>
      <c r="BE235" s="231"/>
      <c r="BF235" s="231"/>
      <c r="BG235" s="231"/>
      <c r="BH235" s="231"/>
      <c r="BI235" s="231"/>
      <c r="BJ235" s="231"/>
      <c r="BK235" s="231"/>
      <c r="BL235" s="231"/>
      <c r="BM235" s="231"/>
      <c r="BN235" s="231"/>
      <c r="BO235" s="231"/>
    </row>
    <row r="236" spans="2:67" ht="14.25">
      <c r="B236" s="203"/>
      <c r="C236" s="203"/>
      <c r="D236" s="231"/>
      <c r="E236" s="231"/>
      <c r="F236" s="231"/>
      <c r="G236" s="231"/>
      <c r="H236" s="231"/>
      <c r="I236" s="231"/>
      <c r="J236" s="231"/>
      <c r="K236" s="231"/>
      <c r="L236" s="231"/>
      <c r="M236" s="231"/>
      <c r="N236" s="231"/>
      <c r="O236" s="231"/>
      <c r="P236" s="231"/>
      <c r="Q236" s="231"/>
      <c r="R236" s="231"/>
      <c r="S236" s="231"/>
      <c r="T236" s="231"/>
      <c r="U236" s="231"/>
      <c r="V236" s="231"/>
      <c r="W236" s="231"/>
      <c r="X236" s="231"/>
      <c r="Y236" s="231"/>
      <c r="Z236" s="231"/>
      <c r="AA236" s="231"/>
      <c r="AB236" s="231"/>
      <c r="AC236" s="231"/>
      <c r="AD236" s="231"/>
      <c r="AE236" s="231"/>
      <c r="AF236" s="231"/>
      <c r="AG236" s="231"/>
      <c r="AH236" s="231"/>
      <c r="AI236" s="231"/>
      <c r="AJ236" s="231"/>
      <c r="AK236" s="231"/>
      <c r="AL236" s="231"/>
      <c r="AM236" s="231"/>
      <c r="AN236" s="231"/>
      <c r="AO236" s="231"/>
      <c r="AP236" s="231"/>
      <c r="AQ236" s="231"/>
      <c r="AR236" s="231"/>
      <c r="AS236" s="231"/>
      <c r="AT236" s="231"/>
      <c r="AU236" s="231"/>
      <c r="AV236" s="231"/>
      <c r="AW236" s="231"/>
      <c r="AX236" s="231"/>
      <c r="AY236" s="231"/>
      <c r="AZ236" s="231"/>
      <c r="BA236" s="231"/>
      <c r="BB236" s="231"/>
      <c r="BC236" s="231"/>
      <c r="BD236" s="231"/>
      <c r="BE236" s="231"/>
      <c r="BF236" s="231"/>
      <c r="BG236" s="231"/>
      <c r="BH236" s="231"/>
      <c r="BI236" s="231"/>
      <c r="BJ236" s="231"/>
      <c r="BK236" s="231"/>
      <c r="BL236" s="231"/>
      <c r="BM236" s="231"/>
      <c r="BN236" s="231"/>
      <c r="BO236" s="231"/>
    </row>
    <row r="237" spans="2:67" ht="14.25">
      <c r="B237" s="203"/>
      <c r="C237" s="203"/>
      <c r="D237" s="231"/>
      <c r="E237" s="231"/>
      <c r="F237" s="231"/>
      <c r="G237" s="231"/>
      <c r="H237" s="231"/>
      <c r="I237" s="231"/>
      <c r="J237" s="231"/>
      <c r="K237" s="231"/>
      <c r="L237" s="231"/>
      <c r="M237" s="231"/>
      <c r="N237" s="231"/>
      <c r="O237" s="231"/>
      <c r="P237" s="231"/>
      <c r="Q237" s="231"/>
      <c r="R237" s="231"/>
      <c r="S237" s="231"/>
      <c r="T237" s="231"/>
      <c r="U237" s="231"/>
      <c r="V237" s="231"/>
      <c r="W237" s="231"/>
      <c r="X237" s="231"/>
      <c r="Y237" s="231"/>
      <c r="Z237" s="231"/>
      <c r="AA237" s="231"/>
      <c r="AB237" s="231"/>
      <c r="AC237" s="231"/>
      <c r="AD237" s="231"/>
      <c r="AE237" s="231"/>
      <c r="AF237" s="231"/>
      <c r="AG237" s="231"/>
      <c r="AH237" s="231"/>
      <c r="AI237" s="231"/>
      <c r="AJ237" s="231"/>
      <c r="AK237" s="231"/>
      <c r="AL237" s="231"/>
      <c r="AM237" s="231"/>
      <c r="AN237" s="231"/>
      <c r="AO237" s="231"/>
      <c r="AP237" s="231"/>
      <c r="AQ237" s="231"/>
      <c r="AR237" s="231"/>
      <c r="AS237" s="231"/>
      <c r="AT237" s="231"/>
      <c r="AU237" s="231"/>
      <c r="AV237" s="231"/>
      <c r="AW237" s="231"/>
      <c r="AX237" s="231"/>
      <c r="AY237" s="231"/>
      <c r="AZ237" s="231"/>
      <c r="BA237" s="231"/>
      <c r="BB237" s="231"/>
      <c r="BC237" s="231"/>
      <c r="BD237" s="231"/>
      <c r="BE237" s="231"/>
      <c r="BF237" s="231"/>
      <c r="BG237" s="231"/>
      <c r="BH237" s="231"/>
      <c r="BI237" s="231"/>
      <c r="BJ237" s="231"/>
      <c r="BK237" s="231"/>
      <c r="BL237" s="231"/>
      <c r="BM237" s="231"/>
      <c r="BN237" s="231"/>
      <c r="BO237" s="231"/>
    </row>
    <row r="238" spans="2:67" ht="14.25">
      <c r="B238" s="203"/>
      <c r="C238" s="203"/>
      <c r="D238" s="231"/>
      <c r="E238" s="231"/>
      <c r="F238" s="231"/>
      <c r="G238" s="231"/>
      <c r="H238" s="231"/>
      <c r="I238" s="231"/>
      <c r="J238" s="231"/>
      <c r="K238" s="231"/>
      <c r="L238" s="231"/>
      <c r="M238" s="231"/>
      <c r="N238" s="231"/>
      <c r="O238" s="231"/>
      <c r="P238" s="231"/>
      <c r="Q238" s="231"/>
      <c r="R238" s="231"/>
      <c r="S238" s="231"/>
      <c r="T238" s="231"/>
      <c r="U238" s="231"/>
      <c r="V238" s="231"/>
      <c r="W238" s="231"/>
      <c r="X238" s="231"/>
      <c r="Y238" s="231"/>
      <c r="Z238" s="231"/>
      <c r="AA238" s="231"/>
      <c r="AB238" s="231"/>
      <c r="AC238" s="231"/>
      <c r="AD238" s="231"/>
      <c r="AE238" s="231"/>
      <c r="AF238" s="231"/>
      <c r="AG238" s="231"/>
      <c r="AH238" s="231"/>
      <c r="AI238" s="231"/>
      <c r="AJ238" s="231"/>
      <c r="AK238" s="231"/>
      <c r="AL238" s="231"/>
      <c r="AM238" s="231"/>
      <c r="AN238" s="231"/>
      <c r="AO238" s="231"/>
      <c r="AP238" s="231"/>
      <c r="AQ238" s="231"/>
      <c r="AR238" s="231"/>
      <c r="AS238" s="231"/>
      <c r="AT238" s="231"/>
      <c r="AU238" s="231"/>
      <c r="AV238" s="231"/>
      <c r="AW238" s="231"/>
      <c r="AX238" s="231"/>
      <c r="AY238" s="231"/>
      <c r="AZ238" s="231"/>
      <c r="BA238" s="231"/>
      <c r="BB238" s="231"/>
      <c r="BC238" s="231"/>
      <c r="BD238" s="231"/>
      <c r="BE238" s="231"/>
      <c r="BF238" s="231"/>
      <c r="BG238" s="231"/>
      <c r="BH238" s="231"/>
      <c r="BI238" s="231"/>
      <c r="BJ238" s="231"/>
      <c r="BK238" s="231"/>
      <c r="BL238" s="231"/>
      <c r="BM238" s="231"/>
      <c r="BN238" s="231"/>
      <c r="BO238" s="231"/>
    </row>
    <row r="239" spans="2:67" ht="14.25">
      <c r="B239" s="203"/>
      <c r="C239" s="203"/>
      <c r="D239" s="231"/>
      <c r="E239" s="231"/>
      <c r="F239" s="231"/>
      <c r="G239" s="231"/>
      <c r="H239" s="231"/>
      <c r="I239" s="231"/>
      <c r="J239" s="231"/>
      <c r="K239" s="231"/>
      <c r="L239" s="231"/>
      <c r="M239" s="231"/>
      <c r="N239" s="231"/>
      <c r="O239" s="231"/>
      <c r="P239" s="231"/>
      <c r="Q239" s="231"/>
      <c r="R239" s="231"/>
      <c r="S239" s="231"/>
      <c r="T239" s="231"/>
      <c r="U239" s="231"/>
      <c r="V239" s="231"/>
      <c r="W239" s="231"/>
      <c r="X239" s="231"/>
      <c r="Y239" s="231"/>
      <c r="Z239" s="231"/>
      <c r="AA239" s="231"/>
      <c r="AB239" s="231"/>
      <c r="AC239" s="231"/>
      <c r="AD239" s="231"/>
      <c r="AE239" s="231"/>
      <c r="AF239" s="231"/>
      <c r="AG239" s="231"/>
      <c r="AH239" s="231"/>
      <c r="AI239" s="231"/>
      <c r="AJ239" s="231"/>
      <c r="AK239" s="231"/>
      <c r="AL239" s="231"/>
      <c r="AM239" s="231"/>
      <c r="AN239" s="231"/>
      <c r="AO239" s="231"/>
      <c r="AP239" s="231"/>
      <c r="AQ239" s="231"/>
      <c r="AR239" s="231"/>
      <c r="AS239" s="231"/>
      <c r="AT239" s="231"/>
      <c r="AU239" s="231"/>
      <c r="AV239" s="231"/>
      <c r="AW239" s="231"/>
      <c r="AX239" s="231"/>
      <c r="AY239" s="231"/>
      <c r="AZ239" s="231"/>
      <c r="BA239" s="231"/>
      <c r="BB239" s="231"/>
      <c r="BC239" s="231"/>
      <c r="BD239" s="231"/>
      <c r="BE239" s="231"/>
      <c r="BF239" s="231"/>
      <c r="BG239" s="231"/>
      <c r="BH239" s="231"/>
      <c r="BI239" s="231"/>
      <c r="BJ239" s="231"/>
      <c r="BK239" s="231"/>
      <c r="BL239" s="231"/>
      <c r="BM239" s="231"/>
      <c r="BN239" s="231"/>
      <c r="BO239" s="231"/>
    </row>
    <row r="240" spans="2:67" ht="14.25">
      <c r="B240" s="203"/>
      <c r="C240" s="203"/>
      <c r="D240" s="231"/>
      <c r="E240" s="231"/>
      <c r="F240" s="231"/>
      <c r="G240" s="231"/>
      <c r="H240" s="231"/>
      <c r="I240" s="231"/>
      <c r="J240" s="231"/>
      <c r="K240" s="231"/>
      <c r="L240" s="231"/>
      <c r="M240" s="231"/>
      <c r="N240" s="231"/>
      <c r="O240" s="231"/>
      <c r="P240" s="231"/>
      <c r="Q240" s="231"/>
      <c r="R240" s="231"/>
      <c r="S240" s="231"/>
      <c r="T240" s="231"/>
      <c r="U240" s="231"/>
      <c r="V240" s="231"/>
      <c r="W240" s="231"/>
      <c r="X240" s="231"/>
      <c r="Y240" s="231"/>
      <c r="Z240" s="231"/>
      <c r="AA240" s="231"/>
      <c r="AB240" s="231"/>
      <c r="AC240" s="231"/>
      <c r="AD240" s="231"/>
      <c r="AE240" s="231"/>
      <c r="AF240" s="231"/>
      <c r="AG240" s="231"/>
      <c r="AH240" s="231"/>
      <c r="AI240" s="231"/>
      <c r="AJ240" s="231"/>
      <c r="AK240" s="231"/>
      <c r="AL240" s="231"/>
      <c r="AM240" s="231"/>
      <c r="AN240" s="231"/>
      <c r="AO240" s="231"/>
      <c r="AP240" s="231"/>
      <c r="AQ240" s="231"/>
      <c r="AR240" s="231"/>
      <c r="AS240" s="231"/>
      <c r="AT240" s="231"/>
      <c r="AU240" s="231"/>
      <c r="AV240" s="231"/>
      <c r="AW240" s="231"/>
      <c r="AX240" s="231"/>
      <c r="AY240" s="231"/>
      <c r="AZ240" s="231"/>
      <c r="BA240" s="231"/>
      <c r="BB240" s="231"/>
      <c r="BC240" s="231"/>
      <c r="BD240" s="231"/>
      <c r="BE240" s="231"/>
      <c r="BF240" s="231"/>
      <c r="BG240" s="231"/>
      <c r="BH240" s="231"/>
      <c r="BI240" s="231"/>
      <c r="BJ240" s="231"/>
      <c r="BK240" s="231"/>
      <c r="BL240" s="231"/>
      <c r="BM240" s="231"/>
      <c r="BN240" s="231"/>
      <c r="BO240" s="231"/>
    </row>
    <row r="241" spans="2:67" ht="14.25">
      <c r="B241" s="203"/>
      <c r="C241" s="203"/>
      <c r="D241" s="231"/>
      <c r="E241" s="231"/>
      <c r="F241" s="231"/>
      <c r="G241" s="231"/>
      <c r="H241" s="231"/>
      <c r="I241" s="231"/>
      <c r="J241" s="231"/>
      <c r="K241" s="231"/>
      <c r="L241" s="231"/>
      <c r="M241" s="231"/>
      <c r="N241" s="231"/>
      <c r="O241" s="231"/>
      <c r="P241" s="231"/>
      <c r="Q241" s="231"/>
      <c r="R241" s="231"/>
      <c r="S241" s="231"/>
      <c r="T241" s="231"/>
      <c r="U241" s="231"/>
      <c r="V241" s="231"/>
      <c r="W241" s="231"/>
      <c r="X241" s="231"/>
      <c r="Y241" s="231"/>
      <c r="Z241" s="231"/>
      <c r="AA241" s="231"/>
      <c r="AB241" s="231"/>
      <c r="AC241" s="231"/>
      <c r="AD241" s="231"/>
      <c r="AE241" s="231"/>
      <c r="AF241" s="231"/>
      <c r="AG241" s="231"/>
      <c r="AH241" s="231"/>
      <c r="AI241" s="231"/>
      <c r="AJ241" s="231"/>
      <c r="AK241" s="231"/>
      <c r="AL241" s="231"/>
      <c r="AM241" s="231"/>
      <c r="AN241" s="231"/>
      <c r="AO241" s="231"/>
      <c r="AP241" s="231"/>
      <c r="AQ241" s="231"/>
      <c r="AR241" s="231"/>
      <c r="AS241" s="231"/>
      <c r="AT241" s="231"/>
      <c r="AU241" s="231"/>
      <c r="AV241" s="231"/>
      <c r="AW241" s="231"/>
      <c r="AX241" s="231"/>
      <c r="AY241" s="231"/>
      <c r="AZ241" s="231"/>
      <c r="BA241" s="231"/>
      <c r="BB241" s="231"/>
      <c r="BC241" s="231"/>
      <c r="BD241" s="231"/>
      <c r="BE241" s="231"/>
      <c r="BF241" s="231"/>
      <c r="BG241" s="231"/>
      <c r="BH241" s="231"/>
      <c r="BI241" s="231"/>
      <c r="BJ241" s="231"/>
      <c r="BK241" s="231"/>
      <c r="BL241" s="231"/>
      <c r="BM241" s="231"/>
      <c r="BN241" s="231"/>
      <c r="BO241" s="231"/>
    </row>
    <row r="242" spans="2:67" ht="14.25">
      <c r="B242" s="203"/>
      <c r="C242" s="203"/>
      <c r="D242" s="231"/>
      <c r="E242" s="231"/>
      <c r="F242" s="231"/>
      <c r="G242" s="231"/>
      <c r="H242" s="231"/>
      <c r="I242" s="231"/>
      <c r="J242" s="231"/>
      <c r="K242" s="231"/>
      <c r="L242" s="231"/>
      <c r="M242" s="231"/>
      <c r="N242" s="231"/>
      <c r="O242" s="231"/>
      <c r="P242" s="231"/>
      <c r="Q242" s="231"/>
      <c r="R242" s="231"/>
      <c r="S242" s="231"/>
      <c r="T242" s="231"/>
      <c r="U242" s="231"/>
      <c r="V242" s="231"/>
      <c r="W242" s="231"/>
      <c r="X242" s="231"/>
      <c r="Y242" s="231"/>
      <c r="Z242" s="231"/>
      <c r="AA242" s="231"/>
      <c r="AB242" s="231"/>
      <c r="AC242" s="231"/>
      <c r="AD242" s="231"/>
      <c r="AE242" s="231"/>
      <c r="AF242" s="231"/>
      <c r="AG242" s="231"/>
      <c r="AH242" s="231"/>
      <c r="AI242" s="231"/>
      <c r="AJ242" s="231"/>
      <c r="AK242" s="231"/>
      <c r="AL242" s="231"/>
      <c r="AM242" s="231"/>
      <c r="AN242" s="231"/>
      <c r="AO242" s="231"/>
      <c r="AP242" s="231"/>
      <c r="AQ242" s="231"/>
      <c r="AR242" s="231"/>
      <c r="AS242" s="231"/>
      <c r="AT242" s="231"/>
      <c r="AU242" s="231"/>
      <c r="AV242" s="231"/>
      <c r="AW242" s="231"/>
      <c r="AX242" s="231"/>
      <c r="AY242" s="231"/>
      <c r="AZ242" s="231"/>
      <c r="BA242" s="231"/>
      <c r="BB242" s="231"/>
      <c r="BC242" s="231"/>
      <c r="BD242" s="231"/>
      <c r="BE242" s="231"/>
      <c r="BF242" s="231"/>
      <c r="BG242" s="231"/>
      <c r="BH242" s="231"/>
      <c r="BI242" s="231"/>
      <c r="BJ242" s="231"/>
      <c r="BK242" s="231"/>
      <c r="BL242" s="231"/>
      <c r="BM242" s="231"/>
      <c r="BN242" s="231"/>
      <c r="BO242" s="231"/>
    </row>
    <row r="243" spans="2:67" ht="14.25">
      <c r="B243" s="203"/>
      <c r="C243" s="203"/>
      <c r="D243" s="231"/>
      <c r="E243" s="231"/>
      <c r="F243" s="231"/>
      <c r="G243" s="231"/>
      <c r="H243" s="231"/>
      <c r="I243" s="231"/>
      <c r="J243" s="231"/>
      <c r="K243" s="231"/>
      <c r="L243" s="231"/>
      <c r="M243" s="231"/>
      <c r="N243" s="231"/>
      <c r="O243" s="231"/>
      <c r="P243" s="231"/>
      <c r="Q243" s="231"/>
      <c r="R243" s="231"/>
      <c r="S243" s="231"/>
      <c r="T243" s="231"/>
      <c r="U243" s="231"/>
      <c r="V243" s="231"/>
      <c r="W243" s="231"/>
      <c r="X243" s="231"/>
      <c r="Y243" s="231"/>
      <c r="Z243" s="231"/>
      <c r="AA243" s="231"/>
      <c r="AB243" s="231"/>
      <c r="AC243" s="231"/>
      <c r="AD243" s="231"/>
      <c r="AE243" s="231"/>
      <c r="AF243" s="231"/>
      <c r="AG243" s="231"/>
      <c r="AH243" s="231"/>
      <c r="AI243" s="231"/>
      <c r="AJ243" s="231"/>
      <c r="AK243" s="231"/>
      <c r="AL243" s="231"/>
      <c r="AM243" s="231"/>
      <c r="AN243" s="231"/>
      <c r="AO243" s="231"/>
      <c r="AP243" s="231"/>
      <c r="AQ243" s="231"/>
      <c r="AR243" s="231"/>
      <c r="AS243" s="231"/>
      <c r="AT243" s="231"/>
      <c r="AU243" s="231"/>
      <c r="AV243" s="231"/>
      <c r="AW243" s="231"/>
      <c r="AX243" s="231"/>
      <c r="AY243" s="231"/>
      <c r="AZ243" s="231"/>
      <c r="BA243" s="231"/>
      <c r="BB243" s="231"/>
      <c r="BC243" s="231"/>
      <c r="BD243" s="231"/>
      <c r="BE243" s="231"/>
      <c r="BF243" s="231"/>
      <c r="BG243" s="231"/>
      <c r="BH243" s="231"/>
      <c r="BI243" s="231"/>
      <c r="BJ243" s="231"/>
      <c r="BK243" s="231"/>
      <c r="BL243" s="231"/>
      <c r="BM243" s="231"/>
      <c r="BN243" s="231"/>
      <c r="BO243" s="231"/>
    </row>
    <row r="244" spans="2:67" ht="14.25">
      <c r="B244" s="203"/>
      <c r="C244" s="203"/>
      <c r="D244" s="231"/>
      <c r="E244" s="231"/>
      <c r="F244" s="231"/>
      <c r="G244" s="231"/>
      <c r="H244" s="231"/>
      <c r="I244" s="231"/>
      <c r="J244" s="231"/>
      <c r="K244" s="231"/>
      <c r="L244" s="231"/>
      <c r="M244" s="231"/>
      <c r="N244" s="231"/>
      <c r="O244" s="231"/>
      <c r="P244" s="231"/>
      <c r="Q244" s="231"/>
      <c r="R244" s="231"/>
      <c r="S244" s="231"/>
      <c r="T244" s="231"/>
      <c r="U244" s="231"/>
      <c r="V244" s="231"/>
      <c r="W244" s="231"/>
      <c r="X244" s="231"/>
      <c r="Y244" s="231"/>
      <c r="Z244" s="231"/>
      <c r="AA244" s="231"/>
      <c r="AB244" s="231"/>
      <c r="AC244" s="231"/>
      <c r="AD244" s="231"/>
      <c r="AE244" s="231"/>
      <c r="AF244" s="231"/>
      <c r="AG244" s="231"/>
      <c r="AH244" s="231"/>
      <c r="AI244" s="231"/>
      <c r="AJ244" s="231"/>
      <c r="AK244" s="231"/>
      <c r="AL244" s="231"/>
      <c r="AM244" s="231"/>
      <c r="AN244" s="231"/>
      <c r="AO244" s="231"/>
      <c r="AP244" s="231"/>
      <c r="AQ244" s="231"/>
      <c r="AR244" s="231"/>
      <c r="AS244" s="231"/>
      <c r="AT244" s="231"/>
      <c r="AU244" s="231"/>
      <c r="AV244" s="231"/>
      <c r="AW244" s="231"/>
      <c r="AX244" s="231"/>
      <c r="AY244" s="231"/>
      <c r="AZ244" s="231"/>
      <c r="BA244" s="231"/>
      <c r="BB244" s="231"/>
      <c r="BC244" s="231"/>
      <c r="BD244" s="231"/>
      <c r="BE244" s="231"/>
      <c r="BF244" s="231"/>
      <c r="BG244" s="231"/>
      <c r="BH244" s="231"/>
      <c r="BI244" s="231"/>
      <c r="BJ244" s="231"/>
      <c r="BK244" s="231"/>
      <c r="BL244" s="231"/>
      <c r="BM244" s="231"/>
      <c r="BN244" s="231"/>
      <c r="BO244" s="231"/>
    </row>
    <row r="245" spans="2:67" ht="14.25">
      <c r="B245" s="203"/>
      <c r="C245" s="203"/>
      <c r="D245" s="231"/>
      <c r="E245" s="231"/>
      <c r="F245" s="231"/>
      <c r="G245" s="231"/>
      <c r="H245" s="231"/>
      <c r="I245" s="231"/>
      <c r="J245" s="231"/>
      <c r="K245" s="231"/>
      <c r="L245" s="231"/>
      <c r="M245" s="231"/>
      <c r="N245" s="231"/>
      <c r="O245" s="231"/>
      <c r="P245" s="231"/>
      <c r="Q245" s="231"/>
      <c r="R245" s="231"/>
      <c r="S245" s="231"/>
      <c r="T245" s="231"/>
      <c r="U245" s="231"/>
      <c r="V245" s="231"/>
      <c r="W245" s="231"/>
      <c r="X245" s="231"/>
      <c r="Y245" s="231"/>
      <c r="Z245" s="231"/>
      <c r="AA245" s="231"/>
      <c r="AB245" s="231"/>
      <c r="AC245" s="231"/>
      <c r="AD245" s="231"/>
      <c r="AE245" s="231"/>
      <c r="AF245" s="231"/>
      <c r="AG245" s="231"/>
      <c r="AH245" s="231"/>
      <c r="AI245" s="231"/>
      <c r="AJ245" s="231"/>
      <c r="AK245" s="231"/>
      <c r="AL245" s="231"/>
      <c r="AM245" s="231"/>
      <c r="AN245" s="231"/>
      <c r="AO245" s="231"/>
      <c r="AP245" s="231"/>
      <c r="AQ245" s="231"/>
      <c r="AR245" s="231"/>
      <c r="AS245" s="231"/>
      <c r="AT245" s="231"/>
      <c r="AU245" s="231"/>
      <c r="AV245" s="231"/>
      <c r="AW245" s="231"/>
      <c r="AX245" s="231"/>
      <c r="AY245" s="231"/>
      <c r="AZ245" s="231"/>
      <c r="BA245" s="231"/>
      <c r="BB245" s="231"/>
      <c r="BC245" s="231"/>
      <c r="BD245" s="231"/>
      <c r="BE245" s="231"/>
      <c r="BF245" s="231"/>
      <c r="BG245" s="231"/>
      <c r="BH245" s="231"/>
      <c r="BI245" s="231"/>
      <c r="BJ245" s="231"/>
      <c r="BK245" s="231"/>
      <c r="BL245" s="231"/>
      <c r="BM245" s="231"/>
      <c r="BN245" s="231"/>
      <c r="BO245" s="231"/>
    </row>
    <row r="246" spans="2:67" ht="14.25">
      <c r="B246" s="203"/>
      <c r="C246" s="203"/>
      <c r="D246" s="231"/>
      <c r="E246" s="231"/>
      <c r="F246" s="231"/>
      <c r="G246" s="231"/>
      <c r="H246" s="231"/>
      <c r="I246" s="231"/>
      <c r="J246" s="231"/>
      <c r="K246" s="231"/>
      <c r="L246" s="231"/>
      <c r="M246" s="231"/>
      <c r="N246" s="231"/>
      <c r="O246" s="231"/>
      <c r="P246" s="231"/>
      <c r="Q246" s="231"/>
      <c r="R246" s="231"/>
      <c r="S246" s="231"/>
      <c r="T246" s="231"/>
      <c r="U246" s="231"/>
      <c r="V246" s="231"/>
      <c r="W246" s="231"/>
      <c r="X246" s="231"/>
      <c r="Y246" s="231"/>
      <c r="Z246" s="231"/>
      <c r="AA246" s="231"/>
      <c r="AB246" s="231"/>
      <c r="AC246" s="231"/>
      <c r="AD246" s="231"/>
      <c r="AE246" s="231"/>
      <c r="AF246" s="231"/>
      <c r="AG246" s="231"/>
      <c r="AH246" s="231"/>
      <c r="AI246" s="231"/>
      <c r="AJ246" s="231"/>
      <c r="AK246" s="231"/>
      <c r="AL246" s="231"/>
      <c r="AM246" s="231"/>
      <c r="AN246" s="231"/>
      <c r="AO246" s="231"/>
      <c r="AP246" s="231"/>
      <c r="AQ246" s="231"/>
      <c r="AR246" s="231"/>
      <c r="AS246" s="231"/>
      <c r="AT246" s="231"/>
      <c r="AU246" s="231"/>
      <c r="AV246" s="231"/>
      <c r="AW246" s="231"/>
      <c r="AX246" s="231"/>
      <c r="AY246" s="231"/>
      <c r="AZ246" s="231"/>
      <c r="BA246" s="231"/>
      <c r="BB246" s="231"/>
      <c r="BC246" s="231"/>
      <c r="BD246" s="231"/>
      <c r="BE246" s="231"/>
      <c r="BF246" s="231"/>
      <c r="BG246" s="231"/>
      <c r="BH246" s="231"/>
      <c r="BI246" s="231"/>
      <c r="BJ246" s="231"/>
      <c r="BK246" s="231"/>
      <c r="BL246" s="231"/>
      <c r="BM246" s="231"/>
      <c r="BN246" s="231"/>
      <c r="BO246" s="231"/>
    </row>
    <row r="247" spans="2:67" ht="14.25">
      <c r="B247" s="203"/>
      <c r="C247" s="203"/>
      <c r="D247" s="231"/>
      <c r="E247" s="231"/>
      <c r="F247" s="231"/>
      <c r="G247" s="231"/>
      <c r="H247" s="231"/>
      <c r="I247" s="231"/>
      <c r="J247" s="231"/>
      <c r="K247" s="231"/>
      <c r="L247" s="231"/>
      <c r="M247" s="231"/>
      <c r="N247" s="231"/>
      <c r="O247" s="231"/>
      <c r="P247" s="231"/>
      <c r="Q247" s="231"/>
      <c r="R247" s="231"/>
      <c r="S247" s="231"/>
      <c r="T247" s="231"/>
      <c r="U247" s="231"/>
      <c r="V247" s="231"/>
      <c r="W247" s="231"/>
      <c r="X247" s="231"/>
      <c r="Y247" s="231"/>
      <c r="Z247" s="231"/>
      <c r="AA247" s="231"/>
      <c r="AB247" s="231"/>
      <c r="AC247" s="231"/>
      <c r="AD247" s="231"/>
      <c r="AE247" s="231"/>
      <c r="AF247" s="231"/>
      <c r="AG247" s="231"/>
      <c r="AH247" s="231"/>
      <c r="AI247" s="231"/>
      <c r="AJ247" s="231"/>
      <c r="AK247" s="231"/>
      <c r="AL247" s="231"/>
      <c r="AM247" s="231"/>
      <c r="AN247" s="231"/>
      <c r="AO247" s="231"/>
      <c r="AP247" s="231"/>
      <c r="AQ247" s="231"/>
      <c r="AR247" s="231"/>
      <c r="AS247" s="231"/>
      <c r="AT247" s="231"/>
      <c r="AU247" s="231"/>
      <c r="AV247" s="231"/>
      <c r="AW247" s="231"/>
      <c r="AX247" s="231"/>
      <c r="AY247" s="231"/>
      <c r="AZ247" s="231"/>
      <c r="BA247" s="231"/>
      <c r="BB247" s="231"/>
      <c r="BC247" s="231"/>
      <c r="BD247" s="231"/>
      <c r="BE247" s="231"/>
      <c r="BF247" s="231"/>
      <c r="BG247" s="231"/>
      <c r="BH247" s="231"/>
      <c r="BI247" s="231"/>
      <c r="BJ247" s="231"/>
      <c r="BK247" s="231"/>
      <c r="BL247" s="231"/>
      <c r="BM247" s="231"/>
      <c r="BN247" s="231"/>
      <c r="BO247" s="231"/>
    </row>
    <row r="248" spans="2:67" ht="14.25">
      <c r="B248" s="203"/>
      <c r="C248" s="203"/>
      <c r="D248" s="231"/>
      <c r="E248" s="231"/>
      <c r="F248" s="231"/>
      <c r="G248" s="231"/>
      <c r="H248" s="231"/>
      <c r="I248" s="231"/>
      <c r="J248" s="231"/>
      <c r="K248" s="231"/>
      <c r="L248" s="231"/>
      <c r="M248" s="231"/>
      <c r="N248" s="231"/>
      <c r="O248" s="231"/>
      <c r="P248" s="231"/>
      <c r="Q248" s="231"/>
      <c r="R248" s="231"/>
      <c r="S248" s="231"/>
      <c r="T248" s="231"/>
      <c r="U248" s="231"/>
      <c r="V248" s="231"/>
      <c r="W248" s="231"/>
      <c r="X248" s="231"/>
      <c r="Y248" s="231"/>
      <c r="Z248" s="231"/>
      <c r="AA248" s="231"/>
      <c r="AB248" s="231"/>
      <c r="AC248" s="231"/>
      <c r="AD248" s="231"/>
      <c r="AE248" s="231"/>
      <c r="AF248" s="231"/>
      <c r="AG248" s="231"/>
      <c r="AH248" s="231"/>
      <c r="AI248" s="231"/>
      <c r="AJ248" s="231"/>
      <c r="AK248" s="231"/>
      <c r="AL248" s="231"/>
      <c r="AM248" s="231"/>
      <c r="AN248" s="231"/>
      <c r="AO248" s="231"/>
      <c r="AP248" s="231"/>
      <c r="AQ248" s="231"/>
      <c r="AR248" s="231"/>
      <c r="AS248" s="231"/>
      <c r="AT248" s="231"/>
      <c r="AU248" s="231"/>
      <c r="AV248" s="231"/>
      <c r="AW248" s="231"/>
      <c r="AX248" s="231"/>
      <c r="AY248" s="231"/>
      <c r="AZ248" s="231"/>
      <c r="BA248" s="231"/>
      <c r="BB248" s="231"/>
      <c r="BC248" s="231"/>
      <c r="BD248" s="231"/>
      <c r="BE248" s="231"/>
      <c r="BF248" s="231"/>
      <c r="BG248" s="231"/>
      <c r="BH248" s="231"/>
      <c r="BI248" s="231"/>
      <c r="BJ248" s="231"/>
      <c r="BK248" s="231"/>
      <c r="BL248" s="231"/>
      <c r="BM248" s="231"/>
      <c r="BN248" s="231"/>
      <c r="BO248" s="231"/>
    </row>
    <row r="249" spans="2:67" ht="14.25">
      <c r="B249" s="203"/>
      <c r="C249" s="203"/>
      <c r="D249" s="231"/>
      <c r="E249" s="231"/>
      <c r="F249" s="231"/>
      <c r="G249" s="231"/>
      <c r="H249" s="231"/>
      <c r="I249" s="231"/>
      <c r="J249" s="231"/>
      <c r="K249" s="231"/>
      <c r="L249" s="231"/>
      <c r="M249" s="231"/>
      <c r="N249" s="231"/>
      <c r="O249" s="231"/>
      <c r="P249" s="231"/>
      <c r="Q249" s="231"/>
      <c r="R249" s="231"/>
      <c r="S249" s="231"/>
      <c r="T249" s="231"/>
      <c r="U249" s="231"/>
      <c r="V249" s="231"/>
      <c r="W249" s="231"/>
      <c r="X249" s="231"/>
      <c r="Y249" s="231"/>
      <c r="Z249" s="231"/>
      <c r="AA249" s="231"/>
      <c r="AB249" s="231"/>
      <c r="AC249" s="231"/>
      <c r="AD249" s="231"/>
      <c r="AE249" s="231"/>
      <c r="AF249" s="231"/>
      <c r="AG249" s="231"/>
      <c r="AH249" s="231"/>
      <c r="AI249" s="231"/>
      <c r="AJ249" s="231"/>
      <c r="AK249" s="231"/>
      <c r="AL249" s="231"/>
      <c r="AM249" s="231"/>
      <c r="AN249" s="231"/>
      <c r="AO249" s="231"/>
      <c r="AP249" s="231"/>
      <c r="AQ249" s="231"/>
      <c r="AR249" s="231"/>
      <c r="AS249" s="231"/>
      <c r="AT249" s="231"/>
      <c r="AU249" s="231"/>
      <c r="AV249" s="231"/>
      <c r="AW249" s="231"/>
      <c r="AX249" s="231"/>
      <c r="AY249" s="231"/>
      <c r="AZ249" s="231"/>
      <c r="BA249" s="231"/>
      <c r="BB249" s="231"/>
      <c r="BC249" s="231"/>
      <c r="BD249" s="231"/>
      <c r="BE249" s="231"/>
      <c r="BF249" s="231"/>
      <c r="BG249" s="231"/>
      <c r="BH249" s="231"/>
      <c r="BI249" s="231"/>
      <c r="BJ249" s="231"/>
      <c r="BK249" s="231"/>
      <c r="BL249" s="231"/>
      <c r="BM249" s="231"/>
      <c r="BN249" s="231"/>
      <c r="BO249" s="231"/>
    </row>
    <row r="250" spans="2:67" ht="14.25">
      <c r="B250" s="203"/>
      <c r="C250" s="203"/>
      <c r="D250" s="231"/>
      <c r="E250" s="231"/>
      <c r="F250" s="231"/>
      <c r="G250" s="231"/>
      <c r="H250" s="231"/>
      <c r="I250" s="231"/>
      <c r="J250" s="231"/>
      <c r="K250" s="231"/>
      <c r="L250" s="231"/>
      <c r="M250" s="231"/>
      <c r="N250" s="231"/>
      <c r="O250" s="231"/>
      <c r="P250" s="231"/>
      <c r="Q250" s="231"/>
      <c r="R250" s="231"/>
      <c r="S250" s="231"/>
      <c r="T250" s="231"/>
      <c r="U250" s="231"/>
      <c r="V250" s="231"/>
      <c r="W250" s="231"/>
      <c r="X250" s="231"/>
      <c r="Y250" s="231"/>
      <c r="Z250" s="231"/>
      <c r="AA250" s="231"/>
      <c r="AB250" s="231"/>
      <c r="AC250" s="231"/>
      <c r="AD250" s="231"/>
      <c r="AE250" s="231"/>
      <c r="AF250" s="231"/>
      <c r="AG250" s="231"/>
      <c r="AH250" s="231"/>
      <c r="AI250" s="231"/>
      <c r="AJ250" s="231"/>
      <c r="AK250" s="231"/>
      <c r="AL250" s="231"/>
      <c r="AM250" s="231"/>
      <c r="AN250" s="231"/>
      <c r="AO250" s="231"/>
      <c r="AP250" s="231"/>
      <c r="AQ250" s="231"/>
      <c r="AR250" s="231"/>
      <c r="AS250" s="231"/>
      <c r="AT250" s="231"/>
      <c r="AU250" s="231"/>
      <c r="AV250" s="231"/>
      <c r="AW250" s="231"/>
      <c r="AX250" s="231"/>
      <c r="AY250" s="231"/>
      <c r="AZ250" s="231"/>
      <c r="BA250" s="231"/>
      <c r="BB250" s="231"/>
      <c r="BC250" s="231"/>
      <c r="BD250" s="231"/>
      <c r="BE250" s="231"/>
      <c r="BF250" s="231"/>
      <c r="BG250" s="231"/>
      <c r="BH250" s="231"/>
      <c r="BI250" s="231"/>
      <c r="BJ250" s="231"/>
      <c r="BK250" s="231"/>
      <c r="BL250" s="231"/>
      <c r="BM250" s="231"/>
      <c r="BN250" s="231"/>
      <c r="BO250" s="231"/>
    </row>
    <row r="251" spans="2:67" ht="14.25">
      <c r="B251" s="203"/>
      <c r="C251" s="203"/>
      <c r="D251" s="231"/>
      <c r="E251" s="231"/>
      <c r="F251" s="231"/>
      <c r="G251" s="231"/>
      <c r="H251" s="231"/>
      <c r="I251" s="231"/>
      <c r="J251" s="231"/>
      <c r="K251" s="231"/>
      <c r="L251" s="231"/>
      <c r="M251" s="231"/>
      <c r="N251" s="231"/>
      <c r="O251" s="231"/>
      <c r="P251" s="231"/>
      <c r="Q251" s="231"/>
      <c r="R251" s="231"/>
      <c r="S251" s="231"/>
      <c r="T251" s="231"/>
      <c r="U251" s="231"/>
      <c r="V251" s="231"/>
      <c r="W251" s="231"/>
      <c r="X251" s="231"/>
      <c r="Y251" s="231"/>
      <c r="Z251" s="231"/>
      <c r="AA251" s="231"/>
      <c r="AB251" s="231"/>
      <c r="AC251" s="231"/>
      <c r="AD251" s="231"/>
      <c r="AE251" s="231"/>
      <c r="AF251" s="231"/>
      <c r="AG251" s="231"/>
      <c r="AH251" s="231"/>
      <c r="AI251" s="231"/>
      <c r="AJ251" s="231"/>
      <c r="AK251" s="231"/>
      <c r="AL251" s="231"/>
      <c r="AM251" s="231"/>
      <c r="AN251" s="231"/>
      <c r="AO251" s="231"/>
      <c r="AP251" s="231"/>
      <c r="AQ251" s="231"/>
      <c r="AR251" s="231"/>
      <c r="AS251" s="231"/>
      <c r="AT251" s="231"/>
      <c r="AU251" s="231"/>
      <c r="AV251" s="231"/>
      <c r="AW251" s="231"/>
      <c r="AX251" s="231"/>
      <c r="AY251" s="231"/>
      <c r="AZ251" s="231"/>
      <c r="BA251" s="231"/>
      <c r="BB251" s="231"/>
      <c r="BC251" s="231"/>
      <c r="BD251" s="231"/>
      <c r="BE251" s="231"/>
      <c r="BF251" s="231"/>
      <c r="BG251" s="231"/>
      <c r="BH251" s="231"/>
      <c r="BI251" s="231"/>
      <c r="BJ251" s="231"/>
      <c r="BK251" s="231"/>
      <c r="BL251" s="231"/>
      <c r="BM251" s="231"/>
      <c r="BN251" s="231"/>
      <c r="BO251" s="231"/>
    </row>
    <row r="252" spans="2:67" ht="14.25">
      <c r="B252" s="203"/>
      <c r="C252" s="203"/>
      <c r="D252" s="231"/>
      <c r="E252" s="231"/>
      <c r="F252" s="231"/>
      <c r="G252" s="231"/>
      <c r="H252" s="231"/>
      <c r="I252" s="231"/>
      <c r="J252" s="231"/>
      <c r="K252" s="231"/>
      <c r="L252" s="231"/>
      <c r="M252" s="231"/>
      <c r="N252" s="231"/>
      <c r="O252" s="231"/>
      <c r="P252" s="231"/>
      <c r="Q252" s="231"/>
      <c r="R252" s="231"/>
      <c r="S252" s="231"/>
      <c r="T252" s="231"/>
      <c r="U252" s="231"/>
      <c r="V252" s="231"/>
      <c r="W252" s="231"/>
      <c r="X252" s="231"/>
      <c r="Y252" s="231"/>
      <c r="Z252" s="231"/>
      <c r="AA252" s="231"/>
      <c r="AB252" s="231"/>
      <c r="AC252" s="231"/>
      <c r="AD252" s="231"/>
      <c r="AE252" s="231"/>
      <c r="AF252" s="231"/>
      <c r="AG252" s="231"/>
      <c r="AH252" s="231"/>
      <c r="AI252" s="231"/>
      <c r="AJ252" s="231"/>
      <c r="AK252" s="231"/>
      <c r="AL252" s="231"/>
      <c r="AM252" s="231"/>
      <c r="AN252" s="231"/>
      <c r="AO252" s="231"/>
      <c r="AP252" s="231"/>
      <c r="AQ252" s="231"/>
      <c r="AR252" s="231"/>
      <c r="AS252" s="231"/>
      <c r="AT252" s="231"/>
      <c r="AU252" s="231"/>
      <c r="AV252" s="231"/>
      <c r="AW252" s="231"/>
      <c r="AX252" s="231"/>
      <c r="AY252" s="231"/>
      <c r="AZ252" s="231"/>
      <c r="BA252" s="231"/>
      <c r="BB252" s="231"/>
      <c r="BC252" s="231"/>
      <c r="BD252" s="231"/>
      <c r="BE252" s="231"/>
      <c r="BF252" s="231"/>
      <c r="BG252" s="231"/>
      <c r="BH252" s="231"/>
      <c r="BI252" s="231"/>
      <c r="BJ252" s="231"/>
      <c r="BK252" s="231"/>
      <c r="BL252" s="231"/>
      <c r="BM252" s="231"/>
      <c r="BN252" s="231"/>
      <c r="BO252" s="231"/>
    </row>
    <row r="253" spans="2:67" ht="14.25">
      <c r="B253" s="203"/>
      <c r="C253" s="203"/>
      <c r="D253" s="231"/>
      <c r="E253" s="231"/>
      <c r="F253" s="231"/>
      <c r="G253" s="231"/>
      <c r="H253" s="231"/>
      <c r="I253" s="231"/>
      <c r="J253" s="231"/>
      <c r="K253" s="231"/>
      <c r="L253" s="231"/>
      <c r="M253" s="231"/>
      <c r="N253" s="231"/>
      <c r="O253" s="231"/>
      <c r="P253" s="231"/>
      <c r="Q253" s="231"/>
      <c r="R253" s="231"/>
      <c r="S253" s="231"/>
      <c r="T253" s="231"/>
      <c r="U253" s="231"/>
      <c r="V253" s="231"/>
      <c r="W253" s="231"/>
      <c r="X253" s="231"/>
      <c r="Y253" s="231"/>
      <c r="Z253" s="231"/>
      <c r="AA253" s="231"/>
      <c r="AB253" s="231"/>
      <c r="AC253" s="231"/>
      <c r="AD253" s="231"/>
      <c r="AE253" s="231"/>
      <c r="AF253" s="231"/>
      <c r="AG253" s="231"/>
      <c r="AH253" s="231"/>
      <c r="AI253" s="231"/>
      <c r="AJ253" s="231"/>
      <c r="AK253" s="231"/>
      <c r="AL253" s="231"/>
      <c r="AM253" s="231"/>
      <c r="AN253" s="231"/>
      <c r="AO253" s="231"/>
      <c r="AP253" s="231"/>
      <c r="AQ253" s="231"/>
      <c r="AR253" s="231"/>
      <c r="AS253" s="231"/>
      <c r="AT253" s="231"/>
      <c r="AU253" s="231"/>
      <c r="AV253" s="231"/>
      <c r="AW253" s="231"/>
      <c r="AX253" s="231"/>
      <c r="AY253" s="231"/>
      <c r="AZ253" s="231"/>
      <c r="BA253" s="231"/>
      <c r="BB253" s="231"/>
      <c r="BC253" s="231"/>
      <c r="BD253" s="231"/>
      <c r="BE253" s="231"/>
      <c r="BF253" s="231"/>
      <c r="BG253" s="231"/>
      <c r="BH253" s="231"/>
      <c r="BI253" s="231"/>
      <c r="BJ253" s="231"/>
      <c r="BK253" s="231"/>
      <c r="BL253" s="231"/>
      <c r="BM253" s="231"/>
      <c r="BN253" s="231"/>
      <c r="BO253" s="231"/>
    </row>
    <row r="254" spans="2:67" ht="14.25">
      <c r="B254" s="203"/>
      <c r="C254" s="203"/>
      <c r="D254" s="231"/>
      <c r="E254" s="231"/>
      <c r="F254" s="231"/>
      <c r="G254" s="231"/>
      <c r="H254" s="231"/>
      <c r="I254" s="231"/>
      <c r="J254" s="231"/>
      <c r="K254" s="231"/>
      <c r="L254" s="231"/>
      <c r="M254" s="231"/>
      <c r="N254" s="231"/>
      <c r="O254" s="231"/>
      <c r="P254" s="231"/>
      <c r="Q254" s="231"/>
      <c r="R254" s="231"/>
      <c r="S254" s="231"/>
      <c r="T254" s="231"/>
      <c r="U254" s="231"/>
      <c r="V254" s="231"/>
      <c r="W254" s="231"/>
      <c r="X254" s="231"/>
      <c r="Y254" s="231"/>
      <c r="Z254" s="231"/>
      <c r="AA254" s="231"/>
      <c r="AB254" s="231"/>
      <c r="AC254" s="231"/>
      <c r="AD254" s="231"/>
      <c r="AE254" s="231"/>
      <c r="AF254" s="231"/>
      <c r="AG254" s="231"/>
      <c r="AH254" s="231"/>
      <c r="AI254" s="231"/>
      <c r="AJ254" s="231"/>
      <c r="AK254" s="231"/>
      <c r="AL254" s="231"/>
      <c r="AM254" s="231"/>
      <c r="AN254" s="231"/>
      <c r="AO254" s="231"/>
      <c r="AP254" s="231"/>
      <c r="AQ254" s="231"/>
      <c r="AR254" s="231"/>
      <c r="AS254" s="231"/>
      <c r="AT254" s="231"/>
      <c r="AU254" s="231"/>
      <c r="AV254" s="231"/>
      <c r="AW254" s="231"/>
      <c r="AX254" s="231"/>
      <c r="AY254" s="231"/>
      <c r="AZ254" s="231"/>
      <c r="BA254" s="231"/>
      <c r="BB254" s="231"/>
      <c r="BC254" s="231"/>
      <c r="BD254" s="231"/>
      <c r="BE254" s="231"/>
      <c r="BF254" s="231"/>
      <c r="BG254" s="231"/>
      <c r="BH254" s="231"/>
      <c r="BI254" s="231"/>
      <c r="BJ254" s="231"/>
      <c r="BK254" s="231"/>
      <c r="BL254" s="231"/>
      <c r="BM254" s="231"/>
      <c r="BN254" s="231"/>
      <c r="BO254" s="231"/>
    </row>
    <row r="255" spans="2:67" ht="14.25">
      <c r="B255" s="203"/>
      <c r="C255" s="203"/>
      <c r="D255" s="231"/>
      <c r="E255" s="231"/>
      <c r="F255" s="231"/>
      <c r="G255" s="231"/>
      <c r="H255" s="231"/>
      <c r="I255" s="231"/>
      <c r="J255" s="231"/>
      <c r="K255" s="231"/>
      <c r="L255" s="231"/>
      <c r="M255" s="231"/>
      <c r="N255" s="231"/>
      <c r="O255" s="231"/>
      <c r="P255" s="231"/>
      <c r="Q255" s="231"/>
      <c r="R255" s="231"/>
      <c r="S255" s="231"/>
      <c r="T255" s="231"/>
      <c r="U255" s="231"/>
      <c r="V255" s="231"/>
      <c r="W255" s="231"/>
      <c r="X255" s="231"/>
      <c r="Y255" s="231"/>
      <c r="Z255" s="231"/>
      <c r="AA255" s="231"/>
      <c r="AB255" s="231"/>
      <c r="AC255" s="231"/>
      <c r="AD255" s="231"/>
      <c r="AE255" s="231"/>
      <c r="AF255" s="231"/>
      <c r="AG255" s="231"/>
      <c r="AH255" s="231"/>
      <c r="AI255" s="231"/>
      <c r="AJ255" s="231"/>
      <c r="AK255" s="231"/>
      <c r="AL255" s="231"/>
      <c r="AM255" s="231"/>
      <c r="AN255" s="231"/>
      <c r="AO255" s="231"/>
      <c r="AP255" s="231"/>
      <c r="AQ255" s="231"/>
      <c r="AR255" s="231"/>
      <c r="AS255" s="231"/>
      <c r="AT255" s="231"/>
      <c r="AU255" s="231"/>
      <c r="AV255" s="231"/>
      <c r="AW255" s="231"/>
      <c r="AX255" s="231"/>
      <c r="AY255" s="231"/>
      <c r="AZ255" s="231"/>
      <c r="BA255" s="231"/>
      <c r="BB255" s="231"/>
      <c r="BC255" s="231"/>
      <c r="BD255" s="231"/>
      <c r="BE255" s="231"/>
      <c r="BF255" s="231"/>
      <c r="BG255" s="231"/>
      <c r="BH255" s="231"/>
      <c r="BI255" s="231"/>
      <c r="BJ255" s="231"/>
      <c r="BK255" s="231"/>
      <c r="BL255" s="231"/>
      <c r="BM255" s="231"/>
      <c r="BN255" s="231"/>
      <c r="BO255" s="231"/>
    </row>
    <row r="256" spans="2:67" ht="14.25">
      <c r="B256" s="203"/>
      <c r="C256" s="203"/>
      <c r="D256" s="231"/>
      <c r="E256" s="231"/>
      <c r="F256" s="231"/>
      <c r="G256" s="231"/>
      <c r="H256" s="231"/>
      <c r="I256" s="231"/>
      <c r="J256" s="231"/>
      <c r="K256" s="231"/>
      <c r="L256" s="231"/>
      <c r="M256" s="231"/>
      <c r="N256" s="231"/>
      <c r="O256" s="231"/>
      <c r="P256" s="231"/>
      <c r="Q256" s="231"/>
      <c r="R256" s="231"/>
      <c r="S256" s="231"/>
      <c r="T256" s="231"/>
      <c r="U256" s="231"/>
      <c r="V256" s="231"/>
      <c r="W256" s="231"/>
      <c r="X256" s="231"/>
      <c r="Y256" s="231"/>
      <c r="Z256" s="231"/>
      <c r="AA256" s="231"/>
      <c r="AB256" s="231"/>
      <c r="AC256" s="231"/>
      <c r="AD256" s="231"/>
      <c r="AE256" s="231"/>
      <c r="AF256" s="231"/>
      <c r="AG256" s="231"/>
      <c r="AH256" s="231"/>
      <c r="AI256" s="231"/>
      <c r="AJ256" s="231"/>
      <c r="AK256" s="231"/>
      <c r="AL256" s="231"/>
      <c r="AM256" s="231"/>
      <c r="AN256" s="231"/>
      <c r="AO256" s="231"/>
      <c r="AP256" s="231"/>
      <c r="AQ256" s="231"/>
      <c r="AR256" s="231"/>
      <c r="AS256" s="231"/>
      <c r="AT256" s="231"/>
      <c r="AU256" s="231"/>
      <c r="AV256" s="231"/>
      <c r="AW256" s="231"/>
      <c r="AX256" s="231"/>
      <c r="AY256" s="231"/>
      <c r="AZ256" s="231"/>
      <c r="BA256" s="231"/>
      <c r="BB256" s="231"/>
      <c r="BC256" s="231"/>
      <c r="BD256" s="231"/>
      <c r="BE256" s="231"/>
      <c r="BF256" s="231"/>
      <c r="BG256" s="231"/>
      <c r="BH256" s="231"/>
      <c r="BI256" s="231"/>
      <c r="BJ256" s="231"/>
      <c r="BK256" s="231"/>
      <c r="BL256" s="231"/>
      <c r="BM256" s="231"/>
      <c r="BN256" s="231"/>
      <c r="BO256" s="231"/>
    </row>
    <row r="257" spans="2:67" ht="14.25">
      <c r="B257" s="203"/>
      <c r="C257" s="203"/>
      <c r="D257" s="231"/>
      <c r="E257" s="231"/>
      <c r="F257" s="231"/>
      <c r="G257" s="231"/>
      <c r="H257" s="231"/>
      <c r="I257" s="231"/>
      <c r="J257" s="231"/>
      <c r="K257" s="231"/>
      <c r="L257" s="231"/>
      <c r="M257" s="231"/>
      <c r="N257" s="231"/>
      <c r="O257" s="231"/>
      <c r="P257" s="231"/>
      <c r="Q257" s="231"/>
      <c r="R257" s="231"/>
      <c r="S257" s="231"/>
      <c r="T257" s="231"/>
      <c r="U257" s="231"/>
      <c r="V257" s="231"/>
      <c r="W257" s="231"/>
      <c r="X257" s="231"/>
      <c r="Y257" s="231"/>
      <c r="Z257" s="231"/>
      <c r="AA257" s="231"/>
      <c r="AB257" s="231"/>
      <c r="AC257" s="231"/>
      <c r="AD257" s="231"/>
      <c r="AE257" s="231"/>
      <c r="AF257" s="231"/>
      <c r="AG257" s="231"/>
      <c r="AH257" s="231"/>
      <c r="AI257" s="231"/>
      <c r="AJ257" s="231"/>
      <c r="AK257" s="231"/>
      <c r="AL257" s="231"/>
      <c r="AM257" s="231"/>
      <c r="AN257" s="231"/>
      <c r="AO257" s="231"/>
      <c r="AP257" s="231"/>
      <c r="AQ257" s="231"/>
      <c r="AR257" s="231"/>
      <c r="AS257" s="231"/>
      <c r="AT257" s="231"/>
      <c r="AU257" s="231"/>
      <c r="AV257" s="231"/>
      <c r="AW257" s="231"/>
      <c r="AX257" s="231"/>
      <c r="AY257" s="231"/>
      <c r="AZ257" s="231"/>
      <c r="BA257" s="231"/>
      <c r="BB257" s="231"/>
      <c r="BC257" s="231"/>
      <c r="BD257" s="231"/>
      <c r="BE257" s="231"/>
      <c r="BF257" s="231"/>
      <c r="BG257" s="231"/>
      <c r="BH257" s="231"/>
      <c r="BI257" s="231"/>
      <c r="BJ257" s="231"/>
      <c r="BK257" s="231"/>
      <c r="BL257" s="231"/>
      <c r="BM257" s="231"/>
      <c r="BN257" s="231"/>
      <c r="BO257" s="231"/>
    </row>
    <row r="258" spans="2:67" ht="14.25">
      <c r="B258" s="203"/>
      <c r="C258" s="203"/>
      <c r="D258" s="231"/>
      <c r="E258" s="231"/>
      <c r="F258" s="231"/>
      <c r="G258" s="231"/>
      <c r="H258" s="231"/>
      <c r="I258" s="231"/>
      <c r="J258" s="231"/>
      <c r="K258" s="231"/>
      <c r="L258" s="231"/>
      <c r="M258" s="231"/>
      <c r="N258" s="231"/>
      <c r="O258" s="231"/>
      <c r="P258" s="231"/>
      <c r="Q258" s="231"/>
      <c r="R258" s="231"/>
      <c r="S258" s="231"/>
      <c r="T258" s="231"/>
      <c r="U258" s="231"/>
      <c r="V258" s="231"/>
      <c r="W258" s="231"/>
      <c r="X258" s="231"/>
      <c r="Y258" s="231"/>
      <c r="Z258" s="231"/>
      <c r="AA258" s="231"/>
      <c r="AB258" s="231"/>
      <c r="AC258" s="231"/>
      <c r="AD258" s="231"/>
      <c r="AE258" s="231"/>
      <c r="AF258" s="231"/>
      <c r="AG258" s="231"/>
      <c r="AH258" s="231"/>
      <c r="AI258" s="231"/>
      <c r="AJ258" s="231"/>
      <c r="AK258" s="231"/>
      <c r="AL258" s="231"/>
      <c r="AM258" s="231"/>
      <c r="AN258" s="231"/>
      <c r="AO258" s="231"/>
      <c r="AP258" s="231"/>
      <c r="AQ258" s="231"/>
      <c r="AR258" s="231"/>
      <c r="AS258" s="231"/>
      <c r="AT258" s="231"/>
      <c r="AU258" s="231"/>
      <c r="AV258" s="231"/>
      <c r="AW258" s="231"/>
      <c r="AX258" s="231"/>
      <c r="AY258" s="231"/>
      <c r="AZ258" s="231"/>
      <c r="BA258" s="231"/>
      <c r="BB258" s="231"/>
      <c r="BC258" s="231"/>
      <c r="BD258" s="231"/>
      <c r="BE258" s="231"/>
      <c r="BF258" s="231"/>
      <c r="BG258" s="231"/>
      <c r="BH258" s="231"/>
      <c r="BI258" s="231"/>
      <c r="BJ258" s="231"/>
      <c r="BK258" s="231"/>
      <c r="BL258" s="231"/>
      <c r="BM258" s="231"/>
      <c r="BN258" s="231"/>
      <c r="BO258" s="231"/>
    </row>
    <row r="259" spans="2:67" ht="14.25">
      <c r="B259" s="203"/>
      <c r="C259" s="203"/>
      <c r="D259" s="231"/>
      <c r="E259" s="231"/>
      <c r="F259" s="231"/>
      <c r="G259" s="231"/>
      <c r="H259" s="231"/>
      <c r="I259" s="231"/>
      <c r="J259" s="231"/>
      <c r="K259" s="231"/>
      <c r="L259" s="231"/>
      <c r="M259" s="231"/>
      <c r="N259" s="231"/>
      <c r="O259" s="231"/>
      <c r="P259" s="231"/>
      <c r="Q259" s="231"/>
      <c r="R259" s="231"/>
      <c r="S259" s="231"/>
      <c r="T259" s="231"/>
      <c r="U259" s="231"/>
      <c r="V259" s="231"/>
      <c r="W259" s="231"/>
      <c r="X259" s="231"/>
      <c r="Y259" s="231"/>
      <c r="Z259" s="231"/>
      <c r="AA259" s="231"/>
      <c r="AB259" s="231"/>
      <c r="AC259" s="231"/>
      <c r="AD259" s="231"/>
      <c r="AE259" s="231"/>
      <c r="AF259" s="231"/>
      <c r="AG259" s="231"/>
      <c r="AH259" s="231"/>
      <c r="AI259" s="231"/>
      <c r="AJ259" s="231"/>
      <c r="AK259" s="231"/>
      <c r="AL259" s="231"/>
      <c r="AM259" s="231"/>
      <c r="AN259" s="231"/>
      <c r="AO259" s="231"/>
      <c r="AP259" s="231"/>
      <c r="AQ259" s="231"/>
      <c r="AR259" s="231"/>
      <c r="AS259" s="231"/>
      <c r="AT259" s="231"/>
      <c r="AU259" s="231"/>
      <c r="AV259" s="231"/>
      <c r="AW259" s="231"/>
      <c r="AX259" s="231"/>
      <c r="AY259" s="231"/>
      <c r="AZ259" s="231"/>
      <c r="BA259" s="231"/>
      <c r="BB259" s="231"/>
      <c r="BC259" s="231"/>
      <c r="BD259" s="231"/>
      <c r="BE259" s="231"/>
      <c r="BF259" s="231"/>
      <c r="BG259" s="231"/>
      <c r="BH259" s="231"/>
      <c r="BI259" s="231"/>
      <c r="BJ259" s="231"/>
      <c r="BK259" s="231"/>
      <c r="BL259" s="231"/>
      <c r="BM259" s="231"/>
      <c r="BN259" s="231"/>
      <c r="BO259" s="231"/>
    </row>
    <row r="260" spans="2:67" ht="14.25">
      <c r="B260" s="203"/>
      <c r="C260" s="203"/>
      <c r="D260" s="231"/>
      <c r="E260" s="231"/>
      <c r="F260" s="231"/>
      <c r="G260" s="231"/>
      <c r="H260" s="231"/>
      <c r="I260" s="231"/>
      <c r="J260" s="231"/>
      <c r="K260" s="231"/>
      <c r="L260" s="231"/>
      <c r="M260" s="231"/>
      <c r="N260" s="231"/>
      <c r="O260" s="231"/>
      <c r="P260" s="231"/>
      <c r="Q260" s="231"/>
      <c r="R260" s="231"/>
      <c r="S260" s="231"/>
      <c r="T260" s="231"/>
      <c r="U260" s="231"/>
      <c r="V260" s="231"/>
      <c r="W260" s="231"/>
      <c r="X260" s="231"/>
      <c r="Y260" s="231"/>
      <c r="Z260" s="231"/>
      <c r="AA260" s="231"/>
      <c r="AB260" s="231"/>
      <c r="AC260" s="231"/>
      <c r="AD260" s="231"/>
      <c r="AE260" s="231"/>
      <c r="AF260" s="231"/>
      <c r="AG260" s="231"/>
      <c r="AH260" s="231"/>
      <c r="AI260" s="231"/>
      <c r="AJ260" s="231"/>
      <c r="AK260" s="231"/>
      <c r="AL260" s="231"/>
      <c r="AM260" s="231"/>
      <c r="AN260" s="231"/>
      <c r="AO260" s="231"/>
      <c r="AP260" s="231"/>
      <c r="AQ260" s="231"/>
      <c r="AR260" s="231"/>
      <c r="AS260" s="231"/>
      <c r="AT260" s="231"/>
      <c r="AU260" s="231"/>
      <c r="AV260" s="231"/>
      <c r="AW260" s="231"/>
      <c r="AX260" s="231"/>
      <c r="AY260" s="231"/>
      <c r="AZ260" s="231"/>
      <c r="BA260" s="231"/>
      <c r="BB260" s="231"/>
      <c r="BC260" s="231"/>
      <c r="BD260" s="231"/>
      <c r="BE260" s="231"/>
      <c r="BF260" s="231"/>
      <c r="BG260" s="231"/>
      <c r="BH260" s="231"/>
      <c r="BI260" s="231"/>
      <c r="BJ260" s="231"/>
      <c r="BK260" s="231"/>
      <c r="BL260" s="231"/>
      <c r="BM260" s="231"/>
      <c r="BN260" s="231"/>
      <c r="BO260" s="231"/>
    </row>
    <row r="261" spans="2:67" ht="14.25">
      <c r="B261" s="203"/>
      <c r="C261" s="203"/>
      <c r="D261" s="231"/>
      <c r="E261" s="231"/>
      <c r="F261" s="231"/>
      <c r="G261" s="231"/>
      <c r="H261" s="231"/>
      <c r="I261" s="231"/>
      <c r="J261" s="231"/>
      <c r="K261" s="231"/>
      <c r="L261" s="231"/>
      <c r="M261" s="231"/>
      <c r="N261" s="231"/>
      <c r="O261" s="231"/>
      <c r="P261" s="231"/>
      <c r="Q261" s="231"/>
      <c r="R261" s="231"/>
      <c r="S261" s="231"/>
      <c r="T261" s="231"/>
      <c r="U261" s="231"/>
      <c r="V261" s="231"/>
      <c r="W261" s="231"/>
      <c r="X261" s="231"/>
      <c r="Y261" s="231"/>
      <c r="Z261" s="231"/>
      <c r="AA261" s="231"/>
      <c r="AB261" s="231"/>
      <c r="AC261" s="231"/>
      <c r="AD261" s="231"/>
      <c r="AE261" s="231"/>
      <c r="AF261" s="231"/>
      <c r="AG261" s="231"/>
      <c r="AH261" s="231"/>
      <c r="AI261" s="231"/>
      <c r="AJ261" s="231"/>
      <c r="AK261" s="231"/>
      <c r="AL261" s="231"/>
      <c r="AM261" s="231"/>
      <c r="AN261" s="231"/>
      <c r="AO261" s="231"/>
      <c r="AP261" s="231"/>
      <c r="AQ261" s="231"/>
      <c r="AR261" s="231"/>
      <c r="AS261" s="231"/>
      <c r="AT261" s="231"/>
      <c r="AU261" s="231"/>
      <c r="AV261" s="231"/>
      <c r="AW261" s="231"/>
      <c r="AX261" s="231"/>
      <c r="AY261" s="231"/>
      <c r="AZ261" s="231"/>
      <c r="BA261" s="231"/>
      <c r="BB261" s="231"/>
      <c r="BC261" s="231"/>
      <c r="BD261" s="231"/>
      <c r="BE261" s="231"/>
      <c r="BF261" s="231"/>
      <c r="BG261" s="231"/>
      <c r="BH261" s="231"/>
      <c r="BI261" s="231"/>
      <c r="BJ261" s="231"/>
      <c r="BK261" s="231"/>
      <c r="BL261" s="231"/>
      <c r="BM261" s="231"/>
      <c r="BN261" s="231"/>
      <c r="BO261" s="231"/>
    </row>
    <row r="262" spans="2:67" ht="14.25">
      <c r="B262" s="203"/>
      <c r="C262" s="203"/>
      <c r="D262" s="231"/>
      <c r="E262" s="231"/>
      <c r="F262" s="231"/>
      <c r="G262" s="231"/>
      <c r="H262" s="231"/>
      <c r="I262" s="231"/>
      <c r="J262" s="231"/>
      <c r="K262" s="231"/>
      <c r="L262" s="231"/>
      <c r="M262" s="231"/>
      <c r="N262" s="231"/>
      <c r="O262" s="231"/>
      <c r="P262" s="231"/>
      <c r="Q262" s="231"/>
      <c r="R262" s="231"/>
      <c r="S262" s="231"/>
      <c r="T262" s="231"/>
      <c r="U262" s="231"/>
      <c r="V262" s="231"/>
      <c r="W262" s="231"/>
      <c r="X262" s="231"/>
      <c r="Y262" s="231"/>
      <c r="Z262" s="231"/>
      <c r="AA262" s="231"/>
      <c r="AB262" s="231"/>
      <c r="AC262" s="231"/>
      <c r="AD262" s="231"/>
      <c r="AE262" s="231"/>
      <c r="AF262" s="231"/>
      <c r="AG262" s="231"/>
      <c r="AH262" s="231"/>
      <c r="AI262" s="231"/>
      <c r="AJ262" s="231"/>
      <c r="AK262" s="231"/>
      <c r="AL262" s="231"/>
      <c r="AM262" s="231"/>
      <c r="AN262" s="231"/>
      <c r="AO262" s="231"/>
      <c r="AP262" s="231"/>
      <c r="AQ262" s="231"/>
      <c r="AR262" s="231"/>
      <c r="AS262" s="231"/>
      <c r="AT262" s="231"/>
      <c r="AU262" s="231"/>
      <c r="AV262" s="231"/>
      <c r="AW262" s="231"/>
      <c r="AX262" s="231"/>
      <c r="AY262" s="231"/>
      <c r="AZ262" s="231"/>
      <c r="BA262" s="231"/>
      <c r="BB262" s="231"/>
      <c r="BC262" s="231"/>
      <c r="BD262" s="231"/>
      <c r="BE262" s="231"/>
      <c r="BF262" s="231"/>
      <c r="BG262" s="231"/>
      <c r="BH262" s="231"/>
      <c r="BI262" s="231"/>
      <c r="BJ262" s="231"/>
      <c r="BK262" s="231"/>
      <c r="BL262" s="231"/>
      <c r="BM262" s="231"/>
      <c r="BN262" s="231"/>
      <c r="BO262" s="231"/>
    </row>
    <row r="263" spans="2:67" ht="14.25">
      <c r="B263" s="203"/>
      <c r="C263" s="203"/>
      <c r="D263" s="231"/>
      <c r="E263" s="231"/>
      <c r="F263" s="231"/>
      <c r="G263" s="231"/>
      <c r="H263" s="231"/>
      <c r="I263" s="231"/>
      <c r="J263" s="231"/>
      <c r="K263" s="231"/>
      <c r="L263" s="231"/>
      <c r="M263" s="231"/>
      <c r="N263" s="231"/>
      <c r="O263" s="231"/>
      <c r="P263" s="231"/>
      <c r="Q263" s="231"/>
      <c r="R263" s="231"/>
      <c r="S263" s="231"/>
      <c r="T263" s="231"/>
      <c r="U263" s="231"/>
      <c r="V263" s="231"/>
      <c r="W263" s="231"/>
      <c r="X263" s="231"/>
      <c r="Y263" s="231"/>
      <c r="Z263" s="231"/>
      <c r="AA263" s="231"/>
      <c r="AB263" s="231"/>
      <c r="AC263" s="231"/>
      <c r="AD263" s="231"/>
      <c r="AE263" s="231"/>
      <c r="AF263" s="231"/>
      <c r="AG263" s="231"/>
      <c r="AH263" s="231"/>
      <c r="AI263" s="231"/>
      <c r="AJ263" s="231"/>
      <c r="AK263" s="231"/>
      <c r="AL263" s="231"/>
      <c r="AM263" s="231"/>
      <c r="AN263" s="231"/>
      <c r="AO263" s="231"/>
      <c r="AP263" s="231"/>
      <c r="AQ263" s="231"/>
      <c r="AR263" s="231"/>
      <c r="AS263" s="231"/>
      <c r="AT263" s="231"/>
      <c r="AU263" s="231"/>
      <c r="AV263" s="231"/>
      <c r="AW263" s="231"/>
      <c r="AX263" s="231"/>
      <c r="AY263" s="231"/>
      <c r="AZ263" s="231"/>
      <c r="BA263" s="231"/>
      <c r="BB263" s="231"/>
      <c r="BC263" s="231"/>
      <c r="BD263" s="231"/>
      <c r="BE263" s="231"/>
      <c r="BF263" s="231"/>
      <c r="BG263" s="231"/>
      <c r="BH263" s="231"/>
      <c r="BI263" s="231"/>
      <c r="BJ263" s="231"/>
      <c r="BK263" s="231"/>
      <c r="BL263" s="231"/>
      <c r="BM263" s="231"/>
      <c r="BN263" s="231"/>
      <c r="BO263" s="231"/>
    </row>
    <row r="264" spans="2:67" ht="14.25">
      <c r="B264" s="203"/>
      <c r="C264" s="203"/>
      <c r="D264" s="231"/>
      <c r="E264" s="231"/>
      <c r="F264" s="231"/>
      <c r="G264" s="231"/>
      <c r="H264" s="231"/>
      <c r="I264" s="231"/>
      <c r="J264" s="231"/>
      <c r="K264" s="231"/>
      <c r="L264" s="231"/>
      <c r="M264" s="231"/>
      <c r="N264" s="231"/>
      <c r="O264" s="231"/>
      <c r="P264" s="231"/>
      <c r="Q264" s="231"/>
      <c r="R264" s="231"/>
      <c r="S264" s="231"/>
      <c r="T264" s="231"/>
      <c r="U264" s="231"/>
      <c r="V264" s="231"/>
      <c r="W264" s="231"/>
      <c r="X264" s="231"/>
      <c r="Y264" s="231"/>
      <c r="Z264" s="231"/>
      <c r="AA264" s="231"/>
      <c r="AB264" s="231"/>
      <c r="AC264" s="231"/>
      <c r="AD264" s="231"/>
      <c r="AE264" s="231"/>
      <c r="AF264" s="231"/>
      <c r="AG264" s="231"/>
      <c r="AH264" s="231"/>
      <c r="AI264" s="231"/>
      <c r="AJ264" s="231"/>
      <c r="AK264" s="231"/>
      <c r="AL264" s="231"/>
      <c r="AM264" s="231"/>
      <c r="AN264" s="231"/>
      <c r="AO264" s="231"/>
      <c r="AP264" s="231"/>
      <c r="AQ264" s="231"/>
      <c r="AR264" s="231"/>
      <c r="AS264" s="231"/>
      <c r="AT264" s="231"/>
      <c r="AU264" s="231"/>
      <c r="AV264" s="231"/>
      <c r="AW264" s="231"/>
      <c r="AX264" s="231"/>
      <c r="AY264" s="231"/>
      <c r="AZ264" s="231"/>
      <c r="BA264" s="231"/>
      <c r="BB264" s="231"/>
      <c r="BC264" s="231"/>
      <c r="BD264" s="231"/>
      <c r="BE264" s="231"/>
      <c r="BF264" s="231"/>
      <c r="BG264" s="231"/>
      <c r="BH264" s="231"/>
      <c r="BI264" s="231"/>
      <c r="BJ264" s="231"/>
      <c r="BK264" s="231"/>
      <c r="BL264" s="231"/>
      <c r="BM264" s="231"/>
      <c r="BN264" s="231"/>
      <c r="BO264" s="231"/>
    </row>
    <row r="265" spans="2:67" ht="14.25">
      <c r="B265" s="203"/>
      <c r="C265" s="203"/>
      <c r="D265" s="231"/>
      <c r="E265" s="231"/>
      <c r="F265" s="231"/>
      <c r="G265" s="231"/>
      <c r="H265" s="231"/>
      <c r="I265" s="231"/>
      <c r="J265" s="231"/>
      <c r="K265" s="231"/>
      <c r="L265" s="231"/>
      <c r="M265" s="231"/>
      <c r="N265" s="231"/>
      <c r="O265" s="231"/>
      <c r="P265" s="231"/>
      <c r="Q265" s="231"/>
      <c r="R265" s="231"/>
      <c r="S265" s="231"/>
      <c r="T265" s="231"/>
      <c r="U265" s="231"/>
      <c r="V265" s="231"/>
      <c r="W265" s="231"/>
      <c r="X265" s="231"/>
      <c r="Y265" s="231"/>
      <c r="Z265" s="231"/>
      <c r="AA265" s="231"/>
      <c r="AB265" s="231"/>
      <c r="AC265" s="231"/>
      <c r="AD265" s="231"/>
      <c r="AE265" s="231"/>
      <c r="AF265" s="231"/>
      <c r="AG265" s="231"/>
      <c r="AH265" s="231"/>
      <c r="AI265" s="231"/>
      <c r="AJ265" s="231"/>
      <c r="AK265" s="231"/>
      <c r="AL265" s="231"/>
      <c r="AM265" s="231"/>
      <c r="AN265" s="231"/>
      <c r="AO265" s="231"/>
      <c r="AP265" s="231"/>
      <c r="AQ265" s="231"/>
      <c r="AR265" s="231"/>
      <c r="AS265" s="231"/>
      <c r="AT265" s="231"/>
      <c r="AU265" s="231"/>
      <c r="AV265" s="231"/>
      <c r="AW265" s="231"/>
      <c r="AX265" s="231"/>
      <c r="AY265" s="231"/>
      <c r="AZ265" s="231"/>
      <c r="BA265" s="231"/>
      <c r="BB265" s="231"/>
      <c r="BC265" s="231"/>
      <c r="BD265" s="231"/>
      <c r="BE265" s="231"/>
      <c r="BF265" s="231"/>
      <c r="BG265" s="231"/>
      <c r="BH265" s="231"/>
      <c r="BI265" s="231"/>
      <c r="BJ265" s="231"/>
      <c r="BK265" s="231"/>
      <c r="BL265" s="231"/>
      <c r="BM265" s="231"/>
      <c r="BN265" s="231"/>
      <c r="BO265" s="231"/>
    </row>
    <row r="266" spans="2:67" ht="14.25">
      <c r="B266" s="203"/>
      <c r="C266" s="203"/>
      <c r="D266" s="231"/>
      <c r="E266" s="231"/>
      <c r="F266" s="231"/>
      <c r="G266" s="231"/>
      <c r="H266" s="231"/>
      <c r="I266" s="231"/>
      <c r="J266" s="231"/>
      <c r="K266" s="231"/>
      <c r="L266" s="231"/>
      <c r="M266" s="231"/>
      <c r="N266" s="231"/>
      <c r="O266" s="231"/>
      <c r="P266" s="231"/>
      <c r="Q266" s="231"/>
      <c r="R266" s="231"/>
      <c r="S266" s="231"/>
      <c r="T266" s="231"/>
      <c r="U266" s="231"/>
      <c r="V266" s="231"/>
      <c r="W266" s="231"/>
      <c r="X266" s="231"/>
      <c r="Y266" s="231"/>
      <c r="Z266" s="231"/>
      <c r="AA266" s="231"/>
      <c r="AB266" s="231"/>
      <c r="AC266" s="231"/>
      <c r="AD266" s="231"/>
      <c r="AE266" s="231"/>
      <c r="AF266" s="231"/>
      <c r="AG266" s="231"/>
      <c r="AH266" s="231"/>
      <c r="AI266" s="231"/>
      <c r="AJ266" s="231"/>
      <c r="AK266" s="231"/>
      <c r="AL266" s="231"/>
      <c r="AM266" s="231"/>
      <c r="AN266" s="231"/>
      <c r="AO266" s="231"/>
      <c r="AP266" s="231"/>
      <c r="AQ266" s="231"/>
      <c r="AR266" s="231"/>
      <c r="AS266" s="231"/>
      <c r="AT266" s="231"/>
      <c r="AU266" s="231"/>
      <c r="AV266" s="231"/>
      <c r="AW266" s="231"/>
      <c r="AX266" s="231"/>
      <c r="AY266" s="231"/>
      <c r="AZ266" s="231"/>
      <c r="BA266" s="231"/>
      <c r="BB266" s="231"/>
      <c r="BC266" s="231"/>
      <c r="BD266" s="231"/>
      <c r="BE266" s="231"/>
      <c r="BF266" s="231"/>
      <c r="BG266" s="231"/>
      <c r="BH266" s="231"/>
      <c r="BI266" s="231"/>
      <c r="BJ266" s="231"/>
      <c r="BK266" s="231"/>
      <c r="BL266" s="231"/>
      <c r="BM266" s="231"/>
      <c r="BN266" s="231"/>
      <c r="BO266" s="231"/>
    </row>
    <row r="267" spans="2:67" ht="14.25">
      <c r="B267" s="203"/>
      <c r="C267" s="203"/>
      <c r="D267" s="231"/>
      <c r="E267" s="231"/>
      <c r="F267" s="231"/>
      <c r="G267" s="231"/>
      <c r="H267" s="231"/>
      <c r="I267" s="231"/>
      <c r="J267" s="231"/>
      <c r="K267" s="231"/>
      <c r="L267" s="231"/>
      <c r="M267" s="231"/>
      <c r="N267" s="231"/>
      <c r="O267" s="231"/>
      <c r="P267" s="231"/>
      <c r="Q267" s="231"/>
      <c r="R267" s="231"/>
      <c r="S267" s="231"/>
      <c r="T267" s="231"/>
      <c r="U267" s="231"/>
      <c r="V267" s="231"/>
      <c r="W267" s="231"/>
      <c r="X267" s="231"/>
      <c r="Y267" s="231"/>
      <c r="Z267" s="231"/>
      <c r="AA267" s="231"/>
      <c r="AB267" s="231"/>
      <c r="AC267" s="231"/>
      <c r="AD267" s="231"/>
      <c r="AE267" s="231"/>
      <c r="AF267" s="231"/>
      <c r="AG267" s="231"/>
      <c r="AH267" s="231"/>
      <c r="AI267" s="231"/>
      <c r="AJ267" s="231"/>
      <c r="AK267" s="231"/>
      <c r="AL267" s="231"/>
      <c r="AM267" s="231"/>
      <c r="AN267" s="231"/>
      <c r="AO267" s="231"/>
      <c r="AP267" s="231"/>
      <c r="AQ267" s="231"/>
      <c r="AR267" s="231"/>
      <c r="AS267" s="231"/>
      <c r="AT267" s="231"/>
      <c r="AU267" s="231"/>
      <c r="AV267" s="231"/>
      <c r="AW267" s="231"/>
      <c r="AX267" s="231"/>
      <c r="AY267" s="231"/>
      <c r="AZ267" s="231"/>
      <c r="BA267" s="231"/>
      <c r="BB267" s="231"/>
      <c r="BC267" s="231"/>
      <c r="BD267" s="231"/>
      <c r="BE267" s="231"/>
      <c r="BF267" s="231"/>
      <c r="BG267" s="231"/>
      <c r="BH267" s="231"/>
      <c r="BI267" s="231"/>
      <c r="BJ267" s="231"/>
      <c r="BK267" s="231"/>
      <c r="BL267" s="231"/>
      <c r="BM267" s="231"/>
      <c r="BN267" s="231"/>
      <c r="BO267" s="231"/>
    </row>
    <row r="268" spans="2:67" ht="14.25">
      <c r="B268" s="203"/>
      <c r="C268" s="203"/>
      <c r="D268" s="231"/>
      <c r="E268" s="231"/>
      <c r="F268" s="231"/>
      <c r="G268" s="231"/>
      <c r="H268" s="231"/>
      <c r="I268" s="231"/>
      <c r="J268" s="231"/>
      <c r="K268" s="231"/>
      <c r="L268" s="231"/>
      <c r="M268" s="231"/>
      <c r="N268" s="231"/>
      <c r="O268" s="231"/>
      <c r="P268" s="231"/>
      <c r="Q268" s="231"/>
      <c r="R268" s="231"/>
      <c r="S268" s="231"/>
      <c r="T268" s="231"/>
      <c r="U268" s="231"/>
      <c r="V268" s="231"/>
      <c r="W268" s="231"/>
      <c r="X268" s="231"/>
      <c r="Y268" s="231"/>
      <c r="Z268" s="231"/>
      <c r="AA268" s="231"/>
      <c r="AB268" s="231"/>
      <c r="AC268" s="231"/>
      <c r="AD268" s="231"/>
      <c r="AE268" s="231"/>
      <c r="AF268" s="231"/>
      <c r="AG268" s="231"/>
      <c r="AH268" s="231"/>
      <c r="AI268" s="231"/>
      <c r="AJ268" s="231"/>
      <c r="AK268" s="231"/>
      <c r="AL268" s="231"/>
      <c r="AM268" s="231"/>
      <c r="AN268" s="231"/>
      <c r="AO268" s="231"/>
      <c r="AP268" s="231"/>
      <c r="AQ268" s="231"/>
      <c r="AR268" s="231"/>
      <c r="AS268" s="231"/>
      <c r="AT268" s="231"/>
      <c r="AU268" s="231"/>
      <c r="AV268" s="231"/>
      <c r="AW268" s="231"/>
      <c r="AX268" s="231"/>
      <c r="AY268" s="231"/>
      <c r="AZ268" s="231"/>
      <c r="BA268" s="231"/>
      <c r="BB268" s="231"/>
      <c r="BC268" s="231"/>
      <c r="BD268" s="231"/>
      <c r="BE268" s="231"/>
      <c r="BF268" s="231"/>
      <c r="BG268" s="231"/>
      <c r="BH268" s="231"/>
      <c r="BI268" s="231"/>
      <c r="BJ268" s="231"/>
      <c r="BK268" s="231"/>
      <c r="BL268" s="231"/>
      <c r="BM268" s="231"/>
      <c r="BN268" s="231"/>
      <c r="BO268" s="231"/>
    </row>
    <row r="269" spans="2:67" ht="14.25">
      <c r="B269" s="203"/>
      <c r="C269" s="203"/>
      <c r="D269" s="231"/>
      <c r="E269" s="231"/>
      <c r="F269" s="231"/>
      <c r="G269" s="231"/>
      <c r="H269" s="231"/>
      <c r="I269" s="231"/>
      <c r="J269" s="231"/>
      <c r="K269" s="231"/>
      <c r="L269" s="231"/>
      <c r="M269" s="231"/>
      <c r="N269" s="231"/>
      <c r="O269" s="231"/>
      <c r="P269" s="231"/>
      <c r="Q269" s="231"/>
      <c r="R269" s="231"/>
      <c r="S269" s="231"/>
      <c r="T269" s="231"/>
      <c r="U269" s="231"/>
      <c r="V269" s="231"/>
      <c r="W269" s="231"/>
      <c r="X269" s="231"/>
      <c r="Y269" s="231"/>
      <c r="Z269" s="231"/>
      <c r="AA269" s="231"/>
      <c r="AB269" s="231"/>
      <c r="AC269" s="231"/>
      <c r="AD269" s="231"/>
      <c r="AE269" s="231"/>
      <c r="AF269" s="231"/>
      <c r="AG269" s="231"/>
      <c r="AH269" s="231"/>
      <c r="AI269" s="231"/>
      <c r="AJ269" s="231"/>
      <c r="AK269" s="231"/>
      <c r="AL269" s="231"/>
      <c r="AM269" s="231"/>
      <c r="AN269" s="231"/>
      <c r="AO269" s="231"/>
      <c r="AP269" s="231"/>
      <c r="AQ269" s="231"/>
      <c r="AR269" s="231"/>
      <c r="AS269" s="231"/>
      <c r="AT269" s="231"/>
      <c r="AU269" s="231"/>
      <c r="AV269" s="231"/>
      <c r="AW269" s="231"/>
      <c r="AX269" s="231"/>
      <c r="AY269" s="231"/>
      <c r="AZ269" s="231"/>
      <c r="BA269" s="231"/>
      <c r="BB269" s="231"/>
      <c r="BC269" s="231"/>
      <c r="BD269" s="231"/>
      <c r="BE269" s="231"/>
      <c r="BF269" s="231"/>
      <c r="BG269" s="231"/>
      <c r="BH269" s="231"/>
      <c r="BI269" s="231"/>
      <c r="BJ269" s="231"/>
      <c r="BK269" s="231"/>
      <c r="BL269" s="231"/>
      <c r="BM269" s="231"/>
      <c r="BN269" s="231"/>
      <c r="BO269" s="231"/>
    </row>
    <row r="270" spans="2:67" ht="14.25">
      <c r="B270" s="203"/>
      <c r="C270" s="203"/>
      <c r="D270" s="231"/>
      <c r="E270" s="231"/>
      <c r="F270" s="231"/>
      <c r="G270" s="231"/>
      <c r="H270" s="231"/>
      <c r="I270" s="231"/>
      <c r="J270" s="231"/>
      <c r="K270" s="231"/>
      <c r="L270" s="231"/>
      <c r="M270" s="231"/>
      <c r="N270" s="231"/>
      <c r="O270" s="231"/>
      <c r="P270" s="231"/>
      <c r="Q270" s="231"/>
      <c r="R270" s="231"/>
      <c r="S270" s="231"/>
      <c r="T270" s="231"/>
      <c r="U270" s="231"/>
      <c r="V270" s="231"/>
      <c r="W270" s="231"/>
      <c r="X270" s="231"/>
      <c r="Y270" s="231"/>
      <c r="Z270" s="231"/>
      <c r="AA270" s="231"/>
      <c r="AB270" s="231"/>
      <c r="AC270" s="231"/>
      <c r="AD270" s="231"/>
      <c r="AE270" s="231"/>
      <c r="AF270" s="231"/>
      <c r="AG270" s="231"/>
      <c r="AH270" s="231"/>
      <c r="AI270" s="231"/>
      <c r="AJ270" s="231"/>
      <c r="AK270" s="231"/>
      <c r="AL270" s="231"/>
      <c r="AM270" s="231"/>
      <c r="AN270" s="231"/>
      <c r="AO270" s="231"/>
      <c r="AP270" s="231"/>
      <c r="AQ270" s="231"/>
      <c r="AR270" s="231"/>
      <c r="AS270" s="231"/>
      <c r="AT270" s="231"/>
      <c r="AU270" s="231"/>
      <c r="AV270" s="231"/>
      <c r="AW270" s="231"/>
      <c r="AX270" s="231"/>
      <c r="AY270" s="231"/>
      <c r="AZ270" s="231"/>
      <c r="BA270" s="231"/>
      <c r="BB270" s="231"/>
      <c r="BC270" s="231"/>
      <c r="BD270" s="231"/>
      <c r="BE270" s="231"/>
      <c r="BF270" s="231"/>
      <c r="BG270" s="231"/>
      <c r="BH270" s="231"/>
      <c r="BI270" s="231"/>
      <c r="BJ270" s="231"/>
      <c r="BK270" s="231"/>
      <c r="BL270" s="231"/>
      <c r="BM270" s="231"/>
      <c r="BN270" s="231"/>
      <c r="BO270" s="231"/>
    </row>
    <row r="271" spans="2:67" ht="14.25">
      <c r="B271" s="203"/>
      <c r="C271" s="203"/>
      <c r="D271" s="231"/>
      <c r="E271" s="231"/>
      <c r="F271" s="231"/>
      <c r="G271" s="231"/>
      <c r="H271" s="231"/>
      <c r="I271" s="231"/>
      <c r="J271" s="231"/>
      <c r="K271" s="231"/>
      <c r="L271" s="231"/>
      <c r="M271" s="231"/>
      <c r="N271" s="231"/>
      <c r="O271" s="231"/>
      <c r="P271" s="231"/>
      <c r="Q271" s="231"/>
      <c r="R271" s="231"/>
      <c r="S271" s="231"/>
      <c r="T271" s="231"/>
      <c r="U271" s="231"/>
      <c r="V271" s="231"/>
      <c r="W271" s="231"/>
      <c r="X271" s="231"/>
      <c r="Y271" s="231"/>
      <c r="Z271" s="231"/>
      <c r="AA271" s="231"/>
      <c r="AB271" s="231"/>
      <c r="AC271" s="231"/>
      <c r="AD271" s="231"/>
      <c r="AE271" s="231"/>
      <c r="AF271" s="231"/>
      <c r="AG271" s="231"/>
      <c r="AH271" s="231"/>
      <c r="AI271" s="231"/>
      <c r="AJ271" s="231"/>
      <c r="AK271" s="231"/>
      <c r="AL271" s="231"/>
      <c r="AM271" s="231"/>
      <c r="AN271" s="231"/>
      <c r="AO271" s="231"/>
      <c r="AP271" s="231"/>
      <c r="AQ271" s="231"/>
      <c r="AR271" s="231"/>
      <c r="AS271" s="231"/>
      <c r="AT271" s="231"/>
      <c r="AU271" s="231"/>
      <c r="AV271" s="231"/>
      <c r="AW271" s="231"/>
      <c r="AX271" s="231"/>
      <c r="AY271" s="231"/>
      <c r="AZ271" s="231"/>
      <c r="BA271" s="231"/>
      <c r="BB271" s="231"/>
      <c r="BC271" s="231"/>
      <c r="BD271" s="231"/>
      <c r="BE271" s="231"/>
      <c r="BF271" s="231"/>
      <c r="BG271" s="231"/>
      <c r="BH271" s="231"/>
      <c r="BI271" s="231"/>
      <c r="BJ271" s="231"/>
      <c r="BK271" s="231"/>
      <c r="BL271" s="231"/>
      <c r="BM271" s="231"/>
      <c r="BN271" s="231"/>
      <c r="BO271" s="231"/>
    </row>
    <row r="272" spans="2:67" ht="14.25">
      <c r="B272" s="203"/>
      <c r="C272" s="203"/>
      <c r="D272" s="231"/>
      <c r="E272" s="231"/>
      <c r="F272" s="231"/>
      <c r="G272" s="231"/>
      <c r="H272" s="231"/>
      <c r="I272" s="231"/>
      <c r="J272" s="231"/>
      <c r="K272" s="231"/>
      <c r="L272" s="231"/>
      <c r="M272" s="231"/>
      <c r="N272" s="231"/>
      <c r="O272" s="231"/>
      <c r="P272" s="231"/>
      <c r="Q272" s="231"/>
      <c r="R272" s="231"/>
      <c r="S272" s="231"/>
      <c r="T272" s="231"/>
      <c r="U272" s="231"/>
      <c r="V272" s="231"/>
      <c r="W272" s="231"/>
      <c r="X272" s="231"/>
      <c r="Y272" s="231"/>
      <c r="Z272" s="231"/>
      <c r="AA272" s="231"/>
      <c r="AB272" s="231"/>
      <c r="AC272" s="231"/>
      <c r="AD272" s="231"/>
      <c r="AE272" s="231"/>
      <c r="AF272" s="231"/>
      <c r="AG272" s="231"/>
      <c r="AH272" s="231"/>
      <c r="AI272" s="231"/>
      <c r="AJ272" s="231"/>
      <c r="AK272" s="231"/>
      <c r="AL272" s="231"/>
      <c r="AM272" s="231"/>
      <c r="AN272" s="231"/>
      <c r="AO272" s="231"/>
      <c r="AP272" s="231"/>
      <c r="AQ272" s="231"/>
      <c r="AR272" s="231"/>
      <c r="AS272" s="231"/>
      <c r="AT272" s="231"/>
      <c r="AU272" s="231"/>
      <c r="AV272" s="231"/>
      <c r="AW272" s="231"/>
      <c r="AX272" s="231"/>
      <c r="AY272" s="231"/>
      <c r="AZ272" s="231"/>
      <c r="BA272" s="231"/>
      <c r="BB272" s="231"/>
      <c r="BC272" s="231"/>
      <c r="BD272" s="231"/>
      <c r="BE272" s="231"/>
      <c r="BF272" s="231"/>
      <c r="BG272" s="231"/>
      <c r="BH272" s="231"/>
      <c r="BI272" s="231"/>
      <c r="BJ272" s="231"/>
      <c r="BK272" s="231"/>
      <c r="BL272" s="231"/>
      <c r="BM272" s="231"/>
      <c r="BN272" s="231"/>
      <c r="BO272" s="231"/>
    </row>
    <row r="273" spans="2:67" ht="14.25">
      <c r="B273" s="203"/>
      <c r="C273" s="203"/>
      <c r="D273" s="231"/>
      <c r="E273" s="231"/>
      <c r="F273" s="231"/>
      <c r="G273" s="231"/>
      <c r="H273" s="231"/>
      <c r="I273" s="231"/>
      <c r="J273" s="231"/>
      <c r="K273" s="231"/>
      <c r="L273" s="231"/>
      <c r="M273" s="231"/>
      <c r="N273" s="231"/>
      <c r="O273" s="231"/>
      <c r="P273" s="231"/>
      <c r="Q273" s="231"/>
      <c r="R273" s="231"/>
      <c r="S273" s="231"/>
      <c r="T273" s="231"/>
      <c r="U273" s="231"/>
      <c r="V273" s="231"/>
      <c r="W273" s="231"/>
      <c r="X273" s="231"/>
      <c r="Y273" s="231"/>
      <c r="Z273" s="231"/>
      <c r="AA273" s="231"/>
      <c r="AB273" s="231"/>
      <c r="AC273" s="231"/>
      <c r="AD273" s="231"/>
      <c r="AE273" s="231"/>
      <c r="AF273" s="231"/>
      <c r="AG273" s="231"/>
      <c r="AH273" s="231"/>
      <c r="AI273" s="231"/>
      <c r="AJ273" s="231"/>
      <c r="AK273" s="231"/>
      <c r="AL273" s="231"/>
      <c r="AM273" s="231"/>
      <c r="AN273" s="231"/>
      <c r="AO273" s="231"/>
      <c r="AP273" s="231"/>
      <c r="AQ273" s="231"/>
      <c r="AR273" s="231"/>
      <c r="AS273" s="231"/>
      <c r="AT273" s="231"/>
      <c r="AU273" s="231"/>
      <c r="AV273" s="231"/>
      <c r="AW273" s="231"/>
      <c r="AX273" s="231"/>
      <c r="AY273" s="231"/>
      <c r="AZ273" s="231"/>
      <c r="BA273" s="231"/>
      <c r="BB273" s="231"/>
      <c r="BC273" s="231"/>
      <c r="BD273" s="231"/>
      <c r="BE273" s="231"/>
      <c r="BF273" s="231"/>
      <c r="BG273" s="231"/>
      <c r="BH273" s="231"/>
      <c r="BI273" s="231"/>
      <c r="BJ273" s="231"/>
      <c r="BK273" s="231"/>
      <c r="BL273" s="231"/>
      <c r="BM273" s="231"/>
      <c r="BN273" s="231"/>
      <c r="BO273" s="231"/>
    </row>
    <row r="274" spans="2:67" ht="14.25">
      <c r="B274" s="203"/>
      <c r="C274" s="203"/>
      <c r="D274" s="231"/>
      <c r="E274" s="231"/>
      <c r="F274" s="231"/>
      <c r="G274" s="231"/>
      <c r="H274" s="231"/>
      <c r="I274" s="231"/>
      <c r="J274" s="231"/>
      <c r="K274" s="231"/>
      <c r="L274" s="231"/>
      <c r="M274" s="231"/>
      <c r="N274" s="231"/>
      <c r="O274" s="231"/>
      <c r="P274" s="231"/>
      <c r="Q274" s="231"/>
      <c r="R274" s="231"/>
      <c r="S274" s="231"/>
      <c r="T274" s="231"/>
      <c r="U274" s="231"/>
      <c r="V274" s="231"/>
      <c r="W274" s="231"/>
      <c r="X274" s="231"/>
      <c r="Y274" s="231"/>
      <c r="Z274" s="231"/>
      <c r="AA274" s="231"/>
      <c r="AB274" s="231"/>
      <c r="AC274" s="231"/>
      <c r="AD274" s="231"/>
      <c r="AE274" s="231"/>
      <c r="AF274" s="231"/>
      <c r="AG274" s="231"/>
      <c r="AH274" s="231"/>
      <c r="AI274" s="231"/>
      <c r="AJ274" s="231"/>
      <c r="AK274" s="231"/>
      <c r="AL274" s="231"/>
      <c r="AM274" s="231"/>
      <c r="AN274" s="231"/>
      <c r="AO274" s="231"/>
      <c r="AP274" s="231"/>
      <c r="AQ274" s="231"/>
      <c r="AR274" s="231"/>
      <c r="AS274" s="231"/>
      <c r="AT274" s="231"/>
      <c r="AU274" s="231"/>
      <c r="AV274" s="231"/>
      <c r="AW274" s="231"/>
      <c r="AX274" s="231"/>
      <c r="AY274" s="231"/>
      <c r="AZ274" s="231"/>
      <c r="BA274" s="231"/>
      <c r="BB274" s="231"/>
      <c r="BC274" s="231"/>
      <c r="BD274" s="231"/>
      <c r="BE274" s="231"/>
      <c r="BF274" s="231"/>
      <c r="BG274" s="231"/>
      <c r="BH274" s="231"/>
      <c r="BI274" s="231"/>
      <c r="BJ274" s="231"/>
      <c r="BK274" s="231"/>
      <c r="BL274" s="231"/>
      <c r="BM274" s="231"/>
      <c r="BN274" s="231"/>
      <c r="BO274" s="231"/>
    </row>
    <row r="275" spans="2:67" ht="14.25">
      <c r="B275" s="203"/>
      <c r="C275" s="203"/>
      <c r="D275" s="231"/>
      <c r="E275" s="231"/>
      <c r="F275" s="231"/>
      <c r="G275" s="231"/>
      <c r="H275" s="231"/>
      <c r="I275" s="231"/>
      <c r="J275" s="231"/>
      <c r="K275" s="231"/>
      <c r="L275" s="231"/>
      <c r="M275" s="231"/>
      <c r="N275" s="231"/>
      <c r="O275" s="231"/>
      <c r="P275" s="231"/>
      <c r="Q275" s="231"/>
      <c r="R275" s="231"/>
      <c r="S275" s="231"/>
      <c r="T275" s="231"/>
      <c r="U275" s="231"/>
      <c r="V275" s="231"/>
      <c r="W275" s="231"/>
      <c r="X275" s="231"/>
      <c r="Y275" s="231"/>
      <c r="Z275" s="231"/>
      <c r="AA275" s="231"/>
      <c r="AB275" s="231"/>
      <c r="AC275" s="231"/>
      <c r="AD275" s="231"/>
      <c r="AE275" s="231"/>
      <c r="AF275" s="231"/>
      <c r="AG275" s="231"/>
      <c r="AH275" s="231"/>
      <c r="AI275" s="231"/>
      <c r="AJ275" s="231"/>
      <c r="AK275" s="231"/>
      <c r="AL275" s="231"/>
      <c r="AM275" s="231"/>
      <c r="AN275" s="231"/>
      <c r="AO275" s="231"/>
      <c r="AP275" s="231"/>
      <c r="AQ275" s="231"/>
      <c r="AR275" s="231"/>
      <c r="AS275" s="231"/>
      <c r="AT275" s="231"/>
      <c r="AU275" s="231"/>
      <c r="AV275" s="231"/>
      <c r="AW275" s="231"/>
      <c r="AX275" s="231"/>
      <c r="AY275" s="231"/>
      <c r="AZ275" s="231"/>
      <c r="BA275" s="231"/>
      <c r="BB275" s="231"/>
      <c r="BC275" s="231"/>
      <c r="BD275" s="231"/>
      <c r="BE275" s="231"/>
      <c r="BF275" s="231"/>
      <c r="BG275" s="231"/>
      <c r="BH275" s="231"/>
      <c r="BI275" s="231"/>
      <c r="BJ275" s="231"/>
      <c r="BK275" s="231"/>
      <c r="BL275" s="231"/>
      <c r="BM275" s="231"/>
      <c r="BN275" s="231"/>
      <c r="BO275" s="231"/>
    </row>
    <row r="276" spans="2:67" ht="14.25">
      <c r="B276" s="203"/>
      <c r="C276" s="203"/>
      <c r="D276" s="231"/>
      <c r="E276" s="231"/>
      <c r="F276" s="231"/>
      <c r="G276" s="231"/>
      <c r="H276" s="231"/>
      <c r="I276" s="231"/>
      <c r="J276" s="231"/>
      <c r="K276" s="231"/>
      <c r="L276" s="231"/>
      <c r="M276" s="231"/>
      <c r="N276" s="231"/>
      <c r="O276" s="231"/>
      <c r="P276" s="231"/>
      <c r="Q276" s="231"/>
      <c r="R276" s="231"/>
      <c r="S276" s="231"/>
      <c r="T276" s="231"/>
      <c r="U276" s="231"/>
      <c r="V276" s="231"/>
      <c r="W276" s="231"/>
      <c r="X276" s="231"/>
      <c r="Y276" s="231"/>
      <c r="Z276" s="231"/>
      <c r="AA276" s="231"/>
      <c r="AB276" s="231"/>
      <c r="AC276" s="231"/>
      <c r="AD276" s="231"/>
      <c r="AE276" s="231"/>
      <c r="AF276" s="231"/>
      <c r="AG276" s="231"/>
      <c r="AH276" s="231"/>
      <c r="AI276" s="231"/>
      <c r="AJ276" s="231"/>
      <c r="AK276" s="231"/>
      <c r="AL276" s="231"/>
      <c r="AM276" s="231"/>
      <c r="AN276" s="231"/>
      <c r="AO276" s="231"/>
      <c r="AP276" s="231"/>
      <c r="AQ276" s="231"/>
      <c r="AR276" s="231"/>
      <c r="AS276" s="231"/>
      <c r="AT276" s="231"/>
      <c r="AU276" s="231"/>
      <c r="AV276" s="231"/>
      <c r="AW276" s="231"/>
      <c r="AX276" s="231"/>
      <c r="AY276" s="231"/>
      <c r="AZ276" s="231"/>
      <c r="BA276" s="231"/>
      <c r="BB276" s="231"/>
      <c r="BC276" s="231"/>
      <c r="BD276" s="231"/>
      <c r="BE276" s="231"/>
      <c r="BF276" s="231"/>
      <c r="BG276" s="231"/>
      <c r="BH276" s="231"/>
      <c r="BI276" s="231"/>
      <c r="BJ276" s="231"/>
      <c r="BK276" s="231"/>
      <c r="BL276" s="231"/>
      <c r="BM276" s="231"/>
      <c r="BN276" s="231"/>
      <c r="BO276" s="231"/>
    </row>
    <row r="277" spans="2:67" ht="14.25">
      <c r="B277" s="203"/>
      <c r="C277" s="203"/>
      <c r="D277" s="231"/>
      <c r="E277" s="231"/>
      <c r="F277" s="231"/>
      <c r="G277" s="231"/>
      <c r="H277" s="231"/>
      <c r="I277" s="231"/>
      <c r="J277" s="231"/>
      <c r="K277" s="231"/>
      <c r="L277" s="231"/>
      <c r="M277" s="231"/>
      <c r="N277" s="231"/>
      <c r="O277" s="231"/>
      <c r="P277" s="231"/>
      <c r="Q277" s="231"/>
      <c r="R277" s="231"/>
      <c r="S277" s="231"/>
      <c r="T277" s="231"/>
      <c r="U277" s="231"/>
      <c r="V277" s="231"/>
      <c r="W277" s="231"/>
      <c r="X277" s="231"/>
      <c r="Y277" s="231"/>
      <c r="Z277" s="231"/>
      <c r="AA277" s="231"/>
      <c r="AB277" s="231"/>
      <c r="AC277" s="231"/>
      <c r="AD277" s="231"/>
      <c r="AE277" s="231"/>
      <c r="AF277" s="231"/>
      <c r="AG277" s="231"/>
      <c r="AH277" s="231"/>
      <c r="AI277" s="231"/>
      <c r="AJ277" s="231"/>
      <c r="AK277" s="231"/>
      <c r="AL277" s="231"/>
      <c r="AM277" s="231"/>
      <c r="AN277" s="231"/>
      <c r="AO277" s="231"/>
      <c r="AP277" s="231"/>
      <c r="AQ277" s="231"/>
      <c r="AR277" s="231"/>
      <c r="AS277" s="231"/>
      <c r="AT277" s="231"/>
      <c r="AU277" s="231"/>
      <c r="AV277" s="231"/>
      <c r="AW277" s="231"/>
      <c r="AX277" s="231"/>
      <c r="AY277" s="231"/>
      <c r="AZ277" s="231"/>
      <c r="BA277" s="231"/>
      <c r="BB277" s="231"/>
      <c r="BC277" s="231"/>
      <c r="BD277" s="231"/>
      <c r="BE277" s="231"/>
      <c r="BF277" s="231"/>
      <c r="BG277" s="231"/>
      <c r="BH277" s="231"/>
      <c r="BI277" s="231"/>
      <c r="BJ277" s="231"/>
      <c r="BK277" s="231"/>
      <c r="BL277" s="231"/>
      <c r="BM277" s="231"/>
      <c r="BN277" s="231"/>
      <c r="BO277" s="231"/>
    </row>
    <row r="278" spans="2:67" ht="14.25">
      <c r="B278" s="203"/>
      <c r="C278" s="203"/>
      <c r="D278" s="231"/>
      <c r="E278" s="231"/>
      <c r="F278" s="231"/>
      <c r="G278" s="231"/>
      <c r="H278" s="231"/>
      <c r="I278" s="231"/>
      <c r="J278" s="231"/>
      <c r="K278" s="231"/>
      <c r="L278" s="231"/>
      <c r="M278" s="231"/>
      <c r="N278" s="231"/>
      <c r="O278" s="231"/>
      <c r="P278" s="231"/>
      <c r="Q278" s="231"/>
      <c r="R278" s="231"/>
      <c r="S278" s="231"/>
      <c r="T278" s="231"/>
      <c r="U278" s="231"/>
      <c r="V278" s="231"/>
      <c r="W278" s="231"/>
      <c r="X278" s="231"/>
      <c r="Y278" s="231"/>
      <c r="Z278" s="231"/>
      <c r="AA278" s="231"/>
      <c r="AB278" s="231"/>
      <c r="AC278" s="231"/>
      <c r="AD278" s="231"/>
      <c r="AE278" s="231"/>
      <c r="AF278" s="231"/>
      <c r="AG278" s="231"/>
      <c r="AH278" s="231"/>
      <c r="AI278" s="231"/>
      <c r="AJ278" s="231"/>
      <c r="AK278" s="231"/>
      <c r="AL278" s="231"/>
      <c r="AM278" s="231"/>
      <c r="AN278" s="231"/>
      <c r="AO278" s="231"/>
      <c r="AP278" s="231"/>
      <c r="AQ278" s="231"/>
      <c r="AR278" s="231"/>
      <c r="AS278" s="231"/>
      <c r="AT278" s="231"/>
      <c r="AU278" s="231"/>
      <c r="AV278" s="231"/>
      <c r="AW278" s="231"/>
      <c r="AX278" s="231"/>
      <c r="AY278" s="231"/>
      <c r="AZ278" s="231"/>
      <c r="BA278" s="231"/>
      <c r="BB278" s="231"/>
      <c r="BC278" s="231"/>
      <c r="BD278" s="231"/>
      <c r="BE278" s="231"/>
      <c r="BF278" s="231"/>
      <c r="BG278" s="231"/>
      <c r="BH278" s="231"/>
      <c r="BI278" s="231"/>
      <c r="BJ278" s="231"/>
      <c r="BK278" s="231"/>
      <c r="BL278" s="231"/>
      <c r="BM278" s="231"/>
      <c r="BN278" s="231"/>
      <c r="BO278" s="231"/>
    </row>
    <row r="279" spans="2:67" ht="14.25">
      <c r="B279" s="203"/>
      <c r="C279" s="203"/>
      <c r="D279" s="231"/>
      <c r="E279" s="231"/>
      <c r="F279" s="231"/>
      <c r="G279" s="231"/>
      <c r="H279" s="231"/>
      <c r="I279" s="231"/>
      <c r="J279" s="231"/>
      <c r="K279" s="231"/>
      <c r="L279" s="231"/>
      <c r="M279" s="231"/>
      <c r="N279" s="231"/>
      <c r="O279" s="231"/>
      <c r="P279" s="231"/>
      <c r="Q279" s="231"/>
      <c r="R279" s="231"/>
      <c r="S279" s="231"/>
      <c r="T279" s="231"/>
      <c r="U279" s="231"/>
      <c r="V279" s="231"/>
      <c r="W279" s="231"/>
      <c r="X279" s="231"/>
      <c r="Y279" s="231"/>
      <c r="Z279" s="231"/>
      <c r="AA279" s="231"/>
      <c r="AB279" s="231"/>
      <c r="AC279" s="231"/>
      <c r="AD279" s="231"/>
      <c r="AE279" s="231"/>
      <c r="AF279" s="231"/>
      <c r="AG279" s="231"/>
      <c r="AH279" s="231"/>
      <c r="AI279" s="231"/>
      <c r="AJ279" s="231"/>
      <c r="AK279" s="231"/>
      <c r="AL279" s="231"/>
      <c r="AM279" s="231"/>
      <c r="AN279" s="231"/>
      <c r="AO279" s="231"/>
      <c r="AP279" s="231"/>
      <c r="AQ279" s="231"/>
      <c r="AR279" s="231"/>
      <c r="AS279" s="231"/>
      <c r="AT279" s="231"/>
      <c r="AU279" s="231"/>
      <c r="AV279" s="231"/>
      <c r="AW279" s="231"/>
      <c r="AX279" s="231"/>
      <c r="AY279" s="231"/>
      <c r="AZ279" s="231"/>
      <c r="BA279" s="231"/>
      <c r="BB279" s="231"/>
      <c r="BC279" s="231"/>
      <c r="BD279" s="231"/>
      <c r="BE279" s="231"/>
      <c r="BF279" s="231"/>
      <c r="BG279" s="231"/>
      <c r="BH279" s="231"/>
      <c r="BI279" s="231"/>
      <c r="BJ279" s="231"/>
      <c r="BK279" s="231"/>
      <c r="BL279" s="231"/>
      <c r="BM279" s="231"/>
      <c r="BN279" s="231"/>
      <c r="BO279" s="231"/>
    </row>
    <row r="280" spans="2:67" ht="14.25">
      <c r="B280" s="203"/>
      <c r="C280" s="203"/>
      <c r="D280" s="231"/>
      <c r="E280" s="231"/>
      <c r="F280" s="231"/>
      <c r="G280" s="231"/>
      <c r="H280" s="231"/>
      <c r="I280" s="231"/>
      <c r="J280" s="231"/>
      <c r="K280" s="231"/>
      <c r="L280" s="231"/>
      <c r="M280" s="231"/>
      <c r="N280" s="231"/>
      <c r="O280" s="231"/>
      <c r="P280" s="231"/>
      <c r="Q280" s="231"/>
      <c r="R280" s="231"/>
      <c r="S280" s="231"/>
      <c r="T280" s="231"/>
      <c r="U280" s="231"/>
      <c r="V280" s="231"/>
      <c r="W280" s="231"/>
      <c r="X280" s="231"/>
      <c r="Y280" s="231"/>
      <c r="Z280" s="231"/>
      <c r="AA280" s="231"/>
      <c r="AB280" s="231"/>
      <c r="AC280" s="231"/>
      <c r="AD280" s="231"/>
      <c r="AE280" s="231"/>
      <c r="AF280" s="231"/>
      <c r="AG280" s="231"/>
      <c r="AH280" s="231"/>
      <c r="AI280" s="231"/>
      <c r="AJ280" s="231"/>
      <c r="AK280" s="231"/>
      <c r="AL280" s="231"/>
      <c r="AM280" s="231"/>
      <c r="AN280" s="231"/>
      <c r="AO280" s="231"/>
      <c r="AP280" s="231"/>
      <c r="AQ280" s="231"/>
      <c r="AR280" s="231"/>
      <c r="AS280" s="231"/>
      <c r="AT280" s="231"/>
      <c r="AU280" s="231"/>
      <c r="AV280" s="231"/>
      <c r="AW280" s="231"/>
      <c r="AX280" s="231"/>
      <c r="AY280" s="231"/>
      <c r="AZ280" s="231"/>
      <c r="BA280" s="231"/>
      <c r="BB280" s="231"/>
      <c r="BC280" s="231"/>
      <c r="BD280" s="231"/>
      <c r="BE280" s="231"/>
      <c r="BF280" s="231"/>
      <c r="BG280" s="231"/>
      <c r="BH280" s="231"/>
      <c r="BI280" s="231"/>
      <c r="BJ280" s="231"/>
      <c r="BK280" s="231"/>
      <c r="BL280" s="231"/>
      <c r="BM280" s="231"/>
      <c r="BN280" s="231"/>
      <c r="BO280" s="231"/>
    </row>
    <row r="281" spans="2:67" ht="14.25">
      <c r="B281" s="203"/>
      <c r="C281" s="203"/>
      <c r="D281" s="231"/>
      <c r="E281" s="231"/>
      <c r="F281" s="231"/>
      <c r="G281" s="231"/>
      <c r="H281" s="231"/>
      <c r="I281" s="231"/>
      <c r="J281" s="231"/>
      <c r="K281" s="231"/>
      <c r="L281" s="231"/>
      <c r="M281" s="231"/>
      <c r="N281" s="231"/>
      <c r="O281" s="231"/>
      <c r="P281" s="231"/>
      <c r="Q281" s="231"/>
      <c r="R281" s="231"/>
      <c r="S281" s="231"/>
      <c r="T281" s="231"/>
      <c r="U281" s="231"/>
      <c r="V281" s="231"/>
      <c r="W281" s="231"/>
      <c r="X281" s="231"/>
      <c r="Y281" s="231"/>
      <c r="Z281" s="231"/>
      <c r="AA281" s="231"/>
      <c r="AB281" s="231"/>
      <c r="AC281" s="231"/>
      <c r="AD281" s="231"/>
      <c r="AE281" s="231"/>
      <c r="AF281" s="231"/>
      <c r="AG281" s="231"/>
      <c r="AH281" s="231"/>
      <c r="AI281" s="231"/>
      <c r="AJ281" s="231"/>
      <c r="AK281" s="231"/>
      <c r="AL281" s="231"/>
      <c r="AM281" s="231"/>
      <c r="AN281" s="231"/>
      <c r="AO281" s="231"/>
      <c r="AP281" s="231"/>
      <c r="AQ281" s="231"/>
      <c r="AR281" s="231"/>
      <c r="AS281" s="231"/>
      <c r="AT281" s="231"/>
      <c r="AU281" s="231"/>
      <c r="AV281" s="231"/>
      <c r="AW281" s="231"/>
      <c r="AX281" s="231"/>
      <c r="AY281" s="231"/>
      <c r="AZ281" s="231"/>
      <c r="BA281" s="231"/>
      <c r="BB281" s="231"/>
      <c r="BC281" s="231"/>
      <c r="BD281" s="231"/>
      <c r="BE281" s="231"/>
      <c r="BF281" s="231"/>
      <c r="BG281" s="231"/>
      <c r="BH281" s="231"/>
      <c r="BI281" s="231"/>
      <c r="BJ281" s="231"/>
      <c r="BK281" s="231"/>
      <c r="BL281" s="231"/>
      <c r="BM281" s="231"/>
      <c r="BN281" s="231"/>
      <c r="BO281" s="231"/>
    </row>
    <row r="282" spans="2:67" ht="14.25">
      <c r="B282" s="203"/>
      <c r="C282" s="203"/>
      <c r="D282" s="231"/>
      <c r="E282" s="231"/>
      <c r="F282" s="231"/>
      <c r="G282" s="231"/>
      <c r="H282" s="231"/>
      <c r="I282" s="231"/>
      <c r="J282" s="231"/>
      <c r="K282" s="231"/>
      <c r="L282" s="231"/>
      <c r="M282" s="231"/>
      <c r="N282" s="231"/>
      <c r="O282" s="231"/>
      <c r="P282" s="231"/>
      <c r="Q282" s="231"/>
      <c r="R282" s="231"/>
      <c r="S282" s="231"/>
      <c r="T282" s="231"/>
      <c r="U282" s="231"/>
      <c r="V282" s="231"/>
      <c r="W282" s="231"/>
      <c r="X282" s="231"/>
      <c r="Y282" s="231"/>
      <c r="Z282" s="231"/>
      <c r="AA282" s="231"/>
      <c r="AB282" s="231"/>
      <c r="AC282" s="231"/>
      <c r="AD282" s="231"/>
      <c r="AE282" s="231"/>
      <c r="AF282" s="231"/>
      <c r="AG282" s="231"/>
      <c r="AH282" s="231"/>
      <c r="AI282" s="231"/>
      <c r="AJ282" s="231"/>
      <c r="AK282" s="231"/>
      <c r="AL282" s="231"/>
      <c r="AM282" s="231"/>
      <c r="AN282" s="231"/>
      <c r="AO282" s="231"/>
      <c r="AP282" s="231"/>
      <c r="AQ282" s="231"/>
      <c r="AR282" s="231"/>
      <c r="AS282" s="231"/>
      <c r="AT282" s="231"/>
      <c r="AU282" s="231"/>
      <c r="AV282" s="231"/>
      <c r="AW282" s="231"/>
      <c r="AX282" s="231"/>
      <c r="AY282" s="231"/>
      <c r="AZ282" s="231"/>
      <c r="BA282" s="231"/>
      <c r="BB282" s="231"/>
      <c r="BC282" s="231"/>
      <c r="BD282" s="231"/>
      <c r="BE282" s="231"/>
      <c r="BF282" s="231"/>
      <c r="BG282" s="231"/>
      <c r="BH282" s="231"/>
      <c r="BI282" s="231"/>
      <c r="BJ282" s="231"/>
      <c r="BK282" s="231"/>
      <c r="BL282" s="231"/>
      <c r="BM282" s="231"/>
      <c r="BN282" s="231"/>
      <c r="BO282" s="231"/>
    </row>
    <row r="283" spans="2:67" ht="14.25">
      <c r="B283" s="203"/>
      <c r="C283" s="203"/>
      <c r="D283" s="231"/>
      <c r="E283" s="231"/>
      <c r="F283" s="231"/>
      <c r="G283" s="231"/>
      <c r="H283" s="231"/>
      <c r="I283" s="231"/>
      <c r="J283" s="231"/>
      <c r="K283" s="231"/>
      <c r="L283" s="231"/>
      <c r="M283" s="231"/>
      <c r="N283" s="231"/>
      <c r="O283" s="231"/>
      <c r="P283" s="231"/>
      <c r="Q283" s="231"/>
      <c r="R283" s="231"/>
      <c r="S283" s="231"/>
      <c r="T283" s="231"/>
      <c r="U283" s="231"/>
      <c r="V283" s="231"/>
      <c r="W283" s="231"/>
      <c r="X283" s="231"/>
      <c r="Y283" s="231"/>
      <c r="Z283" s="231"/>
      <c r="AA283" s="231"/>
      <c r="AB283" s="231"/>
      <c r="AC283" s="231"/>
      <c r="AD283" s="231"/>
      <c r="AE283" s="231"/>
      <c r="AF283" s="231"/>
      <c r="AG283" s="231"/>
      <c r="AH283" s="231"/>
      <c r="AI283" s="231"/>
      <c r="AJ283" s="231"/>
      <c r="AK283" s="231"/>
      <c r="AL283" s="231"/>
      <c r="AM283" s="231"/>
      <c r="AN283" s="231"/>
      <c r="AO283" s="231"/>
      <c r="AP283" s="231"/>
      <c r="AQ283" s="231"/>
      <c r="AR283" s="231"/>
      <c r="AS283" s="231"/>
      <c r="AT283" s="231"/>
      <c r="AU283" s="231"/>
      <c r="AV283" s="231"/>
      <c r="AW283" s="231"/>
      <c r="AX283" s="231"/>
      <c r="AY283" s="231"/>
      <c r="AZ283" s="231"/>
      <c r="BA283" s="231"/>
      <c r="BB283" s="231"/>
      <c r="BC283" s="231"/>
      <c r="BD283" s="231"/>
      <c r="BE283" s="231"/>
      <c r="BF283" s="231"/>
      <c r="BG283" s="231"/>
      <c r="BH283" s="231"/>
      <c r="BI283" s="231"/>
      <c r="BJ283" s="231"/>
      <c r="BK283" s="231"/>
      <c r="BL283" s="231"/>
      <c r="BM283" s="231"/>
      <c r="BN283" s="231"/>
      <c r="BO283" s="231"/>
    </row>
    <row r="284" spans="2:67" ht="14.25">
      <c r="B284" s="203"/>
      <c r="C284" s="203"/>
      <c r="D284" s="231"/>
      <c r="E284" s="231"/>
      <c r="F284" s="231"/>
      <c r="G284" s="231"/>
      <c r="H284" s="231"/>
      <c r="I284" s="231"/>
      <c r="J284" s="231"/>
      <c r="K284" s="231"/>
      <c r="L284" s="231"/>
      <c r="M284" s="231"/>
      <c r="N284" s="231"/>
      <c r="O284" s="231"/>
      <c r="P284" s="231"/>
      <c r="Q284" s="231"/>
      <c r="R284" s="231"/>
      <c r="S284" s="231"/>
      <c r="T284" s="231"/>
      <c r="U284" s="231"/>
      <c r="V284" s="231"/>
      <c r="W284" s="231"/>
      <c r="X284" s="231"/>
      <c r="Y284" s="231"/>
      <c r="Z284" s="231"/>
      <c r="AA284" s="231"/>
      <c r="AB284" s="231"/>
      <c r="AC284" s="231"/>
      <c r="AD284" s="231"/>
      <c r="AE284" s="231"/>
      <c r="AF284" s="231"/>
      <c r="AG284" s="231"/>
      <c r="AH284" s="231"/>
      <c r="AI284" s="231"/>
      <c r="AJ284" s="231"/>
      <c r="AK284" s="231"/>
      <c r="AL284" s="231"/>
      <c r="AM284" s="231"/>
      <c r="AN284" s="231"/>
      <c r="AO284" s="231"/>
      <c r="AP284" s="231"/>
      <c r="AQ284" s="231"/>
      <c r="AR284" s="231"/>
      <c r="AS284" s="231"/>
      <c r="AT284" s="231"/>
      <c r="AU284" s="231"/>
      <c r="AV284" s="231"/>
      <c r="AW284" s="231"/>
      <c r="AX284" s="231"/>
      <c r="AY284" s="231"/>
      <c r="AZ284" s="231"/>
      <c r="BA284" s="231"/>
      <c r="BB284" s="231"/>
      <c r="BC284" s="231"/>
      <c r="BD284" s="231"/>
      <c r="BE284" s="231"/>
      <c r="BF284" s="231"/>
      <c r="BG284" s="231"/>
      <c r="BH284" s="231"/>
      <c r="BI284" s="231"/>
      <c r="BJ284" s="231"/>
      <c r="BK284" s="231"/>
      <c r="BL284" s="231"/>
      <c r="BM284" s="231"/>
      <c r="BN284" s="231"/>
      <c r="BO284" s="231"/>
    </row>
    <row r="285" spans="2:67" ht="14.25">
      <c r="B285" s="203"/>
      <c r="C285" s="203"/>
      <c r="D285" s="231"/>
      <c r="E285" s="231"/>
      <c r="F285" s="231"/>
      <c r="G285" s="231"/>
      <c r="H285" s="231"/>
      <c r="I285" s="231"/>
      <c r="J285" s="231"/>
      <c r="K285" s="231"/>
      <c r="L285" s="231"/>
      <c r="M285" s="231"/>
      <c r="N285" s="231"/>
      <c r="O285" s="231"/>
      <c r="P285" s="231"/>
      <c r="Q285" s="231"/>
      <c r="R285" s="231"/>
      <c r="S285" s="231"/>
      <c r="T285" s="231"/>
      <c r="U285" s="231"/>
      <c r="V285" s="231"/>
      <c r="W285" s="231"/>
      <c r="X285" s="231"/>
      <c r="Y285" s="231"/>
      <c r="Z285" s="231"/>
      <c r="AA285" s="231"/>
      <c r="AB285" s="231"/>
      <c r="AC285" s="231"/>
      <c r="AD285" s="231"/>
      <c r="AE285" s="231"/>
      <c r="AF285" s="231"/>
      <c r="AG285" s="231"/>
      <c r="AH285" s="231"/>
      <c r="AI285" s="231"/>
      <c r="AJ285" s="231"/>
      <c r="AK285" s="231"/>
      <c r="AL285" s="231"/>
      <c r="AM285" s="231"/>
      <c r="AN285" s="231"/>
      <c r="AO285" s="231"/>
      <c r="AP285" s="231"/>
      <c r="AQ285" s="231"/>
      <c r="AR285" s="231"/>
      <c r="AS285" s="231"/>
      <c r="AT285" s="231"/>
      <c r="AU285" s="231"/>
      <c r="AV285" s="231"/>
      <c r="AW285" s="231"/>
      <c r="AX285" s="231"/>
      <c r="AY285" s="231"/>
      <c r="AZ285" s="231"/>
      <c r="BA285" s="231"/>
      <c r="BB285" s="231"/>
      <c r="BC285" s="231"/>
      <c r="BD285" s="231"/>
      <c r="BE285" s="231"/>
      <c r="BF285" s="231"/>
      <c r="BG285" s="231"/>
      <c r="BH285" s="231"/>
      <c r="BI285" s="231"/>
      <c r="BJ285" s="231"/>
      <c r="BK285" s="231"/>
      <c r="BL285" s="231"/>
      <c r="BM285" s="231"/>
      <c r="BN285" s="231"/>
      <c r="BO285" s="231"/>
    </row>
    <row r="286" spans="2:67" ht="14.25">
      <c r="B286" s="203"/>
      <c r="C286" s="203"/>
      <c r="D286" s="231"/>
      <c r="E286" s="231"/>
      <c r="F286" s="231"/>
      <c r="G286" s="231"/>
      <c r="H286" s="231"/>
      <c r="I286" s="231"/>
      <c r="J286" s="231"/>
      <c r="K286" s="231"/>
      <c r="L286" s="231"/>
      <c r="M286" s="231"/>
      <c r="N286" s="231"/>
      <c r="O286" s="231"/>
      <c r="P286" s="231"/>
      <c r="Q286" s="231"/>
      <c r="R286" s="231"/>
      <c r="S286" s="231"/>
      <c r="T286" s="231"/>
      <c r="U286" s="231"/>
      <c r="V286" s="231"/>
      <c r="W286" s="231"/>
      <c r="X286" s="231"/>
      <c r="Y286" s="231"/>
      <c r="Z286" s="231"/>
      <c r="AA286" s="231"/>
      <c r="AB286" s="231"/>
      <c r="AC286" s="231"/>
      <c r="AD286" s="231"/>
      <c r="AE286" s="231"/>
      <c r="AF286" s="231"/>
      <c r="AG286" s="231"/>
      <c r="AH286" s="231"/>
      <c r="AI286" s="231"/>
      <c r="AJ286" s="231"/>
      <c r="AK286" s="231"/>
      <c r="AL286" s="231"/>
      <c r="AM286" s="231"/>
      <c r="AN286" s="231"/>
      <c r="AO286" s="231"/>
      <c r="AP286" s="231"/>
      <c r="AQ286" s="231"/>
      <c r="AR286" s="231"/>
      <c r="AS286" s="231"/>
      <c r="AT286" s="231"/>
      <c r="AU286" s="231"/>
      <c r="AV286" s="231"/>
      <c r="AW286" s="231"/>
      <c r="AX286" s="231"/>
      <c r="AY286" s="231"/>
      <c r="AZ286" s="231"/>
      <c r="BA286" s="231"/>
      <c r="BB286" s="231"/>
      <c r="BC286" s="231"/>
      <c r="BD286" s="231"/>
      <c r="BE286" s="231"/>
      <c r="BF286" s="231"/>
      <c r="BG286" s="231"/>
      <c r="BH286" s="231"/>
      <c r="BI286" s="231"/>
      <c r="BJ286" s="231"/>
      <c r="BK286" s="231"/>
      <c r="BL286" s="231"/>
      <c r="BM286" s="231"/>
      <c r="BN286" s="231"/>
      <c r="BO286" s="231"/>
    </row>
    <row r="287" spans="2:67" ht="14.25">
      <c r="B287" s="203"/>
      <c r="C287" s="203"/>
      <c r="D287" s="231"/>
      <c r="E287" s="231"/>
      <c r="F287" s="231"/>
      <c r="G287" s="231"/>
      <c r="H287" s="231"/>
      <c r="I287" s="231"/>
      <c r="J287" s="231"/>
      <c r="K287" s="231"/>
      <c r="L287" s="231"/>
      <c r="M287" s="231"/>
      <c r="N287" s="231"/>
      <c r="O287" s="231"/>
      <c r="P287" s="231"/>
      <c r="Q287" s="231"/>
      <c r="R287" s="231"/>
      <c r="S287" s="231"/>
      <c r="T287" s="231"/>
      <c r="U287" s="231"/>
      <c r="V287" s="231"/>
      <c r="W287" s="231"/>
      <c r="X287" s="231"/>
      <c r="Y287" s="231"/>
      <c r="Z287" s="231"/>
      <c r="AA287" s="231"/>
      <c r="AB287" s="231"/>
      <c r="AC287" s="231"/>
      <c r="AD287" s="231"/>
      <c r="AE287" s="231"/>
      <c r="AF287" s="231"/>
      <c r="AG287" s="231"/>
      <c r="AH287" s="231"/>
      <c r="AI287" s="231"/>
      <c r="AJ287" s="231"/>
      <c r="AK287" s="231"/>
      <c r="AL287" s="231"/>
      <c r="AM287" s="231"/>
      <c r="AN287" s="231"/>
      <c r="AO287" s="231"/>
      <c r="AP287" s="231"/>
      <c r="AQ287" s="231"/>
      <c r="AR287" s="231"/>
      <c r="AS287" s="231"/>
      <c r="AT287" s="231"/>
      <c r="AU287" s="231"/>
      <c r="AV287" s="231"/>
      <c r="AW287" s="231"/>
      <c r="AX287" s="231"/>
      <c r="AY287" s="231"/>
      <c r="AZ287" s="231"/>
      <c r="BA287" s="231"/>
      <c r="BB287" s="231"/>
      <c r="BC287" s="231"/>
      <c r="BD287" s="231"/>
      <c r="BE287" s="231"/>
      <c r="BF287" s="231"/>
      <c r="BG287" s="231"/>
      <c r="BH287" s="231"/>
      <c r="BI287" s="231"/>
      <c r="BJ287" s="231"/>
      <c r="BK287" s="231"/>
      <c r="BL287" s="231"/>
      <c r="BM287" s="231"/>
      <c r="BN287" s="231"/>
      <c r="BO287" s="231"/>
    </row>
    <row r="288" spans="2:67" ht="14.25">
      <c r="B288" s="203"/>
      <c r="C288" s="203"/>
      <c r="D288" s="231"/>
      <c r="E288" s="231"/>
      <c r="F288" s="231"/>
      <c r="G288" s="231"/>
      <c r="H288" s="231"/>
      <c r="I288" s="231"/>
      <c r="J288" s="231"/>
      <c r="K288" s="231"/>
      <c r="L288" s="231"/>
      <c r="M288" s="231"/>
      <c r="N288" s="231"/>
      <c r="O288" s="231"/>
      <c r="P288" s="231"/>
      <c r="Q288" s="231"/>
      <c r="R288" s="231"/>
      <c r="S288" s="231"/>
      <c r="T288" s="231"/>
      <c r="U288" s="231"/>
      <c r="V288" s="231"/>
      <c r="W288" s="231"/>
      <c r="X288" s="231"/>
      <c r="Y288" s="231"/>
      <c r="Z288" s="231"/>
      <c r="AA288" s="231"/>
      <c r="AB288" s="231"/>
      <c r="AC288" s="231"/>
      <c r="AD288" s="231"/>
      <c r="AE288" s="231"/>
      <c r="AF288" s="231"/>
      <c r="AG288" s="231"/>
      <c r="AH288" s="231"/>
      <c r="AI288" s="231"/>
      <c r="AJ288" s="231"/>
      <c r="AK288" s="231"/>
      <c r="AL288" s="231"/>
      <c r="AM288" s="231"/>
      <c r="AN288" s="231"/>
      <c r="AO288" s="231"/>
      <c r="AP288" s="231"/>
      <c r="AQ288" s="231"/>
      <c r="AR288" s="231"/>
      <c r="AS288" s="231"/>
      <c r="AT288" s="231"/>
      <c r="AU288" s="231"/>
      <c r="AV288" s="231"/>
      <c r="AW288" s="231"/>
      <c r="AX288" s="231"/>
      <c r="AY288" s="231"/>
      <c r="AZ288" s="231"/>
      <c r="BA288" s="231"/>
      <c r="BB288" s="231"/>
      <c r="BC288" s="231"/>
      <c r="BD288" s="231"/>
      <c r="BE288" s="231"/>
      <c r="BF288" s="231"/>
      <c r="BG288" s="231"/>
      <c r="BH288" s="231"/>
      <c r="BI288" s="231"/>
      <c r="BJ288" s="231"/>
      <c r="BK288" s="231"/>
      <c r="BL288" s="231"/>
      <c r="BM288" s="231"/>
      <c r="BN288" s="231"/>
      <c r="BO288" s="231"/>
    </row>
    <row r="289" spans="2:85" ht="14.25">
      <c r="B289" s="203"/>
      <c r="C289" s="203"/>
      <c r="D289" s="231"/>
      <c r="E289" s="231"/>
      <c r="F289" s="231"/>
      <c r="G289" s="231"/>
      <c r="H289" s="231"/>
      <c r="I289" s="231"/>
      <c r="J289" s="231"/>
      <c r="K289" s="231"/>
      <c r="L289" s="231"/>
      <c r="M289" s="231"/>
      <c r="N289" s="231"/>
      <c r="O289" s="231"/>
      <c r="P289" s="231"/>
      <c r="Q289" s="231"/>
      <c r="R289" s="231"/>
      <c r="S289" s="231"/>
      <c r="T289" s="231"/>
      <c r="U289" s="231"/>
      <c r="V289" s="231"/>
      <c r="W289" s="231"/>
      <c r="X289" s="231"/>
      <c r="Y289" s="231"/>
      <c r="Z289" s="231"/>
      <c r="AA289" s="231"/>
      <c r="AB289" s="231"/>
      <c r="AC289" s="231"/>
      <c r="AD289" s="231"/>
      <c r="AE289" s="231"/>
      <c r="AF289" s="231"/>
      <c r="AG289" s="231"/>
      <c r="AH289" s="231"/>
      <c r="AI289" s="231"/>
      <c r="AJ289" s="231"/>
      <c r="AK289" s="231"/>
      <c r="AL289" s="231"/>
      <c r="AM289" s="231"/>
      <c r="AN289" s="231"/>
      <c r="AO289" s="231"/>
      <c r="AP289" s="231"/>
      <c r="AQ289" s="231"/>
      <c r="AR289" s="231"/>
      <c r="AS289" s="231"/>
      <c r="AT289" s="231"/>
      <c r="AU289" s="231"/>
      <c r="AV289" s="231"/>
      <c r="AW289" s="231"/>
      <c r="AX289" s="231"/>
      <c r="AY289" s="231"/>
      <c r="AZ289" s="231"/>
      <c r="BA289" s="231"/>
      <c r="BB289" s="231"/>
      <c r="BC289" s="231"/>
      <c r="BD289" s="231"/>
      <c r="BE289" s="231"/>
      <c r="BF289" s="231"/>
      <c r="BG289" s="231"/>
      <c r="BH289" s="231"/>
      <c r="BI289" s="231"/>
      <c r="BJ289" s="231"/>
      <c r="BK289" s="231"/>
      <c r="BL289" s="231"/>
      <c r="BM289" s="231"/>
      <c r="BN289" s="231"/>
      <c r="BO289" s="231"/>
    </row>
    <row r="290" spans="2:85" ht="14.25">
      <c r="B290" s="203"/>
      <c r="C290" s="203"/>
      <c r="D290" s="231"/>
      <c r="E290" s="231"/>
      <c r="F290" s="231"/>
      <c r="G290" s="231"/>
      <c r="H290" s="231"/>
      <c r="I290" s="231"/>
      <c r="J290" s="231"/>
      <c r="K290" s="231"/>
      <c r="L290" s="231"/>
      <c r="M290" s="231"/>
      <c r="N290" s="231"/>
      <c r="O290" s="231"/>
      <c r="P290" s="231"/>
      <c r="Q290" s="231"/>
      <c r="R290" s="231"/>
      <c r="S290" s="231"/>
      <c r="T290" s="231"/>
      <c r="U290" s="231"/>
      <c r="V290" s="231"/>
      <c r="W290" s="231"/>
      <c r="X290" s="231"/>
      <c r="Y290" s="231"/>
      <c r="Z290" s="231"/>
      <c r="AA290" s="231"/>
      <c r="AB290" s="231"/>
      <c r="AC290" s="231"/>
      <c r="AD290" s="231"/>
      <c r="AE290" s="231"/>
      <c r="AF290" s="231"/>
      <c r="AG290" s="231"/>
      <c r="AH290" s="231"/>
      <c r="AI290" s="231"/>
      <c r="AJ290" s="231"/>
      <c r="AK290" s="231"/>
      <c r="AL290" s="231"/>
      <c r="AM290" s="231"/>
      <c r="AN290" s="231"/>
      <c r="AO290" s="231"/>
      <c r="AP290" s="231"/>
      <c r="AQ290" s="231"/>
      <c r="AR290" s="231"/>
      <c r="AS290" s="231"/>
      <c r="AT290" s="231"/>
      <c r="AU290" s="231"/>
      <c r="AV290" s="231"/>
      <c r="AW290" s="231"/>
      <c r="AX290" s="231"/>
      <c r="AY290" s="231"/>
      <c r="AZ290" s="231"/>
      <c r="BA290" s="231"/>
      <c r="BB290" s="231"/>
      <c r="BC290" s="231"/>
      <c r="BD290" s="231"/>
      <c r="BE290" s="231"/>
      <c r="BF290" s="231"/>
      <c r="BG290" s="231"/>
      <c r="BH290" s="231"/>
      <c r="BI290" s="231"/>
      <c r="BJ290" s="231"/>
      <c r="BK290" s="231"/>
      <c r="BL290" s="231"/>
      <c r="BM290" s="231"/>
      <c r="BN290" s="231"/>
      <c r="BO290" s="231"/>
    </row>
    <row r="291" spans="2:85" ht="14.25">
      <c r="B291" s="203"/>
      <c r="C291" s="203"/>
      <c r="D291" s="231"/>
      <c r="E291" s="231"/>
      <c r="F291" s="231"/>
      <c r="G291" s="231"/>
      <c r="H291" s="231"/>
      <c r="I291" s="231"/>
      <c r="J291" s="231"/>
      <c r="K291" s="231"/>
      <c r="L291" s="231"/>
      <c r="M291" s="231"/>
      <c r="N291" s="231"/>
      <c r="O291" s="231"/>
      <c r="P291" s="231"/>
      <c r="Q291" s="231"/>
      <c r="R291" s="231"/>
      <c r="S291" s="231"/>
      <c r="T291" s="231"/>
      <c r="U291" s="231"/>
      <c r="V291" s="231"/>
      <c r="W291" s="231"/>
      <c r="X291" s="231"/>
      <c r="Y291" s="231"/>
      <c r="Z291" s="231"/>
      <c r="AA291" s="231"/>
      <c r="AB291" s="231"/>
      <c r="AC291" s="231"/>
      <c r="AD291" s="231"/>
      <c r="AE291" s="231"/>
      <c r="AF291" s="231"/>
      <c r="AG291" s="231"/>
      <c r="AH291" s="231"/>
      <c r="AI291" s="231"/>
      <c r="AJ291" s="231"/>
      <c r="AK291" s="231"/>
      <c r="AL291" s="231"/>
      <c r="AM291" s="231"/>
      <c r="AN291" s="231"/>
      <c r="AO291" s="231"/>
      <c r="AP291" s="231"/>
      <c r="AQ291" s="231"/>
      <c r="AR291" s="231"/>
      <c r="AS291" s="231"/>
      <c r="AT291" s="231"/>
      <c r="AU291" s="231"/>
      <c r="AV291" s="231"/>
      <c r="AW291" s="231"/>
      <c r="AX291" s="231"/>
      <c r="AY291" s="231"/>
      <c r="AZ291" s="231"/>
      <c r="BA291" s="231"/>
      <c r="BB291" s="231"/>
      <c r="BC291" s="231"/>
      <c r="BD291" s="231"/>
      <c r="BE291" s="231"/>
      <c r="BF291" s="231"/>
      <c r="BG291" s="231"/>
      <c r="BH291" s="231"/>
      <c r="BI291" s="231"/>
      <c r="BJ291" s="231"/>
      <c r="BK291" s="231"/>
      <c r="BL291" s="231"/>
      <c r="BM291" s="231"/>
      <c r="BN291" s="231"/>
      <c r="BO291" s="231"/>
    </row>
    <row r="292" spans="2:85" ht="14.25">
      <c r="B292" s="203"/>
      <c r="C292" s="203"/>
      <c r="D292" s="231"/>
      <c r="E292" s="231"/>
      <c r="F292" s="231"/>
      <c r="G292" s="231"/>
      <c r="H292" s="231"/>
      <c r="I292" s="231"/>
      <c r="J292" s="231"/>
      <c r="K292" s="231"/>
      <c r="L292" s="231"/>
      <c r="M292" s="231"/>
      <c r="N292" s="231"/>
      <c r="O292" s="231"/>
      <c r="P292" s="231"/>
      <c r="Q292" s="231"/>
      <c r="R292" s="231"/>
      <c r="S292" s="231"/>
      <c r="T292" s="231"/>
      <c r="U292" s="231"/>
      <c r="V292" s="231"/>
      <c r="W292" s="231"/>
      <c r="X292" s="231"/>
      <c r="Y292" s="231"/>
      <c r="Z292" s="231"/>
      <c r="AA292" s="231"/>
      <c r="AB292" s="231"/>
      <c r="AC292" s="231"/>
      <c r="AD292" s="231"/>
      <c r="AE292" s="231"/>
      <c r="AF292" s="231"/>
      <c r="AG292" s="231"/>
      <c r="AH292" s="231"/>
      <c r="AI292" s="231"/>
      <c r="AJ292" s="231"/>
      <c r="AK292" s="231"/>
      <c r="AL292" s="231"/>
      <c r="AM292" s="231"/>
      <c r="AN292" s="231"/>
      <c r="AO292" s="231"/>
      <c r="AP292" s="231"/>
      <c r="AQ292" s="231"/>
      <c r="AR292" s="231"/>
      <c r="AS292" s="231"/>
      <c r="AT292" s="231"/>
      <c r="AU292" s="231"/>
      <c r="AV292" s="231"/>
      <c r="AW292" s="231"/>
      <c r="AX292" s="231"/>
      <c r="AY292" s="231"/>
      <c r="AZ292" s="231"/>
      <c r="BA292" s="231"/>
      <c r="BB292" s="231"/>
      <c r="BC292" s="231"/>
      <c r="BD292" s="231"/>
      <c r="BE292" s="231"/>
      <c r="BF292" s="231"/>
      <c r="BG292" s="231"/>
      <c r="BH292" s="231"/>
      <c r="BI292" s="231"/>
      <c r="BJ292" s="231"/>
      <c r="BK292" s="231"/>
      <c r="BL292" s="231"/>
      <c r="BM292" s="231"/>
      <c r="BN292" s="231"/>
      <c r="BO292" s="231"/>
    </row>
    <row r="293" spans="2:85" ht="14.25">
      <c r="B293" s="203"/>
      <c r="C293" s="203"/>
      <c r="D293" s="231"/>
      <c r="E293" s="231"/>
      <c r="F293" s="231"/>
      <c r="G293" s="231"/>
      <c r="H293" s="231"/>
      <c r="I293" s="231"/>
      <c r="J293" s="231"/>
      <c r="K293" s="231"/>
      <c r="L293" s="231"/>
      <c r="M293" s="231"/>
      <c r="N293" s="231"/>
      <c r="O293" s="231"/>
      <c r="P293" s="231"/>
      <c r="Q293" s="231"/>
      <c r="R293" s="231"/>
      <c r="S293" s="231"/>
      <c r="T293" s="231"/>
      <c r="U293" s="231"/>
      <c r="V293" s="231"/>
      <c r="W293" s="231"/>
      <c r="X293" s="231"/>
      <c r="Y293" s="231"/>
      <c r="Z293" s="231"/>
      <c r="AA293" s="231"/>
      <c r="AB293" s="231"/>
      <c r="AC293" s="231"/>
      <c r="AD293" s="231"/>
      <c r="AE293" s="231"/>
      <c r="AF293" s="231"/>
      <c r="AG293" s="231"/>
      <c r="AH293" s="231"/>
      <c r="AI293" s="231"/>
      <c r="AJ293" s="231"/>
      <c r="AK293" s="231"/>
      <c r="AL293" s="231"/>
      <c r="AM293" s="231"/>
      <c r="AN293" s="231"/>
      <c r="AO293" s="231"/>
      <c r="AP293" s="231"/>
      <c r="AQ293" s="231"/>
      <c r="AR293" s="231"/>
      <c r="AS293" s="231"/>
      <c r="AT293" s="231"/>
      <c r="AU293" s="231"/>
      <c r="AV293" s="231"/>
      <c r="AW293" s="231"/>
      <c r="AX293" s="231"/>
      <c r="AY293" s="231"/>
      <c r="AZ293" s="231"/>
      <c r="BA293" s="231"/>
      <c r="BB293" s="231"/>
      <c r="BC293" s="231"/>
      <c r="BD293" s="231"/>
      <c r="BE293" s="231"/>
      <c r="BF293" s="231"/>
      <c r="BG293" s="231"/>
      <c r="BH293" s="231"/>
      <c r="BI293" s="231"/>
      <c r="BJ293" s="231"/>
      <c r="BK293" s="231"/>
      <c r="BL293" s="231"/>
      <c r="BM293" s="231"/>
      <c r="BN293" s="231"/>
      <c r="BO293" s="231"/>
    </row>
    <row r="294" spans="2:85" ht="14.25">
      <c r="B294" s="203"/>
      <c r="C294" s="203"/>
      <c r="D294" s="231"/>
      <c r="E294" s="231"/>
      <c r="F294" s="231"/>
      <c r="G294" s="231"/>
      <c r="H294" s="231"/>
      <c r="I294" s="231"/>
      <c r="J294" s="231"/>
      <c r="K294" s="231"/>
      <c r="L294" s="231"/>
      <c r="M294" s="231"/>
      <c r="N294" s="231"/>
      <c r="O294" s="231"/>
      <c r="P294" s="231"/>
      <c r="Q294" s="231"/>
      <c r="R294" s="231"/>
      <c r="S294" s="231"/>
      <c r="T294" s="231"/>
      <c r="U294" s="231"/>
      <c r="V294" s="231"/>
      <c r="W294" s="231"/>
      <c r="X294" s="231"/>
      <c r="Y294" s="231"/>
      <c r="Z294" s="231"/>
      <c r="AA294" s="231"/>
      <c r="AB294" s="231"/>
      <c r="AC294" s="231"/>
      <c r="AD294" s="231"/>
      <c r="AE294" s="231"/>
      <c r="AF294" s="231"/>
      <c r="AG294" s="231"/>
      <c r="AH294" s="231"/>
      <c r="AI294" s="231"/>
      <c r="AJ294" s="231"/>
      <c r="AK294" s="231"/>
      <c r="AL294" s="231"/>
      <c r="AM294" s="231"/>
      <c r="AN294" s="231"/>
      <c r="AO294" s="231"/>
      <c r="AP294" s="231"/>
      <c r="AQ294" s="231"/>
      <c r="AR294" s="231"/>
      <c r="AS294" s="231"/>
      <c r="AT294" s="231"/>
      <c r="AU294" s="231"/>
      <c r="AV294" s="231"/>
      <c r="AW294" s="231"/>
      <c r="AX294" s="231"/>
      <c r="AY294" s="231"/>
      <c r="AZ294" s="231"/>
      <c r="BA294" s="231"/>
      <c r="BB294" s="231"/>
      <c r="BC294" s="231"/>
      <c r="BD294" s="231"/>
      <c r="BE294" s="231"/>
      <c r="BF294" s="231"/>
      <c r="BG294" s="231"/>
      <c r="BH294" s="231"/>
      <c r="BI294" s="231"/>
      <c r="BJ294" s="231"/>
      <c r="BK294" s="231"/>
      <c r="BL294" s="231"/>
      <c r="BM294" s="231"/>
      <c r="BN294" s="231"/>
      <c r="BO294" s="231"/>
    </row>
    <row r="295" spans="2:85" ht="14.25">
      <c r="B295" s="203"/>
      <c r="C295" s="203"/>
      <c r="D295" s="231"/>
      <c r="E295" s="231"/>
      <c r="F295" s="231"/>
      <c r="G295" s="231"/>
      <c r="H295" s="231"/>
      <c r="I295" s="231"/>
      <c r="J295" s="231"/>
      <c r="K295" s="231"/>
      <c r="L295" s="231"/>
      <c r="M295" s="231"/>
      <c r="N295" s="231"/>
      <c r="O295" s="231"/>
      <c r="P295" s="231"/>
      <c r="Q295" s="231"/>
      <c r="R295" s="231"/>
      <c r="S295" s="231"/>
      <c r="T295" s="231"/>
      <c r="U295" s="231"/>
      <c r="V295" s="231"/>
      <c r="W295" s="231"/>
      <c r="X295" s="231"/>
      <c r="Y295" s="231"/>
      <c r="Z295" s="231"/>
      <c r="AA295" s="231"/>
      <c r="AB295" s="231"/>
      <c r="AC295" s="231"/>
      <c r="AD295" s="231"/>
      <c r="AE295" s="231"/>
      <c r="AF295" s="231"/>
      <c r="AG295" s="231"/>
      <c r="AH295" s="231"/>
      <c r="AI295" s="231"/>
      <c r="AJ295" s="231"/>
      <c r="AK295" s="231"/>
      <c r="AL295" s="231"/>
      <c r="AM295" s="231"/>
      <c r="AN295" s="231"/>
      <c r="AO295" s="231"/>
      <c r="AP295" s="231"/>
      <c r="AQ295" s="231"/>
      <c r="AR295" s="231"/>
      <c r="AS295" s="231"/>
      <c r="AT295" s="231"/>
      <c r="AU295" s="231"/>
      <c r="AV295" s="231"/>
      <c r="AW295" s="231"/>
      <c r="AX295" s="231"/>
      <c r="AY295" s="231"/>
      <c r="AZ295" s="231"/>
      <c r="BA295" s="231"/>
      <c r="BB295" s="231"/>
      <c r="BC295" s="231"/>
      <c r="BD295" s="231"/>
      <c r="BE295" s="231"/>
      <c r="BF295" s="231"/>
      <c r="BG295" s="231"/>
      <c r="BH295" s="231"/>
      <c r="BI295" s="231"/>
      <c r="BJ295" s="231"/>
      <c r="BK295" s="231"/>
      <c r="BL295" s="231"/>
      <c r="BM295" s="231"/>
      <c r="BN295" s="231"/>
      <c r="BO295" s="231"/>
    </row>
    <row r="296" spans="2:85" ht="14.25">
      <c r="B296" s="203"/>
      <c r="C296" s="203"/>
      <c r="D296" s="231"/>
      <c r="E296" s="231"/>
      <c r="F296" s="231"/>
      <c r="G296" s="231"/>
      <c r="H296" s="231"/>
      <c r="I296" s="231"/>
      <c r="J296" s="231"/>
      <c r="K296" s="231"/>
      <c r="L296" s="231"/>
      <c r="M296" s="231"/>
      <c r="N296" s="231"/>
      <c r="O296" s="231"/>
      <c r="P296" s="231"/>
      <c r="Q296" s="231"/>
      <c r="R296" s="231"/>
      <c r="S296" s="231"/>
      <c r="T296" s="231"/>
      <c r="U296" s="231"/>
      <c r="V296" s="231"/>
      <c r="W296" s="231"/>
      <c r="X296" s="231"/>
      <c r="Y296" s="231"/>
      <c r="Z296" s="231"/>
      <c r="AA296" s="231"/>
      <c r="AB296" s="231"/>
      <c r="AC296" s="231"/>
      <c r="AD296" s="231"/>
      <c r="AE296" s="231"/>
      <c r="AF296" s="231"/>
      <c r="AG296" s="231"/>
      <c r="AH296" s="231"/>
      <c r="AI296" s="231"/>
      <c r="AJ296" s="231"/>
      <c r="AK296" s="231"/>
      <c r="AL296" s="231"/>
      <c r="AM296" s="231"/>
      <c r="AN296" s="231"/>
      <c r="AO296" s="231"/>
      <c r="AP296" s="231"/>
      <c r="AQ296" s="231"/>
      <c r="AR296" s="231"/>
      <c r="AS296" s="231"/>
      <c r="AT296" s="231"/>
      <c r="AU296" s="231"/>
      <c r="AV296" s="231"/>
      <c r="AW296" s="231"/>
      <c r="AX296" s="231"/>
      <c r="AY296" s="231"/>
      <c r="AZ296" s="231"/>
      <c r="BA296" s="231"/>
      <c r="BB296" s="231"/>
      <c r="BC296" s="231"/>
      <c r="BD296" s="231"/>
      <c r="BE296" s="231"/>
      <c r="BF296" s="231"/>
      <c r="BG296" s="231"/>
      <c r="BH296" s="231"/>
      <c r="BI296" s="231"/>
      <c r="BJ296" s="231"/>
      <c r="BK296" s="231"/>
      <c r="BL296" s="231"/>
      <c r="BM296" s="231"/>
      <c r="BN296" s="231"/>
      <c r="BO296" s="231"/>
    </row>
    <row r="297" spans="2:85" ht="14.25">
      <c r="B297" s="203"/>
      <c r="C297" s="203"/>
      <c r="D297" s="231"/>
      <c r="E297" s="231"/>
      <c r="F297" s="231"/>
      <c r="G297" s="231"/>
      <c r="H297" s="231"/>
      <c r="I297" s="231"/>
      <c r="J297" s="231"/>
      <c r="K297" s="231"/>
      <c r="L297" s="231"/>
      <c r="M297" s="231"/>
      <c r="N297" s="231"/>
      <c r="O297" s="231"/>
      <c r="P297" s="231"/>
      <c r="Q297" s="231"/>
      <c r="R297" s="231"/>
      <c r="S297" s="231"/>
      <c r="T297" s="231"/>
      <c r="U297" s="231"/>
      <c r="V297" s="231"/>
      <c r="W297" s="231"/>
      <c r="X297" s="231"/>
      <c r="Y297" s="231"/>
      <c r="Z297" s="231"/>
      <c r="AA297" s="231"/>
      <c r="AB297" s="231"/>
      <c r="AC297" s="231"/>
      <c r="AD297" s="231"/>
      <c r="AE297" s="231"/>
      <c r="AF297" s="231"/>
      <c r="AG297" s="231"/>
      <c r="AH297" s="231"/>
      <c r="AI297" s="231"/>
      <c r="AJ297" s="231"/>
      <c r="AK297" s="231"/>
      <c r="AL297" s="231"/>
      <c r="AM297" s="231"/>
      <c r="AN297" s="231"/>
      <c r="AO297" s="231"/>
      <c r="AP297" s="231"/>
      <c r="AQ297" s="231"/>
      <c r="AR297" s="231"/>
      <c r="AS297" s="231"/>
      <c r="AT297" s="231"/>
      <c r="AU297" s="231"/>
      <c r="AV297" s="231"/>
      <c r="AW297" s="231"/>
      <c r="AX297" s="231"/>
      <c r="AY297" s="231"/>
      <c r="AZ297" s="231"/>
      <c r="BA297" s="231"/>
      <c r="BB297" s="231"/>
      <c r="BC297" s="231"/>
      <c r="BD297" s="231"/>
      <c r="BE297" s="231"/>
      <c r="BF297" s="231"/>
      <c r="BG297" s="231"/>
      <c r="BH297" s="231"/>
      <c r="BI297" s="231"/>
      <c r="BJ297" s="231"/>
      <c r="BK297" s="231"/>
      <c r="BL297" s="231"/>
      <c r="BM297" s="231"/>
      <c r="BN297" s="231"/>
      <c r="BO297" s="231"/>
    </row>
    <row r="298" spans="2:85" ht="14.25">
      <c r="B298" s="203"/>
      <c r="C298" s="203"/>
      <c r="D298" s="231"/>
      <c r="E298" s="231"/>
      <c r="F298" s="231"/>
      <c r="G298" s="231"/>
      <c r="H298" s="231"/>
      <c r="I298" s="231"/>
      <c r="J298" s="231"/>
      <c r="K298" s="231"/>
      <c r="L298" s="231"/>
      <c r="M298" s="231"/>
      <c r="N298" s="231"/>
      <c r="O298" s="231"/>
      <c r="P298" s="231"/>
      <c r="Q298" s="231"/>
      <c r="R298" s="231"/>
      <c r="S298" s="231"/>
      <c r="T298" s="231"/>
      <c r="U298" s="231"/>
      <c r="V298" s="231"/>
      <c r="W298" s="231"/>
      <c r="X298" s="231"/>
      <c r="Y298" s="231"/>
      <c r="Z298" s="231"/>
      <c r="AA298" s="231"/>
      <c r="AB298" s="231"/>
      <c r="AC298" s="231"/>
      <c r="AD298" s="231"/>
      <c r="AE298" s="231"/>
      <c r="AF298" s="231"/>
      <c r="AG298" s="231"/>
      <c r="AH298" s="231"/>
      <c r="AI298" s="231"/>
      <c r="AJ298" s="231"/>
      <c r="AK298" s="231"/>
      <c r="AL298" s="231"/>
      <c r="AM298" s="231"/>
      <c r="AN298" s="231"/>
      <c r="AO298" s="231"/>
      <c r="AP298" s="231"/>
      <c r="AQ298" s="231"/>
      <c r="AR298" s="231"/>
      <c r="AS298" s="231"/>
      <c r="AT298" s="231"/>
      <c r="AU298" s="231"/>
      <c r="AV298" s="231"/>
      <c r="AW298" s="231"/>
      <c r="AX298" s="231"/>
      <c r="AY298" s="231"/>
      <c r="AZ298" s="231"/>
      <c r="BA298" s="231"/>
      <c r="BB298" s="231"/>
      <c r="BC298" s="231"/>
      <c r="BD298" s="231"/>
      <c r="BE298" s="231"/>
      <c r="BF298" s="231"/>
      <c r="BG298" s="231"/>
      <c r="BH298" s="231"/>
      <c r="BI298" s="231"/>
      <c r="BJ298" s="231"/>
      <c r="BK298" s="231"/>
      <c r="BL298" s="231"/>
      <c r="BM298" s="231"/>
      <c r="BN298" s="231"/>
      <c r="BO298" s="231"/>
      <c r="BQ298" s="348"/>
      <c r="BR298" s="348"/>
      <c r="BS298" s="348"/>
      <c r="BT298" s="348"/>
      <c r="BU298" s="348"/>
      <c r="BV298" s="348"/>
      <c r="BW298" s="348"/>
      <c r="BX298" s="348"/>
      <c r="BY298" s="348"/>
      <c r="BZ298" s="348"/>
      <c r="CA298" s="348"/>
      <c r="CB298" s="348"/>
      <c r="CC298" s="348"/>
      <c r="CD298" s="348"/>
      <c r="CE298" s="348"/>
      <c r="CF298" s="348"/>
      <c r="CG298" s="348"/>
    </row>
    <row r="299" spans="2:85" ht="14.25">
      <c r="B299" s="203"/>
      <c r="C299" s="203"/>
      <c r="D299" s="231"/>
      <c r="E299" s="231"/>
      <c r="F299" s="231"/>
      <c r="G299" s="231"/>
      <c r="H299" s="231"/>
      <c r="I299" s="231"/>
      <c r="J299" s="231"/>
      <c r="K299" s="231"/>
      <c r="L299" s="231"/>
      <c r="M299" s="231"/>
      <c r="N299" s="231"/>
      <c r="O299" s="231"/>
      <c r="P299" s="231"/>
      <c r="Q299" s="231"/>
      <c r="R299" s="231"/>
      <c r="S299" s="231"/>
      <c r="T299" s="231"/>
      <c r="U299" s="231"/>
      <c r="V299" s="231"/>
      <c r="W299" s="231"/>
      <c r="X299" s="231"/>
      <c r="Y299" s="231"/>
      <c r="Z299" s="231"/>
      <c r="AA299" s="231"/>
      <c r="AB299" s="231"/>
      <c r="AC299" s="231"/>
      <c r="AD299" s="231"/>
      <c r="AE299" s="231"/>
      <c r="AF299" s="231"/>
      <c r="AG299" s="231"/>
      <c r="AH299" s="231"/>
      <c r="AI299" s="231"/>
      <c r="AJ299" s="231"/>
      <c r="AK299" s="231"/>
      <c r="AL299" s="231"/>
      <c r="AM299" s="231"/>
      <c r="AN299" s="231"/>
      <c r="AO299" s="231"/>
      <c r="AP299" s="231"/>
      <c r="AQ299" s="231"/>
      <c r="AR299" s="231"/>
      <c r="AS299" s="231"/>
      <c r="AT299" s="231"/>
      <c r="AU299" s="231"/>
      <c r="AV299" s="231"/>
      <c r="AW299" s="231"/>
      <c r="AX299" s="231"/>
      <c r="AY299" s="231"/>
      <c r="AZ299" s="231"/>
      <c r="BA299" s="231"/>
      <c r="BB299" s="231"/>
      <c r="BC299" s="231"/>
      <c r="BD299" s="231"/>
      <c r="BE299" s="231"/>
      <c r="BF299" s="231"/>
      <c r="BG299" s="231"/>
      <c r="BH299" s="231"/>
      <c r="BI299" s="231"/>
      <c r="BJ299" s="231"/>
      <c r="BK299" s="231"/>
      <c r="BL299" s="231"/>
      <c r="BM299" s="231"/>
      <c r="BN299" s="231"/>
      <c r="BO299" s="231"/>
    </row>
    <row r="300" spans="2:85" ht="14.25">
      <c r="B300" s="177"/>
      <c r="C300" s="177"/>
      <c r="D300" s="236"/>
      <c r="E300" s="236"/>
      <c r="F300" s="236"/>
      <c r="G300" s="236"/>
      <c r="H300" s="236"/>
      <c r="I300" s="236"/>
      <c r="J300" s="236"/>
      <c r="K300" s="236"/>
      <c r="L300" s="236"/>
      <c r="M300" s="236"/>
      <c r="N300" s="236"/>
      <c r="O300" s="236"/>
      <c r="P300" s="236"/>
      <c r="Q300" s="236"/>
      <c r="R300" s="236"/>
      <c r="S300" s="236"/>
      <c r="T300" s="236"/>
      <c r="U300" s="236"/>
      <c r="V300" s="236"/>
      <c r="W300" s="236"/>
      <c r="X300" s="236"/>
      <c r="Y300" s="236"/>
      <c r="Z300" s="236"/>
      <c r="AA300" s="236"/>
      <c r="AB300" s="236"/>
      <c r="AC300" s="236"/>
      <c r="AD300" s="236"/>
      <c r="AE300" s="236"/>
      <c r="AF300" s="236"/>
      <c r="AG300" s="236"/>
      <c r="AH300" s="236"/>
      <c r="AI300" s="236"/>
      <c r="AJ300" s="236"/>
      <c r="AK300" s="236"/>
      <c r="AL300" s="236"/>
      <c r="AM300" s="236"/>
      <c r="AN300" s="236"/>
      <c r="AO300" s="236"/>
      <c r="AP300" s="236"/>
      <c r="AQ300" s="236"/>
      <c r="AR300" s="236"/>
      <c r="AS300" s="236"/>
      <c r="AT300" s="236"/>
      <c r="AU300" s="236"/>
      <c r="AV300" s="236"/>
      <c r="AW300" s="236"/>
      <c r="AX300" s="236"/>
      <c r="AY300" s="236"/>
      <c r="AZ300" s="236"/>
      <c r="BA300" s="236"/>
      <c r="BB300" s="236"/>
      <c r="BC300" s="236"/>
      <c r="BD300" s="236"/>
      <c r="BE300" s="236"/>
      <c r="BF300" s="236"/>
      <c r="BG300" s="236"/>
      <c r="BH300" s="236"/>
      <c r="BI300" s="236"/>
      <c r="BJ300" s="236"/>
      <c r="BK300" s="236"/>
      <c r="BL300" s="236"/>
      <c r="BM300" s="236"/>
      <c r="BN300" s="236"/>
      <c r="BO300" s="236"/>
    </row>
    <row r="301" spans="2:85" outlineLevel="1"/>
    <row r="302" spans="2:85" ht="14.25" outlineLevel="1">
      <c r="B302" s="90" t="s">
        <v>72</v>
      </c>
      <c r="C302" s="90"/>
      <c r="D302" s="92" t="e">
        <f>IS!D300</f>
        <v>#NAME?</v>
      </c>
      <c r="E302" s="92" t="e">
        <f>IS!E300</f>
        <v>#NAME?</v>
      </c>
      <c r="F302" s="92" t="e">
        <f>IS!F300</f>
        <v>#NAME?</v>
      </c>
      <c r="G302" s="92" t="e">
        <f>IS!G300</f>
        <v>#NAME?</v>
      </c>
      <c r="H302" s="92" t="e">
        <f>IS!H300</f>
        <v>#NAME?</v>
      </c>
      <c r="I302" s="92" t="e">
        <f>IS!I300</f>
        <v>#NAME?</v>
      </c>
      <c r="J302" s="92" t="e">
        <f>IS!J300</f>
        <v>#NAME?</v>
      </c>
      <c r="K302" s="92" t="e">
        <f>IS!K300</f>
        <v>#NAME?</v>
      </c>
      <c r="L302" s="92" t="e">
        <f>IS!L300</f>
        <v>#NAME?</v>
      </c>
      <c r="M302" s="92" t="e">
        <f>IS!M300</f>
        <v>#NAME?</v>
      </c>
      <c r="N302" s="92" t="e">
        <f>IS!N300</f>
        <v>#NAME?</v>
      </c>
      <c r="O302" s="92" t="e">
        <f>IS!O300</f>
        <v>#NAME?</v>
      </c>
      <c r="P302" s="92" t="e">
        <f>IS!P300</f>
        <v>#NAME?</v>
      </c>
      <c r="Q302" s="92" t="e">
        <f>IS!Q300</f>
        <v>#NAME?</v>
      </c>
      <c r="R302" s="92" t="e">
        <f>IS!R300</f>
        <v>#NAME?</v>
      </c>
      <c r="S302" s="92" t="e">
        <f>IS!S300</f>
        <v>#NAME?</v>
      </c>
      <c r="T302" s="92" t="e">
        <f>IS!T300</f>
        <v>#NAME?</v>
      </c>
      <c r="U302" s="92" t="e">
        <f>IS!U300</f>
        <v>#NAME?</v>
      </c>
      <c r="V302" s="92" t="e">
        <f>IS!V300</f>
        <v>#NAME?</v>
      </c>
      <c r="W302" s="92" t="e">
        <f>IS!W300</f>
        <v>#NAME?</v>
      </c>
      <c r="X302" s="92" t="e">
        <f>IS!X300</f>
        <v>#NAME?</v>
      </c>
      <c r="Y302" s="92" t="e">
        <f>IS!Y300</f>
        <v>#NAME?</v>
      </c>
      <c r="Z302" s="92" t="e">
        <f>IS!Z300</f>
        <v>#NAME?</v>
      </c>
      <c r="AA302" s="92" t="e">
        <f>IS!AA300</f>
        <v>#NAME?</v>
      </c>
      <c r="AB302" s="92" t="e">
        <f>IS!AB300</f>
        <v>#NAME?</v>
      </c>
      <c r="AC302" s="92" t="e">
        <f>IS!AC300</f>
        <v>#NAME?</v>
      </c>
      <c r="AD302" s="92" t="e">
        <f>IS!AD300</f>
        <v>#NAME?</v>
      </c>
      <c r="AE302" s="94" t="e">
        <f>IS!AE300</f>
        <v>#NAME?</v>
      </c>
      <c r="AF302" s="94" t="e">
        <f>IS!AF300</f>
        <v>#NAME?</v>
      </c>
      <c r="AG302" s="94" t="e">
        <f>IS!AG300</f>
        <v>#NAME?</v>
      </c>
      <c r="AH302" s="94" t="e">
        <f>IS!AH300</f>
        <v>#NAME?</v>
      </c>
      <c r="AI302" s="94" t="e">
        <f>IS!AI300</f>
        <v>#NAME?</v>
      </c>
      <c r="AJ302" s="94" t="e">
        <f>IS!AJ300</f>
        <v>#NAME?</v>
      </c>
      <c r="AK302" s="94" t="e">
        <f>IS!AK300</f>
        <v>#NAME?</v>
      </c>
      <c r="AL302" s="94" t="e">
        <f>IS!AL300</f>
        <v>#NAME?</v>
      </c>
      <c r="AM302" s="94" t="e">
        <f>IS!AM300</f>
        <v>#NAME?</v>
      </c>
      <c r="AN302" s="94" t="e">
        <f>IS!AN300</f>
        <v>#NAME?</v>
      </c>
      <c r="AO302" s="94" t="e">
        <f>IS!AO300</f>
        <v>#NAME?</v>
      </c>
      <c r="AP302" s="94" t="str">
        <f>IS!AP300</f>
        <v>A</v>
      </c>
      <c r="AQ302" s="94" t="e">
        <f>IS!AQ300</f>
        <v>#NAME?</v>
      </c>
      <c r="AR302" s="94" t="e">
        <f>IS!AR300</f>
        <v>#NAME?</v>
      </c>
      <c r="AS302" s="94" t="e">
        <f>IS!AS300</f>
        <v>#NAME?</v>
      </c>
      <c r="AT302" s="94" t="e">
        <f>IS!AT300</f>
        <v>#NAME?</v>
      </c>
      <c r="AU302" s="94" t="e">
        <f>IS!AU300</f>
        <v>#NAME?</v>
      </c>
      <c r="AV302" s="94" t="e">
        <f>IS!AV300</f>
        <v>#NAME?</v>
      </c>
      <c r="AW302" s="94" t="e">
        <f>IS!AW300</f>
        <v>#NAME?</v>
      </c>
      <c r="AX302" s="94" t="e">
        <f>IS!AX300</f>
        <v>#NAME?</v>
      </c>
      <c r="AY302" s="94" t="e">
        <f>IS!AY300</f>
        <v>#NAME?</v>
      </c>
      <c r="AZ302" s="94" t="e">
        <f>IS!AZ300</f>
        <v>#NAME?</v>
      </c>
      <c r="BA302" s="94" t="e">
        <f>IS!BA300</f>
        <v>#NAME?</v>
      </c>
      <c r="BB302" s="94" t="e">
        <f>IS!BB300</f>
        <v>#NAME?</v>
      </c>
      <c r="BC302" s="94" t="e">
        <f>IS!BC300</f>
        <v>#NAME?</v>
      </c>
      <c r="BD302" s="94" t="e">
        <f>IS!BD300</f>
        <v>#NAME?</v>
      </c>
      <c r="BE302" s="94" t="e">
        <f>IS!BE300</f>
        <v>#NAME?</v>
      </c>
      <c r="BF302" s="94" t="e">
        <f>IS!BF300</f>
        <v>#NAME?</v>
      </c>
      <c r="BG302" s="94" t="e">
        <f>IS!BG300</f>
        <v>#NAME?</v>
      </c>
      <c r="BH302" s="94" t="e">
        <f>IS!BH300</f>
        <v>#NAME?</v>
      </c>
      <c r="BI302" s="94" t="e">
        <f>IS!BI300</f>
        <v>#NAME?</v>
      </c>
      <c r="BJ302" s="94" t="e">
        <f>IS!BJ300</f>
        <v>#NAME?</v>
      </c>
      <c r="BK302" s="94" t="e">
        <f>IS!BK300</f>
        <v>#NAME?</v>
      </c>
      <c r="BL302" s="94" t="e">
        <f>IS!BL300</f>
        <v>#NAME?</v>
      </c>
      <c r="BM302" s="94" t="e">
        <f>IS!BM300</f>
        <v>#NAME?</v>
      </c>
      <c r="BN302" s="94" t="e">
        <f>IS!BN300</f>
        <v>#NAME?</v>
      </c>
      <c r="BO302" s="94" t="e">
        <f>IS!BO300</f>
        <v>#NAME?</v>
      </c>
      <c r="BQ302" s="256" t="e">
        <f>IS!BQ300</f>
        <v>#NAME?</v>
      </c>
      <c r="BR302" s="256" t="e">
        <f>IS!BR300</f>
        <v>#NAME?</v>
      </c>
      <c r="BS302" s="256" t="e">
        <f>IS!BS300</f>
        <v>#NAME?</v>
      </c>
      <c r="BT302" s="256" t="e">
        <f>IS!BT300</f>
        <v>#NAME?</v>
      </c>
      <c r="BU302" s="256" t="e">
        <f>IS!BU300</f>
        <v>#NAME?</v>
      </c>
      <c r="BV302" s="256" t="e">
        <f>IS!BV300</f>
        <v>#NAME?</v>
      </c>
      <c r="BW302" s="256" t="e">
        <f>IS!BW300</f>
        <v>#NAME?</v>
      </c>
      <c r="BX302" s="256" t="e">
        <f>IS!BX300</f>
        <v>#NAME?</v>
      </c>
      <c r="BY302" s="256" t="e">
        <f>IS!BY300</f>
        <v>#NAME?</v>
      </c>
      <c r="BZ302" s="256" t="e">
        <f>IS!BZ300</f>
        <v>#NAME?</v>
      </c>
      <c r="CA302" s="256" t="e">
        <f>IS!CA300</f>
        <v>#NAME?</v>
      </c>
      <c r="CB302" s="256" t="e">
        <f>IS!CB300</f>
        <v>#NAME?</v>
      </c>
      <c r="CC302" s="256" t="e">
        <f>IS!CC300</f>
        <v>#NAME?</v>
      </c>
      <c r="CD302" s="256" t="e">
        <f>IS!CD300</f>
        <v>#NAME?</v>
      </c>
      <c r="CE302" s="256" t="e">
        <f>IS!CE300</f>
        <v>#NAME?</v>
      </c>
      <c r="CF302" s="256" t="e">
        <f>IS!CF300</f>
        <v>#NAME?</v>
      </c>
      <c r="CG302" t="e">
        <f>IS!CG300</f>
        <v>#NAME?</v>
      </c>
    </row>
  </sheetData>
  <phoneticPr fontId="17" type="noConversion"/>
  <conditionalFormatting sqref="BZ7:CA9 D7:AT9 AY7:AY9 BC7:BC9 D80:AX80 BA80 BF7:BG9 BH57:BI57 D57:BE57 D72:BO72 BL57:BM57 CC7:CF9 BQ57:CG57 BQ72:CG72 BQ80:CG80">
    <cfRule type="expression" dxfId="123" priority="125" stopIfTrue="1">
      <formula>D$302="A"</formula>
    </cfRule>
    <cfRule type="expression" dxfId="122" priority="126" stopIfTrue="1">
      <formula>D$302="E"</formula>
    </cfRule>
  </conditionalFormatting>
  <conditionalFormatting sqref="AV7:AV9">
    <cfRule type="expression" dxfId="121" priority="123" stopIfTrue="1">
      <formula>AV$302="A"</formula>
    </cfRule>
    <cfRule type="expression" dxfId="120" priority="124" stopIfTrue="1">
      <formula>AV$302="E"</formula>
    </cfRule>
  </conditionalFormatting>
  <conditionalFormatting sqref="CB7:CB9">
    <cfRule type="expression" dxfId="119" priority="121" stopIfTrue="1">
      <formula>CB$302="A"</formula>
    </cfRule>
    <cfRule type="expression" dxfId="118" priority="122" stopIfTrue="1">
      <formula>CB$302="E"</formula>
    </cfRule>
  </conditionalFormatting>
  <conditionalFormatting sqref="AZ7:AZ9">
    <cfRule type="expression" dxfId="117" priority="119" stopIfTrue="1">
      <formula>AZ$302="A"</formula>
    </cfRule>
    <cfRule type="expression" dxfId="116" priority="120" stopIfTrue="1">
      <formula>AZ$302="E"</formula>
    </cfRule>
  </conditionalFormatting>
  <conditionalFormatting sqref="AU7:AU9">
    <cfRule type="expression" dxfId="115" priority="117" stopIfTrue="1">
      <formula>AU$302="A"</formula>
    </cfRule>
    <cfRule type="expression" dxfId="114" priority="118" stopIfTrue="1">
      <formula>AU$302="E"</formula>
    </cfRule>
  </conditionalFormatting>
  <conditionalFormatting sqref="CB7:CB9">
    <cfRule type="expression" dxfId="113" priority="115" stopIfTrue="1">
      <formula>CB$302="A"</formula>
    </cfRule>
    <cfRule type="expression" dxfId="112" priority="116" stopIfTrue="1">
      <formula>CB$302="E"</formula>
    </cfRule>
  </conditionalFormatting>
  <conditionalFormatting sqref="CC7:CC9">
    <cfRule type="expression" dxfId="111" priority="113" stopIfTrue="1">
      <formula>CC$302="A"</formula>
    </cfRule>
    <cfRule type="expression" dxfId="110" priority="114" stopIfTrue="1">
      <formula>CC$302="E"</formula>
    </cfRule>
  </conditionalFormatting>
  <conditionalFormatting sqref="AW7:AW9">
    <cfRule type="expression" dxfId="109" priority="111" stopIfTrue="1">
      <formula>AW$302="A"</formula>
    </cfRule>
    <cfRule type="expression" dxfId="108" priority="112" stopIfTrue="1">
      <formula>AW$302="E"</formula>
    </cfRule>
  </conditionalFormatting>
  <conditionalFormatting sqref="AX7:AX9">
    <cfRule type="expression" dxfId="107" priority="109" stopIfTrue="1">
      <formula>AX$302="A"</formula>
    </cfRule>
    <cfRule type="expression" dxfId="106" priority="110" stopIfTrue="1">
      <formula>AX$302="E"</formula>
    </cfRule>
  </conditionalFormatting>
  <conditionalFormatting sqref="CC7:CC9">
    <cfRule type="expression" dxfId="105" priority="107" stopIfTrue="1">
      <formula>CC$302="A"</formula>
    </cfRule>
    <cfRule type="expression" dxfId="104" priority="108" stopIfTrue="1">
      <formula>CC$302="E"</formula>
    </cfRule>
  </conditionalFormatting>
  <conditionalFormatting sqref="CC7:CC9">
    <cfRule type="expression" dxfId="103" priority="105" stopIfTrue="1">
      <formula>CC$302="A"</formula>
    </cfRule>
    <cfRule type="expression" dxfId="102" priority="106" stopIfTrue="1">
      <formula>CC$302="E"</formula>
    </cfRule>
  </conditionalFormatting>
  <conditionalFormatting sqref="CD7:CD9">
    <cfRule type="expression" dxfId="101" priority="103" stopIfTrue="1">
      <formula>CD$302="A"</formula>
    </cfRule>
    <cfRule type="expression" dxfId="100" priority="104" stopIfTrue="1">
      <formula>CD$302="E"</formula>
    </cfRule>
  </conditionalFormatting>
  <conditionalFormatting sqref="AY80">
    <cfRule type="expression" dxfId="99" priority="101" stopIfTrue="1">
      <formula>AY$302="A"</formula>
    </cfRule>
    <cfRule type="expression" dxfId="98" priority="102" stopIfTrue="1">
      <formula>AY$302="E"</formula>
    </cfRule>
  </conditionalFormatting>
  <conditionalFormatting sqref="AZ80">
    <cfRule type="expression" dxfId="97" priority="99" stopIfTrue="1">
      <formula>AZ$302="A"</formula>
    </cfRule>
    <cfRule type="expression" dxfId="96" priority="100" stopIfTrue="1">
      <formula>AZ$302="E"</formula>
    </cfRule>
  </conditionalFormatting>
  <conditionalFormatting sqref="BA7:BA9">
    <cfRule type="expression" dxfId="95" priority="97" stopIfTrue="1">
      <formula>BA$302="A"</formula>
    </cfRule>
    <cfRule type="expression" dxfId="94" priority="98" stopIfTrue="1">
      <formula>BA$302="E"</formula>
    </cfRule>
  </conditionalFormatting>
  <conditionalFormatting sqref="BD7:BE9">
    <cfRule type="expression" dxfId="93" priority="95" stopIfTrue="1">
      <formula>BD$302="A"</formula>
    </cfRule>
    <cfRule type="expression" dxfId="92" priority="96" stopIfTrue="1">
      <formula>BD$302="E"</formula>
    </cfRule>
  </conditionalFormatting>
  <conditionalFormatting sqref="BF80:BG80">
    <cfRule type="expression" dxfId="91" priority="93" stopIfTrue="1">
      <formula>BF$302="A"</formula>
    </cfRule>
    <cfRule type="expression" dxfId="90" priority="94" stopIfTrue="1">
      <formula>BF$302="E"</formula>
    </cfRule>
  </conditionalFormatting>
  <conditionalFormatting sqref="BD80:BE80">
    <cfRule type="expression" dxfId="89" priority="91" stopIfTrue="1">
      <formula>BD$302="A"</formula>
    </cfRule>
    <cfRule type="expression" dxfId="88" priority="92" stopIfTrue="1">
      <formula>BD$302="E"</formula>
    </cfRule>
  </conditionalFormatting>
  <conditionalFormatting sqref="BF57:BG57">
    <cfRule type="expression" dxfId="87" priority="89" stopIfTrue="1">
      <formula>BF$302="A"</formula>
    </cfRule>
    <cfRule type="expression" dxfId="86" priority="90" stopIfTrue="1">
      <formula>BF$302="E"</formula>
    </cfRule>
  </conditionalFormatting>
  <conditionalFormatting sqref="BB80">
    <cfRule type="expression" dxfId="85" priority="87" stopIfTrue="1">
      <formula>BB$302="A"</formula>
    </cfRule>
    <cfRule type="expression" dxfId="84" priority="88" stopIfTrue="1">
      <formula>BB$302="E"</formula>
    </cfRule>
  </conditionalFormatting>
  <conditionalFormatting sqref="BB7:BB9">
    <cfRule type="expression" dxfId="83" priority="85" stopIfTrue="1">
      <formula>BB$302="A"</formula>
    </cfRule>
    <cfRule type="expression" dxfId="82" priority="86" stopIfTrue="1">
      <formula>BB$302="E"</formula>
    </cfRule>
  </conditionalFormatting>
  <conditionalFormatting sqref="BH7:BI9">
    <cfRule type="expression" dxfId="81" priority="83" stopIfTrue="1">
      <formula>BH$302="A"</formula>
    </cfRule>
    <cfRule type="expression" dxfId="80" priority="84" stopIfTrue="1">
      <formula>BH$302="E"</formula>
    </cfRule>
  </conditionalFormatting>
  <conditionalFormatting sqref="BJ7:BK9">
    <cfRule type="expression" dxfId="79" priority="81" stopIfTrue="1">
      <formula>BJ$302="A"</formula>
    </cfRule>
    <cfRule type="expression" dxfId="78" priority="82" stopIfTrue="1">
      <formula>BJ$302="E"</formula>
    </cfRule>
  </conditionalFormatting>
  <conditionalFormatting sqref="BJ80:BK80">
    <cfRule type="expression" dxfId="77" priority="79" stopIfTrue="1">
      <formula>BJ$302="A"</formula>
    </cfRule>
    <cfRule type="expression" dxfId="76" priority="80" stopIfTrue="1">
      <formula>BJ$302="E"</formula>
    </cfRule>
  </conditionalFormatting>
  <conditionalFormatting sqref="BH80:BI80">
    <cfRule type="expression" dxfId="75" priority="77" stopIfTrue="1">
      <formula>BH$302="A"</formula>
    </cfRule>
    <cfRule type="expression" dxfId="74" priority="78" stopIfTrue="1">
      <formula>BH$302="E"</formula>
    </cfRule>
  </conditionalFormatting>
  <conditionalFormatting sqref="BJ57:BK57">
    <cfRule type="expression" dxfId="73" priority="75" stopIfTrue="1">
      <formula>BJ$302="A"</formula>
    </cfRule>
    <cfRule type="expression" dxfId="72" priority="76" stopIfTrue="1">
      <formula>BJ$302="E"</formula>
    </cfRule>
  </conditionalFormatting>
  <conditionalFormatting sqref="BC80">
    <cfRule type="expression" dxfId="71" priority="65" stopIfTrue="1">
      <formula>BC$302="A"</formula>
    </cfRule>
    <cfRule type="expression" dxfId="70" priority="66" stopIfTrue="1">
      <formula>BC$302="E"</formula>
    </cfRule>
  </conditionalFormatting>
  <conditionalFormatting sqref="BL7:BM9">
    <cfRule type="expression" dxfId="69" priority="53" stopIfTrue="1">
      <formula>BL$302="A"</formula>
    </cfRule>
    <cfRule type="expression" dxfId="68" priority="54" stopIfTrue="1">
      <formula>BL$302="E"</formula>
    </cfRule>
  </conditionalFormatting>
  <conditionalFormatting sqref="BN7:BO9">
    <cfRule type="expression" dxfId="67" priority="51" stopIfTrue="1">
      <formula>BN$302="A"</formula>
    </cfRule>
    <cfRule type="expression" dxfId="66" priority="52" stopIfTrue="1">
      <formula>BN$302="E"</formula>
    </cfRule>
  </conditionalFormatting>
  <conditionalFormatting sqref="BN80:BO80">
    <cfRule type="expression" dxfId="65" priority="49" stopIfTrue="1">
      <formula>BN$302="A"</formula>
    </cfRule>
    <cfRule type="expression" dxfId="64" priority="50" stopIfTrue="1">
      <formula>BN$302="E"</formula>
    </cfRule>
  </conditionalFormatting>
  <conditionalFormatting sqref="BL80:BM80">
    <cfRule type="expression" dxfId="63" priority="47" stopIfTrue="1">
      <formula>BL$302="A"</formula>
    </cfRule>
    <cfRule type="expression" dxfId="62" priority="48" stopIfTrue="1">
      <formula>BL$302="E"</formula>
    </cfRule>
  </conditionalFormatting>
  <conditionalFormatting sqref="BN57:BO57">
    <cfRule type="expression" dxfId="61" priority="45" stopIfTrue="1">
      <formula>BN$302="A"</formula>
    </cfRule>
    <cfRule type="expression" dxfId="60" priority="46" stopIfTrue="1">
      <formula>BN$302="E"</formula>
    </cfRule>
  </conditionalFormatting>
  <conditionalFormatting sqref="CE80">
    <cfRule type="expression" dxfId="59" priority="27" stopIfTrue="1">
      <formula>CE$302="A"</formula>
    </cfRule>
    <cfRule type="expression" dxfId="58" priority="28" stopIfTrue="1">
      <formula>CE$302="E"</formula>
    </cfRule>
  </conditionalFormatting>
  <conditionalFormatting sqref="CE7:CE9">
    <cfRule type="expression" dxfId="57" priority="25" stopIfTrue="1">
      <formula>CE$302="A"</formula>
    </cfRule>
    <cfRule type="expression" dxfId="56" priority="26" stopIfTrue="1">
      <formula>CE$302="E"</formula>
    </cfRule>
  </conditionalFormatting>
  <conditionalFormatting sqref="CE7:CE9">
    <cfRule type="expression" dxfId="55" priority="23" stopIfTrue="1">
      <formula>CE$302="A"</formula>
    </cfRule>
    <cfRule type="expression" dxfId="54" priority="24" stopIfTrue="1">
      <formula>CE$302="E"</formula>
    </cfRule>
  </conditionalFormatting>
  <conditionalFormatting sqref="CE7:CE9">
    <cfRule type="expression" dxfId="53" priority="21" stopIfTrue="1">
      <formula>CE$302="A"</formula>
    </cfRule>
    <cfRule type="expression" dxfId="52" priority="22" stopIfTrue="1">
      <formula>CE$302="E"</formula>
    </cfRule>
  </conditionalFormatting>
  <conditionalFormatting sqref="BQ7:BY9">
    <cfRule type="expression" dxfId="51" priority="19" stopIfTrue="1">
      <formula>BQ$302="A"</formula>
    </cfRule>
    <cfRule type="expression" dxfId="50" priority="20" stopIfTrue="1">
      <formula>BQ$302="E"</formula>
    </cfRule>
  </conditionalFormatting>
  <conditionalFormatting sqref="CG7:CG9">
    <cfRule type="expression" dxfId="49" priority="17" stopIfTrue="1">
      <formula>CG$302="A"</formula>
    </cfRule>
    <cfRule type="expression" dxfId="48" priority="18" stopIfTrue="1">
      <formula>CG$302="E"</formula>
    </cfRule>
  </conditionalFormatting>
  <conditionalFormatting sqref="CF80">
    <cfRule type="expression" dxfId="47" priority="7" stopIfTrue="1">
      <formula>CF$302="A"</formula>
    </cfRule>
    <cfRule type="expression" dxfId="46" priority="8" stopIfTrue="1">
      <formula>CF$302="E"</formula>
    </cfRule>
  </conditionalFormatting>
  <conditionalFormatting sqref="CF7:CF9">
    <cfRule type="expression" dxfId="45" priority="5" stopIfTrue="1">
      <formula>CF$302="A"</formula>
    </cfRule>
    <cfRule type="expression" dxfId="44" priority="6" stopIfTrue="1">
      <formula>CF$302="E"</formula>
    </cfRule>
  </conditionalFormatting>
  <conditionalFormatting sqref="CF7:CF9">
    <cfRule type="expression" dxfId="43" priority="3" stopIfTrue="1">
      <formula>CF$302="A"</formula>
    </cfRule>
    <cfRule type="expression" dxfId="42" priority="4" stopIfTrue="1">
      <formula>CF$302="E"</formula>
    </cfRule>
  </conditionalFormatting>
  <conditionalFormatting sqref="CF7:CF9">
    <cfRule type="expression" dxfId="41" priority="1" stopIfTrue="1">
      <formula>CF$302="A"</formula>
    </cfRule>
    <cfRule type="expression" dxfId="40" priority="2" stopIfTrue="1">
      <formula>CF$302="E"</formula>
    </cfRule>
  </conditionalFormatting>
  <pageMargins left="0" right="0" top="0" bottom="0" header="0" footer="0"/>
  <pageSetup paperSize="5" scale="14" orientation="landscape" r:id="rId1"/>
  <headerFooter alignWithMargins="0"/>
  <rowBreaks count="1" manualBreakCount="1">
    <brk id="65" max="16383" man="1"/>
  </rowBreaks>
  <colBreaks count="1" manualBreakCount="1">
    <brk id="78" max="1048575" man="1"/>
  </col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>
    <tabColor indexed="51"/>
    <pageSetUpPr fitToPage="1"/>
  </sheetPr>
  <dimension ref="A1:CK69"/>
  <sheetViews>
    <sheetView showGridLines="0" zoomScale="85" zoomScaleNormal="85" workbookViewId="0">
      <pane xSplit="2" ySplit="9" topLeftCell="AZ10" activePane="bottomRight" state="frozen"/>
      <selection pane="topRight" activeCell="C1" sqref="C1"/>
      <selection pane="bottomLeft" activeCell="A10" sqref="A10"/>
      <selection pane="bottomRight" activeCell="B3" sqref="B3"/>
    </sheetView>
  </sheetViews>
  <sheetFormatPr defaultRowHeight="12.75" outlineLevelCol="1"/>
  <cols>
    <col min="1" max="1" width="1.7109375" style="271" customWidth="1"/>
    <col min="2" max="2" width="42.85546875" style="271" customWidth="1"/>
    <col min="3" max="3" width="1.7109375" style="271" hidden="1" customWidth="1" outlineLevel="1"/>
    <col min="4" max="23" width="9.140625" style="271" hidden="1" customWidth="1" outlineLevel="1"/>
    <col min="24" max="39" width="9.28515625" style="271" hidden="1" customWidth="1" outlineLevel="1"/>
    <col min="40" max="40" width="9.28515625" style="271" hidden="1" customWidth="1" outlineLevel="1" collapsed="1"/>
    <col min="41" max="51" width="9.28515625" style="271" hidden="1" customWidth="1" outlineLevel="1"/>
    <col min="52" max="52" width="9.140625" style="271" customWidth="1" collapsed="1"/>
    <col min="53" max="63" width="9.140625" style="271" customWidth="1"/>
    <col min="64" max="67" width="9.140625" style="271" customWidth="1" outlineLevel="1"/>
    <col min="68" max="68" width="5.28515625" style="271" customWidth="1"/>
    <col min="69" max="80" width="10" style="271" hidden="1" customWidth="1" outlineLevel="1"/>
    <col min="81" max="81" width="10" style="271" bestFit="1" customWidth="1" collapsed="1"/>
    <col min="82" max="83" width="9.85546875" style="271" customWidth="1"/>
    <col min="84" max="84" width="9.85546875" style="271" customWidth="1" outlineLevel="1"/>
    <col min="85" max="16384" width="9.140625" style="271"/>
  </cols>
  <sheetData>
    <row r="1" spans="1:85" ht="76.5" hidden="1" customHeight="1">
      <c r="A1" s="270"/>
    </row>
    <row r="2" spans="1:85" ht="18">
      <c r="A2" s="272"/>
      <c r="B2" s="95" t="s">
        <v>77</v>
      </c>
      <c r="C2" s="273"/>
      <c r="AI2" s="353"/>
      <c r="AK2" s="278"/>
      <c r="AL2" s="353"/>
      <c r="AM2" s="353"/>
      <c r="AY2" s="353"/>
      <c r="BP2" s="353"/>
      <c r="BQ2" s="369"/>
      <c r="BR2" s="369"/>
      <c r="BS2" s="369"/>
      <c r="BT2" s="369"/>
      <c r="BU2" s="369"/>
      <c r="BV2" s="369"/>
      <c r="BW2" s="369"/>
      <c r="BX2" s="369"/>
      <c r="BY2" s="369"/>
      <c r="BZ2" s="369"/>
      <c r="CA2" s="369"/>
      <c r="CB2" s="369"/>
      <c r="CC2" s="369"/>
      <c r="CD2" s="369"/>
      <c r="CE2" s="369"/>
      <c r="CF2" s="369"/>
    </row>
    <row r="3" spans="1:85" ht="18">
      <c r="A3" s="272"/>
      <c r="B3" s="95"/>
      <c r="C3" s="273"/>
      <c r="AI3" s="353"/>
      <c r="AK3" s="278"/>
      <c r="AL3" s="353"/>
      <c r="AM3" s="353"/>
      <c r="AV3" s="353"/>
      <c r="BP3" s="278"/>
      <c r="BQ3" s="369"/>
      <c r="BR3" s="369"/>
      <c r="BS3" s="369"/>
      <c r="BT3" s="369"/>
      <c r="BU3" s="369"/>
      <c r="BV3" s="369"/>
      <c r="BW3" s="369"/>
      <c r="BX3" s="369"/>
      <c r="BY3" s="369"/>
      <c r="BZ3" s="369"/>
      <c r="CA3" s="369"/>
      <c r="CB3" s="369"/>
      <c r="CC3" s="369"/>
      <c r="CD3" s="369"/>
      <c r="CE3" s="369"/>
      <c r="CF3" s="369"/>
    </row>
    <row r="4" spans="1:85" ht="18" hidden="1">
      <c r="A4" s="272"/>
      <c r="B4" s="95"/>
      <c r="C4" s="273"/>
      <c r="AI4" s="373"/>
      <c r="AK4" s="374"/>
      <c r="AL4" s="278"/>
      <c r="AM4" s="353"/>
      <c r="BP4" s="278"/>
    </row>
    <row r="5" spans="1:85" ht="18" hidden="1" customHeight="1">
      <c r="A5" s="272"/>
      <c r="B5" s="274"/>
      <c r="C5" s="275"/>
      <c r="AD5" s="355"/>
      <c r="AF5" s="355"/>
      <c r="AH5" s="354"/>
      <c r="AI5" s="278"/>
      <c r="AK5" s="278"/>
      <c r="AL5" s="278"/>
      <c r="AM5" s="278"/>
      <c r="BY5" s="271" t="s">
        <v>306</v>
      </c>
    </row>
    <row r="6" spans="1:85" ht="14.25" hidden="1">
      <c r="A6" s="272"/>
      <c r="B6" s="276"/>
      <c r="C6" s="277"/>
      <c r="AI6" s="353"/>
    </row>
    <row r="7" spans="1:85" ht="15">
      <c r="B7" s="268" t="s">
        <v>294</v>
      </c>
      <c r="C7" s="634"/>
      <c r="D7" s="4" t="str">
        <f>IS!D7</f>
        <v>C1Q04A</v>
      </c>
      <c r="E7" s="5" t="str">
        <f>IS!E7</f>
        <v>C2Q04A</v>
      </c>
      <c r="F7" s="5" t="str">
        <f>IS!F7</f>
        <v>C3Q04A</v>
      </c>
      <c r="G7" s="6" t="str">
        <f>IS!G7</f>
        <v>C4Q04A</v>
      </c>
      <c r="H7" s="5" t="str">
        <f>IS!H7</f>
        <v>C1Q05A</v>
      </c>
      <c r="I7" s="5" t="str">
        <f>IS!I7</f>
        <v>C2Q05A</v>
      </c>
      <c r="J7" s="5" t="str">
        <f>IS!J7</f>
        <v>C3Q05A</v>
      </c>
      <c r="K7" s="5" t="str">
        <f>IS!K7</f>
        <v>C4Q05A</v>
      </c>
      <c r="L7" s="4" t="str">
        <f>IS!L7</f>
        <v>C1Q06A</v>
      </c>
      <c r="M7" s="5" t="str">
        <f>IS!M7</f>
        <v>C2Q06A</v>
      </c>
      <c r="N7" s="5" t="str">
        <f>IS!N7</f>
        <v>C3Q06A</v>
      </c>
      <c r="O7" s="6" t="str">
        <f>IS!O7</f>
        <v>C4Q06A</v>
      </c>
      <c r="P7" s="4" t="str">
        <f>IS!P7</f>
        <v>C1Q07A</v>
      </c>
      <c r="Q7" s="5" t="str">
        <f>IS!Q7</f>
        <v>C2Q07A</v>
      </c>
      <c r="R7" s="5" t="str">
        <f>IS!R7</f>
        <v>C3Q07A</v>
      </c>
      <c r="S7" s="6" t="str">
        <f>IS!S7</f>
        <v>C4Q07A</v>
      </c>
      <c r="T7" s="4" t="str">
        <f>IS!T7</f>
        <v>C1Q08A</v>
      </c>
      <c r="U7" s="5" t="str">
        <f>IS!U7</f>
        <v>C2Q08A</v>
      </c>
      <c r="V7" s="5" t="str">
        <f>IS!V7</f>
        <v>C3Q08A</v>
      </c>
      <c r="W7" s="6" t="str">
        <f>IS!W7</f>
        <v>C4Q08A</v>
      </c>
      <c r="X7" s="5" t="str">
        <f>IS!X7</f>
        <v>C1Q09A</v>
      </c>
      <c r="Y7" s="5" t="str">
        <f>IS!Y7</f>
        <v>C2Q09A</v>
      </c>
      <c r="Z7" s="5" t="str">
        <f>IS!Z7</f>
        <v>C3Q09A</v>
      </c>
      <c r="AA7" s="5" t="str">
        <f>IS!AA7</f>
        <v>C4Q09A</v>
      </c>
      <c r="AB7" s="4" t="str">
        <f>IS!AB7</f>
        <v>C1Q10A</v>
      </c>
      <c r="AC7" s="5" t="str">
        <f>IS!AC7</f>
        <v>C2Q10A</v>
      </c>
      <c r="AD7" s="5" t="str">
        <f>IS!AD7</f>
        <v>C3Q10A</v>
      </c>
      <c r="AE7" s="6" t="str">
        <f>IS!AE7</f>
        <v>C4Q10A</v>
      </c>
      <c r="AF7" s="5" t="str">
        <f>IS!AF7</f>
        <v>C1Q11A</v>
      </c>
      <c r="AG7" s="5" t="str">
        <f>IS!AG7</f>
        <v>C2Q11A</v>
      </c>
      <c r="AH7" s="5" t="str">
        <f>IS!AH7</f>
        <v>C3Q11A</v>
      </c>
      <c r="AI7" s="5" t="str">
        <f>IS!AI7</f>
        <v>C4Q11A</v>
      </c>
      <c r="AJ7" s="4" t="str">
        <f>IS!AJ7</f>
        <v>C1Q12A</v>
      </c>
      <c r="AK7" s="5" t="str">
        <f>IS!AK7</f>
        <v>C2Q12A</v>
      </c>
      <c r="AL7" s="5" t="str">
        <f>IS!AL7</f>
        <v>C3Q12A</v>
      </c>
      <c r="AM7" s="6" t="str">
        <f>IS!AM7</f>
        <v>C4Q12A</v>
      </c>
      <c r="AN7" s="5" t="str">
        <f>IS!AN7</f>
        <v>C1Q13A</v>
      </c>
      <c r="AO7" s="5" t="str">
        <f>IS!AO7</f>
        <v>C2Q13A</v>
      </c>
      <c r="AP7" s="5" t="str">
        <f>IS!AP7</f>
        <v>C3Q13A</v>
      </c>
      <c r="AQ7" s="5" t="str">
        <f>IS!AQ7</f>
        <v>C4Q13A</v>
      </c>
      <c r="AR7" s="511" t="str">
        <f>IS!AR7</f>
        <v>C1Q14A</v>
      </c>
      <c r="AS7" s="512" t="str">
        <f>IS!AS7</f>
        <v>C2Q14A</v>
      </c>
      <c r="AT7" s="512" t="str">
        <f>IS!AT7</f>
        <v>C3Q14A</v>
      </c>
      <c r="AU7" s="513" t="str">
        <f>IS!AU7</f>
        <v>C4Q14A</v>
      </c>
      <c r="AV7" s="512" t="str">
        <f>IS!AV7</f>
        <v>C1Q15A</v>
      </c>
      <c r="AW7" s="398" t="str">
        <f>IS!AW7</f>
        <v>C2Q15A</v>
      </c>
      <c r="AX7" s="398" t="str">
        <f>IS!AX7</f>
        <v>C3Q15A</v>
      </c>
      <c r="AY7" s="512" t="str">
        <f>IS!AY7</f>
        <v>C4Q15A</v>
      </c>
      <c r="AZ7" s="541" t="str">
        <f>IS!AZ7</f>
        <v>C1Q16A</v>
      </c>
      <c r="BA7" s="542" t="str">
        <f>IS!BA7</f>
        <v>C2Q16A</v>
      </c>
      <c r="BB7" s="542" t="str">
        <f>IS!BB7</f>
        <v>C3Q16A</v>
      </c>
      <c r="BC7" s="513" t="str">
        <f>IS!BC7</f>
        <v>C4Q16A</v>
      </c>
      <c r="BD7" s="511" t="str">
        <f>IS!BD7</f>
        <v>C1Q17A</v>
      </c>
      <c r="BE7" s="512" t="str">
        <f>IS!BE7</f>
        <v>C2Q17A</v>
      </c>
      <c r="BF7" s="512" t="str">
        <f>IS!BF7</f>
        <v>C3Q17A</v>
      </c>
      <c r="BG7" s="513" t="str">
        <f>IS!BG7</f>
        <v>C4Q17A</v>
      </c>
      <c r="BH7" s="669" t="str">
        <f>IS!BH7</f>
        <v>C1Q18A</v>
      </c>
      <c r="BI7" s="670" t="str">
        <f>IS!BI7</f>
        <v>C2Q18A</v>
      </c>
      <c r="BJ7" s="670" t="str">
        <f>IS!BJ7</f>
        <v>C3Q18E</v>
      </c>
      <c r="BK7" s="671" t="str">
        <f>IS!BK7</f>
        <v>C4Q18E</v>
      </c>
      <c r="BL7" s="511" t="str">
        <f>IS!BL7</f>
        <v>C1Q19A</v>
      </c>
      <c r="BM7" s="512" t="str">
        <f>IS!BM7</f>
        <v>C2Q19A</v>
      </c>
      <c r="BN7" s="512" t="str">
        <f>IS!BN7</f>
        <v>C3Q19E</v>
      </c>
      <c r="BO7" s="513" t="str">
        <f>IS!BO7</f>
        <v>C4Q19E</v>
      </c>
      <c r="BP7" s="618"/>
      <c r="BQ7" s="5" t="str">
        <f>IS!BQ7</f>
        <v>CY2004A</v>
      </c>
      <c r="BR7" s="5" t="str">
        <f>IS!BR7</f>
        <v>CY2005A</v>
      </c>
      <c r="BS7" s="5" t="str">
        <f>IS!BS7</f>
        <v>CY2006A</v>
      </c>
      <c r="BT7" s="5" t="str">
        <f>IS!BT7</f>
        <v>CY2007A</v>
      </c>
      <c r="BU7" s="5" t="str">
        <f>IS!BU7</f>
        <v>CY2008A</v>
      </c>
      <c r="BV7" s="5" t="str">
        <f>IS!BV7</f>
        <v>CY2009A</v>
      </c>
      <c r="BW7" s="5" t="str">
        <f>IS!BW7</f>
        <v>CY2010A</v>
      </c>
      <c r="BX7" s="5" t="str">
        <f>IS!BX7</f>
        <v>CY2011A</v>
      </c>
      <c r="BY7" s="5" t="str">
        <f>IS!BY7</f>
        <v>CY2012A</v>
      </c>
      <c r="BZ7" s="5" t="str">
        <f>IS!BZ7</f>
        <v>CY2013A</v>
      </c>
      <c r="CA7" s="5" t="str">
        <f>IS!CA7</f>
        <v>CY2014A</v>
      </c>
      <c r="CB7" s="5" t="str">
        <f>IS!CB7</f>
        <v>CY2015A</v>
      </c>
      <c r="CC7" s="5" t="str">
        <f>IS!CC7</f>
        <v>CY2016A</v>
      </c>
      <c r="CD7" s="5" t="str">
        <f>IS!CD7</f>
        <v>CY2017A</v>
      </c>
      <c r="CE7" s="5" t="str">
        <f>IS!CE7</f>
        <v>CY2018E</v>
      </c>
      <c r="CF7" s="470" t="str">
        <f>IS!CF7</f>
        <v>CY2019E</v>
      </c>
      <c r="CG7" s="290"/>
    </row>
    <row r="8" spans="1:85" ht="15">
      <c r="B8" s="269" t="s">
        <v>86</v>
      </c>
      <c r="D8" s="567">
        <f>IS!D8</f>
        <v>38107</v>
      </c>
      <c r="E8" s="559">
        <f>IS!E8</f>
        <v>38199</v>
      </c>
      <c r="F8" s="559">
        <f>IS!F8</f>
        <v>38291</v>
      </c>
      <c r="G8" s="10">
        <f>IS!G8</f>
        <v>38383</v>
      </c>
      <c r="H8" s="559">
        <f>IS!H8</f>
        <v>38472</v>
      </c>
      <c r="I8" s="9">
        <f>IS!I8</f>
        <v>38564</v>
      </c>
      <c r="J8" s="9">
        <f>IS!J8</f>
        <v>38656</v>
      </c>
      <c r="K8" s="559">
        <f>IS!K8</f>
        <v>38748</v>
      </c>
      <c r="L8" s="567">
        <f>IS!L8</f>
        <v>38837</v>
      </c>
      <c r="M8" s="559">
        <f>IS!M8</f>
        <v>38929</v>
      </c>
      <c r="N8" s="559">
        <f>IS!N8</f>
        <v>39021</v>
      </c>
      <c r="O8" s="10">
        <f>IS!O8</f>
        <v>39113</v>
      </c>
      <c r="P8" s="567">
        <f>IS!P8</f>
        <v>39202</v>
      </c>
      <c r="Q8" s="559">
        <f>IS!Q8</f>
        <v>39294</v>
      </c>
      <c r="R8" s="559">
        <f>IS!R8</f>
        <v>39386</v>
      </c>
      <c r="S8" s="10">
        <f>IS!S8</f>
        <v>39478</v>
      </c>
      <c r="T8" s="567">
        <f>IS!T8</f>
        <v>39568</v>
      </c>
      <c r="U8" s="559">
        <f>IS!U8</f>
        <v>39660</v>
      </c>
      <c r="V8" s="559">
        <f>IS!V8</f>
        <v>39752</v>
      </c>
      <c r="W8" s="10">
        <f>IS!W8</f>
        <v>39844</v>
      </c>
      <c r="X8" s="559">
        <f>IS!X8</f>
        <v>39933</v>
      </c>
      <c r="Y8" s="9">
        <f>IS!Y8</f>
        <v>40025</v>
      </c>
      <c r="Z8" s="9">
        <f>IS!Z8</f>
        <v>40117</v>
      </c>
      <c r="AA8" s="559">
        <f>IS!AA8</f>
        <v>40209</v>
      </c>
      <c r="AB8" s="567">
        <f>IS!AB8</f>
        <v>40298</v>
      </c>
      <c r="AC8" s="559">
        <f>IS!AC8</f>
        <v>40390</v>
      </c>
      <c r="AD8" s="559">
        <f>IS!AD8</f>
        <v>40482</v>
      </c>
      <c r="AE8" s="10">
        <f>IS!AE8</f>
        <v>40574</v>
      </c>
      <c r="AF8" s="559">
        <f>IS!AF8</f>
        <v>40663</v>
      </c>
      <c r="AG8" s="9">
        <f>IS!AG8</f>
        <v>40755</v>
      </c>
      <c r="AH8" s="9">
        <f>IS!AH8</f>
        <v>40847</v>
      </c>
      <c r="AI8" s="559">
        <f>IS!AI8</f>
        <v>40939</v>
      </c>
      <c r="AJ8" s="567">
        <f>IS!AJ8</f>
        <v>41029</v>
      </c>
      <c r="AK8" s="559">
        <f>IS!AK8</f>
        <v>41121</v>
      </c>
      <c r="AL8" s="559">
        <f>IS!AL8</f>
        <v>41213</v>
      </c>
      <c r="AM8" s="10">
        <f>IS!AM8</f>
        <v>41305</v>
      </c>
      <c r="AN8" s="559">
        <f>IS!AN8</f>
        <v>41394</v>
      </c>
      <c r="AO8" s="9">
        <f>IS!AO8</f>
        <v>41486</v>
      </c>
      <c r="AP8" s="9">
        <f>IS!AP8</f>
        <v>41578</v>
      </c>
      <c r="AQ8" s="559">
        <f>IS!AQ8</f>
        <v>41670</v>
      </c>
      <c r="AR8" s="514">
        <f>IS!AR8</f>
        <v>41759</v>
      </c>
      <c r="AS8" s="515">
        <f>IS!AS8</f>
        <v>41851</v>
      </c>
      <c r="AT8" s="515">
        <f>IS!AT8</f>
        <v>41943</v>
      </c>
      <c r="AU8" s="516">
        <f>IS!AU8</f>
        <v>42035</v>
      </c>
      <c r="AV8" s="515">
        <f>IS!AV8</f>
        <v>42124</v>
      </c>
      <c r="AW8" s="401">
        <f>IS!AW8</f>
        <v>42216</v>
      </c>
      <c r="AX8" s="401">
        <f>IS!AX8</f>
        <v>42308</v>
      </c>
      <c r="AY8" s="515">
        <f>IS!AY8</f>
        <v>42400</v>
      </c>
      <c r="AZ8" s="543">
        <f>IS!AZ8</f>
        <v>42490</v>
      </c>
      <c r="BA8" s="544">
        <f>IS!BA8</f>
        <v>42582</v>
      </c>
      <c r="BB8" s="544">
        <f>IS!BB8</f>
        <v>42674</v>
      </c>
      <c r="BC8" s="516">
        <f>IS!BC8</f>
        <v>42766</v>
      </c>
      <c r="BD8" s="514">
        <f>IS!BD8</f>
        <v>42855</v>
      </c>
      <c r="BE8" s="515">
        <f>IS!BE8</f>
        <v>42947</v>
      </c>
      <c r="BF8" s="515">
        <f>IS!BF8</f>
        <v>43039</v>
      </c>
      <c r="BG8" s="516">
        <f>IS!BG8</f>
        <v>43131</v>
      </c>
      <c r="BH8" s="672">
        <f>IS!BH8</f>
        <v>43220</v>
      </c>
      <c r="BI8" s="673">
        <f>IS!BI8</f>
        <v>43312</v>
      </c>
      <c r="BJ8" s="673">
        <f>IS!BJ8</f>
        <v>43404</v>
      </c>
      <c r="BK8" s="674">
        <f>IS!BK8</f>
        <v>43496</v>
      </c>
      <c r="BL8" s="514">
        <f>IS!BL8</f>
        <v>43585</v>
      </c>
      <c r="BM8" s="515">
        <f>IS!BM8</f>
        <v>43677</v>
      </c>
      <c r="BN8" s="515">
        <f>IS!BN8</f>
        <v>43769</v>
      </c>
      <c r="BO8" s="516">
        <f>IS!BO8</f>
        <v>43861</v>
      </c>
      <c r="BP8" s="618"/>
      <c r="BQ8" s="559">
        <f>IS!BQ8</f>
        <v>38383</v>
      </c>
      <c r="BR8" s="559">
        <f>IS!BR8</f>
        <v>38748</v>
      </c>
      <c r="BS8" s="559">
        <f>IS!BS8</f>
        <v>39113</v>
      </c>
      <c r="BT8" s="559">
        <f>IS!BT8</f>
        <v>39478</v>
      </c>
      <c r="BU8" s="559">
        <f>IS!BU8</f>
        <v>39844</v>
      </c>
      <c r="BV8" s="559">
        <f>IS!BV8</f>
        <v>40209</v>
      </c>
      <c r="BW8" s="559">
        <f>IS!BW8</f>
        <v>40574</v>
      </c>
      <c r="BX8" s="559">
        <f>IS!BX8</f>
        <v>40939</v>
      </c>
      <c r="BY8" s="559">
        <f>IS!BY8</f>
        <v>41305</v>
      </c>
      <c r="BZ8" s="559">
        <f>IS!BZ8</f>
        <v>41670</v>
      </c>
      <c r="CA8" s="559">
        <f>IS!CA8</f>
        <v>42035</v>
      </c>
      <c r="CB8" s="559">
        <f>IS!CB8</f>
        <v>42400</v>
      </c>
      <c r="CC8" s="559">
        <f>IS!CC8</f>
        <v>42766</v>
      </c>
      <c r="CD8" s="559">
        <f>IS!CD8</f>
        <v>43131</v>
      </c>
      <c r="CE8" s="559">
        <f>IS!CE8</f>
        <v>43496</v>
      </c>
      <c r="CF8" s="571">
        <f>IS!CF8</f>
        <v>43861</v>
      </c>
      <c r="CG8" s="290"/>
    </row>
    <row r="9" spans="1:85" ht="15">
      <c r="B9" s="279"/>
      <c r="C9" s="295"/>
      <c r="D9" s="448" t="str">
        <f>IS!D9</f>
        <v>F1Q05A</v>
      </c>
      <c r="E9" s="449" t="str">
        <f>IS!E9</f>
        <v>F2Q05A</v>
      </c>
      <c r="F9" s="449" t="str">
        <f>IS!F9</f>
        <v>F3Q05A</v>
      </c>
      <c r="G9" s="389" t="str">
        <f>IS!G9</f>
        <v>F4Q05A</v>
      </c>
      <c r="H9" s="313" t="str">
        <f>IS!H9</f>
        <v>F1Q06A</v>
      </c>
      <c r="I9" s="313" t="str">
        <f>IS!I9</f>
        <v>F2Q06A</v>
      </c>
      <c r="J9" s="313" t="str">
        <f>IS!J9</f>
        <v>F3Q06A</v>
      </c>
      <c r="K9" s="313" t="str">
        <f>IS!K9</f>
        <v>F4Q06A</v>
      </c>
      <c r="L9" s="448" t="str">
        <f>IS!L9</f>
        <v>F1Q07A</v>
      </c>
      <c r="M9" s="449" t="str">
        <f>IS!M9</f>
        <v>F2Q07A</v>
      </c>
      <c r="N9" s="449" t="str">
        <f>IS!N9</f>
        <v>F3Q07A</v>
      </c>
      <c r="O9" s="389" t="str">
        <f>IS!O9</f>
        <v>F4Q07A</v>
      </c>
      <c r="P9" s="448" t="str">
        <f>IS!P9</f>
        <v>F1Q08A</v>
      </c>
      <c r="Q9" s="449" t="str">
        <f>IS!Q9</f>
        <v>F2Q08A</v>
      </c>
      <c r="R9" s="449" t="str">
        <f>IS!R9</f>
        <v>F3Q08A</v>
      </c>
      <c r="S9" s="389" t="str">
        <f>IS!S9</f>
        <v>F4Q08A</v>
      </c>
      <c r="T9" s="448" t="str">
        <f>IS!T9</f>
        <v>F1Q09A</v>
      </c>
      <c r="U9" s="449" t="str">
        <f>IS!U9</f>
        <v>F2Q09A</v>
      </c>
      <c r="V9" s="449" t="str">
        <f>IS!V9</f>
        <v>F3Q09A</v>
      </c>
      <c r="W9" s="389" t="str">
        <f>IS!W9</f>
        <v>F4Q09A</v>
      </c>
      <c r="X9" s="449" t="str">
        <f>IS!X9</f>
        <v>F1Q10A</v>
      </c>
      <c r="Y9" s="449" t="str">
        <f>IS!Y9</f>
        <v>F2Q10A</v>
      </c>
      <c r="Z9" s="449" t="str">
        <f>IS!Z9</f>
        <v>F3Q10A</v>
      </c>
      <c r="AA9" s="449" t="str">
        <f>IS!AA9</f>
        <v>F4Q10A</v>
      </c>
      <c r="AB9" s="448" t="str">
        <f>IS!AB9</f>
        <v>F1Q11A</v>
      </c>
      <c r="AC9" s="449" t="str">
        <f>IS!AC9</f>
        <v>F2Q11A</v>
      </c>
      <c r="AD9" s="449" t="str">
        <f>IS!AD9</f>
        <v>F3Q11A</v>
      </c>
      <c r="AE9" s="389" t="str">
        <f>IS!AE9</f>
        <v>F4Q11A</v>
      </c>
      <c r="AF9" s="449" t="str">
        <f>IS!AF9</f>
        <v>F1Q12A</v>
      </c>
      <c r="AG9" s="449" t="str">
        <f>IS!AG9</f>
        <v>F2Q12A</v>
      </c>
      <c r="AH9" s="449" t="str">
        <f>IS!AH9</f>
        <v>F3Q12A</v>
      </c>
      <c r="AI9" s="449" t="str">
        <f>IS!AI9</f>
        <v>F4Q12A</v>
      </c>
      <c r="AJ9" s="448" t="str">
        <f>IS!AJ9</f>
        <v>F1Q13A</v>
      </c>
      <c r="AK9" s="449" t="str">
        <f>IS!AK9</f>
        <v>F2Q13A</v>
      </c>
      <c r="AL9" s="449" t="str">
        <f>IS!AL9</f>
        <v>F3Q13A</v>
      </c>
      <c r="AM9" s="389" t="str">
        <f>IS!AM9</f>
        <v>F4Q13A</v>
      </c>
      <c r="AN9" s="449" t="str">
        <f>IS!AN9</f>
        <v>F1Q14A</v>
      </c>
      <c r="AO9" s="449" t="str">
        <f>IS!AO9</f>
        <v>F2Q14A</v>
      </c>
      <c r="AP9" s="449" t="str">
        <f>IS!AP9</f>
        <v>F3Q14A</v>
      </c>
      <c r="AQ9" s="449" t="str">
        <f>IS!AQ9</f>
        <v>F4Q14A</v>
      </c>
      <c r="AR9" s="614" t="str">
        <f>IS!AR9</f>
        <v>F1Q15A</v>
      </c>
      <c r="AS9" s="549" t="str">
        <f>IS!AS9</f>
        <v>F2Q15A</v>
      </c>
      <c r="AT9" s="549" t="str">
        <f>IS!AT9</f>
        <v>F3Q15A</v>
      </c>
      <c r="AU9" s="552" t="str">
        <f>IS!AU9</f>
        <v>F4Q15A</v>
      </c>
      <c r="AV9" s="549" t="str">
        <f>IS!AV9</f>
        <v>F1Q16A</v>
      </c>
      <c r="AW9" s="549" t="str">
        <f>IS!AW9</f>
        <v>F2Q16A</v>
      </c>
      <c r="AX9" s="549" t="str">
        <f>IS!AX9</f>
        <v>F3Q16A</v>
      </c>
      <c r="AY9" s="549" t="str">
        <f>IS!AY9</f>
        <v>F4Q16A</v>
      </c>
      <c r="AZ9" s="551" t="str">
        <f>IS!AZ9</f>
        <v>F1Q17A</v>
      </c>
      <c r="BA9" s="550" t="str">
        <f>IS!BA9</f>
        <v>F2Q17A</v>
      </c>
      <c r="BB9" s="550" t="str">
        <f>IS!BB9</f>
        <v>F3Q17A</v>
      </c>
      <c r="BC9" s="552" t="str">
        <f>IS!BC9</f>
        <v>F4Q17A</v>
      </c>
      <c r="BD9" s="614" t="str">
        <f>IS!BD9</f>
        <v>F1Q18A</v>
      </c>
      <c r="BE9" s="549" t="str">
        <f>IS!BE9</f>
        <v>F2Q18A</v>
      </c>
      <c r="BF9" s="549" t="str">
        <f>IS!BF9</f>
        <v>F3Q18A</v>
      </c>
      <c r="BG9" s="552" t="str">
        <f>IS!BG9</f>
        <v>F4Q18A</v>
      </c>
      <c r="BH9" s="614" t="str">
        <f>IS!BH9</f>
        <v>F1Q19E</v>
      </c>
      <c r="BI9" s="681" t="str">
        <f>IS!BI9</f>
        <v>F2Q19E</v>
      </c>
      <c r="BJ9" s="681" t="str">
        <f>IS!BJ9</f>
        <v>F3Q19E</v>
      </c>
      <c r="BK9" s="682" t="str">
        <f>IS!BK9</f>
        <v>F4Q19E</v>
      </c>
      <c r="BL9" s="614" t="str">
        <f>IS!BL9</f>
        <v>F1Q20E</v>
      </c>
      <c r="BM9" s="549" t="str">
        <f>IS!BM9</f>
        <v>F2Q20E</v>
      </c>
      <c r="BN9" s="549" t="str">
        <f>IS!BN9</f>
        <v>F3Q20E</v>
      </c>
      <c r="BO9" s="552" t="str">
        <f>IS!BO9</f>
        <v>F4Q20E</v>
      </c>
      <c r="BP9" s="618"/>
      <c r="BQ9" s="313" t="str">
        <f>IS!BQ9</f>
        <v>FY2005A</v>
      </c>
      <c r="BR9" s="313" t="str">
        <f>IS!BR9</f>
        <v>FY2006A</v>
      </c>
      <c r="BS9" s="313" t="str">
        <f>IS!BS9</f>
        <v>FY2007A</v>
      </c>
      <c r="BT9" s="313" t="str">
        <f>IS!BT9</f>
        <v>FY2008A</v>
      </c>
      <c r="BU9" s="313" t="str">
        <f>IS!BU9</f>
        <v>FY2009A</v>
      </c>
      <c r="BV9" s="313" t="str">
        <f>IS!BV9</f>
        <v>FY2010A</v>
      </c>
      <c r="BW9" s="313" t="str">
        <f>IS!BW9</f>
        <v>FY2011A</v>
      </c>
      <c r="BX9" s="313" t="str">
        <f>IS!BX9</f>
        <v>FY2012A</v>
      </c>
      <c r="BY9" s="313" t="str">
        <f>IS!BY9</f>
        <v>FY2013A</v>
      </c>
      <c r="BZ9" s="313" t="str">
        <f>IS!BZ9</f>
        <v>FY2014A</v>
      </c>
      <c r="CA9" s="313" t="str">
        <f>IS!CA9</f>
        <v>FY2015A</v>
      </c>
      <c r="CB9" s="313" t="str">
        <f>IS!CB9</f>
        <v>FY2016A</v>
      </c>
      <c r="CC9" s="313" t="str">
        <f>IS!CC9</f>
        <v>FY2017A</v>
      </c>
      <c r="CD9" s="313" t="str">
        <f>IS!CD9</f>
        <v>FY2018A</v>
      </c>
      <c r="CE9" s="313" t="str">
        <f>IS!CE9</f>
        <v>FY2019E</v>
      </c>
      <c r="CF9" s="589" t="str">
        <f>IS!CF9</f>
        <v>FY2020E</v>
      </c>
      <c r="CG9" s="290"/>
    </row>
    <row r="10" spans="1:85" ht="15">
      <c r="B10" s="337" t="s">
        <v>497</v>
      </c>
      <c r="D10" s="288"/>
      <c r="E10" s="280"/>
      <c r="F10" s="518"/>
      <c r="G10" s="617"/>
      <c r="H10" s="518"/>
      <c r="I10" s="518"/>
      <c r="J10" s="518"/>
      <c r="K10" s="518"/>
      <c r="L10" s="510"/>
      <c r="M10" s="518"/>
      <c r="N10" s="518"/>
      <c r="O10" s="617"/>
      <c r="P10" s="510"/>
      <c r="Q10" s="518"/>
      <c r="R10" s="518"/>
      <c r="S10" s="617"/>
      <c r="T10" s="510"/>
      <c r="U10" s="518"/>
      <c r="V10" s="518"/>
      <c r="W10" s="617"/>
      <c r="X10" s="518"/>
      <c r="Y10" s="518"/>
      <c r="Z10" s="518"/>
      <c r="AA10" s="518"/>
      <c r="AB10" s="510">
        <f>AB14+AB19+AB24</f>
        <v>790.75284403692103</v>
      </c>
      <c r="AC10" s="518">
        <f t="shared" ref="AC10:BO10" si="0">AC14+AC19+AC24</f>
        <v>826.93865960576636</v>
      </c>
      <c r="AD10" s="518">
        <f t="shared" si="0"/>
        <v>882.58084000000008</v>
      </c>
      <c r="AE10" s="617">
        <f t="shared" si="0"/>
        <v>864.49248000000011</v>
      </c>
      <c r="AF10" s="518">
        <f>AF14+AF19+AF24</f>
        <v>762.28190000000006</v>
      </c>
      <c r="AG10" s="518">
        <f t="shared" si="0"/>
        <v>854.55812999999989</v>
      </c>
      <c r="AH10" s="518">
        <f t="shared" si="0"/>
        <v>900.74679632599998</v>
      </c>
      <c r="AI10" s="518">
        <f t="shared" si="0"/>
        <v>702.41434174713993</v>
      </c>
      <c r="AJ10" s="510">
        <f>AJ14+AJ19+AJ24</f>
        <v>755.85795000000007</v>
      </c>
      <c r="AK10" s="518">
        <f t="shared" si="0"/>
        <v>780.91696000000002</v>
      </c>
      <c r="AL10" s="518">
        <f t="shared" si="0"/>
        <v>745.59181360000002</v>
      </c>
      <c r="AM10" s="617">
        <f t="shared" si="0"/>
        <v>740.64260428</v>
      </c>
      <c r="AN10" s="518">
        <f>AN14+AN19+AN24</f>
        <v>696.21557000000007</v>
      </c>
      <c r="AO10" s="518">
        <f t="shared" si="0"/>
        <v>766.70320000000004</v>
      </c>
      <c r="AP10" s="518">
        <f t="shared" si="0"/>
        <v>880.939796</v>
      </c>
      <c r="AQ10" s="518">
        <f t="shared" si="0"/>
        <v>861.86782500000004</v>
      </c>
      <c r="AR10" s="510">
        <f>AR14+AR19+AR24</f>
        <v>908.93978448000007</v>
      </c>
      <c r="AS10" s="518">
        <f t="shared" si="0"/>
        <v>915.50973302880004</v>
      </c>
      <c r="AT10" s="518">
        <f t="shared" si="0"/>
        <v>878.34153492758401</v>
      </c>
      <c r="AU10" s="617">
        <f t="shared" si="0"/>
        <v>806.91373239468271</v>
      </c>
      <c r="AV10" s="518">
        <f>AV14+AV19+AV24</f>
        <v>599.40100000000007</v>
      </c>
      <c r="AW10" s="518">
        <f t="shared" si="0"/>
        <v>568.06299999999999</v>
      </c>
      <c r="AX10" s="518">
        <f t="shared" si="0"/>
        <v>506.017</v>
      </c>
      <c r="AY10" s="518">
        <f t="shared" si="0"/>
        <v>501.02399999999994</v>
      </c>
      <c r="AZ10" s="510">
        <f>AZ14+AZ19+AZ24</f>
        <v>454.53</v>
      </c>
      <c r="BA10" s="518">
        <f t="shared" si="0"/>
        <v>524.64599999999996</v>
      </c>
      <c r="BB10" s="518">
        <f t="shared" si="0"/>
        <v>562.13599999999997</v>
      </c>
      <c r="BC10" s="617">
        <f t="shared" si="0"/>
        <v>524.49900000000002</v>
      </c>
      <c r="BD10" s="510">
        <f>BD14+BD19+BD24</f>
        <v>524.71399999999994</v>
      </c>
      <c r="BE10" s="518">
        <f t="shared" si="0"/>
        <v>557.322</v>
      </c>
      <c r="BF10" s="518">
        <f t="shared" si="0"/>
        <v>568.49700000000007</v>
      </c>
      <c r="BG10" s="675">
        <f t="shared" ref="BG10" si="1">BG14+BG19+BG24</f>
        <v>565.32899999999995</v>
      </c>
      <c r="BH10" s="668">
        <f>BH14+BH19+BH24</f>
        <v>555.60938999999996</v>
      </c>
      <c r="BI10" s="675">
        <f t="shared" si="0"/>
        <v>576.39693269999998</v>
      </c>
      <c r="BJ10" s="675">
        <f t="shared" si="0"/>
        <v>596.43885538350003</v>
      </c>
      <c r="BK10" s="676">
        <f t="shared" si="0"/>
        <v>592.14549567149993</v>
      </c>
      <c r="BL10" s="510">
        <f>BL14+BL19+BL24</f>
        <v>558.40713211273498</v>
      </c>
      <c r="BM10" s="518">
        <f t="shared" si="0"/>
        <v>597.27550069232279</v>
      </c>
      <c r="BN10" s="518">
        <f t="shared" si="0"/>
        <v>619.43872745627687</v>
      </c>
      <c r="BO10" s="617">
        <f t="shared" si="0"/>
        <v>612.55615648178991</v>
      </c>
      <c r="BP10" s="618"/>
      <c r="BQ10" s="675"/>
      <c r="BR10" s="675"/>
      <c r="BS10" s="675"/>
      <c r="BT10" s="675"/>
      <c r="BU10" s="675">
        <f t="shared" ref="BU10:CF10" si="2">BU14+BU19+BU24</f>
        <v>2822.091818106479</v>
      </c>
      <c r="BV10" s="675">
        <f t="shared" si="2"/>
        <v>2647.0426985947552</v>
      </c>
      <c r="BW10" s="675">
        <f t="shared" si="2"/>
        <v>3364.7648236426876</v>
      </c>
      <c r="BX10" s="675">
        <f t="shared" si="2"/>
        <v>3220.00116807314</v>
      </c>
      <c r="BY10" s="675">
        <f t="shared" si="2"/>
        <v>3023.00932788</v>
      </c>
      <c r="BZ10" s="675">
        <f t="shared" si="2"/>
        <v>3205.7263909999997</v>
      </c>
      <c r="CA10" s="675">
        <f t="shared" si="2"/>
        <v>3509.7047848310667</v>
      </c>
      <c r="CB10" s="675">
        <f t="shared" si="2"/>
        <v>2174.5050000000001</v>
      </c>
      <c r="CC10" s="518">
        <f t="shared" si="2"/>
        <v>2065.8110000000001</v>
      </c>
      <c r="CD10" s="518">
        <f t="shared" si="2"/>
        <v>2215.8620000000001</v>
      </c>
      <c r="CE10" s="518">
        <f t="shared" si="2"/>
        <v>2320.5906737549999</v>
      </c>
      <c r="CF10" s="617">
        <f t="shared" si="2"/>
        <v>2387.6775167431247</v>
      </c>
      <c r="CG10" s="290"/>
    </row>
    <row r="11" spans="1:85" ht="14.25">
      <c r="B11" s="282" t="s">
        <v>287</v>
      </c>
      <c r="D11" s="497"/>
      <c r="E11" s="509"/>
      <c r="F11" s="509"/>
      <c r="G11" s="616"/>
      <c r="H11" s="283"/>
      <c r="I11" s="283"/>
      <c r="J11" s="283"/>
      <c r="K11" s="509"/>
      <c r="L11" s="497"/>
      <c r="M11" s="509"/>
      <c r="N11" s="509"/>
      <c r="O11" s="616"/>
      <c r="P11" s="496"/>
      <c r="Q11" s="509"/>
      <c r="R11" s="509"/>
      <c r="S11" s="616"/>
      <c r="T11" s="496"/>
      <c r="U11" s="509"/>
      <c r="V11" s="509"/>
      <c r="W11" s="616"/>
      <c r="X11" s="509"/>
      <c r="Y11" s="509"/>
      <c r="Z11" s="509"/>
      <c r="AA11" s="509"/>
      <c r="AB11" s="496"/>
      <c r="AC11" s="509">
        <f t="shared" ref="AC11" si="3">(AC10-AB10)/AB10</f>
        <v>4.5761220894395896E-2</v>
      </c>
      <c r="AD11" s="509">
        <f t="shared" ref="AD11" si="4">(AD10-AC10)/AC10</f>
        <v>6.7286950184141228E-2</v>
      </c>
      <c r="AE11" s="616">
        <f t="shared" ref="AE11" si="5">(AE10-AD10)/AD10</f>
        <v>-2.049484781473385E-2</v>
      </c>
      <c r="AF11" s="509">
        <f t="shared" ref="AF11" si="6">(AF10-AE10)/AE10</f>
        <v>-0.11823189022997636</v>
      </c>
      <c r="AG11" s="509">
        <f t="shared" ref="AG11" si="7">(AG10-AF10)/AF10</f>
        <v>0.12105263157894713</v>
      </c>
      <c r="AH11" s="509">
        <f t="shared" ref="AH11" si="8">(AH10-AG10)/AG10</f>
        <v>5.4049765258216073E-2</v>
      </c>
      <c r="AI11" s="509">
        <f t="shared" ref="AI11" si="9">(AI10-AH10)/AH10</f>
        <v>-0.22018668885398865</v>
      </c>
      <c r="AJ11" s="496">
        <f t="shared" ref="AJ11" si="10">(AJ10-AI10)/AI10</f>
        <v>7.6085588058933951E-2</v>
      </c>
      <c r="AK11" s="509">
        <f t="shared" ref="AK11" si="11">(AK10-AJ10)/AJ10</f>
        <v>3.3153067980564263E-2</v>
      </c>
      <c r="AL11" s="506">
        <v>-0.03</v>
      </c>
      <c r="AM11" s="625">
        <v>0.05</v>
      </c>
      <c r="AN11" s="509">
        <f>(AN10-AM10)/AM10</f>
        <v>-5.9984443270298671E-2</v>
      </c>
      <c r="AO11" s="494">
        <f>(AO10-AN10)/AN10</f>
        <v>0.10124397246674613</v>
      </c>
      <c r="AP11" s="494">
        <f>(AP10-AO10)/AO10</f>
        <v>0.148997155613802</v>
      </c>
      <c r="AQ11" s="494">
        <f>(AQ10-AP10)/AP10</f>
        <v>-2.1649573655995853E-2</v>
      </c>
      <c r="AR11" s="517">
        <v>-0.06</v>
      </c>
      <c r="AS11" s="506">
        <v>6.0000000000000032E-2</v>
      </c>
      <c r="AT11" s="506">
        <v>0.03</v>
      </c>
      <c r="AU11" s="625">
        <v>-0.04</v>
      </c>
      <c r="AV11" s="506"/>
      <c r="AW11" s="494">
        <f>AW10/AV10-1</f>
        <v>-5.2282195058066416E-2</v>
      </c>
      <c r="AX11" s="494">
        <f t="shared" ref="AX11" si="12">AX10/AW10-1</f>
        <v>-0.10922380088124028</v>
      </c>
      <c r="AY11" s="494">
        <f t="shared" ref="AY11" si="13">AY10/AX10-1</f>
        <v>-9.8672574241578381E-3</v>
      </c>
      <c r="AZ11" s="447">
        <f t="shared" ref="AZ11" si="14">AZ10/AY10-1</f>
        <v>-9.2797949798811952E-2</v>
      </c>
      <c r="BA11" s="494">
        <f t="shared" ref="BA11" si="15">BA10/AZ10-1</f>
        <v>0.15426044485512502</v>
      </c>
      <c r="BB11" s="494">
        <f t="shared" ref="BB11" si="16">BB10/BA10-1</f>
        <v>7.1457706720341019E-2</v>
      </c>
      <c r="BC11" s="590">
        <f t="shared" ref="BC11" si="17">BC10/BB10-1</f>
        <v>-6.6953548607454283E-2</v>
      </c>
      <c r="BD11" s="447">
        <f t="shared" ref="BD11" si="18">BD10/BC10-1</f>
        <v>4.0991498553832884E-4</v>
      </c>
      <c r="BE11" s="494">
        <f t="shared" ref="BE11" si="19">BE10/BD10-1</f>
        <v>6.2144330054086705E-2</v>
      </c>
      <c r="BF11" s="494">
        <f t="shared" ref="BF11:BG11" si="20">BF10/BE10-1</f>
        <v>2.0051245061203593E-2</v>
      </c>
      <c r="BG11" s="643">
        <f t="shared" si="20"/>
        <v>-5.5725887735557089E-3</v>
      </c>
      <c r="BH11" s="677">
        <f t="shared" ref="BH11" si="21">BH10/BG10-1</f>
        <v>-1.7192838152650936E-2</v>
      </c>
      <c r="BI11" s="643">
        <f t="shared" ref="BI11" si="22">BI10/BH10-1</f>
        <v>3.7413951373284071E-2</v>
      </c>
      <c r="BJ11" s="643">
        <f t="shared" ref="BJ11" si="23">BJ10/BI10-1</f>
        <v>3.4771043262874723E-2</v>
      </c>
      <c r="BK11" s="644">
        <f t="shared" ref="BK11" si="24">BK10/BJ10-1</f>
        <v>-7.1983233038021011E-3</v>
      </c>
      <c r="BL11" s="447">
        <f t="shared" ref="BL11" si="25">BL10/BK10-1</f>
        <v>-5.697647589213739E-2</v>
      </c>
      <c r="BM11" s="494">
        <f t="shared" ref="BM11" si="26">BM10/BL10-1</f>
        <v>6.9605788222169007E-2</v>
      </c>
      <c r="BN11" s="494">
        <f t="shared" ref="BN11" si="27">BN10/BM10-1</f>
        <v>3.7107208881435705E-2</v>
      </c>
      <c r="BO11" s="590">
        <f t="shared" ref="BO11" si="28">BO10/BN10-1</f>
        <v>-1.1110979455143499E-2</v>
      </c>
      <c r="BP11" s="618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494"/>
      <c r="CD11" s="494"/>
      <c r="CE11" s="494"/>
      <c r="CF11" s="590"/>
      <c r="CG11" s="290"/>
    </row>
    <row r="12" spans="1:85" ht="14.25">
      <c r="B12" s="265" t="s">
        <v>288</v>
      </c>
      <c r="D12" s="497"/>
      <c r="E12" s="498"/>
      <c r="F12" s="498"/>
      <c r="G12" s="615"/>
      <c r="H12" s="283"/>
      <c r="I12" s="283"/>
      <c r="J12" s="283"/>
      <c r="K12" s="509"/>
      <c r="L12" s="496"/>
      <c r="M12" s="509"/>
      <c r="N12" s="509"/>
      <c r="O12" s="616"/>
      <c r="P12" s="496"/>
      <c r="Q12" s="509"/>
      <c r="R12" s="509"/>
      <c r="S12" s="616"/>
      <c r="T12" s="496"/>
      <c r="U12" s="509"/>
      <c r="V12" s="509"/>
      <c r="W12" s="616"/>
      <c r="X12" s="509"/>
      <c r="Y12" s="509"/>
      <c r="Z12" s="509"/>
      <c r="AA12" s="509"/>
      <c r="AB12" s="496"/>
      <c r="AC12" s="509"/>
      <c r="AD12" s="509"/>
      <c r="AE12" s="616"/>
      <c r="AF12" s="509">
        <f t="shared" ref="AF12" si="29">AF10/AB10-1</f>
        <v>-3.60048582203919E-2</v>
      </c>
      <c r="AG12" s="509">
        <f t="shared" ref="AG12" si="30">AG10/AC10-1</f>
        <v>3.339966039004727E-2</v>
      </c>
      <c r="AH12" s="509">
        <f t="shared" ref="AH12" si="31">AH10/AD10-1</f>
        <v>2.0582767609140351E-2</v>
      </c>
      <c r="AI12" s="509">
        <f t="shared" ref="AI12" si="32">AI10/AE10-1</f>
        <v>-0.187483572156533</v>
      </c>
      <c r="AJ12" s="496">
        <f t="shared" ref="AJ12" si="33">AJ10/AF10-1</f>
        <v>-8.4272629325188309E-3</v>
      </c>
      <c r="AK12" s="509">
        <f t="shared" ref="AK12" si="34">AK10/AG10-1</f>
        <v>-8.6174559008642126E-2</v>
      </c>
      <c r="AL12" s="494">
        <f t="shared" ref="AL12" si="35">AL10/AH10-1</f>
        <v>-0.17225149549113239</v>
      </c>
      <c r="AM12" s="590">
        <f t="shared" ref="AM12" si="36">AM10/AI10-1</f>
        <v>5.4424091680379982E-2</v>
      </c>
      <c r="AN12" s="509">
        <f t="shared" ref="AN12" si="37">AN10/AJ10-1</f>
        <v>-7.8906863386169368E-2</v>
      </c>
      <c r="AO12" s="494">
        <f>AO10/AK10-1</f>
        <v>-1.820137188466231E-2</v>
      </c>
      <c r="AP12" s="494">
        <f>AP10/AL10-1</f>
        <v>0.18153093949152765</v>
      </c>
      <c r="AQ12" s="494">
        <f>AQ10/AM10-1</f>
        <v>0.16367573242407052</v>
      </c>
      <c r="AR12" s="496">
        <f>AR10/AN10-1</f>
        <v>0.30554360408802683</v>
      </c>
      <c r="AS12" s="509">
        <f t="shared" ref="AS12" si="38">AS10/AO10-1</f>
        <v>0.19408622923290264</v>
      </c>
      <c r="AT12" s="509">
        <f t="shared" ref="AT12" si="39">AT10/AP10-1</f>
        <v>-2.949419567845224E-3</v>
      </c>
      <c r="AU12" s="590">
        <f>AU10/AQ10-1</f>
        <v>-6.3761624475675682E-2</v>
      </c>
      <c r="AV12" s="509">
        <f t="shared" ref="AV12" si="40">AV10/AR10-1</f>
        <v>-0.34054927484232145</v>
      </c>
      <c r="AW12" s="509">
        <f t="shared" ref="AW12" si="41">AW10/AS10-1</f>
        <v>-0.37951178506790395</v>
      </c>
      <c r="AX12" s="509">
        <f t="shared" ref="AX12" si="42">AX10/AT10-1</f>
        <v>-0.42389494305114561</v>
      </c>
      <c r="AY12" s="509">
        <f t="shared" ref="AY12" si="43">AY10/AU10-1</f>
        <v>-0.37908604118917644</v>
      </c>
      <c r="AZ12" s="496">
        <f t="shared" ref="AZ12" si="44">AZ10/AV10-1</f>
        <v>-0.24169295680187397</v>
      </c>
      <c r="BA12" s="509">
        <f t="shared" ref="BA12" si="45">BA10/AW10-1</f>
        <v>-7.6429903021319912E-2</v>
      </c>
      <c r="BB12" s="509">
        <f t="shared" ref="BB12" si="46">BB10/AX10-1</f>
        <v>0.11090338862133087</v>
      </c>
      <c r="BC12" s="616">
        <f t="shared" ref="BC12" si="47">BC10/AY10-1</f>
        <v>4.685404292009987E-2</v>
      </c>
      <c r="BD12" s="496">
        <f t="shared" ref="BD12" si="48">BD10/AZ10-1</f>
        <v>0.15441004994169805</v>
      </c>
      <c r="BE12" s="509">
        <f t="shared" ref="BE12" si="49">BE10/BA10-1</f>
        <v>6.2281995860065775E-2</v>
      </c>
      <c r="BF12" s="509">
        <f t="shared" ref="BF12:BG12" si="50">BF10/BB10-1</f>
        <v>1.1315767003003074E-2</v>
      </c>
      <c r="BG12" s="667">
        <f t="shared" si="50"/>
        <v>7.7845715625768364E-2</v>
      </c>
      <c r="BH12" s="646">
        <f t="shared" ref="BH12" si="51">BH10/BD10-1</f>
        <v>5.8880437724169843E-2</v>
      </c>
      <c r="BI12" s="667">
        <f t="shared" ref="BI12" si="52">BI10/BE10-1</f>
        <v>3.4226053699656589E-2</v>
      </c>
      <c r="BJ12" s="667">
        <f t="shared" ref="BJ12" si="53">BJ10/BF10-1</f>
        <v>4.9150400764647717E-2</v>
      </c>
      <c r="BK12" s="647">
        <f t="shared" ref="BK12" si="54">BK10/BG10-1</f>
        <v>4.7435202636871621E-2</v>
      </c>
      <c r="BL12" s="496">
        <f t="shared" ref="BL12" si="55">BL10/BH10-1</f>
        <v>5.0354478579546225E-3</v>
      </c>
      <c r="BM12" s="509">
        <f t="shared" ref="BM12" si="56">BM10/BI10-1</f>
        <v>3.6222552216789161E-2</v>
      </c>
      <c r="BN12" s="509">
        <f t="shared" ref="BN12" si="57">BN10/BJ10-1</f>
        <v>3.8561994855262016E-2</v>
      </c>
      <c r="BO12" s="616">
        <f t="shared" ref="BO12" si="58">BO10/BK10-1</f>
        <v>3.4468996149576547E-2</v>
      </c>
      <c r="BP12" s="618"/>
      <c r="BQ12" s="643"/>
      <c r="BR12" s="643"/>
      <c r="BS12" s="643"/>
      <c r="BT12" s="643"/>
      <c r="BU12" s="643"/>
      <c r="BV12" s="643">
        <f t="shared" ref="BV12:CB12" si="59">BV10/BU10-1</f>
        <v>-6.2028144650933204E-2</v>
      </c>
      <c r="BW12" s="643">
        <f t="shared" si="59"/>
        <v>0.2711411211571888</v>
      </c>
      <c r="BX12" s="643">
        <f t="shared" si="59"/>
        <v>-4.3023409705296056E-2</v>
      </c>
      <c r="BY12" s="643">
        <f t="shared" si="59"/>
        <v>-6.117756792958573E-2</v>
      </c>
      <c r="BZ12" s="643">
        <f t="shared" si="59"/>
        <v>6.0442110262404203E-2</v>
      </c>
      <c r="CA12" s="643">
        <f t="shared" si="59"/>
        <v>9.4823561575460458E-2</v>
      </c>
      <c r="CB12" s="643">
        <f t="shared" si="59"/>
        <v>-0.38043079594665508</v>
      </c>
      <c r="CC12" s="494">
        <f t="shared" ref="CC12" si="60">CC10/CB10-1</f>
        <v>-4.9985628913246871E-2</v>
      </c>
      <c r="CD12" s="494">
        <f t="shared" ref="CD12" si="61">CD10/CC10-1</f>
        <v>7.2635395977657113E-2</v>
      </c>
      <c r="CE12" s="494">
        <f t="shared" ref="CE12" si="62">CE10/CD10-1</f>
        <v>4.7263175123270162E-2</v>
      </c>
      <c r="CF12" s="590">
        <f t="shared" ref="CF12" si="63">CF10/CE10-1</f>
        <v>2.8909382316688381E-2</v>
      </c>
      <c r="CG12" s="290"/>
    </row>
    <row r="13" spans="1:85" ht="14.25">
      <c r="B13" s="265"/>
      <c r="D13" s="497"/>
      <c r="E13" s="498"/>
      <c r="F13" s="498"/>
      <c r="G13" s="615"/>
      <c r="H13" s="283"/>
      <c r="I13" s="283"/>
      <c r="J13" s="283"/>
      <c r="K13" s="509"/>
      <c r="L13" s="496"/>
      <c r="M13" s="509"/>
      <c r="N13" s="509"/>
      <c r="O13" s="616"/>
      <c r="P13" s="496"/>
      <c r="Q13" s="509"/>
      <c r="R13" s="509"/>
      <c r="S13" s="616"/>
      <c r="T13" s="496"/>
      <c r="U13" s="509"/>
      <c r="V13" s="509"/>
      <c r="W13" s="616"/>
      <c r="X13" s="509"/>
      <c r="Y13" s="509"/>
      <c r="Z13" s="509"/>
      <c r="AA13" s="509"/>
      <c r="AB13" s="496"/>
      <c r="AC13" s="509"/>
      <c r="AD13" s="509"/>
      <c r="AE13" s="616"/>
      <c r="AF13" s="509"/>
      <c r="AG13" s="509"/>
      <c r="AH13" s="509"/>
      <c r="AI13" s="509"/>
      <c r="AJ13" s="496"/>
      <c r="AK13" s="509"/>
      <c r="AL13" s="494"/>
      <c r="AM13" s="590"/>
      <c r="AN13" s="509"/>
      <c r="AO13" s="494"/>
      <c r="AP13" s="494"/>
      <c r="AQ13" s="494"/>
      <c r="AR13" s="496"/>
      <c r="AS13" s="509"/>
      <c r="AT13" s="509"/>
      <c r="AU13" s="590"/>
      <c r="AV13" s="509"/>
      <c r="AW13" s="509"/>
      <c r="AX13" s="509"/>
      <c r="AY13" s="509"/>
      <c r="AZ13" s="496"/>
      <c r="BA13" s="509"/>
      <c r="BB13" s="509"/>
      <c r="BC13" s="616"/>
      <c r="BD13" s="496"/>
      <c r="BE13" s="509"/>
      <c r="BF13" s="509"/>
      <c r="BG13" s="667"/>
      <c r="BH13" s="646"/>
      <c r="BI13" s="667"/>
      <c r="BJ13" s="667"/>
      <c r="BK13" s="647"/>
      <c r="BL13" s="496"/>
      <c r="BM13" s="509"/>
      <c r="BN13" s="509"/>
      <c r="BO13" s="616"/>
      <c r="BP13" s="618"/>
      <c r="BQ13" s="643"/>
      <c r="BR13" s="643"/>
      <c r="BS13" s="643"/>
      <c r="BT13" s="643"/>
      <c r="BU13" s="643"/>
      <c r="BV13" s="643"/>
      <c r="BW13" s="643"/>
      <c r="BX13" s="643"/>
      <c r="BY13" s="643"/>
      <c r="BZ13" s="643"/>
      <c r="CA13" s="643"/>
      <c r="CB13" s="643"/>
      <c r="CC13" s="494"/>
      <c r="CD13" s="494"/>
      <c r="CE13" s="494"/>
      <c r="CF13" s="590"/>
      <c r="CG13" s="290"/>
    </row>
    <row r="14" spans="1:85" ht="15">
      <c r="B14" s="337" t="s">
        <v>494</v>
      </c>
      <c r="D14" s="288">
        <v>167.946471</v>
      </c>
      <c r="E14" s="280">
        <v>185.12694199999999</v>
      </c>
      <c r="F14" s="280">
        <v>197.85420900000003</v>
      </c>
      <c r="G14" s="620">
        <v>211.98571799999991</v>
      </c>
      <c r="H14" s="280">
        <v>231.26417999999998</v>
      </c>
      <c r="I14" s="280">
        <v>247.54783600000002</v>
      </c>
      <c r="J14" s="280">
        <v>270.10048399999999</v>
      </c>
      <c r="K14" s="280">
        <v>310.03614400000004</v>
      </c>
      <c r="L14" s="288">
        <v>316.67310440498488</v>
      </c>
      <c r="M14" s="280">
        <v>326.04168999344807</v>
      </c>
      <c r="N14" s="280">
        <v>310.72221304340275</v>
      </c>
      <c r="O14" s="620">
        <v>328.83856390831539</v>
      </c>
      <c r="P14" s="288">
        <v>293.79691955204277</v>
      </c>
      <c r="Q14" s="280">
        <v>318.69211402896599</v>
      </c>
      <c r="R14" s="280">
        <v>373.14607550139306</v>
      </c>
      <c r="S14" s="620">
        <v>435.84334150367016</v>
      </c>
      <c r="T14" s="288">
        <v>428.54148662305255</v>
      </c>
      <c r="U14" s="280">
        <v>445.74091381511096</v>
      </c>
      <c r="V14" s="280">
        <v>386.01006802535323</v>
      </c>
      <c r="W14" s="620">
        <v>211.32239069993545</v>
      </c>
      <c r="X14" s="280">
        <v>265.13802086862682</v>
      </c>
      <c r="Y14" s="339">
        <v>364.94095805803533</v>
      </c>
      <c r="Z14" s="339">
        <v>405.49426197653798</v>
      </c>
      <c r="AA14" s="280">
        <v>439.25815876024353</v>
      </c>
      <c r="AB14" s="288">
        <v>431.40966403692096</v>
      </c>
      <c r="AC14" s="280">
        <v>372.5541747572816</v>
      </c>
      <c r="AD14" s="280">
        <v>383.73080000000004</v>
      </c>
      <c r="AE14" s="620">
        <v>396.22572000000002</v>
      </c>
      <c r="AF14" s="280">
        <v>393.17698000000001</v>
      </c>
      <c r="AG14" s="339">
        <v>444.28998739999997</v>
      </c>
      <c r="AH14" s="339">
        <v>435.40418765199996</v>
      </c>
      <c r="AI14" s="280">
        <v>300.42888947987996</v>
      </c>
      <c r="AJ14" s="288">
        <v>358.35795000000002</v>
      </c>
      <c r="AK14" s="280">
        <v>383.56887999999998</v>
      </c>
      <c r="AL14" s="280">
        <v>372.06181359999999</v>
      </c>
      <c r="AM14" s="620">
        <v>390.66490428000003</v>
      </c>
      <c r="AN14" s="280">
        <v>389.21557000000001</v>
      </c>
      <c r="AO14" s="410">
        <f>AO$38*AO17</f>
        <v>419.66912000000002</v>
      </c>
      <c r="AP14" s="410">
        <v>431.15763800000002</v>
      </c>
      <c r="AQ14" s="518">
        <v>445.37602199999998</v>
      </c>
      <c r="AR14" s="510">
        <f>AQ14*(1+AR15)</f>
        <v>418.65346067999997</v>
      </c>
      <c r="AS14" s="518">
        <f>AR14*(1+AS15)</f>
        <v>443.77266832079999</v>
      </c>
      <c r="AT14" s="518">
        <f>AS14*(1+AT15)</f>
        <v>457.085848370424</v>
      </c>
      <c r="AU14" s="617">
        <f>AT14*(1+AU15)</f>
        <v>438.80241443560703</v>
      </c>
      <c r="AV14" s="558">
        <v>348.99700000000001</v>
      </c>
      <c r="AW14" s="558">
        <v>306.12799999999999</v>
      </c>
      <c r="AX14" s="558">
        <v>257.86</v>
      </c>
      <c r="AY14" s="558">
        <v>288.39299999999997</v>
      </c>
      <c r="AZ14" s="557">
        <v>242.63800000000001</v>
      </c>
      <c r="BA14" s="558">
        <v>275.34300000000002</v>
      </c>
      <c r="BB14" s="558">
        <v>328.96</v>
      </c>
      <c r="BC14" s="621">
        <v>310.77100000000002</v>
      </c>
      <c r="BD14" s="557">
        <v>303.80799999999999</v>
      </c>
      <c r="BE14" s="558">
        <v>311.50099999999998</v>
      </c>
      <c r="BF14" s="558">
        <v>315.33800000000002</v>
      </c>
      <c r="BG14" s="558">
        <v>323.71800000000002</v>
      </c>
      <c r="BH14" s="668">
        <f t="shared" ref="BH14" si="64">BG14*(1+BH15)</f>
        <v>301.05774000000002</v>
      </c>
      <c r="BI14" s="675">
        <f t="shared" ref="BI14" si="65">BH14*(1+BI15)</f>
        <v>317.61591570000002</v>
      </c>
      <c r="BJ14" s="675">
        <f t="shared" ref="BJ14" si="66">BI14*(1+BJ15)</f>
        <v>335.08479106350001</v>
      </c>
      <c r="BK14" s="676">
        <f t="shared" ref="BK14" si="67">BJ14*(1+BK15)</f>
        <v>335.08479106350001</v>
      </c>
      <c r="BL14" s="510">
        <f t="shared" ref="BL14" si="68">BK14*(1+BL15)</f>
        <v>311.628855689055</v>
      </c>
      <c r="BM14" s="518">
        <f t="shared" ref="BM14" si="69">BL14*(1+BM15)</f>
        <v>324.09400991661721</v>
      </c>
      <c r="BN14" s="518">
        <f t="shared" ref="BN14" si="70">BM14*(1+BN15)</f>
        <v>337.05777031328194</v>
      </c>
      <c r="BO14" s="617">
        <f t="shared" ref="BO14" si="71">BN14*(1+BO15)</f>
        <v>337.05777031328194</v>
      </c>
      <c r="BP14" s="618"/>
      <c r="BQ14" s="437">
        <f>SUM(D14:G14)</f>
        <v>762.91333999999983</v>
      </c>
      <c r="BR14" s="437">
        <f>SUM(H14:K14)</f>
        <v>1058.9486440000001</v>
      </c>
      <c r="BS14" s="437">
        <f>SUM(L14:O14)</f>
        <v>1282.275571350151</v>
      </c>
      <c r="BT14" s="437">
        <f>SUM(P14:S14)</f>
        <v>1421.4784505860719</v>
      </c>
      <c r="BU14" s="437">
        <f>SUM(T14:W14)</f>
        <v>1471.6148591634524</v>
      </c>
      <c r="BV14" s="437">
        <f>SUM(X14:AA14)</f>
        <v>1474.8313996634436</v>
      </c>
      <c r="BW14" s="437">
        <f>SUM(AB14:AE14)</f>
        <v>1583.9203587942025</v>
      </c>
      <c r="BX14" s="437">
        <f>SUM(AF14:AI14)</f>
        <v>1573.3000445318798</v>
      </c>
      <c r="BY14" s="437">
        <f>SUM(AJ14:AM14)</f>
        <v>1504.6535478799999</v>
      </c>
      <c r="BZ14" s="437">
        <f>SUM(AN14:AQ14)</f>
        <v>1685.4183499999999</v>
      </c>
      <c r="CA14" s="437">
        <f>SUM(AR14:AU14)</f>
        <v>1758.3143918068311</v>
      </c>
      <c r="CB14" s="437">
        <f>SUM(AV14:AY14)</f>
        <v>1201.3779999999999</v>
      </c>
      <c r="CC14" s="437">
        <f>SUM(AZ14:BC14)</f>
        <v>1157.712</v>
      </c>
      <c r="CD14" s="437">
        <f>SUM(BD14:BG14)</f>
        <v>1254.365</v>
      </c>
      <c r="CE14" s="437">
        <f>SUM(BH14:BK14)</f>
        <v>1288.8432378269999</v>
      </c>
      <c r="CF14" s="592">
        <f>SUM(BL14:BO14)</f>
        <v>1309.8384062322361</v>
      </c>
      <c r="CG14" s="290"/>
    </row>
    <row r="15" spans="1:85" ht="14.25">
      <c r="B15" s="282" t="s">
        <v>287</v>
      </c>
      <c r="D15" s="497"/>
      <c r="E15" s="509">
        <f t="shared" ref="E15:K15" si="72">E14/D14-1</f>
        <v>0.10229730281144156</v>
      </c>
      <c r="F15" s="509">
        <f t="shared" si="72"/>
        <v>6.8748864225284034E-2</v>
      </c>
      <c r="G15" s="616">
        <f t="shared" si="72"/>
        <v>7.1423848253841626E-2</v>
      </c>
      <c r="H15" s="283">
        <f t="shared" si="72"/>
        <v>9.0942268101288137E-2</v>
      </c>
      <c r="I15" s="283">
        <f t="shared" si="72"/>
        <v>7.0411492173150458E-2</v>
      </c>
      <c r="J15" s="283">
        <f t="shared" si="72"/>
        <v>9.1104201775369154E-2</v>
      </c>
      <c r="K15" s="509">
        <f t="shared" si="72"/>
        <v>0.1478548257618082</v>
      </c>
      <c r="L15" s="497">
        <v>-7.0000000000000007E-2</v>
      </c>
      <c r="M15" s="509">
        <f t="shared" ref="M15:W15" si="73">(M14-L14)/L14</f>
        <v>2.958440567937198E-2</v>
      </c>
      <c r="N15" s="509">
        <f t="shared" si="73"/>
        <v>-4.6986251820597479E-2</v>
      </c>
      <c r="O15" s="616">
        <f t="shared" si="73"/>
        <v>5.830400951213003E-2</v>
      </c>
      <c r="P15" s="496">
        <f t="shared" si="73"/>
        <v>-0.10656184584859915</v>
      </c>
      <c r="Q15" s="509">
        <f t="shared" si="73"/>
        <v>8.4736063655403038E-2</v>
      </c>
      <c r="R15" s="509">
        <f t="shared" si="73"/>
        <v>0.1708669875260162</v>
      </c>
      <c r="S15" s="616">
        <f t="shared" si="73"/>
        <v>0.16802338311620013</v>
      </c>
      <c r="T15" s="496">
        <f t="shared" si="73"/>
        <v>-1.6753393215612825E-2</v>
      </c>
      <c r="U15" s="509">
        <f t="shared" si="73"/>
        <v>4.013480078111345E-2</v>
      </c>
      <c r="V15" s="509">
        <f t="shared" si="73"/>
        <v>-0.13400350728076424</v>
      </c>
      <c r="W15" s="616">
        <f t="shared" si="73"/>
        <v>-0.45254694578055477</v>
      </c>
      <c r="X15" s="283">
        <f t="shared" ref="X15:AD15" si="74">(X14-W14)/W14</f>
        <v>0.25466127839290914</v>
      </c>
      <c r="Y15" s="283">
        <f t="shared" si="74"/>
        <v>0.3764188058070323</v>
      </c>
      <c r="Z15" s="283">
        <f t="shared" si="74"/>
        <v>0.11112291734613573</v>
      </c>
      <c r="AA15" s="509">
        <f t="shared" si="74"/>
        <v>8.3266028523133917E-2</v>
      </c>
      <c r="AB15" s="496">
        <f t="shared" si="74"/>
        <v>-1.7867612853166036E-2</v>
      </c>
      <c r="AC15" s="509">
        <f t="shared" si="74"/>
        <v>-0.13642598714386328</v>
      </c>
      <c r="AD15" s="509">
        <f t="shared" si="74"/>
        <v>2.9999999999999988E-2</v>
      </c>
      <c r="AE15" s="616">
        <f t="shared" ref="AE15:AK15" si="75">(AE14-AD14)/AD14</f>
        <v>3.256168126196797E-2</v>
      </c>
      <c r="AF15" s="283">
        <f t="shared" si="75"/>
        <v>-7.6944525458872513E-3</v>
      </c>
      <c r="AG15" s="283">
        <f t="shared" si="75"/>
        <v>0.12999999999999989</v>
      </c>
      <c r="AH15" s="283">
        <f t="shared" si="75"/>
        <v>-2.0000000000000025E-2</v>
      </c>
      <c r="AI15" s="509">
        <f t="shared" si="75"/>
        <v>-0.31000000000000005</v>
      </c>
      <c r="AJ15" s="496">
        <f t="shared" si="75"/>
        <v>0.19282120511249845</v>
      </c>
      <c r="AK15" s="509">
        <f t="shared" si="75"/>
        <v>7.0351250753610914E-2</v>
      </c>
      <c r="AL15" s="506">
        <v>-0.03</v>
      </c>
      <c r="AM15" s="625">
        <v>0.05</v>
      </c>
      <c r="AN15" s="509">
        <f>(AN14-AM14)/AM14</f>
        <v>-3.7099167704126288E-3</v>
      </c>
      <c r="AO15" s="211">
        <f>(AO14-AN14)/AN14</f>
        <v>7.8243401208230201E-2</v>
      </c>
      <c r="AP15" s="211">
        <f>(AP14-AO14)/AO14</f>
        <v>2.7375180713796618E-2</v>
      </c>
      <c r="AQ15" s="494">
        <f>(AQ14-AP14)/AP14</f>
        <v>3.297722862096196E-2</v>
      </c>
      <c r="AR15" s="517">
        <v>-0.06</v>
      </c>
      <c r="AS15" s="506">
        <v>6.0000000000000032E-2</v>
      </c>
      <c r="AT15" s="506">
        <v>0.03</v>
      </c>
      <c r="AU15" s="625">
        <v>-0.04</v>
      </c>
      <c r="AV15" s="506"/>
      <c r="AW15" s="494">
        <f>AW14/AV14-1</f>
        <v>-0.12283486677535915</v>
      </c>
      <c r="AX15" s="494">
        <f t="shared" ref="AX15:BG15" si="76">AX14/AW14-1</f>
        <v>-0.15767260753671664</v>
      </c>
      <c r="AY15" s="380">
        <f t="shared" si="76"/>
        <v>0.11840921430233453</v>
      </c>
      <c r="AZ15" s="447">
        <f t="shared" si="76"/>
        <v>-0.15865502976840617</v>
      </c>
      <c r="BA15" s="494">
        <f t="shared" si="76"/>
        <v>0.13478927455715928</v>
      </c>
      <c r="BB15" s="494">
        <f t="shared" si="76"/>
        <v>0.19472803012969253</v>
      </c>
      <c r="BC15" s="590">
        <f t="shared" si="76"/>
        <v>-5.5292436770427944E-2</v>
      </c>
      <c r="BD15" s="447">
        <f t="shared" si="76"/>
        <v>-2.2405565512869652E-2</v>
      </c>
      <c r="BE15" s="494">
        <f t="shared" si="76"/>
        <v>2.5321913840320232E-2</v>
      </c>
      <c r="BF15" s="494">
        <f t="shared" si="76"/>
        <v>1.2317777471019475E-2</v>
      </c>
      <c r="BG15" s="643">
        <f t="shared" si="76"/>
        <v>2.6574659571634296E-2</v>
      </c>
      <c r="BH15" s="678">
        <v>-7.0000000000000007E-2</v>
      </c>
      <c r="BI15" s="662">
        <v>5.5E-2</v>
      </c>
      <c r="BJ15" s="662">
        <v>5.5E-2</v>
      </c>
      <c r="BK15" s="666">
        <v>0</v>
      </c>
      <c r="BL15" s="517">
        <v>-7.0000000000000007E-2</v>
      </c>
      <c r="BM15" s="506">
        <v>0.04</v>
      </c>
      <c r="BN15" s="506">
        <v>0.04</v>
      </c>
      <c r="BO15" s="625">
        <v>0</v>
      </c>
      <c r="BP15" s="618"/>
      <c r="BQ15" s="643"/>
      <c r="BR15" s="643"/>
      <c r="BS15" s="643"/>
      <c r="BT15" s="643"/>
      <c r="BU15" s="643"/>
      <c r="BV15" s="643"/>
      <c r="BW15" s="643"/>
      <c r="BX15" s="643"/>
      <c r="BY15" s="643"/>
      <c r="BZ15" s="643"/>
      <c r="CA15" s="643"/>
      <c r="CB15" s="643"/>
      <c r="CC15" s="494"/>
      <c r="CD15" s="494"/>
      <c r="CE15" s="494"/>
      <c r="CF15" s="590"/>
      <c r="CG15" s="290"/>
    </row>
    <row r="16" spans="1:85" ht="14.25">
      <c r="B16" s="265" t="s">
        <v>288</v>
      </c>
      <c r="D16" s="497"/>
      <c r="E16" s="498"/>
      <c r="F16" s="498"/>
      <c r="G16" s="615"/>
      <c r="H16" s="283">
        <f t="shared" ref="H16:AE16" si="77">H14/D14-1</f>
        <v>0.37701125020959791</v>
      </c>
      <c r="I16" s="283">
        <f t="shared" si="77"/>
        <v>0.33717887480688802</v>
      </c>
      <c r="J16" s="283">
        <f t="shared" si="77"/>
        <v>0.36514904264685089</v>
      </c>
      <c r="K16" s="509">
        <f t="shared" si="77"/>
        <v>0.46253316933360655</v>
      </c>
      <c r="L16" s="496">
        <f t="shared" si="77"/>
        <v>0.36931324343002414</v>
      </c>
      <c r="M16" s="509">
        <f t="shared" si="77"/>
        <v>0.3170855995422559</v>
      </c>
      <c r="N16" s="509">
        <f t="shared" si="77"/>
        <v>0.15039487690589537</v>
      </c>
      <c r="O16" s="616">
        <f t="shared" si="77"/>
        <v>6.0645896525907572E-2</v>
      </c>
      <c r="P16" s="496">
        <f t="shared" si="77"/>
        <v>-7.2239115146597199E-2</v>
      </c>
      <c r="Q16" s="509">
        <f t="shared" si="77"/>
        <v>-2.2541828821430077E-2</v>
      </c>
      <c r="R16" s="509">
        <f t="shared" si="77"/>
        <v>0.2008992593306187</v>
      </c>
      <c r="S16" s="616">
        <f t="shared" si="77"/>
        <v>0.3254021557678044</v>
      </c>
      <c r="T16" s="496">
        <f t="shared" si="77"/>
        <v>0.45863165371664594</v>
      </c>
      <c r="U16" s="509">
        <f t="shared" si="77"/>
        <v>0.39865686721886529</v>
      </c>
      <c r="V16" s="509">
        <f t="shared" si="77"/>
        <v>3.4474414628841821E-2</v>
      </c>
      <c r="W16" s="616">
        <f t="shared" si="77"/>
        <v>-0.51514140385655982</v>
      </c>
      <c r="X16" s="283">
        <f t="shared" si="77"/>
        <v>-0.38130139287577614</v>
      </c>
      <c r="Y16" s="283">
        <f t="shared" si="77"/>
        <v>-0.181271122422903</v>
      </c>
      <c r="Z16" s="283">
        <f t="shared" si="77"/>
        <v>5.0475869841573706E-2</v>
      </c>
      <c r="AA16" s="509">
        <f t="shared" si="77"/>
        <v>1.0786162663849597</v>
      </c>
      <c r="AB16" s="496">
        <f t="shared" si="77"/>
        <v>0.62711354117967111</v>
      </c>
      <c r="AC16" s="509">
        <f t="shared" si="77"/>
        <v>2.0861502473601634E-2</v>
      </c>
      <c r="AD16" s="509">
        <f t="shared" si="77"/>
        <v>-5.3671442526595281E-2</v>
      </c>
      <c r="AE16" s="616">
        <f t="shared" si="77"/>
        <v>-9.7966168418357258E-2</v>
      </c>
      <c r="AF16" s="283">
        <f t="shared" ref="AF16:AT16" si="78">AF14/AB14-1</f>
        <v>-8.8622687955476342E-2</v>
      </c>
      <c r="AG16" s="283">
        <f t="shared" si="78"/>
        <v>0.1925513589787422</v>
      </c>
      <c r="AH16" s="283">
        <f t="shared" si="78"/>
        <v>0.13466051630987108</v>
      </c>
      <c r="AI16" s="509">
        <f t="shared" si="78"/>
        <v>-0.24177337735702786</v>
      </c>
      <c r="AJ16" s="496">
        <f t="shared" si="78"/>
        <v>-8.855816024630947E-2</v>
      </c>
      <c r="AK16" s="509">
        <f t="shared" si="78"/>
        <v>-0.13666998834554422</v>
      </c>
      <c r="AL16" s="494">
        <f t="shared" si="78"/>
        <v>-0.14547947826038554</v>
      </c>
      <c r="AM16" s="590">
        <f t="shared" si="78"/>
        <v>0.30035731569071777</v>
      </c>
      <c r="AN16" s="509">
        <f t="shared" si="78"/>
        <v>8.6108372927125032E-2</v>
      </c>
      <c r="AO16" s="211">
        <f>AO14/AK14-1</f>
        <v>9.4116707278233847E-2</v>
      </c>
      <c r="AP16" s="211">
        <f>AP14/AL14-1</f>
        <v>0.15883335037315427</v>
      </c>
      <c r="AQ16" s="494">
        <f>AQ14/AM14-1</f>
        <v>0.1400461549542904</v>
      </c>
      <c r="AR16" s="496">
        <f>AR14/AN14-1</f>
        <v>7.5633897893653046E-2</v>
      </c>
      <c r="AS16" s="509">
        <f t="shared" si="78"/>
        <v>5.743464832675782E-2</v>
      </c>
      <c r="AT16" s="509">
        <f t="shared" si="78"/>
        <v>6.0136265915864406E-2</v>
      </c>
      <c r="AU16" s="590">
        <f>AU14/AQ14-1</f>
        <v>-1.4759679999999942E-2</v>
      </c>
      <c r="AV16" s="509">
        <f t="shared" ref="AV16:BG16" si="79">AV14/AR14-1</f>
        <v>-0.16638214471429447</v>
      </c>
      <c r="AW16" s="509">
        <f t="shared" si="79"/>
        <v>-0.31016932349988191</v>
      </c>
      <c r="AX16" s="509">
        <f t="shared" si="79"/>
        <v>-0.43586089808007067</v>
      </c>
      <c r="AY16" s="509">
        <f t="shared" si="79"/>
        <v>-0.34277253152552833</v>
      </c>
      <c r="AZ16" s="496">
        <f t="shared" si="79"/>
        <v>-0.30475620134270498</v>
      </c>
      <c r="BA16" s="509">
        <f t="shared" si="79"/>
        <v>-0.10056250979982218</v>
      </c>
      <c r="BB16" s="509">
        <f t="shared" si="79"/>
        <v>0.27573101683083823</v>
      </c>
      <c r="BC16" s="616">
        <f t="shared" si="79"/>
        <v>7.7595503358264706E-2</v>
      </c>
      <c r="BD16" s="496">
        <f t="shared" si="79"/>
        <v>0.25210395733561919</v>
      </c>
      <c r="BE16" s="509">
        <f t="shared" si="79"/>
        <v>0.13131984470278879</v>
      </c>
      <c r="BF16" s="509">
        <f t="shared" si="79"/>
        <v>-4.1409289883268308E-2</v>
      </c>
      <c r="BG16" s="667">
        <f t="shared" si="79"/>
        <v>4.1660901435462083E-2</v>
      </c>
      <c r="BH16" s="646">
        <f t="shared" ref="BH16" si="80">BH14/BD14-1</f>
        <v>-9.0526253423213188E-3</v>
      </c>
      <c r="BI16" s="667">
        <f t="shared" ref="BI16" si="81">BI14/BE14-1</f>
        <v>1.9630484974366258E-2</v>
      </c>
      <c r="BJ16" s="667">
        <f t="shared" ref="BJ16" si="82">BJ14/BF14-1</f>
        <v>6.2621032236837904E-2</v>
      </c>
      <c r="BK16" s="647">
        <f t="shared" ref="BK16" si="83">BK14/BG14-1</f>
        <v>3.5113249999999985E-2</v>
      </c>
      <c r="BL16" s="496">
        <f t="shared" ref="BL16" si="84">BL14/BH14-1</f>
        <v>3.5113249999999985E-2</v>
      </c>
      <c r="BM16" s="509">
        <f t="shared" ref="BM16" si="85">BM14/BI14-1</f>
        <v>2.0396000000000081E-2</v>
      </c>
      <c r="BN16" s="509">
        <f t="shared" ref="BN16" si="86">BN14/BJ14-1</f>
        <v>5.8880000000001154E-3</v>
      </c>
      <c r="BO16" s="616">
        <f t="shared" ref="BO16" si="87">BO14/BK14-1</f>
        <v>5.8880000000001154E-3</v>
      </c>
      <c r="BP16" s="618"/>
      <c r="BQ16" s="643"/>
      <c r="BR16" s="643">
        <f t="shared" ref="BR16:BW16" si="88">BR14/BQ14-1</f>
        <v>0.38803267485138004</v>
      </c>
      <c r="BS16" s="643">
        <f t="shared" si="88"/>
        <v>0.21089495568602001</v>
      </c>
      <c r="BT16" s="643">
        <f t="shared" si="88"/>
        <v>0.10855925383445419</v>
      </c>
      <c r="BU16" s="643">
        <f t="shared" si="88"/>
        <v>3.5270607554204858E-2</v>
      </c>
      <c r="BV16" s="643">
        <f t="shared" si="88"/>
        <v>2.1857216784422207E-3</v>
      </c>
      <c r="BW16" s="643">
        <f t="shared" si="88"/>
        <v>7.3967071189054545E-2</v>
      </c>
      <c r="BX16" s="643">
        <f t="shared" ref="BX16:CF16" si="89">BX14/BW14-1</f>
        <v>-6.7050809741517892E-3</v>
      </c>
      <c r="BY16" s="643">
        <f t="shared" si="89"/>
        <v>-4.3632171047389146E-2</v>
      </c>
      <c r="BZ16" s="643">
        <f t="shared" si="89"/>
        <v>0.12013715873311215</v>
      </c>
      <c r="CA16" s="643">
        <f t="shared" si="89"/>
        <v>4.3251007565469513E-2</v>
      </c>
      <c r="CB16" s="643">
        <f t="shared" si="89"/>
        <v>-0.31674448801759925</v>
      </c>
      <c r="CC16" s="494">
        <f t="shared" si="89"/>
        <v>-3.634659532636686E-2</v>
      </c>
      <c r="CD16" s="494">
        <f t="shared" si="89"/>
        <v>8.3486221098165947E-2</v>
      </c>
      <c r="CE16" s="494">
        <f t="shared" si="89"/>
        <v>2.7486607029851617E-2</v>
      </c>
      <c r="CF16" s="590">
        <f t="shared" si="89"/>
        <v>1.628993176907545E-2</v>
      </c>
      <c r="CG16" s="290"/>
    </row>
    <row r="17" spans="1:87" ht="14.25">
      <c r="B17" s="282" t="s">
        <v>289</v>
      </c>
      <c r="D17" s="496">
        <f t="shared" ref="D17:AT17" si="90">D14/D$38</f>
        <v>0.623</v>
      </c>
      <c r="E17" s="509">
        <f t="shared" si="90"/>
        <v>0.623</v>
      </c>
      <c r="F17" s="509">
        <f t="shared" si="90"/>
        <v>0.623</v>
      </c>
      <c r="G17" s="616">
        <f t="shared" si="90"/>
        <v>0.623</v>
      </c>
      <c r="H17" s="283">
        <f t="shared" si="90"/>
        <v>0.63400000000000001</v>
      </c>
      <c r="I17" s="283">
        <f t="shared" si="90"/>
        <v>0.63400000000000001</v>
      </c>
      <c r="J17" s="283">
        <f t="shared" si="90"/>
        <v>0.63400000000000001</v>
      </c>
      <c r="K17" s="509">
        <f t="shared" si="90"/>
        <v>0.63400000000000001</v>
      </c>
      <c r="L17" s="496">
        <f t="shared" si="90"/>
        <v>0.60758928388741451</v>
      </c>
      <c r="M17" s="509">
        <f t="shared" si="90"/>
        <v>0.56803172555632653</v>
      </c>
      <c r="N17" s="509">
        <f t="shared" si="90"/>
        <v>0.59708571716917191</v>
      </c>
      <c r="O17" s="616">
        <f t="shared" si="90"/>
        <v>0.52870146325781398</v>
      </c>
      <c r="P17" s="496">
        <f t="shared" si="90"/>
        <v>0.46263588623264751</v>
      </c>
      <c r="Q17" s="509">
        <f t="shared" si="90"/>
        <v>0.48528517723772857</v>
      </c>
      <c r="R17" s="509">
        <f t="shared" si="90"/>
        <v>0.4921174335260497</v>
      </c>
      <c r="S17" s="616">
        <f t="shared" si="90"/>
        <v>0.51598267463136605</v>
      </c>
      <c r="T17" s="496">
        <f t="shared" si="90"/>
        <v>0.53296208267021428</v>
      </c>
      <c r="U17" s="509">
        <f t="shared" si="90"/>
        <v>0.5290222399372293</v>
      </c>
      <c r="V17" s="509">
        <f t="shared" si="90"/>
        <v>0.48797423667568413</v>
      </c>
      <c r="W17" s="616">
        <f t="shared" si="90"/>
        <v>0.41204131032009383</v>
      </c>
      <c r="X17" s="283">
        <f t="shared" si="90"/>
        <v>0.50847858188884276</v>
      </c>
      <c r="Y17" s="283">
        <f t="shared" si="90"/>
        <v>0.56966838072185588</v>
      </c>
      <c r="Z17" s="283">
        <f t="shared" si="90"/>
        <v>0.50491255360683007</v>
      </c>
      <c r="AA17" s="509">
        <f t="shared" si="90"/>
        <v>0.52135301056958294</v>
      </c>
      <c r="AB17" s="496">
        <f t="shared" si="90"/>
        <v>0.50423124461554225</v>
      </c>
      <c r="AC17" s="509">
        <f t="shared" si="90"/>
        <v>0.41557722227000626</v>
      </c>
      <c r="AD17" s="509">
        <f t="shared" si="90"/>
        <v>0.4</v>
      </c>
      <c r="AE17" s="616">
        <f t="shared" si="90"/>
        <v>0.44</v>
      </c>
      <c r="AF17" s="283">
        <f t="shared" si="90"/>
        <v>0.49</v>
      </c>
      <c r="AG17" s="283">
        <f t="shared" si="90"/>
        <v>0.49501959555218822</v>
      </c>
      <c r="AH17" s="283">
        <f t="shared" si="90"/>
        <v>0.45811910735182554</v>
      </c>
      <c r="AI17" s="509">
        <f t="shared" si="90"/>
        <v>0.40450852965039757</v>
      </c>
      <c r="AJ17" s="496">
        <f t="shared" si="90"/>
        <v>0.45</v>
      </c>
      <c r="AK17" s="509">
        <f t="shared" si="90"/>
        <v>0.47</v>
      </c>
      <c r="AL17" s="494">
        <f t="shared" si="90"/>
        <v>0.47646416496239502</v>
      </c>
      <c r="AM17" s="590">
        <f t="shared" si="90"/>
        <v>0.5038925933645817</v>
      </c>
      <c r="AN17" s="509">
        <f>AN14/AN$38</f>
        <v>0.53</v>
      </c>
      <c r="AO17" s="334">
        <v>0.52</v>
      </c>
      <c r="AP17" s="211">
        <f t="shared" si="90"/>
        <v>0.46300000000000002</v>
      </c>
      <c r="AQ17" s="494">
        <f t="shared" si="90"/>
        <v>0.47799999999999998</v>
      </c>
      <c r="AR17" s="496">
        <f t="shared" si="90"/>
        <v>0.43708534988463499</v>
      </c>
      <c r="AS17" s="509">
        <f t="shared" si="90"/>
        <v>0.46152043671466236</v>
      </c>
      <c r="AT17" s="509">
        <f t="shared" si="90"/>
        <v>0.49141829621735317</v>
      </c>
      <c r="AU17" s="590">
        <f>AU14/AU$38</f>
        <v>0.51175157843891794</v>
      </c>
      <c r="AV17" s="494">
        <f>AV14/AV34</f>
        <v>0.50053854968784195</v>
      </c>
      <c r="AW17" s="494">
        <f t="shared" ref="AW17:BE17" si="91">AW14/AW34</f>
        <v>0.45161747176358125</v>
      </c>
      <c r="AX17" s="494">
        <f t="shared" si="91"/>
        <v>0.40475992396428023</v>
      </c>
      <c r="AY17" s="494">
        <f t="shared" si="91"/>
        <v>0.48852265739738482</v>
      </c>
      <c r="AZ17" s="447">
        <f t="shared" si="91"/>
        <v>0.4723956599361801</v>
      </c>
      <c r="BA17" s="494">
        <f t="shared" si="91"/>
        <v>0.4609439085555106</v>
      </c>
      <c r="BB17" s="494">
        <f t="shared" si="91"/>
        <v>0.52747450096287829</v>
      </c>
      <c r="BC17" s="590">
        <f t="shared" si="91"/>
        <v>0.54871442646222734</v>
      </c>
      <c r="BD17" s="447">
        <f t="shared" si="91"/>
        <v>0.53047533738774844</v>
      </c>
      <c r="BE17" s="494">
        <f t="shared" si="91"/>
        <v>0.51509053327821408</v>
      </c>
      <c r="BF17" s="494">
        <f t="shared" ref="BF17:BG17" si="92">BF14/BF34</f>
        <v>0.51166149063283917</v>
      </c>
      <c r="BG17" s="643">
        <f t="shared" si="92"/>
        <v>0.52602090642158306</v>
      </c>
      <c r="BH17" s="646">
        <f t="shared" ref="BH17:BK17" si="93">BH14/BH$38</f>
        <v>0.50119371935261725</v>
      </c>
      <c r="BI17" s="667">
        <f t="shared" si="93"/>
        <v>0.51255981236359249</v>
      </c>
      <c r="BJ17" s="667">
        <f t="shared" si="93"/>
        <v>0.52523003252267941</v>
      </c>
      <c r="BK17" s="647">
        <f t="shared" si="93"/>
        <v>0.53017873297962226</v>
      </c>
      <c r="BL17" s="496">
        <f t="shared" ref="BL17:BO17" si="94">BL14/BL$38</f>
        <v>0.52156642726390756</v>
      </c>
      <c r="BM17" s="509">
        <f t="shared" si="94"/>
        <v>0.50992397120321398</v>
      </c>
      <c r="BN17" s="509">
        <f t="shared" si="94"/>
        <v>0.51304858360346961</v>
      </c>
      <c r="BO17" s="616">
        <f t="shared" si="94"/>
        <v>0.51907966431204056</v>
      </c>
      <c r="BP17" s="618"/>
      <c r="BQ17" s="643">
        <f t="shared" ref="BQ17:BW17" si="95">BQ14/BQ$38</f>
        <v>0.62299999999999989</v>
      </c>
      <c r="BR17" s="643">
        <f t="shared" si="95"/>
        <v>0.63400000000000001</v>
      </c>
      <c r="BS17" s="643">
        <f t="shared" si="95"/>
        <v>0.5730704798278079</v>
      </c>
      <c r="BT17" s="643">
        <f t="shared" si="95"/>
        <v>0.49106362940252102</v>
      </c>
      <c r="BU17" s="643">
        <f t="shared" si="95"/>
        <v>0.49875730806746121</v>
      </c>
      <c r="BV17" s="643">
        <f t="shared" si="95"/>
        <v>0.52528340932000028</v>
      </c>
      <c r="BW17" s="643">
        <f t="shared" si="95"/>
        <v>0.43852914767801882</v>
      </c>
      <c r="BX17" s="643">
        <f t="shared" ref="BX17:CC17" si="96">BX14/BX$38</f>
        <v>0.46368449665547118</v>
      </c>
      <c r="BY17" s="643">
        <f t="shared" si="96"/>
        <v>0.47485933917181877</v>
      </c>
      <c r="BZ17" s="643">
        <f t="shared" si="96"/>
        <v>0.49507059981200791</v>
      </c>
      <c r="CA17" s="643">
        <f t="shared" si="96"/>
        <v>0.47432747286844545</v>
      </c>
      <c r="CB17" s="643">
        <f t="shared" si="96"/>
        <v>0.44073874066889029</v>
      </c>
      <c r="CC17" s="494">
        <f t="shared" si="96"/>
        <v>0.48378135332011724</v>
      </c>
      <c r="CD17" s="494">
        <f t="shared" ref="CD17:CE17" si="97">CD14/CD$38</f>
        <v>0.51926797069597674</v>
      </c>
      <c r="CE17" s="494">
        <f t="shared" si="97"/>
        <v>0.51753560984894775</v>
      </c>
      <c r="CF17" s="590">
        <f t="shared" ref="CF17" si="98">CF14/CF$38</f>
        <v>0.51581288685918281</v>
      </c>
      <c r="CG17" s="290"/>
    </row>
    <row r="18" spans="1:87" ht="14.25">
      <c r="B18" s="282"/>
      <c r="D18" s="497"/>
      <c r="E18" s="498"/>
      <c r="F18" s="498"/>
      <c r="G18" s="615"/>
      <c r="H18" s="285"/>
      <c r="I18" s="285"/>
      <c r="J18" s="285"/>
      <c r="K18" s="498"/>
      <c r="L18" s="497"/>
      <c r="M18" s="498"/>
      <c r="N18" s="498"/>
      <c r="O18" s="615"/>
      <c r="P18" s="497"/>
      <c r="Q18" s="498"/>
      <c r="R18" s="498"/>
      <c r="S18" s="615"/>
      <c r="T18" s="508"/>
      <c r="U18" s="507"/>
      <c r="V18" s="507"/>
      <c r="W18" s="623"/>
      <c r="X18" s="340"/>
      <c r="Y18" s="340"/>
      <c r="Z18" s="340"/>
      <c r="AA18" s="507"/>
      <c r="AB18" s="508"/>
      <c r="AC18" s="507"/>
      <c r="AD18" s="507"/>
      <c r="AE18" s="623"/>
      <c r="AF18" s="340"/>
      <c r="AG18" s="340"/>
      <c r="AH18" s="340"/>
      <c r="AI18" s="507"/>
      <c r="AJ18" s="508"/>
      <c r="AK18" s="507"/>
      <c r="AL18" s="381"/>
      <c r="AM18" s="626"/>
      <c r="AN18" s="507"/>
      <c r="AO18" s="340"/>
      <c r="AP18" s="340"/>
      <c r="AQ18" s="507"/>
      <c r="AR18" s="508"/>
      <c r="AS18" s="507"/>
      <c r="AT18" s="507"/>
      <c r="AU18" s="623"/>
      <c r="AV18" s="507"/>
      <c r="AW18" s="507"/>
      <c r="AX18" s="507"/>
      <c r="AY18" s="507"/>
      <c r="AZ18" s="508"/>
      <c r="BA18" s="507"/>
      <c r="BB18" s="507"/>
      <c r="BC18" s="623"/>
      <c r="BD18" s="508"/>
      <c r="BE18" s="507"/>
      <c r="BF18" s="507"/>
      <c r="BG18" s="663"/>
      <c r="BH18" s="665"/>
      <c r="BI18" s="663"/>
      <c r="BJ18" s="663"/>
      <c r="BK18" s="664"/>
      <c r="BL18" s="508"/>
      <c r="BM18" s="507"/>
      <c r="BN18" s="507"/>
      <c r="BO18" s="623"/>
      <c r="BP18" s="618"/>
      <c r="BQ18" s="272"/>
      <c r="BR18" s="272"/>
      <c r="BS18" s="272"/>
      <c r="BT18" s="272"/>
      <c r="BU18" s="272"/>
      <c r="BV18" s="272"/>
      <c r="BW18" s="272"/>
      <c r="BX18" s="272"/>
      <c r="BY18" s="272"/>
      <c r="BZ18" s="272"/>
      <c r="CA18" s="272"/>
      <c r="CB18" s="272"/>
      <c r="CC18" s="272"/>
      <c r="CD18" s="272"/>
      <c r="CE18" s="272"/>
      <c r="CF18" s="591"/>
      <c r="CG18" s="290"/>
    </row>
    <row r="19" spans="1:87" ht="15">
      <c r="A19" s="287"/>
      <c r="B19" s="337" t="s">
        <v>495</v>
      </c>
      <c r="D19" s="288"/>
      <c r="E19" s="280"/>
      <c r="F19" s="280"/>
      <c r="G19" s="620"/>
      <c r="H19" s="280"/>
      <c r="I19" s="280"/>
      <c r="J19" s="280"/>
      <c r="K19" s="280"/>
      <c r="L19" s="288"/>
      <c r="M19" s="280"/>
      <c r="N19" s="280"/>
      <c r="O19" s="620"/>
      <c r="P19" s="288"/>
      <c r="Q19" s="280"/>
      <c r="R19" s="280"/>
      <c r="S19" s="620"/>
      <c r="T19" s="288">
        <v>135.80915401389848</v>
      </c>
      <c r="U19" s="280">
        <v>161.10671476845411</v>
      </c>
      <c r="V19" s="280">
        <v>144.60848907446245</v>
      </c>
      <c r="W19" s="620">
        <v>92.857890229816661</v>
      </c>
      <c r="X19" s="341">
        <v>108.29670064999799</v>
      </c>
      <c r="Y19" s="341">
        <v>129.70235517811295</v>
      </c>
      <c r="Z19" s="341">
        <v>159.33104434686931</v>
      </c>
      <c r="AA19" s="341">
        <v>170.00972025118847</v>
      </c>
      <c r="AB19" s="342">
        <v>171.11580000000001</v>
      </c>
      <c r="AC19" s="341">
        <v>155.55981818181817</v>
      </c>
      <c r="AD19" s="341">
        <v>163.08559000000002</v>
      </c>
      <c r="AE19" s="624">
        <v>162.09234000000001</v>
      </c>
      <c r="AF19" s="341">
        <v>168.50442000000001</v>
      </c>
      <c r="AG19" s="341">
        <v>173.55955260000002</v>
      </c>
      <c r="AH19" s="341">
        <v>171.82395707400002</v>
      </c>
      <c r="AI19" s="341">
        <v>170.10571750326002</v>
      </c>
      <c r="AJ19" s="342">
        <v>169.5</v>
      </c>
      <c r="AK19" s="341">
        <v>177</v>
      </c>
      <c r="AL19" s="382">
        <v>175.23</v>
      </c>
      <c r="AM19" s="627">
        <v>173.4777</v>
      </c>
      <c r="AN19" s="341">
        <v>173</v>
      </c>
      <c r="AO19" s="410">
        <f>AO$38*AO22</f>
        <v>169.48176000000001</v>
      </c>
      <c r="AP19" s="289">
        <v>162.03332399999999</v>
      </c>
      <c r="AQ19" s="495">
        <v>170.51006699999999</v>
      </c>
      <c r="AR19" s="499">
        <f>AQ19*(1+AR20)</f>
        <v>170.51006699999999</v>
      </c>
      <c r="AS19" s="495">
        <f>AR19*(1+AS20)</f>
        <v>180.74067102000001</v>
      </c>
      <c r="AT19" s="495">
        <f>AS19*(1+AT20)</f>
        <v>168.0888240486</v>
      </c>
      <c r="AU19" s="629">
        <f>AT19*(1+AU20)</f>
        <v>163.04615932714199</v>
      </c>
      <c r="AV19" s="558">
        <v>143.78399999999999</v>
      </c>
      <c r="AW19" s="558">
        <v>133.65700000000001</v>
      </c>
      <c r="AX19" s="558">
        <v>123.351</v>
      </c>
      <c r="AY19" s="558">
        <v>131.20599999999999</v>
      </c>
      <c r="AZ19" s="557">
        <v>138.34299999999999</v>
      </c>
      <c r="BA19" s="558">
        <v>156.614</v>
      </c>
      <c r="BB19" s="558">
        <v>146.75200000000001</v>
      </c>
      <c r="BC19" s="621">
        <v>148.09</v>
      </c>
      <c r="BD19" s="557">
        <v>144.815</v>
      </c>
      <c r="BE19" s="558">
        <v>147.25</v>
      </c>
      <c r="BF19" s="558">
        <v>150.49700000000001</v>
      </c>
      <c r="BG19" s="558">
        <v>155.34</v>
      </c>
      <c r="BH19" s="652">
        <f t="shared" ref="BH19" si="99">BG19*(1+BH20)</f>
        <v>155.34</v>
      </c>
      <c r="BI19" s="645">
        <f t="shared" ref="BI19" si="100">BH19*(1+BI20)</f>
        <v>161.55360000000002</v>
      </c>
      <c r="BJ19" s="645">
        <f t="shared" ref="BJ19" si="101">BI19*(1+BJ20)</f>
        <v>168.01574400000001</v>
      </c>
      <c r="BK19" s="651">
        <f t="shared" ref="BK19" si="102">BJ19*(1+BK20)</f>
        <v>173.05621632</v>
      </c>
      <c r="BL19" s="499">
        <f t="shared" ref="BL19" si="103">BK19*(1+BL20)</f>
        <v>166.13396766720001</v>
      </c>
      <c r="BM19" s="495">
        <f t="shared" ref="BM19" si="104">BL19*(1+BM20)</f>
        <v>172.77932637388801</v>
      </c>
      <c r="BN19" s="495">
        <f t="shared" ref="BN19" si="105">BM19*(1+BN20)</f>
        <v>177.96270616510466</v>
      </c>
      <c r="BO19" s="629">
        <f t="shared" ref="BO19" si="106">BN19*(1+BO20)</f>
        <v>181.52196028840675</v>
      </c>
      <c r="BP19" s="618"/>
      <c r="BQ19" s="437">
        <f>SUM(D19:G19)</f>
        <v>0</v>
      </c>
      <c r="BR19" s="437">
        <f>SUM(H19:K19)</f>
        <v>0</v>
      </c>
      <c r="BS19" s="437">
        <f>SUM(L19:O19)</f>
        <v>0</v>
      </c>
      <c r="BT19" s="437">
        <f>SUM(P19:S19)</f>
        <v>0</v>
      </c>
      <c r="BU19" s="437">
        <f>SUM(T19:W19)</f>
        <v>534.38224808663176</v>
      </c>
      <c r="BV19" s="437">
        <f>SUM(X19:AA19)</f>
        <v>567.33982042616867</v>
      </c>
      <c r="BW19" s="437">
        <f>SUM(AB19:AE19)</f>
        <v>651.85354818181827</v>
      </c>
      <c r="BX19" s="437">
        <f>SUM(AF19:AI19)</f>
        <v>683.99364717726019</v>
      </c>
      <c r="BY19" s="437">
        <f>SUM(AJ19:AM19)</f>
        <v>695.20770000000005</v>
      </c>
      <c r="BZ19" s="437">
        <f>SUM(AN19:AQ19)</f>
        <v>675.02515100000005</v>
      </c>
      <c r="CA19" s="437">
        <f>SUM(AR19:AU19)</f>
        <v>682.38572139574194</v>
      </c>
      <c r="CB19" s="437">
        <f>SUM(AV19:AY19)</f>
        <v>531.99800000000005</v>
      </c>
      <c r="CC19" s="437">
        <f>SUM(AZ19:BC19)</f>
        <v>589.79899999999998</v>
      </c>
      <c r="CD19" s="437">
        <f>SUM(BD19:BG19)</f>
        <v>597.90200000000004</v>
      </c>
      <c r="CE19" s="437">
        <f>SUM(BH19:BK19)</f>
        <v>657.96556032000001</v>
      </c>
      <c r="CF19" s="592">
        <f>SUM(BL19:BO19)</f>
        <v>698.39796049459937</v>
      </c>
      <c r="CG19" s="290"/>
    </row>
    <row r="20" spans="1:87" ht="14.25">
      <c r="B20" s="282" t="s">
        <v>287</v>
      </c>
      <c r="D20" s="508"/>
      <c r="E20" s="509"/>
      <c r="F20" s="509"/>
      <c r="G20" s="616"/>
      <c r="H20" s="283"/>
      <c r="I20" s="283"/>
      <c r="J20" s="283"/>
      <c r="K20" s="509"/>
      <c r="L20" s="496"/>
      <c r="M20" s="509"/>
      <c r="N20" s="509"/>
      <c r="O20" s="616"/>
      <c r="P20" s="496"/>
      <c r="Q20" s="509"/>
      <c r="R20" s="509"/>
      <c r="S20" s="616"/>
      <c r="T20" s="496"/>
      <c r="U20" s="509">
        <f>U19/T19-1</f>
        <v>0.18627286899943973</v>
      </c>
      <c r="V20" s="509">
        <f>V19/U19-1</f>
        <v>-0.10240557457647403</v>
      </c>
      <c r="W20" s="616">
        <f>W19/V19-1</f>
        <v>-0.35786694941538422</v>
      </c>
      <c r="X20" s="283">
        <f>(X19-W19)/W19</f>
        <v>0.16626277402998679</v>
      </c>
      <c r="Y20" s="283">
        <f>(Y19-X19)/X19</f>
        <v>0.19765749463869159</v>
      </c>
      <c r="Z20" s="283">
        <f>(Z19-Y19)/Y19</f>
        <v>0.22843601512145975</v>
      </c>
      <c r="AA20" s="509">
        <f>(AA19-Z19)/Z19</f>
        <v>6.702194131779686E-2</v>
      </c>
      <c r="AB20" s="496">
        <f t="shared" ref="AB20:AK20" si="107">(AB19-AA19)/AA19</f>
        <v>6.5059794650406538E-3</v>
      </c>
      <c r="AC20" s="509">
        <f t="shared" si="107"/>
        <v>-9.0909090909090995E-2</v>
      </c>
      <c r="AD20" s="509">
        <f t="shared" si="107"/>
        <v>4.8378635988027038E-2</v>
      </c>
      <c r="AE20" s="616">
        <f t="shared" si="107"/>
        <v>-6.0903602825977286E-3</v>
      </c>
      <c r="AF20" s="283">
        <f t="shared" si="107"/>
        <v>3.9558192570975301E-2</v>
      </c>
      <c r="AG20" s="283">
        <f t="shared" si="107"/>
        <v>3.0000000000000041E-2</v>
      </c>
      <c r="AH20" s="283">
        <f t="shared" si="107"/>
        <v>-9.9999999999999829E-3</v>
      </c>
      <c r="AI20" s="509">
        <f t="shared" si="107"/>
        <v>-9.9999999999999777E-3</v>
      </c>
      <c r="AJ20" s="496">
        <f t="shared" si="107"/>
        <v>-3.5608297719235439E-3</v>
      </c>
      <c r="AK20" s="509">
        <f t="shared" si="107"/>
        <v>4.4247787610619468E-2</v>
      </c>
      <c r="AL20" s="506">
        <v>-0.01</v>
      </c>
      <c r="AM20" s="625">
        <v>-0.01</v>
      </c>
      <c r="AN20" s="509">
        <f>(AN19-AM19)/AM19</f>
        <v>-2.7536680507062217E-3</v>
      </c>
      <c r="AO20" s="211">
        <f>(AO19-AN19)/AN19</f>
        <v>-2.0336647398843881E-2</v>
      </c>
      <c r="AP20" s="211">
        <f>(AP19-AO19)/AO19</f>
        <v>-4.3948304525513626E-2</v>
      </c>
      <c r="AQ20" s="494">
        <f>(AQ19-AP19)/AP19</f>
        <v>5.2314812723338315E-2</v>
      </c>
      <c r="AR20" s="517">
        <v>0</v>
      </c>
      <c r="AS20" s="506">
        <v>0.06</v>
      </c>
      <c r="AT20" s="506">
        <v>-7.0000000000000007E-2</v>
      </c>
      <c r="AU20" s="625">
        <v>-0.03</v>
      </c>
      <c r="AV20" s="506"/>
      <c r="AW20" s="494">
        <f>AW19/AV19-1</f>
        <v>-7.0432036944305221E-2</v>
      </c>
      <c r="AX20" s="494">
        <f t="shared" ref="AX20" si="108">AX19/AW19-1</f>
        <v>-7.7107820765092816E-2</v>
      </c>
      <c r="AY20" s="380">
        <f t="shared" ref="AY20" si="109">AY19/AX19-1</f>
        <v>6.3680067449797706E-2</v>
      </c>
      <c r="AZ20" s="447">
        <f t="shared" ref="AZ20" si="110">AZ19/AY19-1</f>
        <v>5.4395378260140514E-2</v>
      </c>
      <c r="BA20" s="494">
        <f t="shared" ref="BA20" si="111">BA19/AZ19-1</f>
        <v>0.13207028906413787</v>
      </c>
      <c r="BB20" s="494">
        <f t="shared" ref="BB20" si="112">BB19/BA19-1</f>
        <v>-6.2970104843755981E-2</v>
      </c>
      <c r="BC20" s="590">
        <f t="shared" ref="BC20:BG20" si="113">BC19/BB19-1</f>
        <v>9.117422590492863E-3</v>
      </c>
      <c r="BD20" s="447">
        <f t="shared" si="113"/>
        <v>-2.2114930110068265E-2</v>
      </c>
      <c r="BE20" s="494">
        <f t="shared" si="113"/>
        <v>1.68145565031248E-2</v>
      </c>
      <c r="BF20" s="494">
        <f t="shared" si="113"/>
        <v>2.2050933786078142E-2</v>
      </c>
      <c r="BG20" s="643">
        <f t="shared" si="113"/>
        <v>3.218004345601555E-2</v>
      </c>
      <c r="BH20" s="678">
        <v>0</v>
      </c>
      <c r="BI20" s="662">
        <v>0.04</v>
      </c>
      <c r="BJ20" s="662">
        <v>0.04</v>
      </c>
      <c r="BK20" s="666">
        <v>0.03</v>
      </c>
      <c r="BL20" s="517">
        <v>-0.04</v>
      </c>
      <c r="BM20" s="506">
        <v>0.04</v>
      </c>
      <c r="BN20" s="506">
        <v>0.03</v>
      </c>
      <c r="BO20" s="625">
        <v>0.02</v>
      </c>
      <c r="BP20" s="618"/>
      <c r="BQ20" s="643"/>
      <c r="BR20" s="643"/>
      <c r="BS20" s="643"/>
      <c r="BT20" s="643"/>
      <c r="BU20" s="643"/>
      <c r="BV20" s="643"/>
      <c r="BW20" s="643"/>
      <c r="BX20" s="643"/>
      <c r="BY20" s="643"/>
      <c r="BZ20" s="643"/>
      <c r="CA20" s="643"/>
      <c r="CB20" s="643"/>
      <c r="CC20" s="494"/>
      <c r="CD20" s="494"/>
      <c r="CE20" s="494"/>
      <c r="CF20" s="590"/>
      <c r="CG20" s="290"/>
    </row>
    <row r="21" spans="1:87" ht="14.25">
      <c r="B21" s="265" t="s">
        <v>288</v>
      </c>
      <c r="D21" s="508"/>
      <c r="E21" s="498"/>
      <c r="F21" s="498"/>
      <c r="G21" s="615"/>
      <c r="H21" s="283"/>
      <c r="I21" s="283"/>
      <c r="J21" s="283"/>
      <c r="K21" s="509"/>
      <c r="L21" s="496"/>
      <c r="M21" s="509"/>
      <c r="N21" s="509"/>
      <c r="O21" s="616"/>
      <c r="P21" s="496"/>
      <c r="Q21" s="509"/>
      <c r="R21" s="509"/>
      <c r="S21" s="616"/>
      <c r="T21" s="496"/>
      <c r="U21" s="509"/>
      <c r="V21" s="509"/>
      <c r="W21" s="616"/>
      <c r="X21" s="283">
        <f t="shared" ref="X21:AE21" si="114">X19/T19-1</f>
        <v>-0.20258172995529378</v>
      </c>
      <c r="Y21" s="283">
        <f t="shared" si="114"/>
        <v>-0.1949289304016667</v>
      </c>
      <c r="Z21" s="283">
        <f t="shared" si="114"/>
        <v>0.10180975796535607</v>
      </c>
      <c r="AA21" s="509">
        <f t="shared" si="114"/>
        <v>0.83085917449154323</v>
      </c>
      <c r="AB21" s="496">
        <f t="shared" si="114"/>
        <v>0.5800647570328652</v>
      </c>
      <c r="AC21" s="509">
        <f t="shared" si="114"/>
        <v>0.19936001137524917</v>
      </c>
      <c r="AD21" s="509">
        <f t="shared" si="114"/>
        <v>2.3564432584505912E-2</v>
      </c>
      <c r="AE21" s="616">
        <f t="shared" si="114"/>
        <v>-4.6570162220669342E-2</v>
      </c>
      <c r="AF21" s="283">
        <f t="shared" ref="AF21:AT21" si="115">AF19/AB19-1</f>
        <v>-1.5260893500191108E-2</v>
      </c>
      <c r="AG21" s="283">
        <f t="shared" si="115"/>
        <v>0.11570940766428373</v>
      </c>
      <c r="AH21" s="283">
        <f t="shared" si="115"/>
        <v>5.3581478743768729E-2</v>
      </c>
      <c r="AI21" s="509">
        <f t="shared" si="115"/>
        <v>4.9437114074977417E-2</v>
      </c>
      <c r="AJ21" s="496">
        <f t="shared" si="115"/>
        <v>5.9083316627539517E-3</v>
      </c>
      <c r="AK21" s="509">
        <f t="shared" si="115"/>
        <v>1.9822863959145565E-2</v>
      </c>
      <c r="AL21" s="494">
        <f t="shared" si="115"/>
        <v>1.9822863959145565E-2</v>
      </c>
      <c r="AM21" s="590">
        <f t="shared" si="115"/>
        <v>1.9822863959145565E-2</v>
      </c>
      <c r="AN21" s="509">
        <f t="shared" si="115"/>
        <v>2.0648967551622377E-2</v>
      </c>
      <c r="AO21" s="390">
        <f>AO19/AK19-1</f>
        <v>-4.2475932203389744E-2</v>
      </c>
      <c r="AP21" s="390">
        <f>AP19/AL19-1</f>
        <v>-7.5310597500428011E-2</v>
      </c>
      <c r="AQ21" s="509">
        <f>AQ19/AM19-1</f>
        <v>-1.7106711698391286E-2</v>
      </c>
      <c r="AR21" s="496">
        <f>AR19/AN19-1</f>
        <v>-1.4392676300578056E-2</v>
      </c>
      <c r="AS21" s="509">
        <f t="shared" si="115"/>
        <v>6.6431402529688155E-2</v>
      </c>
      <c r="AT21" s="509">
        <f t="shared" si="115"/>
        <v>3.7371942382667056E-2</v>
      </c>
      <c r="AU21" s="616">
        <f>AU19/AQ19-1</f>
        <v>-4.377399999999998E-2</v>
      </c>
      <c r="AV21" s="509">
        <f t="shared" ref="AV21:BG21" si="116">AV19/AR19-1</f>
        <v>-0.15674187143448837</v>
      </c>
      <c r="AW21" s="509">
        <f t="shared" si="116"/>
        <v>-0.2605040180181134</v>
      </c>
      <c r="AX21" s="509">
        <f t="shared" si="116"/>
        <v>-0.26615585124008501</v>
      </c>
      <c r="AY21" s="509">
        <f t="shared" si="116"/>
        <v>-0.195283099329293</v>
      </c>
      <c r="AZ21" s="496">
        <f t="shared" si="116"/>
        <v>-3.7841484448895568E-2</v>
      </c>
      <c r="BA21" s="509">
        <f t="shared" si="116"/>
        <v>0.17176055126181189</v>
      </c>
      <c r="BB21" s="509">
        <f t="shared" si="116"/>
        <v>0.18971066306718232</v>
      </c>
      <c r="BC21" s="616">
        <f t="shared" si="116"/>
        <v>0.12868313949057231</v>
      </c>
      <c r="BD21" s="496">
        <f t="shared" si="116"/>
        <v>4.6782273045979927E-2</v>
      </c>
      <c r="BE21" s="509">
        <f t="shared" si="116"/>
        <v>-5.9790312488027908E-2</v>
      </c>
      <c r="BF21" s="509">
        <f t="shared" si="116"/>
        <v>2.5519243349324094E-2</v>
      </c>
      <c r="BG21" s="667">
        <f t="shared" si="116"/>
        <v>4.8956715510837912E-2</v>
      </c>
      <c r="BH21" s="646">
        <f t="shared" ref="BH21" si="117">BH19/BD19-1</f>
        <v>7.2678935193177585E-2</v>
      </c>
      <c r="BI21" s="667">
        <f t="shared" ref="BI21" si="118">BI19/BE19-1</f>
        <v>9.7138200339558667E-2</v>
      </c>
      <c r="BJ21" s="667">
        <f t="shared" ref="BJ21" si="119">BJ19/BF19-1</f>
        <v>0.11640593500202656</v>
      </c>
      <c r="BK21" s="647">
        <f t="shared" ref="BK21" si="120">BK19/BG19-1</f>
        <v>0.11404799999999993</v>
      </c>
      <c r="BL21" s="496">
        <f t="shared" ref="BL21" si="121">BL19/BH19-1</f>
        <v>6.9486080000000117E-2</v>
      </c>
      <c r="BM21" s="509">
        <f t="shared" ref="BM21" si="122">BM19/BI19-1</f>
        <v>6.9486079999999895E-2</v>
      </c>
      <c r="BN21" s="509">
        <f t="shared" ref="BN21" si="123">BN19/BJ19-1</f>
        <v>5.9202560000000126E-2</v>
      </c>
      <c r="BO21" s="616">
        <f t="shared" ref="BO21" si="124">BO19/BK19-1</f>
        <v>4.8919040000000136E-2</v>
      </c>
      <c r="BP21" s="618"/>
      <c r="BQ21" s="643"/>
      <c r="BR21" s="643"/>
      <c r="BS21" s="643"/>
      <c r="BT21" s="643"/>
      <c r="BU21" s="643"/>
      <c r="BV21" s="643">
        <f t="shared" ref="BV21:CF21" si="125">BV19/BU19-1</f>
        <v>6.1674152645493585E-2</v>
      </c>
      <c r="BW21" s="643">
        <f t="shared" si="125"/>
        <v>0.14896491434739301</v>
      </c>
      <c r="BX21" s="643">
        <f t="shared" si="125"/>
        <v>4.9305705376750053E-2</v>
      </c>
      <c r="BY21" s="643">
        <f t="shared" si="125"/>
        <v>1.639496634072346E-2</v>
      </c>
      <c r="BZ21" s="643">
        <f t="shared" si="125"/>
        <v>-2.9030962976963615E-2</v>
      </c>
      <c r="CA21" s="643">
        <f t="shared" si="125"/>
        <v>1.090414243800808E-2</v>
      </c>
      <c r="CB21" s="643">
        <f t="shared" si="125"/>
        <v>-0.22038521129683231</v>
      </c>
      <c r="CC21" s="494">
        <f t="shared" si="125"/>
        <v>0.10864890469513022</v>
      </c>
      <c r="CD21" s="494">
        <f t="shared" si="125"/>
        <v>1.3738578736145923E-2</v>
      </c>
      <c r="CE21" s="494">
        <f t="shared" si="125"/>
        <v>0.10045719920655882</v>
      </c>
      <c r="CF21" s="590">
        <f t="shared" si="125"/>
        <v>6.1450633001118193E-2</v>
      </c>
      <c r="CG21" s="290"/>
    </row>
    <row r="22" spans="1:87" ht="14.25">
      <c r="B22" s="282" t="s">
        <v>289</v>
      </c>
      <c r="D22" s="496"/>
      <c r="E22" s="509"/>
      <c r="F22" s="509"/>
      <c r="G22" s="616"/>
      <c r="H22" s="283"/>
      <c r="I22" s="283"/>
      <c r="J22" s="283"/>
      <c r="K22" s="509"/>
      <c r="L22" s="496"/>
      <c r="M22" s="509"/>
      <c r="N22" s="509"/>
      <c r="O22" s="616"/>
      <c r="P22" s="496"/>
      <c r="Q22" s="509"/>
      <c r="R22" s="509"/>
      <c r="S22" s="616"/>
      <c r="T22" s="496">
        <f t="shared" ref="T22:AM22" si="126">T19/T$38</f>
        <v>0.16890110252637935</v>
      </c>
      <c r="U22" s="509">
        <f t="shared" si="126"/>
        <v>0.19120756581723183</v>
      </c>
      <c r="V22" s="509">
        <f t="shared" si="126"/>
        <v>0.18280667505361564</v>
      </c>
      <c r="W22" s="616">
        <f t="shared" si="126"/>
        <v>0.18105647317884893</v>
      </c>
      <c r="X22" s="283">
        <f t="shared" si="126"/>
        <v>0.20769014036291841</v>
      </c>
      <c r="Y22" s="283">
        <f t="shared" si="126"/>
        <v>0.20246379316617175</v>
      </c>
      <c r="Z22" s="283">
        <f t="shared" si="126"/>
        <v>0.19839551878708367</v>
      </c>
      <c r="AA22" s="509">
        <f t="shared" si="126"/>
        <v>0.20178357012015938</v>
      </c>
      <c r="AB22" s="496">
        <f t="shared" si="126"/>
        <v>0.2</v>
      </c>
      <c r="AC22" s="509">
        <f t="shared" si="126"/>
        <v>0.17352407117419821</v>
      </c>
      <c r="AD22" s="509">
        <f t="shared" si="126"/>
        <v>0.17</v>
      </c>
      <c r="AE22" s="616">
        <f t="shared" si="126"/>
        <v>0.18</v>
      </c>
      <c r="AF22" s="283">
        <f t="shared" si="126"/>
        <v>0.21</v>
      </c>
      <c r="AG22" s="283">
        <f t="shared" si="126"/>
        <v>0.19337680787057673</v>
      </c>
      <c r="AH22" s="283">
        <f t="shared" si="126"/>
        <v>0.18078796683350573</v>
      </c>
      <c r="AI22" s="509">
        <f t="shared" si="126"/>
        <v>0.22903660760287117</v>
      </c>
      <c r="AJ22" s="496">
        <f t="shared" si="126"/>
        <v>0.21284584310184831</v>
      </c>
      <c r="AK22" s="509">
        <f t="shared" si="126"/>
        <v>0.21688412261182397</v>
      </c>
      <c r="AL22" s="494">
        <f t="shared" si="126"/>
        <v>0.22440038879163407</v>
      </c>
      <c r="AM22" s="590">
        <f t="shared" si="126"/>
        <v>0.22375731013009259</v>
      </c>
      <c r="AN22" s="509">
        <f>AN19/AN$38</f>
        <v>0.23557639279435813</v>
      </c>
      <c r="AO22" s="334">
        <v>0.21</v>
      </c>
      <c r="AP22" s="211">
        <v>0.17399999999999999</v>
      </c>
      <c r="AQ22" s="494">
        <v>0.183</v>
      </c>
      <c r="AR22" s="496">
        <v>0.18</v>
      </c>
      <c r="AS22" s="509">
        <v>0.19</v>
      </c>
      <c r="AT22" s="509">
        <v>0.19</v>
      </c>
      <c r="AU22" s="590">
        <v>0.183</v>
      </c>
      <c r="AV22" s="494">
        <f>AV19/AV34</f>
        <v>0.20621791828673788</v>
      </c>
      <c r="AW22" s="494">
        <f t="shared" ref="AW22:BE22" si="127">AW19/AW34</f>
        <v>0.19717842348137049</v>
      </c>
      <c r="AX22" s="494">
        <f t="shared" si="127"/>
        <v>0.19362266881609372</v>
      </c>
      <c r="AY22" s="494">
        <f t="shared" si="127"/>
        <v>0.22225610117610786</v>
      </c>
      <c r="AZ22" s="447">
        <f t="shared" si="127"/>
        <v>0.26934211781563877</v>
      </c>
      <c r="BA22" s="494">
        <f t="shared" si="127"/>
        <v>0.26218305638608108</v>
      </c>
      <c r="BB22" s="494">
        <f t="shared" si="127"/>
        <v>0.23531109546845916</v>
      </c>
      <c r="BC22" s="590">
        <f t="shared" si="127"/>
        <v>0.26147587585325288</v>
      </c>
      <c r="BD22" s="447">
        <f t="shared" si="127"/>
        <v>0.25285965472866678</v>
      </c>
      <c r="BE22" s="494">
        <f t="shared" si="127"/>
        <v>0.24348904505994212</v>
      </c>
      <c r="BF22" s="494">
        <f t="shared" ref="BF22:BG22" si="128">BF19/BF34</f>
        <v>0.24419359340063801</v>
      </c>
      <c r="BG22" s="643">
        <f t="shared" si="128"/>
        <v>0.25241749795664348</v>
      </c>
      <c r="BH22" s="646">
        <f t="shared" ref="BH22:BK22" si="129">BH19/BH$38</f>
        <v>0.25860631373980142</v>
      </c>
      <c r="BI22" s="667">
        <f t="shared" si="129"/>
        <v>0.26071074782309117</v>
      </c>
      <c r="BJ22" s="667">
        <f t="shared" si="129"/>
        <v>0.2633569682627554</v>
      </c>
      <c r="BK22" s="647">
        <f t="shared" si="129"/>
        <v>0.27381345841327032</v>
      </c>
      <c r="BL22" s="496">
        <f t="shared" ref="BL22:BO22" si="130">BL19/BL$38</f>
        <v>0.27805480263297178</v>
      </c>
      <c r="BM22" s="509">
        <f t="shared" si="130"/>
        <v>0.27184803652821793</v>
      </c>
      <c r="BN22" s="509">
        <f t="shared" si="130"/>
        <v>0.2708838732523044</v>
      </c>
      <c r="BO22" s="616">
        <f t="shared" si="130"/>
        <v>0.27954958025204968</v>
      </c>
      <c r="BP22" s="618"/>
      <c r="BQ22" s="643">
        <f t="shared" ref="BQ22:BY22" si="131">BQ19/BQ$38</f>
        <v>0</v>
      </c>
      <c r="BR22" s="643">
        <f t="shared" si="131"/>
        <v>0</v>
      </c>
      <c r="BS22" s="643">
        <f t="shared" si="131"/>
        <v>0</v>
      </c>
      <c r="BT22" s="643">
        <f t="shared" si="131"/>
        <v>0</v>
      </c>
      <c r="BU22" s="643">
        <f t="shared" si="131"/>
        <v>0.18111196001801413</v>
      </c>
      <c r="BV22" s="643">
        <f t="shared" si="131"/>
        <v>0.20206661940101184</v>
      </c>
      <c r="BW22" s="643">
        <f t="shared" si="131"/>
        <v>0.18047421343373635</v>
      </c>
      <c r="BX22" s="643">
        <f t="shared" si="131"/>
        <v>0.20158726309659192</v>
      </c>
      <c r="BY22" s="643">
        <f t="shared" si="131"/>
        <v>0.21940324367313321</v>
      </c>
      <c r="BZ22" s="643">
        <f t="shared" ref="BZ22:CE22" si="132">BZ19/BZ$38</f>
        <v>0.1982802111972741</v>
      </c>
      <c r="CA22" s="643">
        <f t="shared" si="132"/>
        <v>0.18408215064346259</v>
      </c>
      <c r="CB22" s="643">
        <f t="shared" si="132"/>
        <v>0.1951693210283261</v>
      </c>
      <c r="CC22" s="494">
        <f t="shared" si="132"/>
        <v>0.24646350595558464</v>
      </c>
      <c r="CD22" s="494">
        <f t="shared" si="132"/>
        <v>0.24751277197232538</v>
      </c>
      <c r="CE22" s="494">
        <f t="shared" si="132"/>
        <v>0.26420638098232668</v>
      </c>
      <c r="CF22" s="590">
        <f t="shared" ref="CF22" si="133">CF19/CF$38</f>
        <v>0.27502832904062308</v>
      </c>
      <c r="CG22" s="290"/>
    </row>
    <row r="23" spans="1:87" ht="14.25">
      <c r="B23" s="282"/>
      <c r="D23" s="497"/>
      <c r="E23" s="498"/>
      <c r="F23" s="498"/>
      <c r="G23" s="615"/>
      <c r="H23" s="291"/>
      <c r="I23" s="291"/>
      <c r="J23" s="291"/>
      <c r="K23" s="498"/>
      <c r="L23" s="497"/>
      <c r="M23" s="498"/>
      <c r="N23" s="498"/>
      <c r="O23" s="615"/>
      <c r="P23" s="497"/>
      <c r="Q23" s="498"/>
      <c r="R23" s="498"/>
      <c r="S23" s="615"/>
      <c r="T23" s="508"/>
      <c r="U23" s="507"/>
      <c r="V23" s="507"/>
      <c r="W23" s="623"/>
      <c r="X23" s="343"/>
      <c r="Y23" s="343"/>
      <c r="Z23" s="343"/>
      <c r="AA23" s="507"/>
      <c r="AB23" s="508"/>
      <c r="AC23" s="507"/>
      <c r="AD23" s="507"/>
      <c r="AE23" s="623"/>
      <c r="AF23" s="343"/>
      <c r="AG23" s="343"/>
      <c r="AH23" s="343"/>
      <c r="AI23" s="507"/>
      <c r="AJ23" s="508"/>
      <c r="AK23" s="507"/>
      <c r="AL23" s="381"/>
      <c r="AM23" s="626"/>
      <c r="AN23" s="507"/>
      <c r="AO23" s="340"/>
      <c r="AP23" s="340"/>
      <c r="AQ23" s="507"/>
      <c r="AR23" s="508"/>
      <c r="AS23" s="507"/>
      <c r="AT23" s="507"/>
      <c r="AU23" s="623"/>
      <c r="AV23" s="507"/>
      <c r="AW23" s="507"/>
      <c r="AX23" s="507"/>
      <c r="AY23" s="507"/>
      <c r="AZ23" s="508"/>
      <c r="BA23" s="507"/>
      <c r="BB23" s="507"/>
      <c r="BC23" s="623"/>
      <c r="BD23" s="508"/>
      <c r="BE23" s="507"/>
      <c r="BF23" s="507"/>
      <c r="BG23" s="663"/>
      <c r="BH23" s="665"/>
      <c r="BI23" s="663"/>
      <c r="BJ23" s="663"/>
      <c r="BK23" s="664"/>
      <c r="BL23" s="508"/>
      <c r="BM23" s="507"/>
      <c r="BN23" s="507"/>
      <c r="BO23" s="623"/>
      <c r="BP23" s="618"/>
      <c r="BQ23" s="272"/>
      <c r="BR23" s="272"/>
      <c r="BS23" s="272"/>
      <c r="BT23" s="272"/>
      <c r="BU23" s="272"/>
      <c r="BV23" s="272"/>
      <c r="BW23" s="272"/>
      <c r="BX23" s="272"/>
      <c r="BY23" s="272"/>
      <c r="BZ23" s="272"/>
      <c r="CA23" s="272"/>
      <c r="CB23" s="272"/>
      <c r="CC23" s="272"/>
      <c r="CD23" s="272"/>
      <c r="CE23" s="272"/>
      <c r="CF23" s="591"/>
      <c r="CG23" s="290"/>
    </row>
    <row r="24" spans="1:87" ht="15">
      <c r="B24" s="337" t="s">
        <v>496</v>
      </c>
      <c r="D24" s="344"/>
      <c r="E24" s="345"/>
      <c r="F24" s="345"/>
      <c r="G24" s="622"/>
      <c r="H24" s="345"/>
      <c r="I24" s="345"/>
      <c r="J24" s="345"/>
      <c r="K24" s="345"/>
      <c r="L24" s="344"/>
      <c r="M24" s="345"/>
      <c r="N24" s="345"/>
      <c r="O24" s="622"/>
      <c r="P24" s="344"/>
      <c r="Q24" s="345"/>
      <c r="R24" s="345"/>
      <c r="S24" s="622"/>
      <c r="T24" s="288">
        <v>215.05934147363564</v>
      </c>
      <c r="U24" s="280">
        <v>208.87463036105763</v>
      </c>
      <c r="V24" s="280">
        <v>223.97583321836652</v>
      </c>
      <c r="W24" s="620">
        <v>168.18490580333534</v>
      </c>
      <c r="X24" s="341">
        <v>134.90101747911226</v>
      </c>
      <c r="Y24" s="341">
        <v>139.57554167595293</v>
      </c>
      <c r="Z24" s="341">
        <v>159.34192960460143</v>
      </c>
      <c r="AA24" s="341">
        <v>171.05298974547662</v>
      </c>
      <c r="AB24" s="342">
        <v>188.22737999999998</v>
      </c>
      <c r="AC24" s="341">
        <v>298.82466666666664</v>
      </c>
      <c r="AD24" s="341">
        <v>335.76444999999995</v>
      </c>
      <c r="AE24" s="624">
        <f>0.34*AE38</f>
        <v>306.17442000000005</v>
      </c>
      <c r="AF24" s="341">
        <v>200.60050000000001</v>
      </c>
      <c r="AG24" s="341">
        <f>AF24*1.18</f>
        <v>236.70858999999999</v>
      </c>
      <c r="AH24" s="341">
        <f>AG24*1.24</f>
        <v>293.5186516</v>
      </c>
      <c r="AI24" s="341">
        <f>AH24*0.79</f>
        <v>231.87973476400001</v>
      </c>
      <c r="AJ24" s="342">
        <v>228</v>
      </c>
      <c r="AK24" s="341">
        <f>0.27*AK38</f>
        <v>220.34808000000004</v>
      </c>
      <c r="AL24" s="387">
        <v>198.3</v>
      </c>
      <c r="AM24" s="628">
        <v>176.5</v>
      </c>
      <c r="AN24" s="341">
        <v>134</v>
      </c>
      <c r="AO24" s="410">
        <f>AO$38*AO27</f>
        <v>177.55232000000001</v>
      </c>
      <c r="AP24" s="289">
        <f>+AP$38*AP27</f>
        <v>287.74883399999999</v>
      </c>
      <c r="AQ24" s="495">
        <f>+AQ$38*AQ27</f>
        <v>245.98173600000001</v>
      </c>
      <c r="AR24" s="499">
        <f>AQ24*(1+AR25)</f>
        <v>319.7762568</v>
      </c>
      <c r="AS24" s="495">
        <f>AR24*(1+AS25)</f>
        <v>290.99639368800001</v>
      </c>
      <c r="AT24" s="495">
        <f>AS24*(1+AT25)</f>
        <v>253.16686250856</v>
      </c>
      <c r="AU24" s="629">
        <f>AT24*(1+AU25)</f>
        <v>205.06515863193363</v>
      </c>
      <c r="AV24" s="558">
        <v>106.62</v>
      </c>
      <c r="AW24" s="558">
        <v>128.27799999999999</v>
      </c>
      <c r="AX24" s="558">
        <v>124.806</v>
      </c>
      <c r="AY24" s="558">
        <v>81.424999999999997</v>
      </c>
      <c r="AZ24" s="557">
        <v>73.549000000000007</v>
      </c>
      <c r="BA24" s="558">
        <v>92.688999999999993</v>
      </c>
      <c r="BB24" s="558">
        <v>86.424000000000007</v>
      </c>
      <c r="BC24" s="621">
        <v>65.638000000000005</v>
      </c>
      <c r="BD24" s="557">
        <v>76.090999999999994</v>
      </c>
      <c r="BE24" s="558">
        <v>98.570999999999998</v>
      </c>
      <c r="BF24" s="558">
        <v>102.66200000000001</v>
      </c>
      <c r="BG24" s="558">
        <v>86.271000000000001</v>
      </c>
      <c r="BH24" s="652">
        <f>BG24*(1+BH25)</f>
        <v>99.211649999999992</v>
      </c>
      <c r="BI24" s="645">
        <f t="shared" ref="BI24" si="134">BH24*(1+BI25)</f>
        <v>97.227416999999988</v>
      </c>
      <c r="BJ24" s="645">
        <f t="shared" ref="BJ24" si="135">BI24*(1+BJ25)</f>
        <v>93.33832031999998</v>
      </c>
      <c r="BK24" s="651">
        <f t="shared" ref="BK24" si="136">BJ24*(1+BK25)</f>
        <v>84.00448828799999</v>
      </c>
      <c r="BL24" s="499">
        <f t="shared" ref="BL24" si="137">BK24*(1+BL25)</f>
        <v>80.644308756479987</v>
      </c>
      <c r="BM24" s="495">
        <f t="shared" ref="BM24" si="138">BL24*(1+BM25)</f>
        <v>100.40216440181759</v>
      </c>
      <c r="BN24" s="495">
        <f t="shared" ref="BN24" si="139">BM24*(1+BN25)</f>
        <v>104.4182509778903</v>
      </c>
      <c r="BO24" s="629">
        <f t="shared" ref="BO24" si="140">BN24*(1+BO25)</f>
        <v>93.976425880101274</v>
      </c>
      <c r="BP24" s="631"/>
      <c r="BQ24" s="437">
        <f>SUM(D24:G24)</f>
        <v>0</v>
      </c>
      <c r="BR24" s="437">
        <f>SUM(H24:K24)</f>
        <v>0</v>
      </c>
      <c r="BS24" s="437">
        <f>SUM(L24:O24)</f>
        <v>0</v>
      </c>
      <c r="BT24" s="437">
        <f>SUM(P24:S24)</f>
        <v>0</v>
      </c>
      <c r="BU24" s="437">
        <f>SUM(T24:W24)</f>
        <v>816.09471085639507</v>
      </c>
      <c r="BV24" s="437">
        <f>SUM(X24:AA24)</f>
        <v>604.87147850514316</v>
      </c>
      <c r="BW24" s="437">
        <f>SUM(AB24:AE24)</f>
        <v>1128.9909166666666</v>
      </c>
      <c r="BX24" s="437">
        <f>SUM(AF24:AI24)</f>
        <v>962.70747636399994</v>
      </c>
      <c r="BY24" s="437">
        <f>SUM(AJ24:AM24)</f>
        <v>823.14808000000005</v>
      </c>
      <c r="BZ24" s="437">
        <f>SUM(AN24:AQ24)</f>
        <v>845.28288999999995</v>
      </c>
      <c r="CA24" s="437">
        <f>SUM(AR24:AU24)</f>
        <v>1069.0046716284937</v>
      </c>
      <c r="CB24" s="437">
        <f>SUM(AV24:AY24)</f>
        <v>441.12900000000002</v>
      </c>
      <c r="CC24" s="437">
        <f>SUM(AZ24:BC24)</f>
        <v>318.3</v>
      </c>
      <c r="CD24" s="437">
        <f>SUM(BD24:BG24)</f>
        <v>363.59499999999997</v>
      </c>
      <c r="CE24" s="437">
        <f>SUM(BH24:BK24)</f>
        <v>373.78187560799995</v>
      </c>
      <c r="CF24" s="592">
        <f>SUM(BL24:BO24)</f>
        <v>379.44115001628916</v>
      </c>
      <c r="CG24" s="687"/>
      <c r="CH24" s="369"/>
      <c r="CI24" s="354"/>
    </row>
    <row r="25" spans="1:87" ht="14.25">
      <c r="B25" s="282" t="s">
        <v>287</v>
      </c>
      <c r="D25" s="508"/>
      <c r="E25" s="509"/>
      <c r="F25" s="509"/>
      <c r="G25" s="616"/>
      <c r="H25" s="283"/>
      <c r="I25" s="283"/>
      <c r="J25" s="283"/>
      <c r="K25" s="509"/>
      <c r="L25" s="496"/>
      <c r="M25" s="509"/>
      <c r="N25" s="509"/>
      <c r="O25" s="616"/>
      <c r="P25" s="496"/>
      <c r="Q25" s="509"/>
      <c r="R25" s="509"/>
      <c r="S25" s="616"/>
      <c r="T25" s="496"/>
      <c r="U25" s="509">
        <f t="shared" ref="U25:AE25" si="141">U24/T24-1</f>
        <v>-2.8758160748558859E-2</v>
      </c>
      <c r="V25" s="509">
        <f t="shared" si="141"/>
        <v>7.2297927379716631E-2</v>
      </c>
      <c r="W25" s="616">
        <f t="shared" si="141"/>
        <v>-0.24909351430177507</v>
      </c>
      <c r="X25" s="283">
        <f t="shared" si="141"/>
        <v>-0.19790056762372676</v>
      </c>
      <c r="Y25" s="283">
        <f t="shared" si="141"/>
        <v>3.4651511783923228E-2</v>
      </c>
      <c r="Z25" s="283">
        <f t="shared" si="141"/>
        <v>0.14161784859513094</v>
      </c>
      <c r="AA25" s="509">
        <f t="shared" si="141"/>
        <v>7.3496412211999429E-2</v>
      </c>
      <c r="AB25" s="496">
        <f t="shared" si="141"/>
        <v>0.10040391740640442</v>
      </c>
      <c r="AC25" s="509">
        <f t="shared" si="141"/>
        <v>0.58757278918012168</v>
      </c>
      <c r="AD25" s="509">
        <f t="shared" si="141"/>
        <v>0.12361691471252922</v>
      </c>
      <c r="AE25" s="616">
        <f t="shared" si="141"/>
        <v>-8.8127346418002017E-2</v>
      </c>
      <c r="AF25" s="283">
        <f t="shared" ref="AF25:AM25" si="142">AF24/AE24-1</f>
        <v>-0.34481626518636022</v>
      </c>
      <c r="AG25" s="283">
        <f t="shared" si="142"/>
        <v>0.17999999999999994</v>
      </c>
      <c r="AH25" s="283">
        <f t="shared" si="142"/>
        <v>0.24</v>
      </c>
      <c r="AI25" s="509">
        <f t="shared" si="142"/>
        <v>-0.20999999999999996</v>
      </c>
      <c r="AJ25" s="496">
        <f t="shared" si="142"/>
        <v>-1.6731668112130116E-2</v>
      </c>
      <c r="AK25" s="509">
        <f t="shared" si="142"/>
        <v>-3.3561052631578825E-2</v>
      </c>
      <c r="AL25" s="509">
        <f t="shared" si="142"/>
        <v>-0.10006023197479197</v>
      </c>
      <c r="AM25" s="616">
        <f t="shared" si="142"/>
        <v>-0.10993444276348974</v>
      </c>
      <c r="AN25" s="211">
        <f>(AN24-AM24)/AM24</f>
        <v>-0.24079320113314448</v>
      </c>
      <c r="AO25" s="211">
        <f>(AO24-AN24)/AN24</f>
        <v>0.32501731343283591</v>
      </c>
      <c r="AP25" s="211">
        <f>(AP24-AO24)/AO24</f>
        <v>0.62064249005588878</v>
      </c>
      <c r="AQ25" s="494">
        <f>(AQ24-AP24)/AP24</f>
        <v>-0.1451512328282796</v>
      </c>
      <c r="AR25" s="517">
        <v>0.3</v>
      </c>
      <c r="AS25" s="506">
        <v>-0.09</v>
      </c>
      <c r="AT25" s="506">
        <v>-0.13</v>
      </c>
      <c r="AU25" s="625">
        <v>-0.19</v>
      </c>
      <c r="AV25" s="506"/>
      <c r="AW25" s="494">
        <f>AW24/AV24-1</f>
        <v>0.20313262052147807</v>
      </c>
      <c r="AX25" s="494">
        <f t="shared" ref="AX25" si="143">AX24/AW24-1</f>
        <v>-2.706621556307387E-2</v>
      </c>
      <c r="AY25" s="380">
        <f t="shared" ref="AY25" si="144">AY24/AX24-1</f>
        <v>-0.34758745573129501</v>
      </c>
      <c r="AZ25" s="447">
        <f t="shared" ref="AZ25" si="145">AZ24/AY24-1</f>
        <v>-9.6727049431992507E-2</v>
      </c>
      <c r="BA25" s="494">
        <f t="shared" ref="BA25" si="146">BA24/AZ24-1</f>
        <v>0.2602346734829839</v>
      </c>
      <c r="BB25" s="494">
        <f t="shared" ref="BB25" si="147">BB24/BA24-1</f>
        <v>-6.7591623601505946E-2</v>
      </c>
      <c r="BC25" s="590">
        <f t="shared" ref="BC25:BG25" si="148">BC24/BB24-1</f>
        <v>-0.2405118948440248</v>
      </c>
      <c r="BD25" s="447">
        <f t="shared" si="148"/>
        <v>0.15925226240897028</v>
      </c>
      <c r="BE25" s="494">
        <f t="shared" si="148"/>
        <v>0.29543572827272624</v>
      </c>
      <c r="BF25" s="494">
        <f t="shared" si="148"/>
        <v>4.1503078998894383E-2</v>
      </c>
      <c r="BG25" s="643">
        <f t="shared" si="148"/>
        <v>-0.15965985466871879</v>
      </c>
      <c r="BH25" s="678">
        <v>0.15</v>
      </c>
      <c r="BI25" s="662">
        <v>-0.02</v>
      </c>
      <c r="BJ25" s="662">
        <v>-0.04</v>
      </c>
      <c r="BK25" s="666">
        <v>-0.1</v>
      </c>
      <c r="BL25" s="517">
        <v>-0.04</v>
      </c>
      <c r="BM25" s="506">
        <v>0.245</v>
      </c>
      <c r="BN25" s="506">
        <v>0.04</v>
      </c>
      <c r="BO25" s="625">
        <v>-0.1</v>
      </c>
      <c r="BP25" s="618"/>
      <c r="BQ25" s="643"/>
      <c r="BR25" s="643"/>
      <c r="BS25" s="643"/>
      <c r="BT25" s="643"/>
      <c r="BU25" s="643"/>
      <c r="BV25" s="643"/>
      <c r="BW25" s="643"/>
      <c r="BX25" s="643"/>
      <c r="BY25" s="643"/>
      <c r="BZ25" s="643"/>
      <c r="CA25" s="643"/>
      <c r="CB25" s="643"/>
      <c r="CC25" s="494"/>
      <c r="CD25" s="494"/>
      <c r="CE25" s="494"/>
      <c r="CF25" s="590"/>
      <c r="CG25" s="290"/>
    </row>
    <row r="26" spans="1:87" ht="14.25">
      <c r="B26" s="265" t="s">
        <v>288</v>
      </c>
      <c r="D26" s="508"/>
      <c r="E26" s="498"/>
      <c r="F26" s="498"/>
      <c r="G26" s="615"/>
      <c r="H26" s="283"/>
      <c r="I26" s="283"/>
      <c r="J26" s="283"/>
      <c r="K26" s="509"/>
      <c r="L26" s="496"/>
      <c r="M26" s="509"/>
      <c r="N26" s="509"/>
      <c r="O26" s="616"/>
      <c r="P26" s="496"/>
      <c r="Q26" s="509"/>
      <c r="R26" s="509"/>
      <c r="S26" s="616"/>
      <c r="T26" s="496"/>
      <c r="U26" s="509"/>
      <c r="V26" s="509"/>
      <c r="W26" s="616"/>
      <c r="X26" s="283">
        <f t="shared" ref="X26:AE26" si="149">X24/T24-1</f>
        <v>-0.37272653884858142</v>
      </c>
      <c r="Y26" s="283">
        <f t="shared" si="149"/>
        <v>-0.33177360297569558</v>
      </c>
      <c r="Z26" s="283">
        <f t="shared" si="149"/>
        <v>-0.28857534621045433</v>
      </c>
      <c r="AA26" s="509">
        <f t="shared" si="149"/>
        <v>1.7053159012349495E-2</v>
      </c>
      <c r="AB26" s="496">
        <f t="shared" si="149"/>
        <v>0.39529992817989412</v>
      </c>
      <c r="AC26" s="509">
        <f t="shared" si="149"/>
        <v>1.140952942603914</v>
      </c>
      <c r="AD26" s="509">
        <f t="shared" si="149"/>
        <v>1.1071945773041763</v>
      </c>
      <c r="AE26" s="616">
        <f t="shared" si="149"/>
        <v>0.78993901512964704</v>
      </c>
      <c r="AF26" s="283">
        <f t="shared" ref="AF26:AT26" si="150">AF24/AB24-1</f>
        <v>6.5734963744382036E-2</v>
      </c>
      <c r="AG26" s="283">
        <f t="shared" si="150"/>
        <v>-0.20786796940011643</v>
      </c>
      <c r="AH26" s="283">
        <f t="shared" si="150"/>
        <v>-0.12581974774279991</v>
      </c>
      <c r="AI26" s="509">
        <f t="shared" si="150"/>
        <v>-0.24265477578433903</v>
      </c>
      <c r="AJ26" s="496">
        <f t="shared" si="150"/>
        <v>0.13658739634248174</v>
      </c>
      <c r="AK26" s="509">
        <f t="shared" si="150"/>
        <v>-6.9116672107252031E-2</v>
      </c>
      <c r="AL26" s="494">
        <f t="shared" si="150"/>
        <v>-0.32440409180456997</v>
      </c>
      <c r="AM26" s="590">
        <f t="shared" si="150"/>
        <v>-0.23882955886750423</v>
      </c>
      <c r="AN26" s="509">
        <f t="shared" si="150"/>
        <v>-0.41228070175438591</v>
      </c>
      <c r="AO26" s="390">
        <f>AO24/AK24-1</f>
        <v>-0.19421889221816691</v>
      </c>
      <c r="AP26" s="390">
        <f>AP24/AL24-1</f>
        <v>0.45107833585476542</v>
      </c>
      <c r="AQ26" s="509">
        <f>AQ24/AM24-1</f>
        <v>0.39366422662889522</v>
      </c>
      <c r="AR26" s="496">
        <f>AR24/AN24-1</f>
        <v>1.386389976119403</v>
      </c>
      <c r="AS26" s="509">
        <f t="shared" si="150"/>
        <v>0.63893320959140376</v>
      </c>
      <c r="AT26" s="509">
        <f t="shared" si="150"/>
        <v>-0.12018110033919371</v>
      </c>
      <c r="AU26" s="616">
        <f>AU24/AQ24-1</f>
        <v>-0.16633989999999987</v>
      </c>
      <c r="AV26" s="509">
        <f t="shared" ref="AV26:BG26" si="151">AV24/AR24-1</f>
        <v>-0.66657937313124493</v>
      </c>
      <c r="AW26" s="509">
        <f t="shared" si="151"/>
        <v>-0.55917666753789097</v>
      </c>
      <c r="AX26" s="509">
        <f t="shared" si="151"/>
        <v>-0.50702078951671603</v>
      </c>
      <c r="AY26" s="509">
        <f t="shared" si="151"/>
        <v>-0.60293108520620164</v>
      </c>
      <c r="AZ26" s="496">
        <f t="shared" si="151"/>
        <v>-0.31017632714312504</v>
      </c>
      <c r="BA26" s="509">
        <f t="shared" si="151"/>
        <v>-0.27743650509050655</v>
      </c>
      <c r="BB26" s="509">
        <f t="shared" si="151"/>
        <v>-0.30753329166866972</v>
      </c>
      <c r="BC26" s="616">
        <f t="shared" si="151"/>
        <v>-0.19388394227816996</v>
      </c>
      <c r="BD26" s="496">
        <f t="shared" si="151"/>
        <v>3.456199268514859E-2</v>
      </c>
      <c r="BE26" s="509">
        <f t="shared" si="151"/>
        <v>6.3459525941589767E-2</v>
      </c>
      <c r="BF26" s="509">
        <f t="shared" si="151"/>
        <v>0.18788762380820145</v>
      </c>
      <c r="BG26" s="667">
        <f t="shared" si="151"/>
        <v>0.31434534873091802</v>
      </c>
      <c r="BH26" s="646">
        <f t="shared" ref="BH26" si="152">BH24/BD24-1</f>
        <v>0.30385525226373677</v>
      </c>
      <c r="BI26" s="667">
        <f t="shared" ref="BI26" si="153">BI24/BE24-1</f>
        <v>-1.3630611437441154E-2</v>
      </c>
      <c r="BJ26" s="667">
        <f t="shared" ref="BJ26" si="154">BJ24/BF24-1</f>
        <v>-9.0819189963180391E-2</v>
      </c>
      <c r="BK26" s="647">
        <f t="shared" ref="BK26" si="155">BK24/BG24-1</f>
        <v>-2.6272000000000073E-2</v>
      </c>
      <c r="BL26" s="496">
        <f t="shared" ref="BL26" si="156">BL24/BH24-1</f>
        <v>-0.18714880000000012</v>
      </c>
      <c r="BM26" s="509">
        <f t="shared" ref="BM26" si="157">BM24/BI24-1</f>
        <v>3.2652799999999926E-2</v>
      </c>
      <c r="BN26" s="509">
        <f t="shared" ref="BN26" si="158">BN24/BJ24-1</f>
        <v>0.11870720000000023</v>
      </c>
      <c r="BO26" s="616">
        <f t="shared" ref="BO26" si="159">BO24/BK24-1</f>
        <v>0.11870720000000023</v>
      </c>
      <c r="BP26" s="618"/>
      <c r="BQ26" s="643"/>
      <c r="BR26" s="643"/>
      <c r="BS26" s="643"/>
      <c r="BT26" s="643"/>
      <c r="BU26" s="643"/>
      <c r="BV26" s="643">
        <f t="shared" ref="BV26:CF26" si="160">BV24/BU24-1</f>
        <v>-0.25882195968357402</v>
      </c>
      <c r="BW26" s="643">
        <f t="shared" si="160"/>
        <v>0.86649719285295568</v>
      </c>
      <c r="BX26" s="643">
        <f t="shared" si="160"/>
        <v>-0.14728501163996677</v>
      </c>
      <c r="BY26" s="643">
        <f t="shared" si="160"/>
        <v>-0.14496552669466589</v>
      </c>
      <c r="BZ26" s="643">
        <f t="shared" si="160"/>
        <v>2.6890435072143948E-2</v>
      </c>
      <c r="CA26" s="643">
        <f t="shared" si="160"/>
        <v>0.26467089808063404</v>
      </c>
      <c r="CB26" s="643">
        <f t="shared" si="160"/>
        <v>-0.58734605029555609</v>
      </c>
      <c r="CC26" s="494">
        <f t="shared" si="160"/>
        <v>-0.27844236039797887</v>
      </c>
      <c r="CD26" s="494">
        <f t="shared" si="160"/>
        <v>0.14230285893810857</v>
      </c>
      <c r="CE26" s="494">
        <f t="shared" si="160"/>
        <v>2.8017094866541026E-2</v>
      </c>
      <c r="CF26" s="590">
        <f t="shared" si="160"/>
        <v>1.5140580048413899E-2</v>
      </c>
      <c r="CG26" s="290"/>
    </row>
    <row r="27" spans="1:87" ht="14.25">
      <c r="B27" s="282" t="s">
        <v>289</v>
      </c>
      <c r="D27" s="496"/>
      <c r="E27" s="509"/>
      <c r="F27" s="509"/>
      <c r="G27" s="616"/>
      <c r="H27" s="283"/>
      <c r="I27" s="283"/>
      <c r="J27" s="283"/>
      <c r="K27" s="509"/>
      <c r="L27" s="496"/>
      <c r="M27" s="509"/>
      <c r="N27" s="509"/>
      <c r="O27" s="616"/>
      <c r="P27" s="496"/>
      <c r="Q27" s="509"/>
      <c r="R27" s="509"/>
      <c r="S27" s="616"/>
      <c r="T27" s="496">
        <f t="shared" ref="T27:AU27" si="161">T24/T$38</f>
        <v>0.26746179333225834</v>
      </c>
      <c r="U27" s="509">
        <f t="shared" si="161"/>
        <v>0.24790034164443239</v>
      </c>
      <c r="V27" s="509">
        <f t="shared" si="161"/>
        <v>0.28313882279711483</v>
      </c>
      <c r="W27" s="616">
        <f t="shared" si="161"/>
        <v>0.32793083938591377</v>
      </c>
      <c r="X27" s="283">
        <f t="shared" si="161"/>
        <v>0.2587115866612309</v>
      </c>
      <c r="Y27" s="283">
        <f t="shared" si="161"/>
        <v>0.21787571676805739</v>
      </c>
      <c r="Z27" s="283">
        <f t="shared" si="161"/>
        <v>0.19840907287105863</v>
      </c>
      <c r="AA27" s="509">
        <f t="shared" si="161"/>
        <v>0.20302182074985209</v>
      </c>
      <c r="AB27" s="496">
        <f t="shared" si="161"/>
        <v>0.22</v>
      </c>
      <c r="AC27" s="509">
        <f t="shared" si="161"/>
        <v>0.33333333333333331</v>
      </c>
      <c r="AD27" s="509">
        <f t="shared" si="161"/>
        <v>0.35</v>
      </c>
      <c r="AE27" s="616">
        <f t="shared" si="161"/>
        <v>0.34</v>
      </c>
      <c r="AF27" s="283">
        <f t="shared" si="161"/>
        <v>0.25</v>
      </c>
      <c r="AG27" s="283">
        <f t="shared" si="161"/>
        <v>0.26373628442820213</v>
      </c>
      <c r="AH27" s="283">
        <f t="shared" si="161"/>
        <v>0.30883144093592602</v>
      </c>
      <c r="AI27" s="509">
        <f t="shared" si="161"/>
        <v>0.31221142123680995</v>
      </c>
      <c r="AJ27" s="496">
        <f t="shared" si="161"/>
        <v>0.28630591284496409</v>
      </c>
      <c r="AK27" s="509">
        <f t="shared" si="161"/>
        <v>0.27</v>
      </c>
      <c r="AL27" s="494">
        <f t="shared" si="161"/>
        <v>0.25394394280306476</v>
      </c>
      <c r="AM27" s="590">
        <f t="shared" si="161"/>
        <v>0.22765557324060293</v>
      </c>
      <c r="AN27" s="509">
        <f>AN24/AN$38</f>
        <v>0.18246957592164156</v>
      </c>
      <c r="AO27" s="334">
        <v>0.22</v>
      </c>
      <c r="AP27" s="334">
        <v>0.309</v>
      </c>
      <c r="AQ27" s="506">
        <v>0.26400000000000001</v>
      </c>
      <c r="AR27" s="496">
        <f t="shared" si="161"/>
        <v>0.33385491872252904</v>
      </c>
      <c r="AS27" s="509">
        <f t="shared" si="161"/>
        <v>0.30263419152301768</v>
      </c>
      <c r="AT27" s="509">
        <f t="shared" si="161"/>
        <v>0.27218262975367047</v>
      </c>
      <c r="AU27" s="616">
        <f t="shared" si="161"/>
        <v>0.23915642931841505</v>
      </c>
      <c r="AV27" s="494">
        <f>AV24/AV34</f>
        <v>0.15291655850255936</v>
      </c>
      <c r="AW27" s="494">
        <f t="shared" ref="AW27:BE27" si="162">AW24/AW34</f>
        <v>0.18924301613341044</v>
      </c>
      <c r="AX27" s="494">
        <f t="shared" si="162"/>
        <v>0.19590656585079483</v>
      </c>
      <c r="AY27" s="494">
        <f t="shared" si="162"/>
        <v>0.13792969100700109</v>
      </c>
      <c r="AZ27" s="447">
        <f t="shared" si="162"/>
        <v>0.14319368109136291</v>
      </c>
      <c r="BA27" s="494">
        <f t="shared" si="162"/>
        <v>0.15516802657086512</v>
      </c>
      <c r="BB27" s="494">
        <f t="shared" si="162"/>
        <v>0.13857750568827759</v>
      </c>
      <c r="BC27" s="590">
        <f t="shared" si="162"/>
        <v>0.11589407481434137</v>
      </c>
      <c r="BD27" s="447">
        <f t="shared" si="162"/>
        <v>0.13286154050311763</v>
      </c>
      <c r="BE27" s="494">
        <f t="shared" si="162"/>
        <v>0.16299462587846217</v>
      </c>
      <c r="BF27" s="494">
        <f t="shared" ref="BF27:BG27" si="163">BF24/BF34</f>
        <v>0.16657742470412235</v>
      </c>
      <c r="BG27" s="643">
        <f t="shared" si="163"/>
        <v>0.1401848201765005</v>
      </c>
      <c r="BH27" s="646">
        <f t="shared" ref="BH27:BK27" si="164">BH24/BH$38</f>
        <v>0.16516518016314771</v>
      </c>
      <c r="BI27" s="667">
        <f t="shared" si="164"/>
        <v>0.15690292630419575</v>
      </c>
      <c r="BJ27" s="667">
        <f t="shared" si="164"/>
        <v>0.14630353368677837</v>
      </c>
      <c r="BK27" s="647">
        <f t="shared" si="164"/>
        <v>0.1329138007839136</v>
      </c>
      <c r="BL27" s="496">
        <f t="shared" ref="BL27:BO27" si="165">BL24/BL$38</f>
        <v>0.13497262281530753</v>
      </c>
      <c r="BM27" s="509">
        <f t="shared" si="165"/>
        <v>0.15797104797569339</v>
      </c>
      <c r="BN27" s="509">
        <f t="shared" si="165"/>
        <v>0.15893903207383558</v>
      </c>
      <c r="BO27" s="616">
        <f t="shared" si="165"/>
        <v>0.14472667861579955</v>
      </c>
      <c r="BP27" s="618"/>
      <c r="BQ27" s="643">
        <f t="shared" ref="BQ27:BY27" si="166">BQ24/BQ$38</f>
        <v>0</v>
      </c>
      <c r="BR27" s="643">
        <f t="shared" si="166"/>
        <v>0</v>
      </c>
      <c r="BS27" s="643">
        <f t="shared" si="166"/>
        <v>0</v>
      </c>
      <c r="BT27" s="643">
        <f t="shared" si="166"/>
        <v>0</v>
      </c>
      <c r="BU27" s="643">
        <f t="shared" si="166"/>
        <v>0.27658948846589454</v>
      </c>
      <c r="BV27" s="643">
        <f t="shared" si="166"/>
        <v>0.21543408453475874</v>
      </c>
      <c r="BW27" s="643">
        <f t="shared" si="166"/>
        <v>0.31257595855322035</v>
      </c>
      <c r="BX27" s="643">
        <f t="shared" si="166"/>
        <v>0.28373006989720134</v>
      </c>
      <c r="BY27" s="643">
        <f t="shared" si="166"/>
        <v>0.25978043507762033</v>
      </c>
      <c r="BZ27" s="643">
        <f t="shared" ref="BZ27:CE27" si="167">BZ24/BZ$38</f>
        <v>0.24829129655739626</v>
      </c>
      <c r="CA27" s="643">
        <f t="shared" si="167"/>
        <v>0.28837748626800264</v>
      </c>
      <c r="CB27" s="643">
        <f t="shared" si="167"/>
        <v>0.16183302834955104</v>
      </c>
      <c r="CC27" s="494">
        <f t="shared" si="167"/>
        <v>0.13301028646312149</v>
      </c>
      <c r="CD27" s="494">
        <f t="shared" si="167"/>
        <v>0.15051698493277765</v>
      </c>
      <c r="CE27" s="494">
        <f t="shared" si="167"/>
        <v>0.15009228839142635</v>
      </c>
      <c r="CF27" s="590">
        <f t="shared" ref="CF27" si="168">CF24/CF$38</f>
        <v>0.14942349686177153</v>
      </c>
      <c r="CG27" s="290"/>
    </row>
    <row r="28" spans="1:87" ht="14.25">
      <c r="B28" s="282"/>
      <c r="D28" s="497"/>
      <c r="E28" s="498"/>
      <c r="F28" s="498"/>
      <c r="G28" s="615"/>
      <c r="H28" s="291"/>
      <c r="I28" s="291"/>
      <c r="J28" s="291"/>
      <c r="K28" s="498"/>
      <c r="L28" s="497"/>
      <c r="M28" s="498"/>
      <c r="N28" s="498"/>
      <c r="O28" s="615"/>
      <c r="P28" s="497"/>
      <c r="Q28" s="498"/>
      <c r="R28" s="498"/>
      <c r="S28" s="615"/>
      <c r="T28" s="508"/>
      <c r="U28" s="507"/>
      <c r="V28" s="507"/>
      <c r="W28" s="623"/>
      <c r="X28" s="343"/>
      <c r="Y28" s="343"/>
      <c r="Z28" s="343"/>
      <c r="AA28" s="507"/>
      <c r="AB28" s="508"/>
      <c r="AC28" s="507"/>
      <c r="AD28" s="507"/>
      <c r="AE28" s="623"/>
      <c r="AF28" s="343"/>
      <c r="AG28" s="343"/>
      <c r="AH28" s="343"/>
      <c r="AI28" s="507"/>
      <c r="AJ28" s="508"/>
      <c r="AK28" s="507"/>
      <c r="AL28" s="381"/>
      <c r="AM28" s="626"/>
      <c r="AN28" s="507"/>
      <c r="AO28" s="340"/>
      <c r="AP28" s="340"/>
      <c r="AQ28" s="507"/>
      <c r="AR28" s="508"/>
      <c r="AS28" s="507"/>
      <c r="AT28" s="507"/>
      <c r="AU28" s="623"/>
      <c r="AV28" s="507"/>
      <c r="AW28" s="507"/>
      <c r="AX28" s="507"/>
      <c r="AY28" s="507"/>
      <c r="AZ28" s="508"/>
      <c r="BA28" s="507"/>
      <c r="BB28" s="507"/>
      <c r="BC28" s="623"/>
      <c r="BD28" s="508"/>
      <c r="BE28" s="507"/>
      <c r="BF28" s="507"/>
      <c r="BG28" s="663"/>
      <c r="BH28" s="665"/>
      <c r="BI28" s="663"/>
      <c r="BJ28" s="663"/>
      <c r="BK28" s="664"/>
      <c r="BL28" s="508"/>
      <c r="BM28" s="507"/>
      <c r="BN28" s="507"/>
      <c r="BO28" s="623"/>
      <c r="BP28" s="618"/>
      <c r="BQ28" s="272"/>
      <c r="BR28" s="272"/>
      <c r="BS28" s="272"/>
      <c r="BT28" s="272"/>
      <c r="BU28" s="272"/>
      <c r="BV28" s="272"/>
      <c r="BW28" s="272"/>
      <c r="BX28" s="272"/>
      <c r="BY28" s="272"/>
      <c r="BZ28" s="272"/>
      <c r="CA28" s="272"/>
      <c r="CB28" s="272"/>
      <c r="CC28" s="272"/>
      <c r="CD28" s="272"/>
      <c r="CE28" s="272"/>
      <c r="CF28" s="591"/>
      <c r="CG28" s="290"/>
    </row>
    <row r="29" spans="1:87" ht="15">
      <c r="B29" s="337" t="s">
        <v>299</v>
      </c>
      <c r="D29" s="288"/>
      <c r="E29" s="280"/>
      <c r="F29" s="280"/>
      <c r="G29" s="620"/>
      <c r="H29" s="280"/>
      <c r="I29" s="280"/>
      <c r="J29" s="280"/>
      <c r="K29" s="280"/>
      <c r="L29" s="288"/>
      <c r="M29" s="280"/>
      <c r="N29" s="280"/>
      <c r="O29" s="620"/>
      <c r="P29" s="288"/>
      <c r="Q29" s="280"/>
      <c r="R29" s="280"/>
      <c r="S29" s="620"/>
      <c r="T29" s="288">
        <v>42.56642611565394</v>
      </c>
      <c r="U29" s="280">
        <v>47.302793201797265</v>
      </c>
      <c r="V29" s="280">
        <v>53.966986313423192</v>
      </c>
      <c r="W29" s="620">
        <v>48.821111118587368</v>
      </c>
      <c r="X29" s="341">
        <v>33.598797148576111</v>
      </c>
      <c r="Y29" s="341">
        <v>31.033563002632473</v>
      </c>
      <c r="Z29" s="341">
        <v>78.612450551868207</v>
      </c>
      <c r="AA29" s="341">
        <v>62.101337152686973</v>
      </c>
      <c r="AB29" s="342">
        <v>64.826155963078918</v>
      </c>
      <c r="AC29" s="341">
        <v>69.535340394233629</v>
      </c>
      <c r="AD29" s="341">
        <v>76.746160000000032</v>
      </c>
      <c r="AE29" s="624">
        <v>36.020519999999919</v>
      </c>
      <c r="AF29" s="341">
        <v>40.120100000000036</v>
      </c>
      <c r="AG29" s="341">
        <v>42.961870000000033</v>
      </c>
      <c r="AH29" s="341">
        <v>49.7</v>
      </c>
      <c r="AI29" s="341">
        <f>(1-AI17-AI22-AI27)*742.7</f>
        <v>40.286604009418532</v>
      </c>
      <c r="AJ29" s="499">
        <f>AJ38-AJ24-AJ19-AJ14</f>
        <v>40.493049999999982</v>
      </c>
      <c r="AK29" s="341">
        <f>AK38-AK24-AK19-AK14</f>
        <v>35.187040000000081</v>
      </c>
      <c r="AL29" s="382">
        <f>AK29*(1+AL30)</f>
        <v>35.289186399999892</v>
      </c>
      <c r="AM29" s="627">
        <f>AL29*(1+AM30)</f>
        <v>34.651395719999925</v>
      </c>
      <c r="AN29" s="495">
        <f t="shared" ref="AN29:AT29" si="169">AN38-AN24-AN19-AN14</f>
        <v>38.153430000000014</v>
      </c>
      <c r="AO29" s="289">
        <f t="shared" si="169"/>
        <v>40.352800000000002</v>
      </c>
      <c r="AP29" s="289">
        <f t="shared" si="169"/>
        <v>50.286203999999998</v>
      </c>
      <c r="AQ29" s="289">
        <f t="shared" si="169"/>
        <v>69.881175000000155</v>
      </c>
      <c r="AR29" s="490">
        <f t="shared" si="169"/>
        <v>48.89021552000014</v>
      </c>
      <c r="AS29" s="495">
        <f t="shared" si="169"/>
        <v>46.035266971199917</v>
      </c>
      <c r="AT29" s="495">
        <f t="shared" si="169"/>
        <v>51.794465072415903</v>
      </c>
      <c r="AU29" s="629">
        <f>AU38-AU24-AU19-AU14</f>
        <v>50.538267605317344</v>
      </c>
      <c r="AV29" s="558">
        <v>97.841999999999999</v>
      </c>
      <c r="AW29" s="558">
        <v>109.785</v>
      </c>
      <c r="AX29" s="558">
        <v>131.05199999999999</v>
      </c>
      <c r="AY29" s="558">
        <v>89.313000000000002</v>
      </c>
      <c r="AZ29" s="557">
        <v>59.103000000000002</v>
      </c>
      <c r="BA29" s="558">
        <v>72.7</v>
      </c>
      <c r="BB29" s="558">
        <v>61.515000000000001</v>
      </c>
      <c r="BC29" s="621">
        <v>41.863</v>
      </c>
      <c r="BD29" s="557">
        <v>47.994999999999997</v>
      </c>
      <c r="BE29" s="558">
        <v>47.427999999999997</v>
      </c>
      <c r="BF29" s="558">
        <v>47.805</v>
      </c>
      <c r="BG29" s="558">
        <v>50.08</v>
      </c>
      <c r="BH29" s="679">
        <f t="shared" ref="BH29" si="170">BG29*(1+BH30)</f>
        <v>45.072000000000003</v>
      </c>
      <c r="BI29" s="645">
        <f t="shared" ref="BI29" si="171">BH29*(1+BI30)</f>
        <v>43.269120000000001</v>
      </c>
      <c r="BJ29" s="645">
        <f t="shared" ref="BJ29" si="172">BI29*(1+BJ30)</f>
        <v>41.538355199999998</v>
      </c>
      <c r="BK29" s="651">
        <f t="shared" ref="BK29" si="173">BJ29*(1+BK30)</f>
        <v>39.876820991999999</v>
      </c>
      <c r="BL29" s="490">
        <f t="shared" ref="BL29" si="174">BK29*(1+BL30)</f>
        <v>39.079284572159999</v>
      </c>
      <c r="BM29" s="495">
        <f t="shared" ref="BM29" si="175">BL29*(1+BM30)</f>
        <v>38.297698880716801</v>
      </c>
      <c r="BN29" s="495">
        <f t="shared" ref="BN29" si="176">BM29*(1+BN30)</f>
        <v>37.531744903102464</v>
      </c>
      <c r="BO29" s="629">
        <f t="shared" ref="BO29" si="177">BN29*(1+BO30)</f>
        <v>36.781110005040411</v>
      </c>
      <c r="BP29" s="618"/>
      <c r="BQ29" s="437">
        <f>SUM(D29:G29)</f>
        <v>0</v>
      </c>
      <c r="BR29" s="437">
        <f>SUM(H29:K29)</f>
        <v>0</v>
      </c>
      <c r="BS29" s="437">
        <f>SUM(L29:O29)</f>
        <v>0</v>
      </c>
      <c r="BT29" s="437">
        <f>SUM(P29:S29)</f>
        <v>0</v>
      </c>
      <c r="BU29" s="437">
        <f>SUM(T29:W29)</f>
        <v>192.65731674946178</v>
      </c>
      <c r="BV29" s="437">
        <f>SUM(X29:AA29)</f>
        <v>205.34614785576375</v>
      </c>
      <c r="BW29" s="437">
        <f>SUM(AB29:AE29)</f>
        <v>247.1281763573125</v>
      </c>
      <c r="BX29" s="437">
        <f>SUM(AF29:AI29)</f>
        <v>173.0685740094186</v>
      </c>
      <c r="BY29" s="437">
        <f>SUM(AJ29:AM29)</f>
        <v>145.62067211999988</v>
      </c>
      <c r="BZ29" s="437">
        <f>SUM(AN29:AQ29)</f>
        <v>198.67360900000017</v>
      </c>
      <c r="CA29" s="437">
        <f>SUM(AR29:AU29)</f>
        <v>197.2582151689333</v>
      </c>
      <c r="CB29" s="437">
        <f>SUM(AV29:AY29)</f>
        <v>427.99199999999996</v>
      </c>
      <c r="CC29" s="437">
        <f>SUM(AZ29:BC29)</f>
        <v>235.18099999999998</v>
      </c>
      <c r="CD29" s="437">
        <f>SUM(BD29:BG29)</f>
        <v>193.30799999999999</v>
      </c>
      <c r="CE29" s="437">
        <f>SUM(BH29:BK29)</f>
        <v>169.75629619200001</v>
      </c>
      <c r="CF29" s="592">
        <f>SUM(BL29:BO29)</f>
        <v>151.68983836101967</v>
      </c>
      <c r="CG29" s="290"/>
    </row>
    <row r="30" spans="1:87" ht="14.25">
      <c r="B30" s="282" t="s">
        <v>287</v>
      </c>
      <c r="D30" s="508"/>
      <c r="E30" s="509"/>
      <c r="F30" s="509"/>
      <c r="G30" s="616"/>
      <c r="H30" s="283"/>
      <c r="I30" s="283"/>
      <c r="J30" s="283"/>
      <c r="K30" s="509"/>
      <c r="L30" s="496"/>
      <c r="M30" s="509"/>
      <c r="N30" s="509"/>
      <c r="O30" s="616"/>
      <c r="P30" s="496"/>
      <c r="Q30" s="509"/>
      <c r="R30" s="509"/>
      <c r="S30" s="616"/>
      <c r="T30" s="496"/>
      <c r="U30" s="509">
        <f>U29/T29-1</f>
        <v>0.11127002002175401</v>
      </c>
      <c r="V30" s="509">
        <f>V29/U29-1</f>
        <v>0.140883712367597</v>
      </c>
      <c r="W30" s="616">
        <f>W29/V29-1</f>
        <v>-9.5352280094912256E-2</v>
      </c>
      <c r="X30" s="283">
        <f>(X29-W29)/W29</f>
        <v>-0.31179777807670084</v>
      </c>
      <c r="Y30" s="283">
        <f>(Y29-X29)/X29</f>
        <v>-7.6348987572382496E-2</v>
      </c>
      <c r="Z30" s="283">
        <f>(Z29-Y29)/Y29</f>
        <v>1.5331429248133632</v>
      </c>
      <c r="AA30" s="509">
        <f>(AA29-Z29)/Z29</f>
        <v>-0.21003178610094672</v>
      </c>
      <c r="AB30" s="496">
        <f t="shared" ref="AB30:AK30" si="178">(AB29-AA29)/AA29</f>
        <v>4.3876974882078659E-2</v>
      </c>
      <c r="AC30" s="509">
        <f t="shared" si="178"/>
        <v>7.2643277411617302E-2</v>
      </c>
      <c r="AD30" s="509">
        <f t="shared" si="178"/>
        <v>0.1037000691286524</v>
      </c>
      <c r="AE30" s="616">
        <f t="shared" si="178"/>
        <v>-0.5306537812445612</v>
      </c>
      <c r="AF30" s="283">
        <f t="shared" si="178"/>
        <v>0.1138123491831913</v>
      </c>
      <c r="AG30" s="283">
        <f t="shared" si="178"/>
        <v>7.0831578186494909E-2</v>
      </c>
      <c r="AH30" s="283">
        <f t="shared" si="178"/>
        <v>0.15683977443253669</v>
      </c>
      <c r="AI30" s="509">
        <f t="shared" si="178"/>
        <v>-0.1894043458869511</v>
      </c>
      <c r="AJ30" s="496">
        <f t="shared" si="178"/>
        <v>5.1244326906578069E-3</v>
      </c>
      <c r="AK30" s="509">
        <f t="shared" si="178"/>
        <v>-0.13103507885920926</v>
      </c>
      <c r="AL30" s="494">
        <f>(AL38-AL24-AL19-AL14)/AK29-1</f>
        <v>2.9029551789467867E-3</v>
      </c>
      <c r="AM30" s="590">
        <f>(AM38-AM24-AM19-AM14)/AL29-1</f>
        <v>-1.8073261105276406E-2</v>
      </c>
      <c r="AN30" s="509">
        <f t="shared" ref="AN30:AU30" si="179">(AN29/AM29-1)</f>
        <v>0.10106473944940708</v>
      </c>
      <c r="AO30" s="211">
        <f t="shared" si="179"/>
        <v>5.7645406979136338E-2</v>
      </c>
      <c r="AP30" s="211">
        <f t="shared" si="179"/>
        <v>0.24616393410122717</v>
      </c>
      <c r="AQ30" s="494">
        <f t="shared" si="179"/>
        <v>0.38966892390605112</v>
      </c>
      <c r="AR30" s="496">
        <f t="shared" si="179"/>
        <v>-0.30038074603067233</v>
      </c>
      <c r="AS30" s="494">
        <f t="shared" si="179"/>
        <v>-5.8395090273887451E-2</v>
      </c>
      <c r="AT30" s="494">
        <f t="shared" si="179"/>
        <v>0.12510404479285397</v>
      </c>
      <c r="AU30" s="630">
        <f t="shared" si="179"/>
        <v>-2.4253507886262016E-2</v>
      </c>
      <c r="AV30" s="506"/>
      <c r="AW30" s="494">
        <f>AW29/AV29-1</f>
        <v>0.12206414423253809</v>
      </c>
      <c r="AX30" s="494">
        <f t="shared" ref="AX30" si="180">AX29/AW29-1</f>
        <v>0.19371498838639156</v>
      </c>
      <c r="AY30" s="380">
        <f t="shared" ref="AY30" si="181">AY29/AX29-1</f>
        <v>-0.31849189634648833</v>
      </c>
      <c r="AZ30" s="447">
        <f t="shared" ref="AZ30" si="182">AZ29/AY29-1</f>
        <v>-0.33824863121829973</v>
      </c>
      <c r="BA30" s="494">
        <f t="shared" ref="BA30" si="183">BA29/AZ29-1</f>
        <v>0.23005600392535075</v>
      </c>
      <c r="BB30" s="494">
        <f t="shared" ref="BB30" si="184">BB29/BA29-1</f>
        <v>-0.15385144429160935</v>
      </c>
      <c r="BC30" s="590">
        <f t="shared" ref="BC30:BG30" si="185">BC29/BB29-1</f>
        <v>-0.31946679671624811</v>
      </c>
      <c r="BD30" s="447">
        <f t="shared" si="185"/>
        <v>0.14647779662231564</v>
      </c>
      <c r="BE30" s="494">
        <f t="shared" si="185"/>
        <v>-1.1813730596937133E-2</v>
      </c>
      <c r="BF30" s="494">
        <f t="shared" si="185"/>
        <v>7.948890950493448E-3</v>
      </c>
      <c r="BG30" s="643">
        <f t="shared" si="185"/>
        <v>4.7589164313356358E-2</v>
      </c>
      <c r="BH30" s="678">
        <v>-0.1</v>
      </c>
      <c r="BI30" s="662">
        <v>-0.04</v>
      </c>
      <c r="BJ30" s="662">
        <f>BI30</f>
        <v>-0.04</v>
      </c>
      <c r="BK30" s="666">
        <f>BJ30</f>
        <v>-0.04</v>
      </c>
      <c r="BL30" s="517">
        <v>-0.02</v>
      </c>
      <c r="BM30" s="506">
        <f>BL30</f>
        <v>-0.02</v>
      </c>
      <c r="BN30" s="506">
        <f>BM30</f>
        <v>-0.02</v>
      </c>
      <c r="BO30" s="625">
        <f>BN30</f>
        <v>-0.02</v>
      </c>
      <c r="BP30" s="618"/>
      <c r="BQ30" s="643"/>
      <c r="BR30" s="643"/>
      <c r="BS30" s="643"/>
      <c r="BT30" s="643"/>
      <c r="BU30" s="643"/>
      <c r="BV30" s="643"/>
      <c r="BW30" s="643"/>
      <c r="BX30" s="643"/>
      <c r="BY30" s="643"/>
      <c r="BZ30" s="643"/>
      <c r="CA30" s="643"/>
      <c r="CB30" s="643"/>
      <c r="CC30" s="494"/>
      <c r="CD30" s="494"/>
      <c r="CE30" s="494"/>
      <c r="CF30" s="590"/>
      <c r="CG30" s="290"/>
    </row>
    <row r="31" spans="1:87" ht="14.25">
      <c r="B31" s="265" t="s">
        <v>288</v>
      </c>
      <c r="D31" s="508"/>
      <c r="E31" s="498"/>
      <c r="F31" s="498"/>
      <c r="G31" s="615"/>
      <c r="H31" s="283"/>
      <c r="I31" s="283"/>
      <c r="J31" s="283"/>
      <c r="K31" s="509"/>
      <c r="L31" s="496"/>
      <c r="M31" s="509"/>
      <c r="N31" s="509"/>
      <c r="O31" s="616"/>
      <c r="P31" s="496"/>
      <c r="Q31" s="509"/>
      <c r="R31" s="509"/>
      <c r="S31" s="616"/>
      <c r="T31" s="496"/>
      <c r="U31" s="509"/>
      <c r="V31" s="509"/>
      <c r="W31" s="616"/>
      <c r="X31" s="283">
        <f t="shared" ref="X31:AE31" si="186">X29/T29-1</f>
        <v>-0.21067375829750379</v>
      </c>
      <c r="Y31" s="283">
        <f t="shared" si="186"/>
        <v>-0.34393804462580113</v>
      </c>
      <c r="Z31" s="283">
        <f t="shared" si="186"/>
        <v>0.45667668183863275</v>
      </c>
      <c r="AA31" s="509">
        <f t="shared" si="186"/>
        <v>0.27201810302599827</v>
      </c>
      <c r="AB31" s="496">
        <f t="shared" si="186"/>
        <v>0.92941895141106845</v>
      </c>
      <c r="AC31" s="509">
        <f t="shared" si="186"/>
        <v>1.240649595675984</v>
      </c>
      <c r="AD31" s="509">
        <f t="shared" si="186"/>
        <v>-2.3740394031309342E-2</v>
      </c>
      <c r="AE31" s="616">
        <f t="shared" si="186"/>
        <v>-0.41997190959935071</v>
      </c>
      <c r="AF31" s="283">
        <f t="shared" ref="AF31:AN31" si="187">AF29/AB29-1</f>
        <v>-0.38111246295630985</v>
      </c>
      <c r="AG31" s="283">
        <f t="shared" si="187"/>
        <v>-0.38215776673521917</v>
      </c>
      <c r="AH31" s="283">
        <f t="shared" si="187"/>
        <v>-0.35241059617836279</v>
      </c>
      <c r="AI31" s="509">
        <f t="shared" si="187"/>
        <v>0.11843482574428754</v>
      </c>
      <c r="AJ31" s="496">
        <f t="shared" si="187"/>
        <v>9.2958392426725212E-3</v>
      </c>
      <c r="AK31" s="509">
        <f t="shared" si="187"/>
        <v>-0.18097047451612203</v>
      </c>
      <c r="AL31" s="494">
        <f t="shared" si="187"/>
        <v>-0.28995600804829191</v>
      </c>
      <c r="AM31" s="616">
        <f t="shared" si="187"/>
        <v>-0.13987796757704274</v>
      </c>
      <c r="AN31" s="509">
        <f t="shared" si="187"/>
        <v>-5.7778310105066621E-2</v>
      </c>
      <c r="AO31" s="390">
        <f t="shared" ref="AO31:BG31" si="188">AO29/AK29-1</f>
        <v>0.14680859771097277</v>
      </c>
      <c r="AP31" s="390">
        <f t="shared" si="188"/>
        <v>0.42497487558965519</v>
      </c>
      <c r="AQ31" s="509">
        <f t="shared" si="188"/>
        <v>1.01669149389173</v>
      </c>
      <c r="AR31" s="496">
        <f t="shared" si="188"/>
        <v>0.28141075441972374</v>
      </c>
      <c r="AS31" s="509">
        <f t="shared" si="188"/>
        <v>0.14081964501100086</v>
      </c>
      <c r="AT31" s="509">
        <f t="shared" si="188"/>
        <v>2.9993536048493752E-2</v>
      </c>
      <c r="AU31" s="616">
        <f t="shared" si="188"/>
        <v>-0.27679711159239617</v>
      </c>
      <c r="AV31" s="509">
        <f t="shared" ref="AV31" si="189">AV29/AR29-1</f>
        <v>1.0012593309181574</v>
      </c>
      <c r="AW31" s="509">
        <f t="shared" ref="AW31" si="190">AW29/AS29-1</f>
        <v>1.3848020707402977</v>
      </c>
      <c r="AX31" s="509">
        <f t="shared" ref="AX31" si="191">AX29/AT29-1</f>
        <v>1.5302317499904858</v>
      </c>
      <c r="AY31" s="509">
        <f t="shared" si="188"/>
        <v>0.76723509198014161</v>
      </c>
      <c r="AZ31" s="496">
        <f t="shared" si="188"/>
        <v>-0.39593426136015208</v>
      </c>
      <c r="BA31" s="509">
        <f t="shared" si="188"/>
        <v>-0.33779660245024357</v>
      </c>
      <c r="BB31" s="509">
        <f t="shared" si="188"/>
        <v>-0.53060617159600765</v>
      </c>
      <c r="BC31" s="616">
        <f t="shared" si="188"/>
        <v>-0.53127764155274149</v>
      </c>
      <c r="BD31" s="496">
        <f t="shared" si="188"/>
        <v>-0.18794308241544433</v>
      </c>
      <c r="BE31" s="509">
        <f t="shared" si="188"/>
        <v>-0.34762035763411281</v>
      </c>
      <c r="BF31" s="509">
        <f t="shared" si="188"/>
        <v>-0.22287247012923683</v>
      </c>
      <c r="BG31" s="667">
        <f t="shared" si="188"/>
        <v>0.19628311396698761</v>
      </c>
      <c r="BH31" s="646">
        <f t="shared" ref="BH31" si="192">BH29/BD29-1</f>
        <v>-6.0902177310136363E-2</v>
      </c>
      <c r="BI31" s="667">
        <f t="shared" ref="BI31" si="193">BI29/BE29-1</f>
        <v>-8.7688285401028909E-2</v>
      </c>
      <c r="BJ31" s="667">
        <f t="shared" ref="BJ31" si="194">BJ29/BF29-1</f>
        <v>-0.1310876435519297</v>
      </c>
      <c r="BK31" s="647">
        <f t="shared" ref="BK31" si="195">BK29/BG29-1</f>
        <v>-0.20373759999999996</v>
      </c>
      <c r="BL31" s="496">
        <f t="shared" ref="BL31" si="196">BL29/BH29-1</f>
        <v>-0.13295872000000009</v>
      </c>
      <c r="BM31" s="509">
        <f t="shared" ref="BM31" si="197">BM29/BI29-1</f>
        <v>-0.11489536</v>
      </c>
      <c r="BN31" s="509">
        <f t="shared" ref="BN31" si="198">BN29/BJ29-1</f>
        <v>-9.6455679999999933E-2</v>
      </c>
      <c r="BO31" s="616">
        <f t="shared" ref="BO31" si="199">BO29/BK29-1</f>
        <v>-7.7631840000000119E-2</v>
      </c>
      <c r="BP31" s="618"/>
      <c r="BQ31" s="643"/>
      <c r="BR31" s="643"/>
      <c r="BS31" s="643"/>
      <c r="BT31" s="643"/>
      <c r="BU31" s="643"/>
      <c r="BV31" s="643">
        <f t="shared" ref="BV31:CF31" si="200">BV29/BU29-1</f>
        <v>6.5862181205414316E-2</v>
      </c>
      <c r="BW31" s="643">
        <f t="shared" si="200"/>
        <v>0.20347120672990027</v>
      </c>
      <c r="BX31" s="643">
        <f t="shared" si="200"/>
        <v>-0.29968093254091011</v>
      </c>
      <c r="BY31" s="643">
        <f t="shared" si="200"/>
        <v>-0.15859552808197852</v>
      </c>
      <c r="BZ31" s="643">
        <f t="shared" si="200"/>
        <v>0.36432284034701889</v>
      </c>
      <c r="CA31" s="643">
        <f t="shared" si="200"/>
        <v>-7.1242166394976936E-3</v>
      </c>
      <c r="CB31" s="643">
        <f t="shared" si="200"/>
        <v>1.1697043118506607</v>
      </c>
      <c r="CC31" s="494">
        <f t="shared" si="200"/>
        <v>-0.45050141124133158</v>
      </c>
      <c r="CD31" s="494">
        <f t="shared" si="200"/>
        <v>-0.1780458455402435</v>
      </c>
      <c r="CE31" s="494">
        <f t="shared" si="200"/>
        <v>-0.1218351222298093</v>
      </c>
      <c r="CF31" s="590">
        <f t="shared" si="200"/>
        <v>-0.10642584832639479</v>
      </c>
      <c r="CG31" s="290"/>
    </row>
    <row r="32" spans="1:87" ht="14.25">
      <c r="B32" s="282" t="s">
        <v>289</v>
      </c>
      <c r="D32" s="496"/>
      <c r="E32" s="509"/>
      <c r="F32" s="509"/>
      <c r="G32" s="616"/>
      <c r="H32" s="283"/>
      <c r="I32" s="283"/>
      <c r="J32" s="283"/>
      <c r="K32" s="509"/>
      <c r="L32" s="496"/>
      <c r="M32" s="509"/>
      <c r="N32" s="509"/>
      <c r="O32" s="616"/>
      <c r="P32" s="496"/>
      <c r="Q32" s="509"/>
      <c r="R32" s="509"/>
      <c r="S32" s="616"/>
      <c r="T32" s="496">
        <f t="shared" ref="T32:AP32" si="201">T29/T$38</f>
        <v>5.2938377782736606E-2</v>
      </c>
      <c r="U32" s="509">
        <f t="shared" si="201"/>
        <v>5.6140750914514745E-2</v>
      </c>
      <c r="V32" s="509">
        <f t="shared" si="201"/>
        <v>6.8222311108864953E-2</v>
      </c>
      <c r="W32" s="616">
        <f t="shared" si="201"/>
        <v>9.5192537477723063E-2</v>
      </c>
      <c r="X32" s="283">
        <f t="shared" si="201"/>
        <v>6.4435378491958933E-2</v>
      </c>
      <c r="Y32" s="283">
        <f t="shared" si="201"/>
        <v>4.844301302274745E-2</v>
      </c>
      <c r="Z32" s="283">
        <f t="shared" si="201"/>
        <v>9.788649772738596E-2</v>
      </c>
      <c r="AA32" s="509">
        <f t="shared" si="201"/>
        <v>7.3707723895965124E-2</v>
      </c>
      <c r="AB32" s="496">
        <f t="shared" si="201"/>
        <v>7.5768755384457681E-2</v>
      </c>
      <c r="AC32" s="509">
        <f t="shared" si="201"/>
        <v>7.756537322246225E-2</v>
      </c>
      <c r="AD32" s="509">
        <f t="shared" si="201"/>
        <v>8.0000000000000029E-2</v>
      </c>
      <c r="AE32" s="616">
        <f>AE29/AE$38</f>
        <v>3.9999999999999911E-2</v>
      </c>
      <c r="AF32" s="283">
        <f t="shared" si="201"/>
        <v>5.0000000000000044E-2</v>
      </c>
      <c r="AG32" s="283">
        <f t="shared" si="201"/>
        <v>4.7867312149032927E-2</v>
      </c>
      <c r="AH32" s="283">
        <f t="shared" si="201"/>
        <v>5.2292835671079119E-2</v>
      </c>
      <c r="AI32" s="509">
        <f t="shared" si="201"/>
        <v>5.4243368474552384E-2</v>
      </c>
      <c r="AJ32" s="496">
        <f t="shared" si="201"/>
        <v>5.084824405318758E-2</v>
      </c>
      <c r="AK32" s="509">
        <f t="shared" si="201"/>
        <v>4.3115877388176113E-2</v>
      </c>
      <c r="AL32" s="494">
        <f t="shared" si="201"/>
        <v>4.5191503442906018E-2</v>
      </c>
      <c r="AM32" s="616">
        <f t="shared" si="201"/>
        <v>4.4694523264722709E-2</v>
      </c>
      <c r="AN32" s="509">
        <f>AN29/AN$38</f>
        <v>5.1954031284000293E-2</v>
      </c>
      <c r="AO32" s="390">
        <f>AO29/AO$38</f>
        <v>0.05</v>
      </c>
      <c r="AP32" s="390">
        <f t="shared" si="201"/>
        <v>5.3999999999999999E-2</v>
      </c>
      <c r="AQ32" s="509">
        <f t="shared" ref="AQ32:AU32" si="202">AQ29/AQ$38</f>
        <v>7.5000000000000164E-2</v>
      </c>
      <c r="AR32" s="496">
        <f t="shared" si="202"/>
        <v>5.1042685570508478E-2</v>
      </c>
      <c r="AS32" s="509">
        <f t="shared" si="202"/>
        <v>4.7876352090853697E-2</v>
      </c>
      <c r="AT32" s="509">
        <f t="shared" si="202"/>
        <v>5.5684830038205062E-2</v>
      </c>
      <c r="AU32" s="616">
        <f t="shared" si="202"/>
        <v>5.8940054493216348E-2</v>
      </c>
      <c r="AV32" s="494">
        <f>AV29/AV34</f>
        <v>0.14032697352286075</v>
      </c>
      <c r="AW32" s="494">
        <f t="shared" ref="AW32:BE32" si="203">AW29/AW34</f>
        <v>0.16196108862163788</v>
      </c>
      <c r="AX32" s="494">
        <f t="shared" si="203"/>
        <v>0.20571084136883133</v>
      </c>
      <c r="AY32" s="494">
        <f t="shared" si="203"/>
        <v>0.15129155041950615</v>
      </c>
      <c r="AZ32" s="447">
        <f t="shared" si="203"/>
        <v>0.11506854115681819</v>
      </c>
      <c r="BA32" s="494">
        <f t="shared" si="203"/>
        <v>0.12170500848754323</v>
      </c>
      <c r="BB32" s="494">
        <f t="shared" si="203"/>
        <v>9.863689788038503E-2</v>
      </c>
      <c r="BC32" s="590">
        <f t="shared" si="203"/>
        <v>7.3915622870178443E-2</v>
      </c>
      <c r="BD32" s="447">
        <f t="shared" si="203"/>
        <v>8.380346738046722E-2</v>
      </c>
      <c r="BE32" s="494">
        <f t="shared" si="203"/>
        <v>7.8425795783381561E-2</v>
      </c>
      <c r="BF32" s="494">
        <f t="shared" ref="BF32:BG32" si="204">BF29/BF34</f>
        <v>7.7567491262400576E-2</v>
      </c>
      <c r="BG32" s="643">
        <f t="shared" si="204"/>
        <v>8.1376775445272984E-2</v>
      </c>
      <c r="BH32" s="646">
        <f t="shared" ref="BH32:BK32" si="205">BH29/BH$38</f>
        <v>7.5034786744433687E-2</v>
      </c>
      <c r="BI32" s="667">
        <f t="shared" si="205"/>
        <v>6.9826513509120613E-2</v>
      </c>
      <c r="BJ32" s="667">
        <f t="shared" si="205"/>
        <v>6.5109465527786847E-2</v>
      </c>
      <c r="BK32" s="647">
        <f t="shared" si="205"/>
        <v>6.3094007823193896E-2</v>
      </c>
      <c r="BL32" s="496">
        <f t="shared" ref="BL32:BO32" si="206">BL29/BL$38</f>
        <v>6.5406147287813243E-2</v>
      </c>
      <c r="BM32" s="509">
        <f t="shared" si="206"/>
        <v>6.0256944292874731E-2</v>
      </c>
      <c r="BN32" s="509">
        <f t="shared" si="206"/>
        <v>5.7128511070390478E-2</v>
      </c>
      <c r="BO32" s="616">
        <f t="shared" si="206"/>
        <v>5.6644076820110238E-2</v>
      </c>
      <c r="BP32" s="618"/>
      <c r="BQ32" s="643">
        <f t="shared" ref="BQ32:BY32" si="207">BQ29/BQ$38</f>
        <v>0</v>
      </c>
      <c r="BR32" s="643">
        <f t="shared" si="207"/>
        <v>0</v>
      </c>
      <c r="BS32" s="643">
        <f t="shared" si="207"/>
        <v>0</v>
      </c>
      <c r="BT32" s="643">
        <f t="shared" si="207"/>
        <v>0</v>
      </c>
      <c r="BU32" s="643">
        <f t="shared" si="207"/>
        <v>6.5295103595300899E-2</v>
      </c>
      <c r="BV32" s="643">
        <f t="shared" si="207"/>
        <v>7.3137122427024012E-2</v>
      </c>
      <c r="BW32" s="643">
        <f t="shared" si="207"/>
        <v>6.8420680335024464E-2</v>
      </c>
      <c r="BX32" s="643">
        <f t="shared" si="207"/>
        <v>5.1006935965806063E-2</v>
      </c>
      <c r="BY32" s="643">
        <f t="shared" si="207"/>
        <v>4.5956982077427752E-2</v>
      </c>
      <c r="BZ32" s="643">
        <f t="shared" ref="BZ32:CE32" si="208">BZ29/BZ$38</f>
        <v>5.8357892433321623E-2</v>
      </c>
      <c r="CA32" s="643">
        <f t="shared" si="208"/>
        <v>5.3212890220089418E-2</v>
      </c>
      <c r="CB32" s="643">
        <f t="shared" si="208"/>
        <v>0.15701357532463528</v>
      </c>
      <c r="CC32" s="494">
        <f t="shared" si="208"/>
        <v>9.8276758343334505E-2</v>
      </c>
      <c r="CD32" s="494">
        <f t="shared" si="208"/>
        <v>8.00234803101951E-2</v>
      </c>
      <c r="CE32" s="494">
        <f t="shared" si="208"/>
        <v>6.8165720777299071E-2</v>
      </c>
      <c r="CF32" s="590">
        <f t="shared" ref="CF32" si="209">CF29/CF$38</f>
        <v>5.9735287238422648E-2</v>
      </c>
      <c r="CG32" s="290"/>
    </row>
    <row r="33" spans="2:85" ht="14.25">
      <c r="B33" s="282"/>
      <c r="D33" s="497"/>
      <c r="E33" s="498"/>
      <c r="F33" s="498"/>
      <c r="G33" s="615"/>
      <c r="H33" s="291"/>
      <c r="I33" s="291"/>
      <c r="J33" s="291"/>
      <c r="K33" s="498"/>
      <c r="L33" s="497"/>
      <c r="M33" s="498"/>
      <c r="N33" s="498"/>
      <c r="O33" s="615"/>
      <c r="P33" s="497"/>
      <c r="Q33" s="498"/>
      <c r="R33" s="498"/>
      <c r="S33" s="615"/>
      <c r="T33" s="508"/>
      <c r="U33" s="507"/>
      <c r="V33" s="507"/>
      <c r="W33" s="623"/>
      <c r="X33" s="343"/>
      <c r="Y33" s="343"/>
      <c r="Z33" s="343"/>
      <c r="AA33" s="507"/>
      <c r="AB33" s="508"/>
      <c r="AC33" s="507"/>
      <c r="AD33" s="507"/>
      <c r="AE33" s="623"/>
      <c r="AF33" s="343"/>
      <c r="AG33" s="343"/>
      <c r="AH33" s="343"/>
      <c r="AI33" s="507"/>
      <c r="AJ33" s="508"/>
      <c r="AK33" s="507"/>
      <c r="AL33" s="381"/>
      <c r="AM33" s="623"/>
      <c r="AN33" s="507"/>
      <c r="AO33" s="340"/>
      <c r="AP33" s="340"/>
      <c r="AQ33" s="507"/>
      <c r="AR33" s="508"/>
      <c r="AS33" s="507"/>
      <c r="AT33" s="507"/>
      <c r="AU33" s="623"/>
      <c r="AV33" s="507"/>
      <c r="AW33" s="343"/>
      <c r="AX33" s="343"/>
      <c r="AY33" s="507"/>
      <c r="AZ33" s="508"/>
      <c r="BA33" s="507"/>
      <c r="BB33" s="507"/>
      <c r="BC33" s="623"/>
      <c r="BD33" s="508"/>
      <c r="BE33" s="507"/>
      <c r="BF33" s="507"/>
      <c r="BG33" s="663"/>
      <c r="BH33" s="665"/>
      <c r="BI33" s="663"/>
      <c r="BJ33" s="663"/>
      <c r="BK33" s="664"/>
      <c r="BL33" s="508"/>
      <c r="BM33" s="507"/>
      <c r="BN33" s="507"/>
      <c r="BO33" s="623"/>
      <c r="BP33" s="618"/>
      <c r="BQ33" s="272"/>
      <c r="BR33" s="272"/>
      <c r="BS33" s="272"/>
      <c r="BT33" s="272"/>
      <c r="BU33" s="272"/>
      <c r="BV33" s="272"/>
      <c r="BW33" s="272"/>
      <c r="BX33" s="272"/>
      <c r="BY33" s="272"/>
      <c r="BZ33" s="272"/>
      <c r="CA33" s="272"/>
      <c r="CB33" s="272"/>
      <c r="CC33" s="272"/>
      <c r="CD33" s="272"/>
      <c r="CE33" s="272"/>
      <c r="CF33" s="591"/>
      <c r="CG33" s="290"/>
    </row>
    <row r="34" spans="2:85" ht="15">
      <c r="B34" s="267" t="s">
        <v>290</v>
      </c>
      <c r="D34" s="500">
        <f>D14+D19+D24+D29</f>
        <v>167.946471</v>
      </c>
      <c r="E34" s="501">
        <f t="shared" ref="E34:CA34" si="210">E14+E19+E24+E29</f>
        <v>185.12694199999999</v>
      </c>
      <c r="F34" s="501">
        <f t="shared" si="210"/>
        <v>197.85420900000003</v>
      </c>
      <c r="G34" s="619">
        <f t="shared" si="210"/>
        <v>211.98571799999991</v>
      </c>
      <c r="H34" s="501">
        <f t="shared" si="210"/>
        <v>231.26417999999998</v>
      </c>
      <c r="I34" s="293">
        <f t="shared" si="210"/>
        <v>247.54783600000002</v>
      </c>
      <c r="J34" s="293">
        <f t="shared" si="210"/>
        <v>270.10048399999999</v>
      </c>
      <c r="K34" s="501">
        <f t="shared" si="210"/>
        <v>310.03614400000004</v>
      </c>
      <c r="L34" s="500">
        <f t="shared" si="210"/>
        <v>316.67310440498488</v>
      </c>
      <c r="M34" s="501">
        <f t="shared" si="210"/>
        <v>326.04168999344807</v>
      </c>
      <c r="N34" s="501">
        <f t="shared" si="210"/>
        <v>310.72221304340275</v>
      </c>
      <c r="O34" s="619">
        <f t="shared" si="210"/>
        <v>328.83856390831539</v>
      </c>
      <c r="P34" s="500">
        <f t="shared" si="210"/>
        <v>293.79691955204277</v>
      </c>
      <c r="Q34" s="501">
        <f t="shared" si="210"/>
        <v>318.69211402896599</v>
      </c>
      <c r="R34" s="501">
        <f t="shared" si="210"/>
        <v>373.14607550139306</v>
      </c>
      <c r="S34" s="619">
        <f t="shared" si="210"/>
        <v>435.84334150367016</v>
      </c>
      <c r="T34" s="500">
        <f t="shared" si="210"/>
        <v>821.97640822624066</v>
      </c>
      <c r="U34" s="501">
        <f t="shared" si="210"/>
        <v>863.02505214641997</v>
      </c>
      <c r="V34" s="501">
        <f t="shared" si="210"/>
        <v>808.5613766316053</v>
      </c>
      <c r="W34" s="619">
        <f t="shared" si="210"/>
        <v>521.18629785167491</v>
      </c>
      <c r="X34" s="501">
        <f t="shared" si="210"/>
        <v>541.93453614631312</v>
      </c>
      <c r="Y34" s="293">
        <f t="shared" si="210"/>
        <v>665.25241791473377</v>
      </c>
      <c r="Z34" s="293">
        <f t="shared" si="210"/>
        <v>802.77968647987689</v>
      </c>
      <c r="AA34" s="501">
        <f t="shared" si="210"/>
        <v>842.4222059095955</v>
      </c>
      <c r="AB34" s="500">
        <f t="shared" si="210"/>
        <v>855.57899999999995</v>
      </c>
      <c r="AC34" s="501">
        <f t="shared" si="210"/>
        <v>896.47399999999993</v>
      </c>
      <c r="AD34" s="501">
        <f t="shared" si="210"/>
        <v>959.32700000000011</v>
      </c>
      <c r="AE34" s="619">
        <f t="shared" si="210"/>
        <v>900.51300000000003</v>
      </c>
      <c r="AF34" s="501">
        <f t="shared" si="210"/>
        <v>802.40200000000004</v>
      </c>
      <c r="AG34" s="293">
        <f t="shared" si="210"/>
        <v>897.52</v>
      </c>
      <c r="AH34" s="293">
        <f t="shared" si="210"/>
        <v>950.44679632600003</v>
      </c>
      <c r="AI34" s="501">
        <f t="shared" si="210"/>
        <v>742.70094575655844</v>
      </c>
      <c r="AJ34" s="500">
        <f t="shared" si="210"/>
        <v>796.35100000000011</v>
      </c>
      <c r="AK34" s="501">
        <f t="shared" si="210"/>
        <v>816.10400000000004</v>
      </c>
      <c r="AL34" s="383">
        <f t="shared" si="210"/>
        <v>780.88099999999986</v>
      </c>
      <c r="AM34" s="619">
        <f t="shared" si="210"/>
        <v>775.29399999999987</v>
      </c>
      <c r="AN34" s="501">
        <f>AN14+AN19+AN24+AN29</f>
        <v>734.36900000000014</v>
      </c>
      <c r="AO34" s="293">
        <f>AO14+AO19+AO24+AO29</f>
        <v>807.05600000000004</v>
      </c>
      <c r="AP34" s="293">
        <f t="shared" si="210"/>
        <v>931.226</v>
      </c>
      <c r="AQ34" s="501">
        <f>AQ14+AQ19+AQ24+AQ29</f>
        <v>931.74900000000025</v>
      </c>
      <c r="AR34" s="500">
        <f t="shared" si="210"/>
        <v>957.83000000000015</v>
      </c>
      <c r="AS34" s="501">
        <f t="shared" si="210"/>
        <v>961.54499999999996</v>
      </c>
      <c r="AT34" s="501">
        <f t="shared" si="210"/>
        <v>930.13599999999997</v>
      </c>
      <c r="AU34" s="619">
        <f t="shared" si="210"/>
        <v>857.452</v>
      </c>
      <c r="AV34" s="501">
        <v>697.24300000000005</v>
      </c>
      <c r="AW34" s="293">
        <v>677.84799999999996</v>
      </c>
      <c r="AX34" s="293">
        <v>637.06899999999996</v>
      </c>
      <c r="AY34" s="501">
        <v>590.33699999999999</v>
      </c>
      <c r="AZ34" s="500">
        <v>513.63300000000004</v>
      </c>
      <c r="BA34" s="501">
        <v>597.346</v>
      </c>
      <c r="BB34" s="501">
        <v>623.65099999999995</v>
      </c>
      <c r="BC34" s="619">
        <v>566.36199999999997</v>
      </c>
      <c r="BD34" s="500">
        <v>572.70899999999995</v>
      </c>
      <c r="BE34" s="501">
        <v>604.75</v>
      </c>
      <c r="BF34" s="501">
        <v>616.30200000000002</v>
      </c>
      <c r="BG34" s="655">
        <f t="shared" ref="BG34:BK34" si="211">BG14+BG19+BG24+BG29</f>
        <v>615.40899999999999</v>
      </c>
      <c r="BH34" s="653">
        <f t="shared" si="211"/>
        <v>600.68138999999996</v>
      </c>
      <c r="BI34" s="654">
        <f t="shared" si="211"/>
        <v>619.66605270000002</v>
      </c>
      <c r="BJ34" s="654">
        <f t="shared" si="211"/>
        <v>637.97721058349998</v>
      </c>
      <c r="BK34" s="655">
        <f t="shared" si="211"/>
        <v>632.02231666349996</v>
      </c>
      <c r="BL34" s="500">
        <f t="shared" ref="BL34:BO34" si="212">BL14+BL19+BL24+BL29</f>
        <v>597.48641668489495</v>
      </c>
      <c r="BM34" s="501">
        <f t="shared" si="212"/>
        <v>635.57319957303957</v>
      </c>
      <c r="BN34" s="501">
        <f t="shared" si="212"/>
        <v>656.9704723593793</v>
      </c>
      <c r="BO34" s="619">
        <f t="shared" si="212"/>
        <v>649.33726648683034</v>
      </c>
      <c r="BP34" s="632"/>
      <c r="BQ34" s="383">
        <f t="shared" si="210"/>
        <v>762.91333999999983</v>
      </c>
      <c r="BR34" s="383">
        <f t="shared" si="210"/>
        <v>1058.9486440000001</v>
      </c>
      <c r="BS34" s="383">
        <f t="shared" si="210"/>
        <v>1282.275571350151</v>
      </c>
      <c r="BT34" s="383">
        <f t="shared" si="210"/>
        <v>1421.4784505860719</v>
      </c>
      <c r="BU34" s="383">
        <f t="shared" si="210"/>
        <v>3014.7491348559406</v>
      </c>
      <c r="BV34" s="383">
        <f t="shared" si="210"/>
        <v>2852.3888464505189</v>
      </c>
      <c r="BW34" s="383">
        <f t="shared" si="210"/>
        <v>3611.893</v>
      </c>
      <c r="BX34" s="383">
        <f t="shared" si="210"/>
        <v>3393.0697420825586</v>
      </c>
      <c r="BY34" s="383">
        <f t="shared" si="210"/>
        <v>3168.63</v>
      </c>
      <c r="BZ34" s="383">
        <f t="shared" si="210"/>
        <v>3404.3999999999996</v>
      </c>
      <c r="CA34" s="383">
        <f t="shared" si="210"/>
        <v>3706.9630000000002</v>
      </c>
      <c r="CB34" s="383">
        <f>CB14+CB19+CB24+CB29</f>
        <v>2602.4970000000003</v>
      </c>
      <c r="CC34" s="383">
        <f>CC14+CC19+CC24+CC29</f>
        <v>2300.9920000000002</v>
      </c>
      <c r="CD34" s="383">
        <f>CD14+CD19+CD24+CD29</f>
        <v>2409.17</v>
      </c>
      <c r="CE34" s="383">
        <f>CE14+CE19+CE24+CE29</f>
        <v>2490.3469699469997</v>
      </c>
      <c r="CF34" s="593">
        <f>CF14+CF19+CF24+CF29</f>
        <v>2539.3673551041443</v>
      </c>
      <c r="CG34" s="290"/>
    </row>
    <row r="35" spans="2:85" ht="14.25">
      <c r="B35" s="282" t="s">
        <v>287</v>
      </c>
      <c r="D35" s="497"/>
      <c r="E35" s="509">
        <f t="shared" ref="E35:AE35" si="213">E34/D34-1</f>
        <v>0.10229730281144156</v>
      </c>
      <c r="F35" s="509">
        <f t="shared" si="213"/>
        <v>6.8748864225284034E-2</v>
      </c>
      <c r="G35" s="616">
        <f t="shared" si="213"/>
        <v>7.1423848253841626E-2</v>
      </c>
      <c r="H35" s="283">
        <f t="shared" si="213"/>
        <v>9.0942268101288137E-2</v>
      </c>
      <c r="I35" s="283">
        <f t="shared" si="213"/>
        <v>7.0411492173150458E-2</v>
      </c>
      <c r="J35" s="283">
        <f t="shared" si="213"/>
        <v>9.1104201775369154E-2</v>
      </c>
      <c r="K35" s="509">
        <f t="shared" si="213"/>
        <v>0.1478548257618082</v>
      </c>
      <c r="L35" s="496">
        <f t="shared" si="213"/>
        <v>2.1407053769139983E-2</v>
      </c>
      <c r="M35" s="509">
        <f t="shared" si="213"/>
        <v>2.9584405679371928E-2</v>
      </c>
      <c r="N35" s="509">
        <f t="shared" si="213"/>
        <v>-4.6986251820597458E-2</v>
      </c>
      <c r="O35" s="616">
        <f t="shared" si="213"/>
        <v>5.8304009512130106E-2</v>
      </c>
      <c r="P35" s="496">
        <f t="shared" si="213"/>
        <v>-0.10656184584859918</v>
      </c>
      <c r="Q35" s="509">
        <f t="shared" si="213"/>
        <v>8.4736063655403093E-2</v>
      </c>
      <c r="R35" s="509">
        <f t="shared" si="213"/>
        <v>0.17086698752601626</v>
      </c>
      <c r="S35" s="616">
        <f t="shared" si="213"/>
        <v>0.16802338311620013</v>
      </c>
      <c r="T35" s="496">
        <f t="shared" si="213"/>
        <v>0.88594462723785572</v>
      </c>
      <c r="U35" s="509">
        <f t="shared" si="213"/>
        <v>4.9938956288002156E-2</v>
      </c>
      <c r="V35" s="509">
        <f t="shared" si="213"/>
        <v>-6.3107873148477767E-2</v>
      </c>
      <c r="W35" s="616">
        <f t="shared" si="213"/>
        <v>-0.35541529324231314</v>
      </c>
      <c r="X35" s="283">
        <f t="shared" si="213"/>
        <v>3.9809638856896701E-2</v>
      </c>
      <c r="Y35" s="283">
        <f t="shared" si="213"/>
        <v>0.22755125119969644</v>
      </c>
      <c r="Z35" s="283">
        <f t="shared" si="213"/>
        <v>0.20672945315438174</v>
      </c>
      <c r="AA35" s="509">
        <f t="shared" si="213"/>
        <v>4.9381567692062367E-2</v>
      </c>
      <c r="AB35" s="496">
        <f t="shared" si="213"/>
        <v>1.5617814912889827E-2</v>
      </c>
      <c r="AC35" s="509">
        <f t="shared" si="213"/>
        <v>4.7798040858880286E-2</v>
      </c>
      <c r="AD35" s="509">
        <f t="shared" si="213"/>
        <v>7.011134734526614E-2</v>
      </c>
      <c r="AE35" s="616">
        <f t="shared" si="213"/>
        <v>-6.130756248912006E-2</v>
      </c>
      <c r="AF35" s="283">
        <f t="shared" ref="AF35:AU35" si="214">AF34/AE34-1</f>
        <v>-0.10895012065344978</v>
      </c>
      <c r="AG35" s="283">
        <f t="shared" si="214"/>
        <v>0.11854157890932471</v>
      </c>
      <c r="AH35" s="283">
        <f t="shared" si="214"/>
        <v>5.8970046713165303E-2</v>
      </c>
      <c r="AI35" s="509">
        <f t="shared" si="214"/>
        <v>-0.21857704331530559</v>
      </c>
      <c r="AJ35" s="496">
        <f t="shared" si="214"/>
        <v>7.2236415679787003E-2</v>
      </c>
      <c r="AK35" s="509">
        <f t="shared" si="214"/>
        <v>2.480438901941473E-2</v>
      </c>
      <c r="AL35" s="494">
        <f t="shared" si="214"/>
        <v>-4.3159940399753238E-2</v>
      </c>
      <c r="AM35" s="616">
        <f t="shared" si="214"/>
        <v>-7.1547393264786985E-3</v>
      </c>
      <c r="AN35" s="509">
        <f t="shared" si="214"/>
        <v>-5.2786426826468058E-2</v>
      </c>
      <c r="AO35" s="390">
        <f>AO34/AN34-1</f>
        <v>9.8978851231465326E-2</v>
      </c>
      <c r="AP35" s="390">
        <f t="shared" si="214"/>
        <v>0.15385549453817315</v>
      </c>
      <c r="AQ35" s="509">
        <f>AQ34/AP34-1</f>
        <v>5.6162521235481044E-4</v>
      </c>
      <c r="AR35" s="496">
        <f t="shared" si="214"/>
        <v>2.7991444047699376E-2</v>
      </c>
      <c r="AS35" s="509">
        <f t="shared" si="214"/>
        <v>3.8785588256786685E-3</v>
      </c>
      <c r="AT35" s="509">
        <f t="shared" si="214"/>
        <v>-3.2665137877062378E-2</v>
      </c>
      <c r="AU35" s="616">
        <f t="shared" si="214"/>
        <v>-7.814341128609148E-2</v>
      </c>
      <c r="AV35" s="509">
        <f t="shared" ref="AV35:BG35" si="215">AV34/AU34-1</f>
        <v>-0.18684311191763503</v>
      </c>
      <c r="AW35" s="283">
        <f t="shared" si="215"/>
        <v>-2.7816700920626047E-2</v>
      </c>
      <c r="AX35" s="283">
        <f t="shared" si="215"/>
        <v>-6.015950478573362E-2</v>
      </c>
      <c r="AY35" s="509">
        <f t="shared" si="215"/>
        <v>-7.3354691564022079E-2</v>
      </c>
      <c r="AZ35" s="496">
        <f t="shared" si="215"/>
        <v>-0.12993256394229047</v>
      </c>
      <c r="BA35" s="509">
        <f t="shared" si="215"/>
        <v>0.1629821292635012</v>
      </c>
      <c r="BB35" s="509">
        <f t="shared" si="215"/>
        <v>4.4036454584110318E-2</v>
      </c>
      <c r="BC35" s="616">
        <f t="shared" si="215"/>
        <v>-9.1860672074605798E-2</v>
      </c>
      <c r="BD35" s="496">
        <f t="shared" si="215"/>
        <v>1.1206613438048407E-2</v>
      </c>
      <c r="BE35" s="509">
        <f t="shared" si="215"/>
        <v>5.5946388130795999E-2</v>
      </c>
      <c r="BF35" s="509">
        <f t="shared" si="215"/>
        <v>1.9102108309218657E-2</v>
      </c>
      <c r="BG35" s="667">
        <f t="shared" si="215"/>
        <v>-1.4489649554926265E-3</v>
      </c>
      <c r="BH35" s="646">
        <f t="shared" ref="BH35" si="216">BH34/BG34-1</f>
        <v>-2.393141796756304E-2</v>
      </c>
      <c r="BI35" s="667">
        <f t="shared" ref="BI35" si="217">BI34/BH34-1</f>
        <v>3.1605212040945796E-2</v>
      </c>
      <c r="BJ35" s="667">
        <f t="shared" ref="BJ35" si="218">BJ34/BI34-1</f>
        <v>2.9550042000388466E-2</v>
      </c>
      <c r="BK35" s="647">
        <f t="shared" ref="BK35" si="219">BK34/BJ34-1</f>
        <v>-9.3340229419066612E-3</v>
      </c>
      <c r="BL35" s="496">
        <f t="shared" ref="BL35" si="220">BL34/BK34-1</f>
        <v>-5.4643481832924778E-2</v>
      </c>
      <c r="BM35" s="509">
        <f t="shared" ref="BM35" si="221">BM34/BL34-1</f>
        <v>6.3745018839869383E-2</v>
      </c>
      <c r="BN35" s="509">
        <f t="shared" ref="BN35" si="222">BN34/BM34-1</f>
        <v>3.3666102977145451E-2</v>
      </c>
      <c r="BO35" s="616">
        <f t="shared" ref="BO35" si="223">BO34/BN34-1</f>
        <v>-1.1618795963745265E-2</v>
      </c>
      <c r="BP35" s="618"/>
      <c r="BQ35" s="643"/>
      <c r="BR35" s="643"/>
      <c r="BS35" s="643"/>
      <c r="BT35" s="643"/>
      <c r="BU35" s="643"/>
      <c r="BV35" s="643"/>
      <c r="BW35" s="643"/>
      <c r="BX35" s="643"/>
      <c r="BY35" s="643"/>
      <c r="BZ35" s="643"/>
      <c r="CA35" s="643"/>
      <c r="CB35" s="643"/>
      <c r="CC35" s="494"/>
      <c r="CD35" s="494"/>
      <c r="CE35" s="494"/>
      <c r="CF35" s="590"/>
      <c r="CG35" s="290"/>
    </row>
    <row r="36" spans="2:85" ht="14.25">
      <c r="B36" s="265" t="s">
        <v>288</v>
      </c>
      <c r="D36" s="508"/>
      <c r="E36" s="507"/>
      <c r="F36" s="507"/>
      <c r="G36" s="623"/>
      <c r="H36" s="283">
        <f t="shared" ref="H36:AE36" si="224">H34/D34-1</f>
        <v>0.37701125020959791</v>
      </c>
      <c r="I36" s="283">
        <f t="shared" si="224"/>
        <v>0.33717887480688802</v>
      </c>
      <c r="J36" s="283">
        <f t="shared" si="224"/>
        <v>0.36514904264685089</v>
      </c>
      <c r="K36" s="509">
        <f t="shared" si="224"/>
        <v>0.46253316933360655</v>
      </c>
      <c r="L36" s="496">
        <f t="shared" si="224"/>
        <v>0.36931324343002414</v>
      </c>
      <c r="M36" s="509">
        <f t="shared" si="224"/>
        <v>0.3170855995422559</v>
      </c>
      <c r="N36" s="509">
        <f t="shared" si="224"/>
        <v>0.15039487690589537</v>
      </c>
      <c r="O36" s="616">
        <f t="shared" si="224"/>
        <v>6.0645896525907572E-2</v>
      </c>
      <c r="P36" s="496">
        <f t="shared" si="224"/>
        <v>-7.2239115146597199E-2</v>
      </c>
      <c r="Q36" s="509">
        <f t="shared" si="224"/>
        <v>-2.2541828821430077E-2</v>
      </c>
      <c r="R36" s="509">
        <f t="shared" si="224"/>
        <v>0.2008992593306187</v>
      </c>
      <c r="S36" s="616">
        <f t="shared" si="224"/>
        <v>0.3254021557678044</v>
      </c>
      <c r="T36" s="496">
        <f t="shared" si="224"/>
        <v>1.7977706828224145</v>
      </c>
      <c r="U36" s="509">
        <f t="shared" si="224"/>
        <v>1.7080213602900116</v>
      </c>
      <c r="V36" s="509">
        <f t="shared" si="224"/>
        <v>1.1668762710291101</v>
      </c>
      <c r="W36" s="616">
        <f t="shared" si="224"/>
        <v>0.19581108215068621</v>
      </c>
      <c r="X36" s="283">
        <f t="shared" si="224"/>
        <v>-0.3406933207295274</v>
      </c>
      <c r="Y36" s="283">
        <f t="shared" si="224"/>
        <v>-0.22916210107668145</v>
      </c>
      <c r="Z36" s="283">
        <f t="shared" si="224"/>
        <v>-7.1505890818263085E-3</v>
      </c>
      <c r="AA36" s="509">
        <f t="shared" si="224"/>
        <v>0.61635524452974311</v>
      </c>
      <c r="AB36" s="496">
        <f t="shared" si="224"/>
        <v>0.57874972516792722</v>
      </c>
      <c r="AC36" s="509">
        <f t="shared" si="224"/>
        <v>0.34756969814561756</v>
      </c>
      <c r="AD36" s="509">
        <f t="shared" si="224"/>
        <v>0.1950065704908035</v>
      </c>
      <c r="AE36" s="616">
        <f t="shared" si="224"/>
        <v>6.8956864720442157E-2</v>
      </c>
      <c r="AF36" s="283">
        <f t="shared" ref="AF36:AU36" si="225">AF34/AB34-1</f>
        <v>-6.2153231904943818E-2</v>
      </c>
      <c r="AG36" s="283">
        <f t="shared" si="225"/>
        <v>1.1667934597099361E-3</v>
      </c>
      <c r="AH36" s="283">
        <f t="shared" si="225"/>
        <v>-9.2567014938598202E-3</v>
      </c>
      <c r="AI36" s="509">
        <f t="shared" si="225"/>
        <v>-0.17524683624050019</v>
      </c>
      <c r="AJ36" s="496">
        <f t="shared" si="225"/>
        <v>-7.5411078237590523E-3</v>
      </c>
      <c r="AK36" s="509">
        <f t="shared" si="225"/>
        <v>-9.0712184686692177E-2</v>
      </c>
      <c r="AL36" s="494">
        <f t="shared" si="225"/>
        <v>-0.17840640526273044</v>
      </c>
      <c r="AM36" s="616">
        <f t="shared" si="225"/>
        <v>4.3884492714951762E-2</v>
      </c>
      <c r="AN36" s="509">
        <f t="shared" si="225"/>
        <v>-7.7832513552441029E-2</v>
      </c>
      <c r="AO36" s="390">
        <f>AO34/AK34-1</f>
        <v>-1.1086822267750152E-2</v>
      </c>
      <c r="AP36" s="390">
        <f>AP34/AL34-1</f>
        <v>0.19253253696786077</v>
      </c>
      <c r="AQ36" s="509">
        <f>AQ34/AM34-1</f>
        <v>0.20180086522016216</v>
      </c>
      <c r="AR36" s="496">
        <f>AR34/AN34-1</f>
        <v>0.3042898052613876</v>
      </c>
      <c r="AS36" s="509">
        <f t="shared" si="225"/>
        <v>0.19142290002180751</v>
      </c>
      <c r="AT36" s="509">
        <f t="shared" si="225"/>
        <v>-1.1704999645628655E-3</v>
      </c>
      <c r="AU36" s="616">
        <f t="shared" si="225"/>
        <v>-7.9739286009429811E-2</v>
      </c>
      <c r="AV36" s="509">
        <f t="shared" ref="AV36:BG36" si="226">AV34/AR34-1</f>
        <v>-0.27205976008268695</v>
      </c>
      <c r="AW36" s="283">
        <f t="shared" si="226"/>
        <v>-0.29504287370845883</v>
      </c>
      <c r="AX36" s="283">
        <f t="shared" si="226"/>
        <v>-0.31507973027600267</v>
      </c>
      <c r="AY36" s="509">
        <f t="shared" si="226"/>
        <v>-0.31152181113345123</v>
      </c>
      <c r="AZ36" s="496">
        <f t="shared" si="226"/>
        <v>-0.26333717226275488</v>
      </c>
      <c r="BA36" s="509">
        <f t="shared" si="226"/>
        <v>-0.11876113819027267</v>
      </c>
      <c r="BB36" s="509">
        <f t="shared" si="226"/>
        <v>-2.1062082757126843E-2</v>
      </c>
      <c r="BC36" s="616">
        <f t="shared" si="226"/>
        <v>-4.0612395970437309E-2</v>
      </c>
      <c r="BD36" s="496">
        <f t="shared" si="226"/>
        <v>0.11501597444089429</v>
      </c>
      <c r="BE36" s="509">
        <f t="shared" si="226"/>
        <v>1.2394826448992813E-2</v>
      </c>
      <c r="BF36" s="509">
        <f t="shared" si="226"/>
        <v>-1.1783834227797163E-2</v>
      </c>
      <c r="BG36" s="667">
        <f t="shared" si="226"/>
        <v>8.6600089695283211E-2</v>
      </c>
      <c r="BH36" s="646">
        <f t="shared" ref="BH36" si="227">BH34/BD34-1</f>
        <v>4.8842239252395281E-2</v>
      </c>
      <c r="BI36" s="667">
        <f t="shared" ref="BI36" si="228">BI34/BE34-1</f>
        <v>2.4664824638280347E-2</v>
      </c>
      <c r="BJ36" s="667">
        <f t="shared" ref="BJ36" si="229">BJ34/BF34-1</f>
        <v>3.5169787836969446E-2</v>
      </c>
      <c r="BK36" s="647">
        <f t="shared" ref="BK36" si="230">BK34/BG34-1</f>
        <v>2.6995569878730974E-2</v>
      </c>
      <c r="BL36" s="496">
        <f t="shared" ref="BL36" si="231">BL34/BH34-1</f>
        <v>-5.3189150992425382E-3</v>
      </c>
      <c r="BM36" s="509">
        <f t="shared" ref="BM36" si="232">BM34/BI34-1</f>
        <v>2.5670515277913308E-2</v>
      </c>
      <c r="BN36" s="509">
        <f t="shared" ref="BN36" si="233">BN34/BJ34-1</f>
        <v>2.9771066208631236E-2</v>
      </c>
      <c r="BO36" s="616">
        <f t="shared" ref="BO36" si="234">BO34/BK34-1</f>
        <v>2.7396105116568537E-2</v>
      </c>
      <c r="BP36" s="618"/>
      <c r="BQ36" s="643"/>
      <c r="BR36" s="643">
        <f t="shared" ref="BR36:BW36" si="235">BR34/BQ34-1</f>
        <v>0.38803267485138004</v>
      </c>
      <c r="BS36" s="643">
        <f t="shared" si="235"/>
        <v>0.21089495568602001</v>
      </c>
      <c r="BT36" s="643">
        <f t="shared" si="235"/>
        <v>0.10855925383445419</v>
      </c>
      <c r="BU36" s="643">
        <f t="shared" si="235"/>
        <v>1.1208546169750004</v>
      </c>
      <c r="BV36" s="643">
        <f t="shared" si="235"/>
        <v>-5.3855322994621257E-2</v>
      </c>
      <c r="BW36" s="643">
        <f t="shared" si="235"/>
        <v>0.2662695005607667</v>
      </c>
      <c r="BX36" s="643">
        <f t="shared" ref="BX36:CF36" si="236">BX34/BW34-1</f>
        <v>-6.0584092030810832E-2</v>
      </c>
      <c r="BY36" s="643">
        <f t="shared" si="236"/>
        <v>-6.6146516029111924E-2</v>
      </c>
      <c r="BZ36" s="643">
        <f t="shared" si="236"/>
        <v>7.4407551528578475E-2</v>
      </c>
      <c r="CA36" s="643">
        <f t="shared" si="236"/>
        <v>8.8874104100575835E-2</v>
      </c>
      <c r="CB36" s="643">
        <f t="shared" si="236"/>
        <v>-0.2979436266291301</v>
      </c>
      <c r="CC36" s="494">
        <f t="shared" si="236"/>
        <v>-0.11585219886900933</v>
      </c>
      <c r="CD36" s="494">
        <f t="shared" si="236"/>
        <v>4.7013635857925618E-2</v>
      </c>
      <c r="CE36" s="494">
        <f t="shared" si="236"/>
        <v>3.3694994519689159E-2</v>
      </c>
      <c r="CF36" s="590">
        <f t="shared" si="236"/>
        <v>1.9684158773340732E-2</v>
      </c>
      <c r="CG36" s="290"/>
    </row>
    <row r="37" spans="2:85" ht="14.25">
      <c r="B37" s="266"/>
      <c r="D37" s="508"/>
      <c r="E37" s="507"/>
      <c r="F37" s="507"/>
      <c r="G37" s="623"/>
      <c r="H37" s="291"/>
      <c r="I37" s="291"/>
      <c r="J37" s="291"/>
      <c r="K37" s="498"/>
      <c r="L37" s="497"/>
      <c r="M37" s="498"/>
      <c r="N37" s="498"/>
      <c r="O37" s="615"/>
      <c r="P37" s="497"/>
      <c r="Q37" s="498"/>
      <c r="R37" s="498"/>
      <c r="S37" s="615"/>
      <c r="T37" s="497"/>
      <c r="U37" s="498"/>
      <c r="V37" s="498"/>
      <c r="W37" s="615"/>
      <c r="X37" s="291"/>
      <c r="Y37" s="291"/>
      <c r="Z37" s="291"/>
      <c r="AA37" s="498"/>
      <c r="AB37" s="497"/>
      <c r="AC37" s="498"/>
      <c r="AD37" s="498"/>
      <c r="AE37" s="615"/>
      <c r="AF37" s="291"/>
      <c r="AG37" s="291"/>
      <c r="AH37" s="291"/>
      <c r="AI37" s="498"/>
      <c r="AJ37" s="497"/>
      <c r="AK37" s="498"/>
      <c r="AL37" s="506"/>
      <c r="AM37" s="615"/>
      <c r="AN37" s="498"/>
      <c r="AO37" s="285"/>
      <c r="AP37" s="285"/>
      <c r="AQ37" s="498"/>
      <c r="AR37" s="497"/>
      <c r="AS37" s="498"/>
      <c r="AT37" s="498"/>
      <c r="AU37" s="615"/>
      <c r="AV37" s="498"/>
      <c r="AW37" s="291"/>
      <c r="AX37" s="291"/>
      <c r="AY37" s="498"/>
      <c r="AZ37" s="497"/>
      <c r="BA37" s="498"/>
      <c r="BB37" s="498"/>
      <c r="BC37" s="615"/>
      <c r="BD37" s="497"/>
      <c r="BE37" s="498"/>
      <c r="BF37" s="498"/>
      <c r="BG37" s="649"/>
      <c r="BH37" s="648"/>
      <c r="BI37" s="649"/>
      <c r="BJ37" s="649"/>
      <c r="BK37" s="650"/>
      <c r="BL37" s="497"/>
      <c r="BM37" s="498"/>
      <c r="BN37" s="498"/>
      <c r="BO37" s="615"/>
      <c r="BP37" s="618"/>
      <c r="BQ37" s="272"/>
      <c r="BR37" s="272"/>
      <c r="BS37" s="272"/>
      <c r="BT37" s="272"/>
      <c r="BU37" s="272"/>
      <c r="BV37" s="272"/>
      <c r="BW37" s="272"/>
      <c r="BX37" s="272"/>
      <c r="BY37" s="272"/>
      <c r="BZ37" s="272"/>
      <c r="CA37" s="272"/>
      <c r="CB37" s="272"/>
      <c r="CC37" s="272"/>
      <c r="CD37" s="272"/>
      <c r="CE37" s="272"/>
      <c r="CF37" s="591"/>
      <c r="CG37" s="290"/>
    </row>
    <row r="38" spans="2:85" ht="15">
      <c r="B38" s="294" t="s">
        <v>291</v>
      </c>
      <c r="C38" s="295"/>
      <c r="D38" s="503">
        <f>IS!D12</f>
        <v>269.577</v>
      </c>
      <c r="E38" s="504">
        <f>IS!E12</f>
        <v>297.154</v>
      </c>
      <c r="F38" s="504">
        <f>IS!F12</f>
        <v>317.58300000000003</v>
      </c>
      <c r="G38" s="505">
        <f>IS!G12</f>
        <v>340.26599999999985</v>
      </c>
      <c r="H38" s="504">
        <f>IS!H12</f>
        <v>364.77</v>
      </c>
      <c r="I38" s="296">
        <f>IS!I12</f>
        <v>390.45400000000001</v>
      </c>
      <c r="J38" s="296">
        <f>IS!J12</f>
        <v>426.02600000000001</v>
      </c>
      <c r="K38" s="296">
        <f>IS!K12</f>
        <v>489.01600000000008</v>
      </c>
      <c r="L38" s="503">
        <f>IS!L12</f>
        <v>521.19600000000003</v>
      </c>
      <c r="M38" s="504">
        <f>IS!M12</f>
        <v>573.98500000000001</v>
      </c>
      <c r="N38" s="504">
        <f>IS!N12</f>
        <v>520.39800000000002</v>
      </c>
      <c r="O38" s="505">
        <f>IS!O12</f>
        <v>621.97399999999959</v>
      </c>
      <c r="P38" s="503">
        <f>IS!P12</f>
        <v>635.04999999999995</v>
      </c>
      <c r="Q38" s="504">
        <f>IS!Q12</f>
        <v>656.71100000000001</v>
      </c>
      <c r="R38" s="504">
        <f>IS!R12</f>
        <v>758.24599999999998</v>
      </c>
      <c r="S38" s="505">
        <f>IS!S12</f>
        <v>844.68600000000015</v>
      </c>
      <c r="T38" s="503">
        <f>IS!T12</f>
        <v>804.07500000000005</v>
      </c>
      <c r="U38" s="504">
        <f>IS!U12</f>
        <v>842.57500000000005</v>
      </c>
      <c r="V38" s="504">
        <f>IS!V12</f>
        <v>791.04600000000005</v>
      </c>
      <c r="W38" s="505">
        <f>IS!W12</f>
        <v>512.86699999999973</v>
      </c>
      <c r="X38" s="504">
        <f>IS!X12</f>
        <v>521.43399999999997</v>
      </c>
      <c r="Y38" s="296">
        <f>IS!Y12</f>
        <v>640.62</v>
      </c>
      <c r="Z38" s="296">
        <f>IS!Z12</f>
        <v>803.09799999999996</v>
      </c>
      <c r="AA38" s="296">
        <f>IS!AA12</f>
        <v>842.53499999999997</v>
      </c>
      <c r="AB38" s="503">
        <f>IS!AB12</f>
        <v>855.57899999999995</v>
      </c>
      <c r="AC38" s="504">
        <f>IS!AC12</f>
        <v>896.47400000000005</v>
      </c>
      <c r="AD38" s="504">
        <f>IS!AD12</f>
        <v>959.327</v>
      </c>
      <c r="AE38" s="505">
        <f>IS!AE12</f>
        <v>900.51300000000003</v>
      </c>
      <c r="AF38" s="504">
        <f>IS!AF12</f>
        <v>802.40200000000004</v>
      </c>
      <c r="AG38" s="296">
        <f>IS!AG12</f>
        <v>897.52</v>
      </c>
      <c r="AH38" s="296">
        <f>IS!AH12</f>
        <v>950.41700000000003</v>
      </c>
      <c r="AI38" s="296">
        <f>IS!AI12</f>
        <v>742.70100000000002</v>
      </c>
      <c r="AJ38" s="503">
        <f>IS!AJ12</f>
        <v>796.351</v>
      </c>
      <c r="AK38" s="504">
        <f>IS!AK12</f>
        <v>816.10400000000004</v>
      </c>
      <c r="AL38" s="504">
        <f>IS!AL12</f>
        <v>780.88099999999997</v>
      </c>
      <c r="AM38" s="505">
        <f>IS!AM12</f>
        <v>775.29399999999998</v>
      </c>
      <c r="AN38" s="504">
        <f>IS!AN12</f>
        <v>734.36900000000003</v>
      </c>
      <c r="AO38" s="296">
        <f>IS!AO12</f>
        <v>807.05600000000004</v>
      </c>
      <c r="AP38" s="296">
        <f>IS!AP12</f>
        <v>931.226</v>
      </c>
      <c r="AQ38" s="504">
        <f>IS!AQ12</f>
        <v>931.74900000000002</v>
      </c>
      <c r="AR38" s="503">
        <f>IS!AR12</f>
        <v>957.83</v>
      </c>
      <c r="AS38" s="504">
        <f>IS!AS12</f>
        <v>961.54499999999996</v>
      </c>
      <c r="AT38" s="504">
        <f>IS!AT12</f>
        <v>930.13599999999997</v>
      </c>
      <c r="AU38" s="505">
        <f>IS!AU12</f>
        <v>857.452</v>
      </c>
      <c r="AV38" s="504">
        <f>IS!AV12</f>
        <v>724.28800000000001</v>
      </c>
      <c r="AW38" s="296">
        <f>IS!AW12</f>
        <v>710.49199999999996</v>
      </c>
      <c r="AX38" s="296">
        <f>IS!AX12</f>
        <v>674.89</v>
      </c>
      <c r="AY38" s="296">
        <f>IS!AY12</f>
        <v>616.15800000000002</v>
      </c>
      <c r="AZ38" s="503">
        <f>IS!AZ12</f>
        <v>540.822</v>
      </c>
      <c r="BA38" s="504">
        <f>IS!BA12</f>
        <v>626.404</v>
      </c>
      <c r="BB38" s="504">
        <f>IS!BB12</f>
        <v>654.42200000000003</v>
      </c>
      <c r="BC38" s="505">
        <f>IS!BC12</f>
        <v>571.4</v>
      </c>
      <c r="BD38" s="503">
        <f>IS!BD12</f>
        <v>579.17999999999995</v>
      </c>
      <c r="BE38" s="504">
        <f>IS!BE12</f>
        <v>604.75</v>
      </c>
      <c r="BF38" s="504">
        <f>IS!BF12</f>
        <v>616.30200000000002</v>
      </c>
      <c r="BG38" s="657">
        <f>IS!BG12</f>
        <v>615.40899999999999</v>
      </c>
      <c r="BH38" s="656">
        <f>IS!BH12</f>
        <v>600.68138999999996</v>
      </c>
      <c r="BI38" s="657">
        <f>IS!BI12</f>
        <v>619.66605270000002</v>
      </c>
      <c r="BJ38" s="657">
        <f>IS!BJ12</f>
        <v>637.97721058349998</v>
      </c>
      <c r="BK38" s="658">
        <f>IS!BK12</f>
        <v>632.02231666349996</v>
      </c>
      <c r="BL38" s="503">
        <f>IS!BL12</f>
        <v>597.48641668489495</v>
      </c>
      <c r="BM38" s="504">
        <f>IS!BM12</f>
        <v>635.57319957303957</v>
      </c>
      <c r="BN38" s="504">
        <f>IS!BN12</f>
        <v>656.9704723593793</v>
      </c>
      <c r="BO38" s="505">
        <f>IS!BO12</f>
        <v>649.33726648683034</v>
      </c>
      <c r="BP38" s="633"/>
      <c r="BQ38" s="438">
        <f>IS!BQ10</f>
        <v>1224.58</v>
      </c>
      <c r="BR38" s="438">
        <f>IS!BR10</f>
        <v>1670.2660000000001</v>
      </c>
      <c r="BS38" s="438">
        <f>IS!BS10</f>
        <v>2237.5529999999999</v>
      </c>
      <c r="BT38" s="438">
        <f>IS!BT10</f>
        <v>2894.6930000000002</v>
      </c>
      <c r="BU38" s="438">
        <f>IS!BU10</f>
        <v>2950.5629999999996</v>
      </c>
      <c r="BV38" s="438">
        <f>IS!BV10</f>
        <v>2807.6869999999999</v>
      </c>
      <c r="BW38" s="438">
        <f>IS!BW10</f>
        <v>3611.893</v>
      </c>
      <c r="BX38" s="438">
        <f>IS!BX10</f>
        <v>3393.04</v>
      </c>
      <c r="BY38" s="438">
        <f>IS!BY10</f>
        <v>3168.6299999999997</v>
      </c>
      <c r="BZ38" s="438">
        <f>IS!BZ10</f>
        <v>3404.4000000000005</v>
      </c>
      <c r="CA38" s="438">
        <f>IS!CA10</f>
        <v>3706.9629999999997</v>
      </c>
      <c r="CB38" s="438">
        <f>IS!CB10</f>
        <v>2725.828</v>
      </c>
      <c r="CC38" s="438">
        <f>IS!CC10</f>
        <v>2393.0480000000002</v>
      </c>
      <c r="CD38" s="438">
        <f>IS!CD10</f>
        <v>2415.6410000000001</v>
      </c>
      <c r="CE38" s="438">
        <f>IS!CE10</f>
        <v>2490.3469699470002</v>
      </c>
      <c r="CF38" s="594">
        <f>IS!CF10</f>
        <v>2539.3673551041443</v>
      </c>
      <c r="CG38" s="290"/>
    </row>
    <row r="39" spans="2:85" ht="15">
      <c r="B39" s="264"/>
      <c r="AZ39" s="292"/>
      <c r="BA39" s="293"/>
      <c r="BB39" s="293"/>
      <c r="BD39" s="292"/>
      <c r="BE39" s="293"/>
      <c r="BF39" s="501"/>
      <c r="BG39" s="501"/>
      <c r="BH39" s="653"/>
      <c r="BI39" s="654"/>
      <c r="BJ39" s="654"/>
      <c r="BK39" s="655"/>
      <c r="BL39" s="500"/>
      <c r="BM39" s="501"/>
      <c r="BN39" s="501"/>
      <c r="BO39" s="502"/>
      <c r="BQ39" s="272"/>
      <c r="BR39" s="272"/>
      <c r="BS39" s="272"/>
      <c r="BT39" s="272"/>
      <c r="BU39" s="272"/>
      <c r="BV39" s="272"/>
      <c r="BW39" s="272"/>
      <c r="BX39" s="272"/>
      <c r="BY39" s="272"/>
      <c r="BZ39" s="272"/>
      <c r="CA39" s="272"/>
      <c r="CB39" s="272"/>
      <c r="CC39" s="272"/>
      <c r="CD39" s="272"/>
      <c r="CE39" s="272"/>
      <c r="CF39" s="272"/>
    </row>
    <row r="40" spans="2:85" ht="15">
      <c r="B40" s="297" t="s">
        <v>292</v>
      </c>
      <c r="C40" s="298"/>
      <c r="D40" s="299">
        <f t="shared" ref="D40:AE40" si="237">IF(ABS(D34-D38)&lt;1,"OK",D34-D38)</f>
        <v>-101.630529</v>
      </c>
      <c r="E40" s="300">
        <f t="shared" si="237"/>
        <v>-112.02705800000001</v>
      </c>
      <c r="F40" s="300">
        <f t="shared" si="237"/>
        <v>-119.728791</v>
      </c>
      <c r="G40" s="300">
        <f t="shared" si="237"/>
        <v>-128.28028199999994</v>
      </c>
      <c r="H40" s="299">
        <f t="shared" si="237"/>
        <v>-133.50582</v>
      </c>
      <c r="I40" s="300">
        <f t="shared" si="237"/>
        <v>-142.90616399999999</v>
      </c>
      <c r="J40" s="300">
        <f t="shared" si="237"/>
        <v>-155.92551600000002</v>
      </c>
      <c r="K40" s="301">
        <f t="shared" si="237"/>
        <v>-178.97985600000004</v>
      </c>
      <c r="L40" s="299">
        <f t="shared" si="237"/>
        <v>-204.52289559501514</v>
      </c>
      <c r="M40" s="300">
        <f t="shared" si="237"/>
        <v>-247.94331000655194</v>
      </c>
      <c r="N40" s="300">
        <f t="shared" si="237"/>
        <v>-209.67578695659728</v>
      </c>
      <c r="O40" s="300">
        <f t="shared" si="237"/>
        <v>-293.1354360916842</v>
      </c>
      <c r="P40" s="299">
        <f t="shared" si="237"/>
        <v>-341.25308044795719</v>
      </c>
      <c r="Q40" s="300">
        <f t="shared" si="237"/>
        <v>-338.01888597103402</v>
      </c>
      <c r="R40" s="300">
        <f t="shared" si="237"/>
        <v>-385.09992449860692</v>
      </c>
      <c r="S40" s="300">
        <f t="shared" si="237"/>
        <v>-408.84265849632999</v>
      </c>
      <c r="T40" s="299">
        <f t="shared" si="237"/>
        <v>17.901408226240619</v>
      </c>
      <c r="U40" s="300">
        <f t="shared" si="237"/>
        <v>20.450052146419921</v>
      </c>
      <c r="V40" s="300">
        <f t="shared" si="237"/>
        <v>17.51537663160525</v>
      </c>
      <c r="W40" s="300">
        <f t="shared" si="237"/>
        <v>8.3192978516751737</v>
      </c>
      <c r="X40" s="299">
        <f t="shared" si="237"/>
        <v>20.500536146313152</v>
      </c>
      <c r="Y40" s="300">
        <f t="shared" si="237"/>
        <v>24.632417914733765</v>
      </c>
      <c r="Z40" s="300" t="str">
        <f t="shared" si="237"/>
        <v>OK</v>
      </c>
      <c r="AA40" s="300" t="str">
        <f t="shared" si="237"/>
        <v>OK</v>
      </c>
      <c r="AB40" s="299" t="str">
        <f t="shared" si="237"/>
        <v>OK</v>
      </c>
      <c r="AC40" s="300" t="str">
        <f t="shared" si="237"/>
        <v>OK</v>
      </c>
      <c r="AD40" s="300" t="str">
        <f t="shared" si="237"/>
        <v>OK</v>
      </c>
      <c r="AE40" s="301" t="str">
        <f t="shared" si="237"/>
        <v>OK</v>
      </c>
      <c r="AF40" s="299" t="str">
        <f t="shared" ref="AF40:AU40" si="238">IF(ABS(AF34-AF38)&lt;1,"OK",AF34-AF38)</f>
        <v>OK</v>
      </c>
      <c r="AG40" s="300" t="str">
        <f t="shared" si="238"/>
        <v>OK</v>
      </c>
      <c r="AH40" s="300" t="str">
        <f t="shared" si="238"/>
        <v>OK</v>
      </c>
      <c r="AI40" s="301" t="str">
        <f t="shared" si="238"/>
        <v>OK</v>
      </c>
      <c r="AJ40" s="299" t="str">
        <f t="shared" si="238"/>
        <v>OK</v>
      </c>
      <c r="AK40" s="300" t="str">
        <f t="shared" si="238"/>
        <v>OK</v>
      </c>
      <c r="AL40" s="300" t="str">
        <f t="shared" si="238"/>
        <v>OK</v>
      </c>
      <c r="AM40" s="301" t="str">
        <f t="shared" si="238"/>
        <v>OK</v>
      </c>
      <c r="AN40" s="299" t="str">
        <f t="shared" si="238"/>
        <v>OK</v>
      </c>
      <c r="AO40" s="300" t="str">
        <f t="shared" si="238"/>
        <v>OK</v>
      </c>
      <c r="AP40" s="300" t="str">
        <f t="shared" si="238"/>
        <v>OK</v>
      </c>
      <c r="AQ40" s="300" t="str">
        <f t="shared" si="238"/>
        <v>OK</v>
      </c>
      <c r="AR40" s="299" t="str">
        <f t="shared" si="238"/>
        <v>OK</v>
      </c>
      <c r="AS40" s="300" t="str">
        <f t="shared" si="238"/>
        <v>OK</v>
      </c>
      <c r="AT40" s="300" t="str">
        <f t="shared" si="238"/>
        <v>OK</v>
      </c>
      <c r="AU40" s="301" t="str">
        <f t="shared" si="238"/>
        <v>OK</v>
      </c>
      <c r="AV40" s="299">
        <f t="shared" ref="AV40:BB40" si="239">IF(ABS(AV34-AV38)&lt;1,"OK",AV34-AV38)</f>
        <v>-27.044999999999959</v>
      </c>
      <c r="AW40" s="300">
        <f t="shared" si="239"/>
        <v>-32.644000000000005</v>
      </c>
      <c r="AX40" s="300">
        <f t="shared" si="239"/>
        <v>-37.821000000000026</v>
      </c>
      <c r="AY40" s="301">
        <f t="shared" si="239"/>
        <v>-25.821000000000026</v>
      </c>
      <c r="AZ40" s="299">
        <f t="shared" si="239"/>
        <v>-27.188999999999965</v>
      </c>
      <c r="BA40" s="300">
        <f t="shared" si="239"/>
        <v>-29.057999999999993</v>
      </c>
      <c r="BB40" s="300">
        <f t="shared" si="239"/>
        <v>-30.771000000000072</v>
      </c>
      <c r="BC40" s="301">
        <f t="shared" ref="BC40" si="240">IF(ABS(BC34-BC38)&lt;1,"OK",BC34-BC38)</f>
        <v>-5.0380000000000109</v>
      </c>
      <c r="BD40" s="299">
        <f t="shared" ref="BD40:BG40" si="241">IF(ABS(BD34-BD38)&lt;1,"OK",BD34-BD38)</f>
        <v>-6.4710000000000036</v>
      </c>
      <c r="BE40" s="300" t="str">
        <f t="shared" si="241"/>
        <v>OK</v>
      </c>
      <c r="BF40" s="300" t="str">
        <f t="shared" ref="BF40" si="242">IF(ABS(BF34-BF38)&lt;1,"OK",BF34-BF38)</f>
        <v>OK</v>
      </c>
      <c r="BG40" s="300" t="str">
        <f t="shared" si="241"/>
        <v>OK</v>
      </c>
      <c r="BH40" s="659" t="str">
        <f t="shared" ref="BH40:BK40" si="243">IF(ABS(BH34-BH38)&lt;1,"OK",BH34-BH38)</f>
        <v>OK</v>
      </c>
      <c r="BI40" s="660" t="str">
        <f t="shared" si="243"/>
        <v>OK</v>
      </c>
      <c r="BJ40" s="660" t="str">
        <f t="shared" si="243"/>
        <v>OK</v>
      </c>
      <c r="BK40" s="661" t="str">
        <f t="shared" si="243"/>
        <v>OK</v>
      </c>
      <c r="BL40" s="299" t="str">
        <f t="shared" ref="BL40:BO40" si="244">IF(ABS(BL34-BL38)&lt;1,"OK",BL34-BL38)</f>
        <v>OK</v>
      </c>
      <c r="BM40" s="300" t="str">
        <f t="shared" si="244"/>
        <v>OK</v>
      </c>
      <c r="BN40" s="300" t="str">
        <f t="shared" si="244"/>
        <v>OK</v>
      </c>
      <c r="BO40" s="301" t="str">
        <f t="shared" si="244"/>
        <v>OK</v>
      </c>
      <c r="BP40" s="281"/>
      <c r="BQ40" s="439">
        <f t="shared" ref="BQ40:CB40" si="245">IF(ABS(BQ34-BQ38)&lt;1,"OK",BQ34-BQ38)</f>
        <v>-461.66666000000009</v>
      </c>
      <c r="BR40" s="439">
        <f t="shared" si="245"/>
        <v>-611.31735600000002</v>
      </c>
      <c r="BS40" s="439">
        <f t="shared" si="245"/>
        <v>-955.27742864984884</v>
      </c>
      <c r="BT40" s="439">
        <f t="shared" si="245"/>
        <v>-1473.2145494139284</v>
      </c>
      <c r="BU40" s="439">
        <f t="shared" si="245"/>
        <v>64.186134855940963</v>
      </c>
      <c r="BV40" s="439">
        <f t="shared" si="245"/>
        <v>44.701846450519042</v>
      </c>
      <c r="BW40" s="439" t="str">
        <f t="shared" si="245"/>
        <v>OK</v>
      </c>
      <c r="BX40" s="439" t="str">
        <f t="shared" si="245"/>
        <v>OK</v>
      </c>
      <c r="BY40" s="439" t="str">
        <f t="shared" si="245"/>
        <v>OK</v>
      </c>
      <c r="BZ40" s="439" t="str">
        <f t="shared" si="245"/>
        <v>OK</v>
      </c>
      <c r="CA40" s="439" t="str">
        <f t="shared" si="245"/>
        <v>OK</v>
      </c>
      <c r="CB40" s="439">
        <f t="shared" si="245"/>
        <v>-123.33099999999968</v>
      </c>
      <c r="CC40" s="439">
        <f>IF(ABS(CC34-CC38)&lt;1,"OK",CC34-CC38)</f>
        <v>-92.05600000000004</v>
      </c>
      <c r="CD40" s="439">
        <f>IF(ABS(CD34-CD38)&lt;1,"OK",CD34-CD38)</f>
        <v>-6.4710000000000036</v>
      </c>
      <c r="CE40" s="439" t="str">
        <f>IF(ABS(CE34-CE38)&lt;1,"OK",CE34-CE38)</f>
        <v>OK</v>
      </c>
      <c r="CF40" s="595" t="str">
        <f>IF(ABS(CF34-CF38)&lt;1,"OK",CF34-CF38)</f>
        <v>OK</v>
      </c>
      <c r="CG40" s="290"/>
    </row>
    <row r="41" spans="2:85" ht="15">
      <c r="B41" s="302"/>
      <c r="C41" s="286"/>
      <c r="D41" s="303"/>
      <c r="E41" s="303"/>
      <c r="F41" s="303"/>
      <c r="G41" s="303"/>
      <c r="H41" s="303"/>
      <c r="I41" s="303"/>
      <c r="J41" s="303"/>
      <c r="K41" s="303"/>
      <c r="L41" s="303"/>
      <c r="M41" s="303"/>
      <c r="N41" s="303"/>
      <c r="O41" s="303"/>
      <c r="P41" s="303"/>
      <c r="Q41" s="303"/>
      <c r="R41" s="303"/>
      <c r="S41" s="303"/>
      <c r="T41" s="303"/>
      <c r="U41" s="303"/>
      <c r="V41" s="303"/>
      <c r="W41" s="303"/>
      <c r="X41" s="303"/>
      <c r="Y41" s="303"/>
      <c r="Z41" s="303"/>
      <c r="AA41" s="303"/>
      <c r="AB41" s="303"/>
      <c r="AC41" s="303"/>
      <c r="AD41" s="303"/>
      <c r="AE41" s="303"/>
      <c r="AF41" s="303"/>
      <c r="AG41" s="303"/>
      <c r="AH41" s="303"/>
      <c r="AI41" s="303"/>
      <c r="AJ41" s="303"/>
      <c r="AK41" s="303"/>
      <c r="AL41" s="303"/>
      <c r="AM41" s="303"/>
      <c r="AN41" s="303"/>
      <c r="AO41" s="303"/>
      <c r="AP41" s="303"/>
      <c r="AQ41" s="303"/>
      <c r="AR41" s="303"/>
      <c r="AS41" s="303"/>
      <c r="AT41" s="303"/>
      <c r="AU41" s="303"/>
      <c r="AV41" s="303"/>
      <c r="AW41" s="303"/>
      <c r="AX41" s="303"/>
      <c r="AY41" s="303"/>
      <c r="AZ41" s="303"/>
      <c r="BA41" s="303"/>
      <c r="BB41" s="303"/>
      <c r="BC41" s="303"/>
      <c r="BD41" s="303"/>
      <c r="BE41" s="303"/>
      <c r="BF41" s="303"/>
      <c r="BG41" s="303"/>
      <c r="BH41" s="303"/>
      <c r="BI41" s="303"/>
      <c r="BJ41" s="303"/>
      <c r="BK41" s="303"/>
      <c r="BL41" s="303"/>
      <c r="BM41" s="303"/>
      <c r="BN41" s="303"/>
      <c r="BO41" s="303"/>
      <c r="BQ41" s="303"/>
      <c r="BR41" s="303"/>
      <c r="BS41" s="303"/>
      <c r="BT41" s="303"/>
      <c r="BU41" s="303"/>
      <c r="BV41" s="303"/>
      <c r="BW41" s="303"/>
      <c r="BX41" s="303"/>
      <c r="BY41" s="303"/>
      <c r="BZ41" s="303"/>
      <c r="CA41" s="303"/>
      <c r="CB41" s="303"/>
      <c r="CC41" s="303"/>
      <c r="CD41" s="303"/>
      <c r="CE41" s="303"/>
      <c r="CF41" s="303"/>
    </row>
    <row r="42" spans="2:85" ht="15">
      <c r="B42" s="302" t="s">
        <v>293</v>
      </c>
      <c r="C42" s="286"/>
      <c r="D42" s="304">
        <f>IF(ROUND(SUM(D32,D27,D22,D17),1)=1,"OK",SUM(D32,D27,D22,D17))</f>
        <v>0.623</v>
      </c>
      <c r="E42" s="304">
        <f t="shared" ref="E42:CB42" si="246">IF(ROUND(SUM(E32,E27,E22,E17),1)=1,"OK",SUM(E32,E27,E22,E17))</f>
        <v>0.623</v>
      </c>
      <c r="F42" s="304">
        <f t="shared" si="246"/>
        <v>0.623</v>
      </c>
      <c r="G42" s="304">
        <f t="shared" si="246"/>
        <v>0.623</v>
      </c>
      <c r="H42" s="304">
        <f>IF(ROUND(SUM(H32,H27,H22,H17),1)=1,"OK",SUM(H32,H27,H22,H17))</f>
        <v>0.63400000000000001</v>
      </c>
      <c r="I42" s="304">
        <f t="shared" si="246"/>
        <v>0.63400000000000001</v>
      </c>
      <c r="J42" s="304">
        <f t="shared" si="246"/>
        <v>0.63400000000000001</v>
      </c>
      <c r="K42" s="304">
        <f t="shared" si="246"/>
        <v>0.63400000000000001</v>
      </c>
      <c r="L42" s="304">
        <f t="shared" si="246"/>
        <v>0.60758928388741451</v>
      </c>
      <c r="M42" s="304">
        <f t="shared" si="246"/>
        <v>0.56803172555632653</v>
      </c>
      <c r="N42" s="304">
        <f t="shared" si="246"/>
        <v>0.59708571716917191</v>
      </c>
      <c r="O42" s="304">
        <f t="shared" si="246"/>
        <v>0.52870146325781398</v>
      </c>
      <c r="P42" s="304">
        <f t="shared" si="246"/>
        <v>0.46263588623264751</v>
      </c>
      <c r="Q42" s="304">
        <f t="shared" si="246"/>
        <v>0.48528517723772857</v>
      </c>
      <c r="R42" s="304">
        <f t="shared" si="246"/>
        <v>0.4921174335260497</v>
      </c>
      <c r="S42" s="304">
        <f t="shared" si="246"/>
        <v>0.51598267463136605</v>
      </c>
      <c r="T42" s="304" t="str">
        <f t="shared" si="246"/>
        <v>OK</v>
      </c>
      <c r="U42" s="304" t="str">
        <f t="shared" si="246"/>
        <v>OK</v>
      </c>
      <c r="V42" s="304" t="str">
        <f t="shared" si="246"/>
        <v>OK</v>
      </c>
      <c r="W42" s="304" t="str">
        <f t="shared" si="246"/>
        <v>OK</v>
      </c>
      <c r="X42" s="304" t="str">
        <f t="shared" si="246"/>
        <v>OK</v>
      </c>
      <c r="Y42" s="304" t="str">
        <f t="shared" si="246"/>
        <v>OK</v>
      </c>
      <c r="Z42" s="304" t="str">
        <f t="shared" si="246"/>
        <v>OK</v>
      </c>
      <c r="AA42" s="304" t="str">
        <f t="shared" si="246"/>
        <v>OK</v>
      </c>
      <c r="AB42" s="304" t="str">
        <f t="shared" si="246"/>
        <v>OK</v>
      </c>
      <c r="AC42" s="304" t="str">
        <f t="shared" si="246"/>
        <v>OK</v>
      </c>
      <c r="AD42" s="304" t="str">
        <f t="shared" si="246"/>
        <v>OK</v>
      </c>
      <c r="AE42" s="304" t="str">
        <f>IF(ROUND(SUM(AE32,AE27,AE22,AE17),1)=1,"OK",SUM(AE32,AE27,AE22,AE17))</f>
        <v>OK</v>
      </c>
      <c r="AF42" s="304" t="str">
        <f t="shared" si="246"/>
        <v>OK</v>
      </c>
      <c r="AG42" s="304" t="str">
        <f t="shared" si="246"/>
        <v>OK</v>
      </c>
      <c r="AH42" s="304" t="str">
        <f t="shared" si="246"/>
        <v>OK</v>
      </c>
      <c r="AI42" s="304" t="str">
        <f t="shared" si="246"/>
        <v>OK</v>
      </c>
      <c r="AJ42" s="304" t="str">
        <f t="shared" si="246"/>
        <v>OK</v>
      </c>
      <c r="AK42" s="304" t="str">
        <f t="shared" si="246"/>
        <v>OK</v>
      </c>
      <c r="AL42" s="304" t="str">
        <f t="shared" si="246"/>
        <v>OK</v>
      </c>
      <c r="AM42" s="304" t="str">
        <f t="shared" si="246"/>
        <v>OK</v>
      </c>
      <c r="AN42" s="304" t="str">
        <f t="shared" si="246"/>
        <v>OK</v>
      </c>
      <c r="AO42" s="304" t="str">
        <f t="shared" si="246"/>
        <v>OK</v>
      </c>
      <c r="AP42" s="304" t="str">
        <f t="shared" si="246"/>
        <v>OK</v>
      </c>
      <c r="AQ42" s="304" t="str">
        <f t="shared" si="246"/>
        <v>OK</v>
      </c>
      <c r="AR42" s="304" t="str">
        <f t="shared" si="246"/>
        <v>OK</v>
      </c>
      <c r="AS42" s="304" t="str">
        <f t="shared" si="246"/>
        <v>OK</v>
      </c>
      <c r="AT42" s="304" t="str">
        <f t="shared" si="246"/>
        <v>OK</v>
      </c>
      <c r="AU42" s="304" t="str">
        <f t="shared" si="246"/>
        <v>OK</v>
      </c>
      <c r="AV42" s="304" t="str">
        <f t="shared" ref="AV42:BC42" si="247">IF(ROUND(SUM(AV32,AV27,AV22,AV17),1)=1,"OK",SUM(AV32,AV27,AV22,AV17))</f>
        <v>OK</v>
      </c>
      <c r="AW42" s="304" t="str">
        <f t="shared" si="247"/>
        <v>OK</v>
      </c>
      <c r="AX42" s="304" t="str">
        <f t="shared" si="247"/>
        <v>OK</v>
      </c>
      <c r="AY42" s="304" t="str">
        <f t="shared" si="247"/>
        <v>OK</v>
      </c>
      <c r="AZ42" s="304" t="str">
        <f t="shared" si="247"/>
        <v>OK</v>
      </c>
      <c r="BA42" s="304" t="str">
        <f t="shared" si="247"/>
        <v>OK</v>
      </c>
      <c r="BB42" s="304" t="str">
        <f t="shared" si="247"/>
        <v>OK</v>
      </c>
      <c r="BC42" s="304" t="str">
        <f t="shared" si="247"/>
        <v>OK</v>
      </c>
      <c r="BD42" s="304" t="str">
        <f t="shared" ref="BD42:BG42" si="248">IF(ROUND(SUM(BD32,BD27,BD22,BD17),1)=1,"OK",SUM(BD32,BD27,BD22,BD17))</f>
        <v>OK</v>
      </c>
      <c r="BE42" s="304" t="str">
        <f t="shared" si="248"/>
        <v>OK</v>
      </c>
      <c r="BF42" s="304" t="str">
        <f t="shared" si="248"/>
        <v>OK</v>
      </c>
      <c r="BG42" s="304" t="str">
        <f t="shared" si="248"/>
        <v>OK</v>
      </c>
      <c r="BH42" s="304" t="str">
        <f t="shared" ref="BH42:BK42" si="249">IF(ROUND(SUM(BH32,BH27,BH22,BH17),1)=1,"OK",SUM(BH32,BH27,BH22,BH17))</f>
        <v>OK</v>
      </c>
      <c r="BI42" s="304" t="str">
        <f t="shared" si="249"/>
        <v>OK</v>
      </c>
      <c r="BJ42" s="304" t="str">
        <f t="shared" si="249"/>
        <v>OK</v>
      </c>
      <c r="BK42" s="304" t="str">
        <f t="shared" si="249"/>
        <v>OK</v>
      </c>
      <c r="BL42" s="304" t="str">
        <f t="shared" ref="BL42:BO42" si="250">IF(ROUND(SUM(BL32,BL27,BL22,BL17),1)=1,"OK",SUM(BL32,BL27,BL22,BL17))</f>
        <v>OK</v>
      </c>
      <c r="BM42" s="304" t="str">
        <f t="shared" si="250"/>
        <v>OK</v>
      </c>
      <c r="BN42" s="304" t="str">
        <f t="shared" si="250"/>
        <v>OK</v>
      </c>
      <c r="BO42" s="304" t="str">
        <f t="shared" si="250"/>
        <v>OK</v>
      </c>
      <c r="BQ42" s="304">
        <f t="shared" si="246"/>
        <v>0.62299999999999989</v>
      </c>
      <c r="BR42" s="304">
        <f t="shared" si="246"/>
        <v>0.63400000000000001</v>
      </c>
      <c r="BS42" s="304">
        <f t="shared" si="246"/>
        <v>0.5730704798278079</v>
      </c>
      <c r="BT42" s="304">
        <f t="shared" si="246"/>
        <v>0.49106362940252102</v>
      </c>
      <c r="BU42" s="304" t="str">
        <f t="shared" si="246"/>
        <v>OK</v>
      </c>
      <c r="BV42" s="304" t="str">
        <f t="shared" si="246"/>
        <v>OK</v>
      </c>
      <c r="BW42" s="304" t="str">
        <f t="shared" si="246"/>
        <v>OK</v>
      </c>
      <c r="BX42" s="304" t="str">
        <f t="shared" si="246"/>
        <v>OK</v>
      </c>
      <c r="BY42" s="304" t="str">
        <f t="shared" si="246"/>
        <v>OK</v>
      </c>
      <c r="BZ42" s="304" t="str">
        <f t="shared" si="246"/>
        <v>OK</v>
      </c>
      <c r="CA42" s="304" t="str">
        <f t="shared" si="246"/>
        <v>OK</v>
      </c>
      <c r="CB42" s="304" t="str">
        <f t="shared" si="246"/>
        <v>OK</v>
      </c>
      <c r="CC42" s="304" t="str">
        <f>IF(ROUND(SUM(CC32,CC27,CC22,CC17),1)=1,"OK",SUM(CC32,CC27,CC22,CC17))</f>
        <v>OK</v>
      </c>
      <c r="CD42" s="304" t="str">
        <f>IF(ROUND(SUM(CD32,CD27,CD22,CD17),1)=1,"OK",SUM(CD32,CD27,CD22,CD17))</f>
        <v>OK</v>
      </c>
      <c r="CE42" s="304" t="str">
        <f>IF(ROUND(SUM(CE32,CE27,CE22,CE17),1)=1,"OK",SUM(CE32,CE27,CE22,CE17))</f>
        <v>OK</v>
      </c>
      <c r="CF42" s="304" t="str">
        <f>IF(ROUND(SUM(CF32,CF27,CF22,CF17),1)=1,"OK",SUM(CF32,CF27,CF22,CF17))</f>
        <v>OK</v>
      </c>
    </row>
    <row r="43" spans="2:85" ht="15">
      <c r="B43" s="302"/>
      <c r="C43" s="286"/>
      <c r="D43" s="303"/>
      <c r="E43" s="303"/>
      <c r="F43" s="303"/>
      <c r="G43" s="303"/>
      <c r="H43" s="303"/>
      <c r="I43" s="303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  <c r="W43" s="303"/>
      <c r="X43" s="303"/>
      <c r="Y43" s="303"/>
      <c r="Z43" s="303"/>
      <c r="AA43" s="303"/>
      <c r="AB43" s="303"/>
      <c r="AC43" s="303"/>
      <c r="AD43" s="303"/>
      <c r="AE43" s="303"/>
      <c r="AF43" s="303"/>
      <c r="AG43" s="303"/>
      <c r="AH43" s="303"/>
      <c r="AI43" s="303"/>
      <c r="AJ43" s="303"/>
      <c r="AK43" s="303"/>
      <c r="AL43" s="303"/>
      <c r="AM43" s="303"/>
      <c r="AN43" s="303"/>
      <c r="AO43" s="303"/>
      <c r="AP43" s="303"/>
      <c r="AQ43" s="303"/>
      <c r="AR43" s="303"/>
      <c r="AS43" s="303"/>
      <c r="AT43" s="303"/>
      <c r="AU43" s="303"/>
      <c r="AV43" s="445"/>
      <c r="AW43" s="303"/>
      <c r="AX43" s="303"/>
      <c r="AY43" s="303"/>
      <c r="AZ43" s="303"/>
      <c r="BA43" s="303"/>
      <c r="BB43" s="303"/>
      <c r="BC43" s="303"/>
      <c r="BD43" s="303"/>
      <c r="BE43" s="303"/>
      <c r="BF43" s="303"/>
      <c r="BG43" s="303"/>
      <c r="BH43" s="303"/>
      <c r="BI43" s="303"/>
      <c r="BJ43" s="303"/>
      <c r="BK43" s="303"/>
      <c r="BL43" s="303"/>
      <c r="BM43" s="303"/>
      <c r="BN43" s="303"/>
      <c r="BO43" s="303"/>
      <c r="BQ43" s="303"/>
      <c r="BR43" s="303"/>
      <c r="BS43" s="303"/>
      <c r="BT43" s="303"/>
      <c r="BU43" s="303"/>
      <c r="BV43" s="303"/>
      <c r="BW43" s="303"/>
      <c r="BX43" s="303"/>
      <c r="BY43" s="303"/>
      <c r="BZ43" s="303"/>
      <c r="CA43" s="303"/>
      <c r="CB43" s="303"/>
      <c r="CC43" s="303"/>
    </row>
    <row r="44" spans="2:85" ht="15">
      <c r="B44" s="302"/>
      <c r="C44" s="286"/>
      <c r="D44" s="303"/>
      <c r="E44" s="303"/>
      <c r="F44" s="303"/>
      <c r="G44" s="303"/>
      <c r="H44" s="303"/>
      <c r="I44" s="303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  <c r="W44" s="303"/>
      <c r="X44" s="303"/>
      <c r="Y44" s="303"/>
      <c r="Z44" s="303"/>
      <c r="AA44" s="303"/>
      <c r="AB44" s="303"/>
      <c r="AC44" s="303"/>
      <c r="AD44" s="303"/>
      <c r="AE44" s="303"/>
      <c r="AF44" s="303"/>
      <c r="AG44" s="303"/>
      <c r="AH44" s="303"/>
      <c r="AI44" s="303"/>
      <c r="AJ44" s="303"/>
      <c r="AK44" s="303"/>
      <c r="AL44" s="303"/>
      <c r="AM44" s="303"/>
      <c r="AN44" s="303"/>
      <c r="AO44" s="303"/>
      <c r="AP44" s="303"/>
      <c r="AQ44" s="303"/>
      <c r="AR44" s="303"/>
      <c r="AS44" s="445"/>
      <c r="AT44" s="445"/>
      <c r="AU44" s="445"/>
      <c r="AV44" s="445"/>
      <c r="AW44" s="445"/>
      <c r="AX44" s="445"/>
      <c r="AY44" s="454"/>
      <c r="AZ44" s="454"/>
      <c r="BA44" s="454"/>
      <c r="BB44" s="454"/>
      <c r="BC44" s="454"/>
      <c r="BD44" s="454"/>
      <c r="BE44" s="454"/>
      <c r="BF44" s="454"/>
      <c r="BG44" s="570"/>
      <c r="BH44" s="454"/>
      <c r="BI44" s="454"/>
      <c r="BJ44" s="454"/>
      <c r="BK44" s="454"/>
      <c r="BL44" s="570"/>
      <c r="BM44" s="570"/>
      <c r="BN44" s="570"/>
      <c r="BO44" s="570"/>
      <c r="BQ44" s="303"/>
      <c r="BR44" s="303"/>
      <c r="BS44" s="303"/>
      <c r="BT44" s="303"/>
      <c r="BU44" s="303"/>
      <c r="BV44" s="303"/>
      <c r="BW44" s="303"/>
      <c r="BX44" s="303"/>
      <c r="BY44" s="303"/>
      <c r="BZ44" s="303"/>
      <c r="CA44" s="303"/>
      <c r="CB44" s="303"/>
      <c r="CC44" s="303"/>
      <c r="CD44" s="278"/>
      <c r="CE44" s="278"/>
      <c r="CF44" s="278"/>
    </row>
    <row r="45" spans="2:85" ht="15">
      <c r="B45" s="302" t="s">
        <v>301</v>
      </c>
      <c r="C45" s="286"/>
      <c r="D45" s="303"/>
      <c r="E45" s="303"/>
      <c r="F45" s="303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  <c r="W45" s="303"/>
      <c r="X45" s="303"/>
      <c r="Y45" s="303"/>
      <c r="Z45" s="303"/>
      <c r="AA45" s="303"/>
      <c r="AB45" s="303"/>
      <c r="AC45" s="303"/>
      <c r="AD45" s="303"/>
      <c r="AE45" s="303"/>
      <c r="AF45" s="303"/>
      <c r="AG45" s="303"/>
      <c r="AH45" s="303"/>
      <c r="AI45" s="303"/>
      <c r="AJ45" s="303"/>
      <c r="AK45" s="303"/>
      <c r="AL45" s="303"/>
      <c r="AM45" s="303"/>
      <c r="AN45" s="303"/>
      <c r="AO45" s="303"/>
      <c r="AP45" s="303"/>
      <c r="AQ45" s="303"/>
      <c r="AR45" s="303"/>
      <c r="AS45" s="303"/>
      <c r="AT45" s="303"/>
      <c r="AU45" s="303"/>
      <c r="AV45" s="445"/>
      <c r="AW45" s="445"/>
      <c r="AX45" s="445"/>
      <c r="AY45" s="303"/>
      <c r="AZ45" s="303"/>
      <c r="BA45" s="303"/>
      <c r="BB45" s="303"/>
      <c r="BC45" s="303"/>
      <c r="BD45" s="303"/>
      <c r="BE45" s="303"/>
      <c r="BF45" s="303"/>
      <c r="BG45" s="303"/>
      <c r="BH45" s="303"/>
      <c r="BI45" s="303"/>
      <c r="BJ45" s="303"/>
      <c r="BK45" s="303"/>
      <c r="BL45" s="303"/>
      <c r="BM45" s="303"/>
      <c r="BN45" s="303"/>
      <c r="BO45" s="303"/>
      <c r="BQ45" s="303"/>
      <c r="BR45" s="303"/>
      <c r="BS45" s="303"/>
      <c r="BT45" s="303"/>
      <c r="BU45" s="303"/>
      <c r="BV45" s="303"/>
      <c r="BW45" s="303"/>
      <c r="BX45" s="303"/>
      <c r="BY45" s="303"/>
      <c r="BZ45" s="303"/>
      <c r="CA45" s="303"/>
      <c r="CB45" s="303"/>
      <c r="CC45" s="303"/>
    </row>
    <row r="46" spans="2:85" ht="15">
      <c r="B46" s="364" t="s">
        <v>302</v>
      </c>
      <c r="C46" s="286"/>
      <c r="D46" s="303"/>
      <c r="E46" s="303"/>
      <c r="F46" s="303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03"/>
      <c r="X46" s="303"/>
      <c r="Y46" s="303"/>
      <c r="Z46" s="303"/>
      <c r="AA46" s="303"/>
      <c r="AB46" s="378"/>
      <c r="AC46" s="378"/>
      <c r="AD46" s="378"/>
      <c r="AE46" s="378"/>
      <c r="AF46" s="378"/>
      <c r="AG46" s="378"/>
      <c r="AH46" s="378"/>
      <c r="AI46" s="378"/>
      <c r="AJ46" s="378"/>
      <c r="AK46" s="379">
        <v>0.11</v>
      </c>
      <c r="AL46" s="378"/>
      <c r="AM46" s="378"/>
      <c r="AN46" s="303"/>
      <c r="AO46" s="303"/>
      <c r="AP46" s="303"/>
      <c r="AQ46" s="303"/>
      <c r="AR46" s="303"/>
      <c r="AS46" s="303"/>
      <c r="AT46" s="303"/>
      <c r="AU46" s="303"/>
      <c r="AV46" s="303"/>
      <c r="AW46" s="303"/>
      <c r="AX46" s="303"/>
      <c r="AY46" s="303"/>
      <c r="AZ46" s="303"/>
      <c r="BA46" s="303"/>
      <c r="BB46" s="303"/>
      <c r="BC46" s="303"/>
      <c r="BD46" s="303"/>
      <c r="BE46" s="303"/>
      <c r="BF46" s="303"/>
      <c r="BG46" s="303"/>
      <c r="BH46" s="303"/>
      <c r="BI46" s="303"/>
      <c r="BJ46" s="303"/>
      <c r="BK46" s="303"/>
      <c r="BL46" s="303"/>
      <c r="BM46" s="303"/>
      <c r="BN46" s="303"/>
      <c r="BO46" s="303"/>
      <c r="BQ46" s="303"/>
      <c r="BR46" s="303"/>
      <c r="BS46" s="303"/>
      <c r="BT46" s="303"/>
      <c r="BU46" s="303"/>
      <c r="BV46" s="303">
        <v>0.15</v>
      </c>
      <c r="BW46" s="303" t="s">
        <v>304</v>
      </c>
      <c r="BX46" s="303"/>
      <c r="BY46" s="303">
        <v>0.1</v>
      </c>
      <c r="BZ46" s="303"/>
      <c r="CA46" s="303"/>
      <c r="CB46" s="303"/>
      <c r="CC46" s="303"/>
    </row>
    <row r="47" spans="2:85" ht="15">
      <c r="B47" s="364" t="s">
        <v>303</v>
      </c>
      <c r="C47" s="286"/>
      <c r="D47" s="303"/>
      <c r="E47" s="303"/>
      <c r="F47" s="303"/>
      <c r="G47" s="303"/>
      <c r="H47" s="303"/>
      <c r="I47" s="306"/>
      <c r="J47" s="303"/>
      <c r="K47" s="303"/>
      <c r="L47" s="303"/>
      <c r="M47" s="303"/>
      <c r="N47" s="303"/>
      <c r="O47" s="303"/>
      <c r="P47" s="307"/>
      <c r="Q47" s="303"/>
      <c r="R47" s="303"/>
      <c r="S47" s="303"/>
      <c r="T47" s="303"/>
      <c r="U47" s="303"/>
      <c r="V47" s="303"/>
      <c r="W47" s="303"/>
      <c r="X47" s="303"/>
      <c r="Y47" s="303"/>
      <c r="Z47" s="303"/>
      <c r="AA47" s="303"/>
      <c r="AB47" s="378"/>
      <c r="AC47" s="378"/>
      <c r="AD47" s="378"/>
      <c r="AE47" s="378"/>
      <c r="AF47" s="378"/>
      <c r="AG47" s="378"/>
      <c r="AH47" s="378"/>
      <c r="AI47" s="378"/>
      <c r="AJ47" s="378"/>
      <c r="AK47" s="379"/>
      <c r="AL47" s="378"/>
      <c r="AM47" s="378"/>
      <c r="AN47" s="303"/>
      <c r="AO47" s="303"/>
      <c r="AP47" s="303"/>
      <c r="AQ47" s="303"/>
      <c r="AR47" s="303"/>
      <c r="AS47" s="303"/>
      <c r="AT47" s="303"/>
      <c r="AU47" s="303"/>
      <c r="AV47" s="303"/>
      <c r="AW47" s="303"/>
      <c r="AX47" s="303"/>
      <c r="AY47" s="303"/>
      <c r="AZ47" s="303"/>
      <c r="BA47" s="303"/>
      <c r="BB47" s="303"/>
      <c r="BC47" s="303"/>
      <c r="BD47" s="303"/>
      <c r="BE47" s="303"/>
      <c r="BF47" s="303"/>
      <c r="BG47" s="303"/>
      <c r="BH47" s="303"/>
      <c r="BI47" s="303"/>
      <c r="BJ47" s="303"/>
      <c r="BK47" s="303"/>
      <c r="BL47" s="303"/>
      <c r="BM47" s="303"/>
      <c r="BN47" s="303"/>
      <c r="BO47" s="303"/>
      <c r="BQ47" s="303"/>
      <c r="BR47" s="303"/>
      <c r="BS47" s="303"/>
      <c r="BT47" s="303"/>
      <c r="BU47" s="303" t="s">
        <v>304</v>
      </c>
      <c r="BV47" s="303" t="s">
        <v>304</v>
      </c>
      <c r="BW47" s="303">
        <v>0.14000000000000001</v>
      </c>
      <c r="BX47" s="303"/>
      <c r="BY47" s="303"/>
      <c r="BZ47" s="303"/>
      <c r="CA47" s="303"/>
      <c r="CB47" s="303"/>
      <c r="CC47" s="303"/>
    </row>
    <row r="48" spans="2:85" ht="14.25">
      <c r="B48" t="s">
        <v>305</v>
      </c>
      <c r="AB48" s="378"/>
      <c r="AC48" s="378"/>
      <c r="AD48" s="378"/>
      <c r="AE48" s="378"/>
      <c r="AF48" s="378"/>
      <c r="AG48" s="378"/>
      <c r="AH48" s="378"/>
      <c r="AI48" s="378"/>
      <c r="AJ48" s="378"/>
      <c r="AK48" s="379">
        <v>0.17</v>
      </c>
      <c r="AL48" s="378"/>
      <c r="AM48" s="378"/>
      <c r="BU48" s="271">
        <v>0.21</v>
      </c>
      <c r="BV48" s="271">
        <v>0.24</v>
      </c>
      <c r="BW48" s="271">
        <v>0.21</v>
      </c>
      <c r="BX48" s="271">
        <v>0.19</v>
      </c>
      <c r="BY48" s="271">
        <v>0.24</v>
      </c>
    </row>
    <row r="49" spans="2:84" ht="14.25">
      <c r="B49" t="s">
        <v>314</v>
      </c>
      <c r="AB49" s="378"/>
      <c r="AC49" s="378"/>
      <c r="AD49" s="378"/>
      <c r="AE49" s="378"/>
      <c r="AF49" s="378"/>
      <c r="AG49" s="378"/>
      <c r="AH49" s="378"/>
      <c r="AI49" s="378"/>
      <c r="AJ49" s="378"/>
      <c r="AK49" s="378"/>
      <c r="AL49" s="378"/>
      <c r="AM49" s="378"/>
      <c r="BX49" s="271" t="s">
        <v>315</v>
      </c>
      <c r="BY49" s="271">
        <v>0.1</v>
      </c>
    </row>
    <row r="50" spans="2:84">
      <c r="B50" s="308"/>
      <c r="AJ50" s="354"/>
    </row>
    <row r="51" spans="2:84">
      <c r="B51" s="308" t="s">
        <v>316</v>
      </c>
    </row>
    <row r="52" spans="2:84">
      <c r="B52" s="372" t="s">
        <v>317</v>
      </c>
      <c r="BV52" s="271">
        <v>0.89</v>
      </c>
      <c r="BW52" s="271">
        <v>0.81</v>
      </c>
      <c r="BX52" s="271">
        <v>0.88</v>
      </c>
    </row>
    <row r="53" spans="2:84">
      <c r="B53" s="372" t="s">
        <v>318</v>
      </c>
      <c r="BV53" s="271">
        <f t="shared" ref="BV53:BX57" si="251">BV61/BV$67</f>
        <v>4.5375072078903386E-2</v>
      </c>
      <c r="BW53" s="271">
        <f t="shared" si="251"/>
        <v>4.3539218908201331E-2</v>
      </c>
      <c r="BX53" s="271">
        <f t="shared" si="251"/>
        <v>5.7363897861504726E-2</v>
      </c>
    </row>
    <row r="54" spans="2:84">
      <c r="B54" s="372" t="s">
        <v>319</v>
      </c>
      <c r="BV54" s="271">
        <f t="shared" si="251"/>
        <v>0.25695349944634144</v>
      </c>
      <c r="BW54" s="271">
        <f t="shared" si="251"/>
        <v>0.33499940335995554</v>
      </c>
      <c r="BX54" s="271">
        <f t="shared" si="251"/>
        <v>0.4411571923702638</v>
      </c>
    </row>
    <row r="55" spans="2:84">
      <c r="B55" s="372" t="s">
        <v>320</v>
      </c>
      <c r="BV55" s="271">
        <f t="shared" si="251"/>
        <v>0.17269090179923902</v>
      </c>
      <c r="BW55" s="271">
        <f t="shared" si="251"/>
        <v>0.16684851959900254</v>
      </c>
      <c r="BX55" s="271">
        <f t="shared" si="251"/>
        <v>0.15651834343243817</v>
      </c>
    </row>
    <row r="56" spans="2:84">
      <c r="B56" s="372" t="s">
        <v>321</v>
      </c>
      <c r="BV56" s="271">
        <f t="shared" si="251"/>
        <v>0.10738518930350854</v>
      </c>
      <c r="BW56" s="271">
        <f t="shared" si="251"/>
        <v>9.6423399032031135E-2</v>
      </c>
      <c r="BX56" s="271">
        <f t="shared" si="251"/>
        <v>0.12389538584867846</v>
      </c>
    </row>
    <row r="57" spans="2:84">
      <c r="B57" s="372" t="s">
        <v>322</v>
      </c>
      <c r="BV57" s="271">
        <f t="shared" si="251"/>
        <v>6.8428567714278687E-2</v>
      </c>
      <c r="BW57" s="271">
        <f t="shared" si="251"/>
        <v>2.7457347158401427E-2</v>
      </c>
      <c r="BX57" s="271">
        <f t="shared" si="251"/>
        <v>1.7802324758918256E-2</v>
      </c>
    </row>
    <row r="58" spans="2:84">
      <c r="B58" s="372" t="s">
        <v>168</v>
      </c>
      <c r="BV58" s="271">
        <f t="shared" ref="BV58:BX59" si="252">BV66/BV$67</f>
        <v>0.34916676965772891</v>
      </c>
      <c r="BW58" s="271">
        <f t="shared" si="252"/>
        <v>0.33073211194240804</v>
      </c>
      <c r="BX58" s="271">
        <f t="shared" si="252"/>
        <v>0.20326285572819655</v>
      </c>
    </row>
    <row r="59" spans="2:84">
      <c r="B59" s="271" t="s">
        <v>323</v>
      </c>
      <c r="BV59" s="271">
        <f t="shared" si="252"/>
        <v>1</v>
      </c>
      <c r="BW59" s="271">
        <f t="shared" si="252"/>
        <v>1</v>
      </c>
      <c r="BX59" s="271">
        <f t="shared" si="252"/>
        <v>1</v>
      </c>
    </row>
    <row r="60" spans="2:84">
      <c r="B60" s="372"/>
    </row>
    <row r="61" spans="2:84" ht="14.25">
      <c r="B61" s="372" t="s">
        <v>318</v>
      </c>
      <c r="BQ61" s="264"/>
      <c r="BR61" s="264"/>
      <c r="BS61" s="264"/>
      <c r="BT61" s="264"/>
      <c r="BU61" s="264"/>
      <c r="BV61" s="264">
        <v>0.12739900000000001</v>
      </c>
      <c r="BW61" s="264">
        <v>0.15725900000000001</v>
      </c>
      <c r="BX61" s="264">
        <v>0.19463800000000001</v>
      </c>
      <c r="BY61" s="264"/>
      <c r="BZ61" s="264"/>
      <c r="CA61" s="264"/>
      <c r="CB61" s="264"/>
      <c r="CC61" s="264"/>
      <c r="CD61" s="264"/>
      <c r="CE61" s="264"/>
      <c r="CF61" s="264"/>
    </row>
    <row r="62" spans="2:84" ht="14.25">
      <c r="B62" s="372" t="s">
        <v>319</v>
      </c>
      <c r="BQ62" s="264"/>
      <c r="BR62" s="264"/>
      <c r="BS62" s="264"/>
      <c r="BT62" s="264"/>
      <c r="BU62" s="264"/>
      <c r="BV62" s="264">
        <v>0.721445</v>
      </c>
      <c r="BW62" s="264">
        <v>1.2099819999999999</v>
      </c>
      <c r="BX62" s="264">
        <v>1.496864</v>
      </c>
      <c r="BY62" s="264"/>
      <c r="BZ62" s="264"/>
      <c r="CA62" s="264"/>
      <c r="CB62" s="264"/>
      <c r="CC62" s="264"/>
      <c r="CD62" s="264"/>
      <c r="CE62" s="264"/>
      <c r="CF62" s="264"/>
    </row>
    <row r="63" spans="2:84" ht="14.25">
      <c r="B63" s="372" t="s">
        <v>320</v>
      </c>
      <c r="BQ63" s="264"/>
      <c r="BR63" s="264"/>
      <c r="BS63" s="264"/>
      <c r="BT63" s="264"/>
      <c r="BU63" s="264"/>
      <c r="BV63" s="264">
        <v>0.48486200000000002</v>
      </c>
      <c r="BW63" s="264">
        <v>0.60263900000000004</v>
      </c>
      <c r="BX63" s="264">
        <v>0.53107300000000002</v>
      </c>
      <c r="BY63" s="264"/>
      <c r="BZ63" s="264"/>
      <c r="CA63" s="264"/>
      <c r="CB63" s="264"/>
      <c r="CC63" s="264"/>
      <c r="CD63" s="264"/>
      <c r="CE63" s="264"/>
      <c r="CF63" s="264"/>
    </row>
    <row r="64" spans="2:84" ht="14.25">
      <c r="B64" s="372" t="s">
        <v>321</v>
      </c>
      <c r="BQ64" s="264"/>
      <c r="BR64" s="264"/>
      <c r="BS64" s="264"/>
      <c r="BT64" s="264"/>
      <c r="BU64" s="264"/>
      <c r="BV64" s="264">
        <v>0.30150399999999999</v>
      </c>
      <c r="BW64" s="264">
        <v>0.348271</v>
      </c>
      <c r="BX64" s="264">
        <v>0.42038199999999998</v>
      </c>
      <c r="BY64" s="264"/>
      <c r="BZ64" s="264"/>
      <c r="CA64" s="264"/>
      <c r="CB64" s="264"/>
      <c r="CC64" s="264"/>
      <c r="CD64" s="264"/>
      <c r="CE64" s="264"/>
      <c r="CF64" s="264"/>
    </row>
    <row r="65" spans="2:89" ht="14.25">
      <c r="B65" s="372" t="s">
        <v>322</v>
      </c>
      <c r="BQ65" s="264"/>
      <c r="BR65" s="264"/>
      <c r="BS65" s="264"/>
      <c r="BT65" s="264"/>
      <c r="BU65" s="264"/>
      <c r="BV65" s="264">
        <v>0.19212599999999999</v>
      </c>
      <c r="BW65" s="264">
        <v>9.9172999999999997E-2</v>
      </c>
      <c r="BX65" s="264">
        <v>6.0403999999999999E-2</v>
      </c>
      <c r="BY65" s="264"/>
      <c r="BZ65" s="264"/>
      <c r="CA65" s="264"/>
      <c r="CB65" s="264"/>
      <c r="CC65" s="264"/>
      <c r="CD65" s="264"/>
      <c r="CE65" s="264"/>
      <c r="CF65" s="264"/>
    </row>
    <row r="66" spans="2:89" ht="14.25">
      <c r="B66" s="372" t="s">
        <v>168</v>
      </c>
      <c r="BQ66" s="264"/>
      <c r="BR66" s="264"/>
      <c r="BS66" s="264"/>
      <c r="BT66" s="264"/>
      <c r="BU66" s="264"/>
      <c r="BV66" s="264">
        <v>0.98035099999999997</v>
      </c>
      <c r="BW66" s="264">
        <v>1.194569</v>
      </c>
      <c r="BX66" s="264">
        <v>0.68967900000000004</v>
      </c>
      <c r="BY66" s="264"/>
      <c r="BZ66" s="264"/>
      <c r="CA66" s="264"/>
      <c r="CB66" s="264"/>
      <c r="CC66" s="264"/>
      <c r="CD66" s="264"/>
      <c r="CE66" s="264"/>
      <c r="CF66" s="264"/>
    </row>
    <row r="67" spans="2:89" ht="14.25">
      <c r="B67" s="271" t="s">
        <v>323</v>
      </c>
      <c r="BQ67" s="264"/>
      <c r="BR67" s="264"/>
      <c r="BS67" s="264"/>
      <c r="BT67" s="264"/>
      <c r="BU67" s="264"/>
      <c r="BV67" s="264">
        <f>SUM(BV61:BV66)</f>
        <v>2.807687</v>
      </c>
      <c r="BW67" s="264">
        <f>SUM(BW61:BW66)</f>
        <v>3.6118929999999998</v>
      </c>
      <c r="BX67" s="264">
        <f>SUM(BX61:BX66)</f>
        <v>3.3930400000000001</v>
      </c>
      <c r="BY67" s="264"/>
      <c r="BZ67" s="264"/>
      <c r="CA67" s="264"/>
      <c r="CB67" s="264"/>
      <c r="CC67" s="264"/>
      <c r="CD67" s="264"/>
      <c r="CE67" s="264"/>
      <c r="CF67" s="264"/>
    </row>
    <row r="68" spans="2:89" s="242" customFormat="1" ht="14.25">
      <c r="B68" s="243"/>
      <c r="C68" s="243"/>
      <c r="D68" s="243" t="s">
        <v>206</v>
      </c>
      <c r="E68" s="243" t="s">
        <v>207</v>
      </c>
      <c r="F68" s="243" t="s">
        <v>208</v>
      </c>
      <c r="G68" s="243" t="s">
        <v>209</v>
      </c>
      <c r="H68" s="243" t="s">
        <v>211</v>
      </c>
      <c r="I68" s="243" t="s">
        <v>212</v>
      </c>
      <c r="J68" s="243" t="s">
        <v>213</v>
      </c>
      <c r="K68" s="243" t="s">
        <v>214</v>
      </c>
      <c r="L68" s="243" t="s">
        <v>216</v>
      </c>
      <c r="M68" s="243" t="s">
        <v>217</v>
      </c>
      <c r="N68" s="243" t="s">
        <v>218</v>
      </c>
      <c r="O68" s="243" t="s">
        <v>219</v>
      </c>
      <c r="P68" s="243" t="s">
        <v>68</v>
      </c>
      <c r="Q68" s="243" t="s">
        <v>69</v>
      </c>
      <c r="R68" s="243" t="s">
        <v>70</v>
      </c>
      <c r="S68" s="243" t="s">
        <v>71</v>
      </c>
      <c r="T68" s="243" t="s">
        <v>78</v>
      </c>
      <c r="U68" s="243" t="s">
        <v>79</v>
      </c>
      <c r="V68" s="243" t="s">
        <v>80</v>
      </c>
      <c r="W68" s="243" t="s">
        <v>81</v>
      </c>
      <c r="X68" s="243" t="s">
        <v>82</v>
      </c>
      <c r="Y68" s="243" t="s">
        <v>83</v>
      </c>
      <c r="Z68" s="243" t="s">
        <v>84</v>
      </c>
      <c r="AA68" s="243" t="s">
        <v>85</v>
      </c>
      <c r="AB68" s="243" t="s">
        <v>224</v>
      </c>
      <c r="AC68" s="243" t="s">
        <v>225</v>
      </c>
      <c r="AD68" s="243" t="s">
        <v>226</v>
      </c>
      <c r="AE68" s="243" t="s">
        <v>227</v>
      </c>
      <c r="AF68" s="243" t="s">
        <v>229</v>
      </c>
      <c r="AG68" s="243" t="s">
        <v>230</v>
      </c>
      <c r="AH68" s="243" t="s">
        <v>231</v>
      </c>
      <c r="AI68" s="243" t="s">
        <v>232</v>
      </c>
      <c r="AJ68" s="243" t="s">
        <v>234</v>
      </c>
      <c r="AK68" s="243" t="s">
        <v>235</v>
      </c>
      <c r="AL68" s="243" t="s">
        <v>236</v>
      </c>
      <c r="AM68" s="243" t="s">
        <v>237</v>
      </c>
      <c r="AN68" s="243" t="s">
        <v>239</v>
      </c>
      <c r="AO68" s="243" t="s">
        <v>240</v>
      </c>
      <c r="AP68" s="243" t="s">
        <v>241</v>
      </c>
      <c r="AQ68" s="243" t="s">
        <v>242</v>
      </c>
      <c r="AR68" s="243" t="s">
        <v>244</v>
      </c>
      <c r="AS68" s="243" t="s">
        <v>245</v>
      </c>
      <c r="AT68" s="243" t="s">
        <v>246</v>
      </c>
      <c r="AU68" s="243" t="s">
        <v>247</v>
      </c>
      <c r="AV68" s="243" t="s">
        <v>249</v>
      </c>
      <c r="AW68" s="243" t="s">
        <v>250</v>
      </c>
      <c r="AX68" s="243" t="s">
        <v>251</v>
      </c>
      <c r="AY68" s="243" t="s">
        <v>252</v>
      </c>
      <c r="AZ68" s="243" t="s">
        <v>254</v>
      </c>
      <c r="BA68" s="243" t="s">
        <v>255</v>
      </c>
      <c r="BB68" s="243" t="s">
        <v>256</v>
      </c>
      <c r="BC68" s="243" t="s">
        <v>257</v>
      </c>
      <c r="BD68" s="243" t="s">
        <v>259</v>
      </c>
      <c r="BE68" s="243" t="s">
        <v>260</v>
      </c>
      <c r="BF68" s="243" t="s">
        <v>261</v>
      </c>
      <c r="BG68" s="243" t="s">
        <v>262</v>
      </c>
      <c r="BH68" s="243" t="s">
        <v>264</v>
      </c>
      <c r="BI68" s="243" t="s">
        <v>265</v>
      </c>
      <c r="BJ68" s="243" t="s">
        <v>266</v>
      </c>
      <c r="BK68" s="243" t="s">
        <v>267</v>
      </c>
      <c r="BL68" s="243" t="s">
        <v>472</v>
      </c>
      <c r="BM68" s="243" t="s">
        <v>473</v>
      </c>
      <c r="BN68" s="243" t="s">
        <v>474</v>
      </c>
      <c r="BO68" s="243" t="s">
        <v>475</v>
      </c>
      <c r="BQ68" s="255" t="s">
        <v>210</v>
      </c>
      <c r="BR68" s="255" t="s">
        <v>215</v>
      </c>
      <c r="BS68" s="255" t="s">
        <v>220</v>
      </c>
      <c r="BT68" s="255" t="s">
        <v>221</v>
      </c>
      <c r="BU68" s="255" t="s">
        <v>222</v>
      </c>
      <c r="BV68" s="255" t="s">
        <v>223</v>
      </c>
      <c r="BW68" s="255" t="s">
        <v>228</v>
      </c>
      <c r="BX68" s="255" t="s">
        <v>233</v>
      </c>
      <c r="BY68" s="255" t="s">
        <v>238</v>
      </c>
      <c r="BZ68" s="255" t="s">
        <v>243</v>
      </c>
      <c r="CA68" s="255" t="s">
        <v>248</v>
      </c>
      <c r="CB68" s="255" t="s">
        <v>253</v>
      </c>
      <c r="CC68" s="255" t="s">
        <v>258</v>
      </c>
      <c r="CD68" s="255" t="s">
        <v>263</v>
      </c>
      <c r="CE68" s="255" t="s">
        <v>268</v>
      </c>
      <c r="CF68" s="392" t="s">
        <v>471</v>
      </c>
    </row>
    <row r="69" spans="2:89" s="305" customFormat="1" ht="14.25">
      <c r="B69" s="309" t="s">
        <v>72</v>
      </c>
      <c r="C69" s="309"/>
      <c r="D69" s="310" t="e">
        <f>IS!D300</f>
        <v>#NAME?</v>
      </c>
      <c r="E69" s="310" t="e">
        <f>IS!E300</f>
        <v>#NAME?</v>
      </c>
      <c r="F69" s="310" t="e">
        <f>IS!F300</f>
        <v>#NAME?</v>
      </c>
      <c r="G69" s="310" t="e">
        <f>IS!G300</f>
        <v>#NAME?</v>
      </c>
      <c r="H69" s="310" t="e">
        <f>IS!H300</f>
        <v>#NAME?</v>
      </c>
      <c r="I69" s="310" t="e">
        <f>IS!I300</f>
        <v>#NAME?</v>
      </c>
      <c r="J69" s="310" t="e">
        <f>IS!J300</f>
        <v>#NAME?</v>
      </c>
      <c r="K69" s="310" t="e">
        <f>IS!K300</f>
        <v>#NAME?</v>
      </c>
      <c r="L69" s="310" t="e">
        <f>IS!L300</f>
        <v>#NAME?</v>
      </c>
      <c r="M69" s="310" t="e">
        <f>IS!M300</f>
        <v>#NAME?</v>
      </c>
      <c r="N69" s="310" t="e">
        <f>IS!N300</f>
        <v>#NAME?</v>
      </c>
      <c r="O69" s="310" t="e">
        <f>IS!O300</f>
        <v>#NAME?</v>
      </c>
      <c r="P69" s="310" t="e">
        <f>IS!P300</f>
        <v>#NAME?</v>
      </c>
      <c r="Q69" s="310" t="e">
        <f>IS!Q300</f>
        <v>#NAME?</v>
      </c>
      <c r="R69" s="310" t="e">
        <f>IS!R300</f>
        <v>#NAME?</v>
      </c>
      <c r="S69" s="310" t="e">
        <f>IS!S300</f>
        <v>#NAME?</v>
      </c>
      <c r="T69" s="310" t="e">
        <f>IS!T300</f>
        <v>#NAME?</v>
      </c>
      <c r="U69" s="310" t="e">
        <f>IS!U300</f>
        <v>#NAME?</v>
      </c>
      <c r="V69" s="310" t="e">
        <f>IS!V300</f>
        <v>#NAME?</v>
      </c>
      <c r="W69" s="310" t="e">
        <f>IS!W300</f>
        <v>#NAME?</v>
      </c>
      <c r="X69" s="310" t="e">
        <f>IS!X300</f>
        <v>#NAME?</v>
      </c>
      <c r="Y69" s="310" t="e">
        <f>IS!Y300</f>
        <v>#NAME?</v>
      </c>
      <c r="Z69" s="310" t="e">
        <f>IS!Z300</f>
        <v>#NAME?</v>
      </c>
      <c r="AA69" s="310" t="e">
        <f>IS!AA300</f>
        <v>#NAME?</v>
      </c>
      <c r="AB69" s="310" t="e">
        <f>IS!AB300</f>
        <v>#NAME?</v>
      </c>
      <c r="AC69" s="310" t="e">
        <f>IS!AC300</f>
        <v>#NAME?</v>
      </c>
      <c r="AD69" s="310" t="e">
        <f>IS!AD300</f>
        <v>#NAME?</v>
      </c>
      <c r="AE69" s="310" t="e">
        <f>IS!AE300</f>
        <v>#NAME?</v>
      </c>
      <c r="AF69" s="310" t="e">
        <f>IS!AF300</f>
        <v>#NAME?</v>
      </c>
      <c r="AG69" s="310" t="e">
        <f>IS!AG300</f>
        <v>#NAME?</v>
      </c>
      <c r="AH69" s="310" t="e">
        <f>IS!AH300</f>
        <v>#NAME?</v>
      </c>
      <c r="AI69" s="310" t="e">
        <f>IS!AI300</f>
        <v>#NAME?</v>
      </c>
      <c r="AJ69" s="310" t="e">
        <f>IS!AJ300</f>
        <v>#NAME?</v>
      </c>
      <c r="AK69" s="310" t="e">
        <f>IS!AK300</f>
        <v>#NAME?</v>
      </c>
      <c r="AL69" s="310" t="e">
        <f>IS!AL300</f>
        <v>#NAME?</v>
      </c>
      <c r="AM69" s="310" t="e">
        <f>IS!AM300</f>
        <v>#NAME?</v>
      </c>
      <c r="AN69" s="310" t="e">
        <f>IS!AN300</f>
        <v>#NAME?</v>
      </c>
      <c r="AO69" s="310" t="e">
        <f>IS!AO300</f>
        <v>#NAME?</v>
      </c>
      <c r="AP69" s="310" t="str">
        <f>IS!AP300</f>
        <v>A</v>
      </c>
      <c r="AQ69" s="310" t="e">
        <f>IS!AQ300</f>
        <v>#NAME?</v>
      </c>
      <c r="AR69" s="310" t="e">
        <f>IS!AR300</f>
        <v>#NAME?</v>
      </c>
      <c r="AS69" s="310" t="e">
        <f>IS!AS300</f>
        <v>#NAME?</v>
      </c>
      <c r="AT69" s="310" t="e">
        <f>IS!AT300</f>
        <v>#NAME?</v>
      </c>
      <c r="AU69" s="310" t="e">
        <f>IS!AU300</f>
        <v>#NAME?</v>
      </c>
      <c r="AV69" s="310" t="e">
        <f>IS!AV300</f>
        <v>#NAME?</v>
      </c>
      <c r="AW69" s="310" t="e">
        <f>IS!AW300</f>
        <v>#NAME?</v>
      </c>
      <c r="AX69" s="310" t="e">
        <f>IS!AX300</f>
        <v>#NAME?</v>
      </c>
      <c r="AY69" s="310" t="e">
        <f>IS!AY300</f>
        <v>#NAME?</v>
      </c>
      <c r="AZ69" s="310" t="e">
        <f>IS!AZ300</f>
        <v>#NAME?</v>
      </c>
      <c r="BA69" s="310" t="e">
        <f>IS!BA300</f>
        <v>#NAME?</v>
      </c>
      <c r="BB69" s="310" t="e">
        <f>IS!BB300</f>
        <v>#NAME?</v>
      </c>
      <c r="BC69" s="310" t="e">
        <f>IS!BC300</f>
        <v>#NAME?</v>
      </c>
      <c r="BD69" s="310" t="e">
        <f>IS!BD300</f>
        <v>#NAME?</v>
      </c>
      <c r="BE69" s="310" t="e">
        <f>IS!BE300</f>
        <v>#NAME?</v>
      </c>
      <c r="BF69" s="310" t="e">
        <f>IS!BF300</f>
        <v>#NAME?</v>
      </c>
      <c r="BG69" s="310" t="e">
        <f>IS!BG300</f>
        <v>#NAME?</v>
      </c>
      <c r="BH69" s="310" t="e">
        <f>IS!BH300</f>
        <v>#NAME?</v>
      </c>
      <c r="BI69" s="310" t="e">
        <f>IS!BI300</f>
        <v>#NAME?</v>
      </c>
      <c r="BJ69" s="310" t="e">
        <f>IS!BJ300</f>
        <v>#NAME?</v>
      </c>
      <c r="BK69" s="310" t="e">
        <f>IS!BK300</f>
        <v>#NAME?</v>
      </c>
      <c r="BL69" s="310" t="e">
        <f>IS!BL300</f>
        <v>#NAME?</v>
      </c>
      <c r="BM69" s="310" t="e">
        <f>IS!BM300</f>
        <v>#NAME?</v>
      </c>
      <c r="BN69" s="310" t="e">
        <f>IS!BN300</f>
        <v>#NAME?</v>
      </c>
      <c r="BO69" s="310" t="e">
        <f>IS!BO300</f>
        <v>#NAME?</v>
      </c>
      <c r="BP69" s="311"/>
      <c r="BQ69" s="310" t="e">
        <f>IS!BQ300</f>
        <v>#NAME?</v>
      </c>
      <c r="BR69" s="310" t="e">
        <f>IS!BR300</f>
        <v>#NAME?</v>
      </c>
      <c r="BS69" s="310" t="e">
        <f>IS!BS300</f>
        <v>#NAME?</v>
      </c>
      <c r="BT69" s="310" t="e">
        <f>IS!BT300</f>
        <v>#NAME?</v>
      </c>
      <c r="BU69" s="310" t="e">
        <f>IS!BU300</f>
        <v>#NAME?</v>
      </c>
      <c r="BV69" s="310" t="e">
        <f>IS!BV300</f>
        <v>#NAME?</v>
      </c>
      <c r="BW69" s="310" t="e">
        <f>IS!BW300</f>
        <v>#NAME?</v>
      </c>
      <c r="BX69" s="310" t="e">
        <f>IS!BX300</f>
        <v>#NAME?</v>
      </c>
      <c r="BY69" s="310" t="e">
        <f>IS!BY300</f>
        <v>#NAME?</v>
      </c>
      <c r="BZ69" s="310" t="e">
        <f>IS!BZ300</f>
        <v>#NAME?</v>
      </c>
      <c r="CA69" s="310" t="e">
        <f>IS!CA300</f>
        <v>#NAME?</v>
      </c>
      <c r="CB69" s="310" t="e">
        <f>IS!CB300</f>
        <v>#NAME?</v>
      </c>
      <c r="CC69" s="310" t="e">
        <f>IS!CC300</f>
        <v>#NAME?</v>
      </c>
      <c r="CD69" s="310" t="e">
        <f>IS!CD300</f>
        <v>#NAME?</v>
      </c>
      <c r="CE69" s="310" t="e">
        <f>IS!CE300</f>
        <v>#NAME?</v>
      </c>
      <c r="CF69" s="310" t="e">
        <f>IS!CF300</f>
        <v>#NAME?</v>
      </c>
      <c r="CG69" s="312"/>
      <c r="CH69" s="312"/>
      <c r="CI69" s="312"/>
      <c r="CJ69" s="312"/>
      <c r="CK69" s="312"/>
    </row>
  </sheetData>
  <phoneticPr fontId="17" type="noConversion"/>
  <conditionalFormatting sqref="D7:AP9 AR7:AU9 CC7:CD9">
    <cfRule type="expression" dxfId="39" priority="71" stopIfTrue="1">
      <formula>D$69="A"</formula>
    </cfRule>
    <cfRule type="expression" dxfId="38" priority="72" stopIfTrue="1">
      <formula>D$69="E"</formula>
    </cfRule>
  </conditionalFormatting>
  <conditionalFormatting sqref="AQ7:AQ9">
    <cfRule type="expression" dxfId="37" priority="69" stopIfTrue="1">
      <formula>AQ$69="A"</formula>
    </cfRule>
    <cfRule type="expression" dxfId="36" priority="70" stopIfTrue="1">
      <formula>AQ$69="E"</formula>
    </cfRule>
  </conditionalFormatting>
  <conditionalFormatting sqref="AV7:AY9">
    <cfRule type="expression" dxfId="35" priority="67" stopIfTrue="1">
      <formula>AV$69="A"</formula>
    </cfRule>
    <cfRule type="expression" dxfId="34" priority="68" stopIfTrue="1">
      <formula>AV$69="E"</formula>
    </cfRule>
  </conditionalFormatting>
  <conditionalFormatting sqref="BC7:BC9">
    <cfRule type="expression" dxfId="33" priority="61" stopIfTrue="1">
      <formula>BC$69="A"</formula>
    </cfRule>
    <cfRule type="expression" dxfId="32" priority="62" stopIfTrue="1">
      <formula>BC$69="E"</formula>
    </cfRule>
  </conditionalFormatting>
  <conditionalFormatting sqref="BD7:BE7">
    <cfRule type="expression" dxfId="31" priority="45" stopIfTrue="1">
      <formula>BD$69="A"</formula>
    </cfRule>
    <cfRule type="expression" dxfId="30" priority="46" stopIfTrue="1">
      <formula>BD$69="E"</formula>
    </cfRule>
  </conditionalFormatting>
  <conditionalFormatting sqref="BF8:BG9">
    <cfRule type="expression" dxfId="29" priority="51" stopIfTrue="1">
      <formula>BF$69="A"</formula>
    </cfRule>
    <cfRule type="expression" dxfId="28" priority="52" stopIfTrue="1">
      <formula>BF$69="E"</formula>
    </cfRule>
  </conditionalFormatting>
  <conditionalFormatting sqref="BD8:BE9">
    <cfRule type="expression" dxfId="27" priority="49" stopIfTrue="1">
      <formula>BD$69="A"</formula>
    </cfRule>
    <cfRule type="expression" dxfId="26" priority="50" stopIfTrue="1">
      <formula>BD$69="E"</formula>
    </cfRule>
  </conditionalFormatting>
  <conditionalFormatting sqref="BF7:BG7">
    <cfRule type="expression" dxfId="25" priority="47" stopIfTrue="1">
      <formula>BF$69="A"</formula>
    </cfRule>
    <cfRule type="expression" dxfId="24" priority="48" stopIfTrue="1">
      <formula>BF$69="E"</formula>
    </cfRule>
  </conditionalFormatting>
  <conditionalFormatting sqref="AZ7:BB9">
    <cfRule type="expression" dxfId="23" priority="41" stopIfTrue="1">
      <formula>AZ$69="A"</formula>
    </cfRule>
    <cfRule type="expression" dxfId="22" priority="42" stopIfTrue="1">
      <formula>AZ$69="E"</formula>
    </cfRule>
  </conditionalFormatting>
  <conditionalFormatting sqref="BH7:BI7">
    <cfRule type="expression" dxfId="21" priority="33" stopIfTrue="1">
      <formula>BH$69="A"</formula>
    </cfRule>
    <cfRule type="expression" dxfId="20" priority="34" stopIfTrue="1">
      <formula>BH$69="E"</formula>
    </cfRule>
  </conditionalFormatting>
  <conditionalFormatting sqref="BJ8:BK9">
    <cfRule type="expression" dxfId="19" priority="39" stopIfTrue="1">
      <formula>BJ$69="A"</formula>
    </cfRule>
    <cfRule type="expression" dxfId="18" priority="40" stopIfTrue="1">
      <formula>BJ$69="E"</formula>
    </cfRule>
  </conditionalFormatting>
  <conditionalFormatting sqref="BH8:BI9">
    <cfRule type="expression" dxfId="17" priority="37" stopIfTrue="1">
      <formula>BH$69="A"</formula>
    </cfRule>
    <cfRule type="expression" dxfId="16" priority="38" stopIfTrue="1">
      <formula>BH$69="E"</formula>
    </cfRule>
  </conditionalFormatting>
  <conditionalFormatting sqref="BJ7:BK7">
    <cfRule type="expression" dxfId="15" priority="35" stopIfTrue="1">
      <formula>BJ$69="A"</formula>
    </cfRule>
    <cfRule type="expression" dxfId="14" priority="36" stopIfTrue="1">
      <formula>BJ$69="E"</formula>
    </cfRule>
  </conditionalFormatting>
  <conditionalFormatting sqref="CF7:CF9">
    <cfRule type="expression" dxfId="13" priority="21" stopIfTrue="1">
      <formula>CF$69="A"</formula>
    </cfRule>
    <cfRule type="expression" dxfId="12" priority="22" stopIfTrue="1">
      <formula>CF$69="E"</formula>
    </cfRule>
  </conditionalFormatting>
  <conditionalFormatting sqref="CE7:CE9">
    <cfRule type="expression" dxfId="11" priority="19" stopIfTrue="1">
      <formula>CE$69="A"</formula>
    </cfRule>
    <cfRule type="expression" dxfId="10" priority="20" stopIfTrue="1">
      <formula>CE$69="E"</formula>
    </cfRule>
  </conditionalFormatting>
  <conditionalFormatting sqref="BL7:BM7">
    <cfRule type="expression" dxfId="9" priority="3" stopIfTrue="1">
      <formula>BL$69="A"</formula>
    </cfRule>
    <cfRule type="expression" dxfId="8" priority="4" stopIfTrue="1">
      <formula>BL$69="E"</formula>
    </cfRule>
  </conditionalFormatting>
  <conditionalFormatting sqref="BN8:BO9">
    <cfRule type="expression" dxfId="7" priority="9" stopIfTrue="1">
      <formula>BN$69="A"</formula>
    </cfRule>
    <cfRule type="expression" dxfId="6" priority="10" stopIfTrue="1">
      <formula>BN$69="E"</formula>
    </cfRule>
  </conditionalFormatting>
  <conditionalFormatting sqref="BL8:BM9">
    <cfRule type="expression" dxfId="5" priority="7" stopIfTrue="1">
      <formula>BL$69="A"</formula>
    </cfRule>
    <cfRule type="expression" dxfId="4" priority="8" stopIfTrue="1">
      <formula>BL$69="E"</formula>
    </cfRule>
  </conditionalFormatting>
  <conditionalFormatting sqref="BN7:BO7">
    <cfRule type="expression" dxfId="3" priority="5" stopIfTrue="1">
      <formula>BN$69="A"</formula>
    </cfRule>
    <cfRule type="expression" dxfId="2" priority="6" stopIfTrue="1">
      <formula>BN$69="E"</formula>
    </cfRule>
  </conditionalFormatting>
  <conditionalFormatting sqref="BQ7:CB9">
    <cfRule type="expression" dxfId="1" priority="1" stopIfTrue="1">
      <formula>BQ$69="A"</formula>
    </cfRule>
    <cfRule type="expression" dxfId="0" priority="2" stopIfTrue="1">
      <formula>BQ$69="E"</formula>
    </cfRule>
  </conditionalFormatting>
  <pageMargins left="0.75" right="0.75" top="1" bottom="1" header="0.5" footer="0.5"/>
  <pageSetup paperSize="9" scale="64" orientation="landscape" r:id="rId1"/>
  <headerFooter alignWithMargins="0"/>
  <colBreaks count="1" manualBreakCount="1">
    <brk id="83" max="1048575" man="1"/>
  </col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3"/>
  <sheetViews>
    <sheetView workbookViewId="0">
      <selection activeCell="B42" sqref="B42"/>
    </sheetView>
  </sheetViews>
  <sheetFormatPr defaultRowHeight="12.75"/>
  <cols>
    <col min="1" max="1" width="29.5703125" style="588" bestFit="1" customWidth="1"/>
    <col min="2" max="2" width="19.85546875" style="736" customWidth="1"/>
    <col min="3" max="3" width="12" style="588" bestFit="1" customWidth="1"/>
    <col min="4" max="256" width="9.140625" style="588"/>
    <col min="257" max="257" width="29.5703125" style="588" bestFit="1" customWidth="1"/>
    <col min="258" max="258" width="19.85546875" style="588" customWidth="1"/>
    <col min="259" max="259" width="12" style="588" bestFit="1" customWidth="1"/>
    <col min="260" max="512" width="9.140625" style="588"/>
    <col min="513" max="513" width="29.5703125" style="588" bestFit="1" customWidth="1"/>
    <col min="514" max="514" width="19.85546875" style="588" customWidth="1"/>
    <col min="515" max="515" width="12" style="588" bestFit="1" customWidth="1"/>
    <col min="516" max="768" width="9.140625" style="588"/>
    <col min="769" max="769" width="29.5703125" style="588" bestFit="1" customWidth="1"/>
    <col min="770" max="770" width="19.85546875" style="588" customWidth="1"/>
    <col min="771" max="771" width="12" style="588" bestFit="1" customWidth="1"/>
    <col min="772" max="1024" width="9.140625" style="588"/>
    <col min="1025" max="1025" width="29.5703125" style="588" bestFit="1" customWidth="1"/>
    <col min="1026" max="1026" width="19.85546875" style="588" customWidth="1"/>
    <col min="1027" max="1027" width="12" style="588" bestFit="1" customWidth="1"/>
    <col min="1028" max="1280" width="9.140625" style="588"/>
    <col min="1281" max="1281" width="29.5703125" style="588" bestFit="1" customWidth="1"/>
    <col min="1282" max="1282" width="19.85546875" style="588" customWidth="1"/>
    <col min="1283" max="1283" width="12" style="588" bestFit="1" customWidth="1"/>
    <col min="1284" max="1536" width="9.140625" style="588"/>
    <col min="1537" max="1537" width="29.5703125" style="588" bestFit="1" customWidth="1"/>
    <col min="1538" max="1538" width="19.85546875" style="588" customWidth="1"/>
    <col min="1539" max="1539" width="12" style="588" bestFit="1" customWidth="1"/>
    <col min="1540" max="1792" width="9.140625" style="588"/>
    <col min="1793" max="1793" width="29.5703125" style="588" bestFit="1" customWidth="1"/>
    <col min="1794" max="1794" width="19.85546875" style="588" customWidth="1"/>
    <col min="1795" max="1795" width="12" style="588" bestFit="1" customWidth="1"/>
    <col min="1796" max="2048" width="9.140625" style="588"/>
    <col min="2049" max="2049" width="29.5703125" style="588" bestFit="1" customWidth="1"/>
    <col min="2050" max="2050" width="19.85546875" style="588" customWidth="1"/>
    <col min="2051" max="2051" width="12" style="588" bestFit="1" customWidth="1"/>
    <col min="2052" max="2304" width="9.140625" style="588"/>
    <col min="2305" max="2305" width="29.5703125" style="588" bestFit="1" customWidth="1"/>
    <col min="2306" max="2306" width="19.85546875" style="588" customWidth="1"/>
    <col min="2307" max="2307" width="12" style="588" bestFit="1" customWidth="1"/>
    <col min="2308" max="2560" width="9.140625" style="588"/>
    <col min="2561" max="2561" width="29.5703125" style="588" bestFit="1" customWidth="1"/>
    <col min="2562" max="2562" width="19.85546875" style="588" customWidth="1"/>
    <col min="2563" max="2563" width="12" style="588" bestFit="1" customWidth="1"/>
    <col min="2564" max="2816" width="9.140625" style="588"/>
    <col min="2817" max="2817" width="29.5703125" style="588" bestFit="1" customWidth="1"/>
    <col min="2818" max="2818" width="19.85546875" style="588" customWidth="1"/>
    <col min="2819" max="2819" width="12" style="588" bestFit="1" customWidth="1"/>
    <col min="2820" max="3072" width="9.140625" style="588"/>
    <col min="3073" max="3073" width="29.5703125" style="588" bestFit="1" customWidth="1"/>
    <col min="3074" max="3074" width="19.85546875" style="588" customWidth="1"/>
    <col min="3075" max="3075" width="12" style="588" bestFit="1" customWidth="1"/>
    <col min="3076" max="3328" width="9.140625" style="588"/>
    <col min="3329" max="3329" width="29.5703125" style="588" bestFit="1" customWidth="1"/>
    <col min="3330" max="3330" width="19.85546875" style="588" customWidth="1"/>
    <col min="3331" max="3331" width="12" style="588" bestFit="1" customWidth="1"/>
    <col min="3332" max="3584" width="9.140625" style="588"/>
    <col min="3585" max="3585" width="29.5703125" style="588" bestFit="1" customWidth="1"/>
    <col min="3586" max="3586" width="19.85546875" style="588" customWidth="1"/>
    <col min="3587" max="3587" width="12" style="588" bestFit="1" customWidth="1"/>
    <col min="3588" max="3840" width="9.140625" style="588"/>
    <col min="3841" max="3841" width="29.5703125" style="588" bestFit="1" customWidth="1"/>
    <col min="3842" max="3842" width="19.85546875" style="588" customWidth="1"/>
    <col min="3843" max="3843" width="12" style="588" bestFit="1" customWidth="1"/>
    <col min="3844" max="4096" width="9.140625" style="588"/>
    <col min="4097" max="4097" width="29.5703125" style="588" bestFit="1" customWidth="1"/>
    <col min="4098" max="4098" width="19.85546875" style="588" customWidth="1"/>
    <col min="4099" max="4099" width="12" style="588" bestFit="1" customWidth="1"/>
    <col min="4100" max="4352" width="9.140625" style="588"/>
    <col min="4353" max="4353" width="29.5703125" style="588" bestFit="1" customWidth="1"/>
    <col min="4354" max="4354" width="19.85546875" style="588" customWidth="1"/>
    <col min="4355" max="4355" width="12" style="588" bestFit="1" customWidth="1"/>
    <col min="4356" max="4608" width="9.140625" style="588"/>
    <col min="4609" max="4609" width="29.5703125" style="588" bestFit="1" customWidth="1"/>
    <col min="4610" max="4610" width="19.85546875" style="588" customWidth="1"/>
    <col min="4611" max="4611" width="12" style="588" bestFit="1" customWidth="1"/>
    <col min="4612" max="4864" width="9.140625" style="588"/>
    <col min="4865" max="4865" width="29.5703125" style="588" bestFit="1" customWidth="1"/>
    <col min="4866" max="4866" width="19.85546875" style="588" customWidth="1"/>
    <col min="4867" max="4867" width="12" style="588" bestFit="1" customWidth="1"/>
    <col min="4868" max="5120" width="9.140625" style="588"/>
    <col min="5121" max="5121" width="29.5703125" style="588" bestFit="1" customWidth="1"/>
    <col min="5122" max="5122" width="19.85546875" style="588" customWidth="1"/>
    <col min="5123" max="5123" width="12" style="588" bestFit="1" customWidth="1"/>
    <col min="5124" max="5376" width="9.140625" style="588"/>
    <col min="5377" max="5377" width="29.5703125" style="588" bestFit="1" customWidth="1"/>
    <col min="5378" max="5378" width="19.85546875" style="588" customWidth="1"/>
    <col min="5379" max="5379" width="12" style="588" bestFit="1" customWidth="1"/>
    <col min="5380" max="5632" width="9.140625" style="588"/>
    <col min="5633" max="5633" width="29.5703125" style="588" bestFit="1" customWidth="1"/>
    <col min="5634" max="5634" width="19.85546875" style="588" customWidth="1"/>
    <col min="5635" max="5635" width="12" style="588" bestFit="1" customWidth="1"/>
    <col min="5636" max="5888" width="9.140625" style="588"/>
    <col min="5889" max="5889" width="29.5703125" style="588" bestFit="1" customWidth="1"/>
    <col min="5890" max="5890" width="19.85546875" style="588" customWidth="1"/>
    <col min="5891" max="5891" width="12" style="588" bestFit="1" customWidth="1"/>
    <col min="5892" max="6144" width="9.140625" style="588"/>
    <col min="6145" max="6145" width="29.5703125" style="588" bestFit="1" customWidth="1"/>
    <col min="6146" max="6146" width="19.85546875" style="588" customWidth="1"/>
    <col min="6147" max="6147" width="12" style="588" bestFit="1" customWidth="1"/>
    <col min="6148" max="6400" width="9.140625" style="588"/>
    <col min="6401" max="6401" width="29.5703125" style="588" bestFit="1" customWidth="1"/>
    <col min="6402" max="6402" width="19.85546875" style="588" customWidth="1"/>
    <col min="6403" max="6403" width="12" style="588" bestFit="1" customWidth="1"/>
    <col min="6404" max="6656" width="9.140625" style="588"/>
    <col min="6657" max="6657" width="29.5703125" style="588" bestFit="1" customWidth="1"/>
    <col min="6658" max="6658" width="19.85546875" style="588" customWidth="1"/>
    <col min="6659" max="6659" width="12" style="588" bestFit="1" customWidth="1"/>
    <col min="6660" max="6912" width="9.140625" style="588"/>
    <col min="6913" max="6913" width="29.5703125" style="588" bestFit="1" customWidth="1"/>
    <col min="6914" max="6914" width="19.85546875" style="588" customWidth="1"/>
    <col min="6915" max="6915" width="12" style="588" bestFit="1" customWidth="1"/>
    <col min="6916" max="7168" width="9.140625" style="588"/>
    <col min="7169" max="7169" width="29.5703125" style="588" bestFit="1" customWidth="1"/>
    <col min="7170" max="7170" width="19.85546875" style="588" customWidth="1"/>
    <col min="7171" max="7171" width="12" style="588" bestFit="1" customWidth="1"/>
    <col min="7172" max="7424" width="9.140625" style="588"/>
    <col min="7425" max="7425" width="29.5703125" style="588" bestFit="1" customWidth="1"/>
    <col min="7426" max="7426" width="19.85546875" style="588" customWidth="1"/>
    <col min="7427" max="7427" width="12" style="588" bestFit="1" customWidth="1"/>
    <col min="7428" max="7680" width="9.140625" style="588"/>
    <col min="7681" max="7681" width="29.5703125" style="588" bestFit="1" customWidth="1"/>
    <col min="7682" max="7682" width="19.85546875" style="588" customWidth="1"/>
    <col min="7683" max="7683" width="12" style="588" bestFit="1" customWidth="1"/>
    <col min="7684" max="7936" width="9.140625" style="588"/>
    <col min="7937" max="7937" width="29.5703125" style="588" bestFit="1" customWidth="1"/>
    <col min="7938" max="7938" width="19.85546875" style="588" customWidth="1"/>
    <col min="7939" max="7939" width="12" style="588" bestFit="1" customWidth="1"/>
    <col min="7940" max="8192" width="9.140625" style="588"/>
    <col min="8193" max="8193" width="29.5703125" style="588" bestFit="1" customWidth="1"/>
    <col min="8194" max="8194" width="19.85546875" style="588" customWidth="1"/>
    <col min="8195" max="8195" width="12" style="588" bestFit="1" customWidth="1"/>
    <col min="8196" max="8448" width="9.140625" style="588"/>
    <col min="8449" max="8449" width="29.5703125" style="588" bestFit="1" customWidth="1"/>
    <col min="8450" max="8450" width="19.85546875" style="588" customWidth="1"/>
    <col min="8451" max="8451" width="12" style="588" bestFit="1" customWidth="1"/>
    <col min="8452" max="8704" width="9.140625" style="588"/>
    <col min="8705" max="8705" width="29.5703125" style="588" bestFit="1" customWidth="1"/>
    <col min="8706" max="8706" width="19.85546875" style="588" customWidth="1"/>
    <col min="8707" max="8707" width="12" style="588" bestFit="1" customWidth="1"/>
    <col min="8708" max="8960" width="9.140625" style="588"/>
    <col min="8961" max="8961" width="29.5703125" style="588" bestFit="1" customWidth="1"/>
    <col min="8962" max="8962" width="19.85546875" style="588" customWidth="1"/>
    <col min="8963" max="8963" width="12" style="588" bestFit="1" customWidth="1"/>
    <col min="8964" max="9216" width="9.140625" style="588"/>
    <col min="9217" max="9217" width="29.5703125" style="588" bestFit="1" customWidth="1"/>
    <col min="9218" max="9218" width="19.85546875" style="588" customWidth="1"/>
    <col min="9219" max="9219" width="12" style="588" bestFit="1" customWidth="1"/>
    <col min="9220" max="9472" width="9.140625" style="588"/>
    <col min="9473" max="9473" width="29.5703125" style="588" bestFit="1" customWidth="1"/>
    <col min="9474" max="9474" width="19.85546875" style="588" customWidth="1"/>
    <col min="9475" max="9475" width="12" style="588" bestFit="1" customWidth="1"/>
    <col min="9476" max="9728" width="9.140625" style="588"/>
    <col min="9729" max="9729" width="29.5703125" style="588" bestFit="1" customWidth="1"/>
    <col min="9730" max="9730" width="19.85546875" style="588" customWidth="1"/>
    <col min="9731" max="9731" width="12" style="588" bestFit="1" customWidth="1"/>
    <col min="9732" max="9984" width="9.140625" style="588"/>
    <col min="9985" max="9985" width="29.5703125" style="588" bestFit="1" customWidth="1"/>
    <col min="9986" max="9986" width="19.85546875" style="588" customWidth="1"/>
    <col min="9987" max="9987" width="12" style="588" bestFit="1" customWidth="1"/>
    <col min="9988" max="10240" width="9.140625" style="588"/>
    <col min="10241" max="10241" width="29.5703125" style="588" bestFit="1" customWidth="1"/>
    <col min="10242" max="10242" width="19.85546875" style="588" customWidth="1"/>
    <col min="10243" max="10243" width="12" style="588" bestFit="1" customWidth="1"/>
    <col min="10244" max="10496" width="9.140625" style="588"/>
    <col min="10497" max="10497" width="29.5703125" style="588" bestFit="1" customWidth="1"/>
    <col min="10498" max="10498" width="19.85546875" style="588" customWidth="1"/>
    <col min="10499" max="10499" width="12" style="588" bestFit="1" customWidth="1"/>
    <col min="10500" max="10752" width="9.140625" style="588"/>
    <col min="10753" max="10753" width="29.5703125" style="588" bestFit="1" customWidth="1"/>
    <col min="10754" max="10754" width="19.85546875" style="588" customWidth="1"/>
    <col min="10755" max="10755" width="12" style="588" bestFit="1" customWidth="1"/>
    <col min="10756" max="11008" width="9.140625" style="588"/>
    <col min="11009" max="11009" width="29.5703125" style="588" bestFit="1" customWidth="1"/>
    <col min="11010" max="11010" width="19.85546875" style="588" customWidth="1"/>
    <col min="11011" max="11011" width="12" style="588" bestFit="1" customWidth="1"/>
    <col min="11012" max="11264" width="9.140625" style="588"/>
    <col min="11265" max="11265" width="29.5703125" style="588" bestFit="1" customWidth="1"/>
    <col min="11266" max="11266" width="19.85546875" style="588" customWidth="1"/>
    <col min="11267" max="11267" width="12" style="588" bestFit="1" customWidth="1"/>
    <col min="11268" max="11520" width="9.140625" style="588"/>
    <col min="11521" max="11521" width="29.5703125" style="588" bestFit="1" customWidth="1"/>
    <col min="11522" max="11522" width="19.85546875" style="588" customWidth="1"/>
    <col min="11523" max="11523" width="12" style="588" bestFit="1" customWidth="1"/>
    <col min="11524" max="11776" width="9.140625" style="588"/>
    <col min="11777" max="11777" width="29.5703125" style="588" bestFit="1" customWidth="1"/>
    <col min="11778" max="11778" width="19.85546875" style="588" customWidth="1"/>
    <col min="11779" max="11779" width="12" style="588" bestFit="1" customWidth="1"/>
    <col min="11780" max="12032" width="9.140625" style="588"/>
    <col min="12033" max="12033" width="29.5703125" style="588" bestFit="1" customWidth="1"/>
    <col min="12034" max="12034" width="19.85546875" style="588" customWidth="1"/>
    <col min="12035" max="12035" width="12" style="588" bestFit="1" customWidth="1"/>
    <col min="12036" max="12288" width="9.140625" style="588"/>
    <col min="12289" max="12289" width="29.5703125" style="588" bestFit="1" customWidth="1"/>
    <col min="12290" max="12290" width="19.85546875" style="588" customWidth="1"/>
    <col min="12291" max="12291" width="12" style="588" bestFit="1" customWidth="1"/>
    <col min="12292" max="12544" width="9.140625" style="588"/>
    <col min="12545" max="12545" width="29.5703125" style="588" bestFit="1" customWidth="1"/>
    <col min="12546" max="12546" width="19.85546875" style="588" customWidth="1"/>
    <col min="12547" max="12547" width="12" style="588" bestFit="1" customWidth="1"/>
    <col min="12548" max="12800" width="9.140625" style="588"/>
    <col min="12801" max="12801" width="29.5703125" style="588" bestFit="1" customWidth="1"/>
    <col min="12802" max="12802" width="19.85546875" style="588" customWidth="1"/>
    <col min="12803" max="12803" width="12" style="588" bestFit="1" customWidth="1"/>
    <col min="12804" max="13056" width="9.140625" style="588"/>
    <col min="13057" max="13057" width="29.5703125" style="588" bestFit="1" customWidth="1"/>
    <col min="13058" max="13058" width="19.85546875" style="588" customWidth="1"/>
    <col min="13059" max="13059" width="12" style="588" bestFit="1" customWidth="1"/>
    <col min="13060" max="13312" width="9.140625" style="588"/>
    <col min="13313" max="13313" width="29.5703125" style="588" bestFit="1" customWidth="1"/>
    <col min="13314" max="13314" width="19.85546875" style="588" customWidth="1"/>
    <col min="13315" max="13315" width="12" style="588" bestFit="1" customWidth="1"/>
    <col min="13316" max="13568" width="9.140625" style="588"/>
    <col min="13569" max="13569" width="29.5703125" style="588" bestFit="1" customWidth="1"/>
    <col min="13570" max="13570" width="19.85546875" style="588" customWidth="1"/>
    <col min="13571" max="13571" width="12" style="588" bestFit="1" customWidth="1"/>
    <col min="13572" max="13824" width="9.140625" style="588"/>
    <col min="13825" max="13825" width="29.5703125" style="588" bestFit="1" customWidth="1"/>
    <col min="13826" max="13826" width="19.85546875" style="588" customWidth="1"/>
    <col min="13827" max="13827" width="12" style="588" bestFit="1" customWidth="1"/>
    <col min="13828" max="14080" width="9.140625" style="588"/>
    <col min="14081" max="14081" width="29.5703125" style="588" bestFit="1" customWidth="1"/>
    <col min="14082" max="14082" width="19.85546875" style="588" customWidth="1"/>
    <col min="14083" max="14083" width="12" style="588" bestFit="1" customWidth="1"/>
    <col min="14084" max="14336" width="9.140625" style="588"/>
    <col min="14337" max="14337" width="29.5703125" style="588" bestFit="1" customWidth="1"/>
    <col min="14338" max="14338" width="19.85546875" style="588" customWidth="1"/>
    <col min="14339" max="14339" width="12" style="588" bestFit="1" customWidth="1"/>
    <col min="14340" max="14592" width="9.140625" style="588"/>
    <col min="14593" max="14593" width="29.5703125" style="588" bestFit="1" customWidth="1"/>
    <col min="14594" max="14594" width="19.85546875" style="588" customWidth="1"/>
    <col min="14595" max="14595" width="12" style="588" bestFit="1" customWidth="1"/>
    <col min="14596" max="14848" width="9.140625" style="588"/>
    <col min="14849" max="14849" width="29.5703125" style="588" bestFit="1" customWidth="1"/>
    <col min="14850" max="14850" width="19.85546875" style="588" customWidth="1"/>
    <col min="14851" max="14851" width="12" style="588" bestFit="1" customWidth="1"/>
    <col min="14852" max="15104" width="9.140625" style="588"/>
    <col min="15105" max="15105" width="29.5703125" style="588" bestFit="1" customWidth="1"/>
    <col min="15106" max="15106" width="19.85546875" style="588" customWidth="1"/>
    <col min="15107" max="15107" width="12" style="588" bestFit="1" customWidth="1"/>
    <col min="15108" max="15360" width="9.140625" style="588"/>
    <col min="15361" max="15361" width="29.5703125" style="588" bestFit="1" customWidth="1"/>
    <col min="15362" max="15362" width="19.85546875" style="588" customWidth="1"/>
    <col min="15363" max="15363" width="12" style="588" bestFit="1" customWidth="1"/>
    <col min="15364" max="15616" width="9.140625" style="588"/>
    <col min="15617" max="15617" width="29.5703125" style="588" bestFit="1" customWidth="1"/>
    <col min="15618" max="15618" width="19.85546875" style="588" customWidth="1"/>
    <col min="15619" max="15619" width="12" style="588" bestFit="1" customWidth="1"/>
    <col min="15620" max="15872" width="9.140625" style="588"/>
    <col min="15873" max="15873" width="29.5703125" style="588" bestFit="1" customWidth="1"/>
    <col min="15874" max="15874" width="19.85546875" style="588" customWidth="1"/>
    <col min="15875" max="15875" width="12" style="588" bestFit="1" customWidth="1"/>
    <col min="15876" max="16128" width="9.140625" style="588"/>
    <col min="16129" max="16129" width="29.5703125" style="588" bestFit="1" customWidth="1"/>
    <col min="16130" max="16130" width="19.85546875" style="588" customWidth="1"/>
    <col min="16131" max="16131" width="12" style="588" bestFit="1" customWidth="1"/>
    <col min="16132" max="16384" width="9.140625" style="588"/>
  </cols>
  <sheetData>
    <row r="1" spans="1:2">
      <c r="A1" s="588" t="s">
        <v>801</v>
      </c>
      <c r="B1" s="735">
        <v>6.1</v>
      </c>
    </row>
    <row r="2" spans="1:2">
      <c r="A2" s="588" t="s">
        <v>802</v>
      </c>
      <c r="B2" s="739">
        <v>43167.896111111113</v>
      </c>
    </row>
    <row r="3" spans="1:2">
      <c r="A3" s="588" t="s">
        <v>803</v>
      </c>
      <c r="B3" s="736" t="s">
        <v>505</v>
      </c>
    </row>
    <row r="4" spans="1:2">
      <c r="A4" s="588" t="s">
        <v>804</v>
      </c>
      <c r="B4" s="736" t="s">
        <v>283</v>
      </c>
    </row>
    <row r="5" spans="1:2">
      <c r="A5" s="588" t="s">
        <v>805</v>
      </c>
      <c r="B5" s="736" t="s">
        <v>806</v>
      </c>
    </row>
    <row r="6" spans="1:2">
      <c r="A6" s="588" t="s">
        <v>807</v>
      </c>
    </row>
    <row r="7" spans="1:2">
      <c r="A7" s="588" t="s">
        <v>808</v>
      </c>
      <c r="B7" s="736" t="s">
        <v>204</v>
      </c>
    </row>
    <row r="8" spans="1:2">
      <c r="A8" s="588" t="s">
        <v>809</v>
      </c>
      <c r="B8" s="736" t="s">
        <v>810</v>
      </c>
    </row>
    <row r="9" spans="1:2">
      <c r="A9" s="588" t="s">
        <v>811</v>
      </c>
      <c r="B9" s="736" t="s">
        <v>848</v>
      </c>
    </row>
    <row r="10" spans="1:2">
      <c r="A10" s="588" t="s">
        <v>812</v>
      </c>
    </row>
    <row r="11" spans="1:2">
      <c r="A11" s="588" t="s">
        <v>813</v>
      </c>
    </row>
    <row r="12" spans="1:2">
      <c r="A12" s="588" t="s">
        <v>814</v>
      </c>
    </row>
    <row r="13" spans="1:2">
      <c r="A13" s="588" t="s">
        <v>815</v>
      </c>
    </row>
    <row r="14" spans="1:2">
      <c r="A14" s="588" t="s">
        <v>816</v>
      </c>
    </row>
    <row r="15" spans="1:2">
      <c r="A15" s="588" t="s">
        <v>817</v>
      </c>
    </row>
    <row r="16" spans="1:2">
      <c r="A16" s="588" t="s">
        <v>818</v>
      </c>
    </row>
    <row r="17" spans="1:4">
      <c r="A17" s="588" t="s">
        <v>819</v>
      </c>
      <c r="B17" s="736" t="s">
        <v>849</v>
      </c>
    </row>
    <row r="18" spans="1:4">
      <c r="A18" s="588" t="s">
        <v>820</v>
      </c>
      <c r="B18" s="736" t="s">
        <v>852</v>
      </c>
    </row>
    <row r="19" spans="1:4">
      <c r="A19" s="588" t="s">
        <v>821</v>
      </c>
      <c r="B19" s="736" t="s">
        <v>203</v>
      </c>
    </row>
    <row r="20" spans="1:4">
      <c r="A20" s="588" t="s">
        <v>822</v>
      </c>
      <c r="B20" s="737" t="s">
        <v>853</v>
      </c>
    </row>
    <row r="21" spans="1:4">
      <c r="A21" s="588" t="s">
        <v>823</v>
      </c>
      <c r="B21" s="736" t="s">
        <v>203</v>
      </c>
    </row>
    <row r="22" spans="1:4">
      <c r="A22" s="588" t="s">
        <v>824</v>
      </c>
      <c r="B22" s="737">
        <v>2594653</v>
      </c>
    </row>
    <row r="23" spans="1:4">
      <c r="A23" s="588" t="s">
        <v>281</v>
      </c>
      <c r="B23" s="735">
        <v>24.3</v>
      </c>
    </row>
    <row r="24" spans="1:4">
      <c r="A24" s="588" t="s">
        <v>280</v>
      </c>
      <c r="B24" s="736" t="s">
        <v>202</v>
      </c>
      <c r="D24" s="588" t="s">
        <v>306</v>
      </c>
    </row>
    <row r="25" spans="1:4">
      <c r="A25" s="588" t="s">
        <v>825</v>
      </c>
      <c r="B25" s="736" t="s">
        <v>854</v>
      </c>
    </row>
    <row r="26" spans="1:4">
      <c r="A26" s="588" t="s">
        <v>826</v>
      </c>
      <c r="B26" s="736">
        <v>0</v>
      </c>
    </row>
    <row r="27" spans="1:4">
      <c r="A27" s="588" t="s">
        <v>827</v>
      </c>
      <c r="B27" s="736" t="s">
        <v>828</v>
      </c>
    </row>
    <row r="28" spans="1:4">
      <c r="A28" s="588" t="s">
        <v>829</v>
      </c>
      <c r="B28" s="736" t="s">
        <v>830</v>
      </c>
    </row>
    <row r="29" spans="1:4">
      <c r="A29" s="588" t="s">
        <v>831</v>
      </c>
    </row>
    <row r="30" spans="1:4">
      <c r="A30" s="588" t="s">
        <v>832</v>
      </c>
    </row>
    <row r="31" spans="1:4">
      <c r="A31" s="588" t="s">
        <v>833</v>
      </c>
    </row>
    <row r="32" spans="1:4">
      <c r="A32" s="588" t="s">
        <v>834</v>
      </c>
      <c r="B32" s="735"/>
    </row>
    <row r="33" spans="1:2">
      <c r="A33" s="588" t="s">
        <v>835</v>
      </c>
      <c r="B33" s="735"/>
    </row>
    <row r="34" spans="1:2">
      <c r="A34" s="588" t="s">
        <v>836</v>
      </c>
      <c r="B34" s="735"/>
    </row>
    <row r="35" spans="1:2">
      <c r="A35" s="588" t="s">
        <v>837</v>
      </c>
      <c r="B35" s="736">
        <v>1000000</v>
      </c>
    </row>
    <row r="36" spans="1:2">
      <c r="A36" s="588" t="s">
        <v>838</v>
      </c>
      <c r="B36" s="736" t="s">
        <v>850</v>
      </c>
    </row>
    <row r="37" spans="1:2">
      <c r="A37" s="588" t="s">
        <v>839</v>
      </c>
      <c r="B37" s="736" t="s">
        <v>840</v>
      </c>
    </row>
    <row r="38" spans="1:2">
      <c r="A38" s="588" t="s">
        <v>841</v>
      </c>
      <c r="B38" s="736" t="s">
        <v>842</v>
      </c>
    </row>
    <row r="39" spans="1:2">
      <c r="A39" s="588" t="s">
        <v>843</v>
      </c>
      <c r="B39" s="736" t="s">
        <v>851</v>
      </c>
    </row>
    <row r="40" spans="1:2">
      <c r="A40" s="588" t="s">
        <v>844</v>
      </c>
      <c r="B40" s="736">
        <v>1500000092</v>
      </c>
    </row>
    <row r="41" spans="1:2">
      <c r="A41" s="588" t="s">
        <v>845</v>
      </c>
      <c r="B41" s="736">
        <v>1</v>
      </c>
    </row>
    <row r="42" spans="1:2">
      <c r="A42" s="738" t="s">
        <v>846</v>
      </c>
      <c r="B42" s="736" t="s">
        <v>855</v>
      </c>
    </row>
    <row r="43" spans="1:2">
      <c r="A43" s="588" t="s">
        <v>847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3"/>
  <sheetViews>
    <sheetView workbookViewId="0">
      <selection activeCell="E11" sqref="E11"/>
    </sheetView>
  </sheetViews>
  <sheetFormatPr defaultRowHeight="12.75"/>
  <cols>
    <col min="1" max="1" width="28.5703125" style="588" bestFit="1" customWidth="1"/>
    <col min="2" max="256" width="9.140625" style="588"/>
    <col min="257" max="257" width="28.5703125" style="588" bestFit="1" customWidth="1"/>
    <col min="258" max="512" width="9.140625" style="588"/>
    <col min="513" max="513" width="28.5703125" style="588" bestFit="1" customWidth="1"/>
    <col min="514" max="768" width="9.140625" style="588"/>
    <col min="769" max="769" width="28.5703125" style="588" bestFit="1" customWidth="1"/>
    <col min="770" max="1024" width="9.140625" style="588"/>
    <col min="1025" max="1025" width="28.5703125" style="588" bestFit="1" customWidth="1"/>
    <col min="1026" max="1280" width="9.140625" style="588"/>
    <col min="1281" max="1281" width="28.5703125" style="588" bestFit="1" customWidth="1"/>
    <col min="1282" max="1536" width="9.140625" style="588"/>
    <col min="1537" max="1537" width="28.5703125" style="588" bestFit="1" customWidth="1"/>
    <col min="1538" max="1792" width="9.140625" style="588"/>
    <col min="1793" max="1793" width="28.5703125" style="588" bestFit="1" customWidth="1"/>
    <col min="1794" max="2048" width="9.140625" style="588"/>
    <col min="2049" max="2049" width="28.5703125" style="588" bestFit="1" customWidth="1"/>
    <col min="2050" max="2304" width="9.140625" style="588"/>
    <col min="2305" max="2305" width="28.5703125" style="588" bestFit="1" customWidth="1"/>
    <col min="2306" max="2560" width="9.140625" style="588"/>
    <col min="2561" max="2561" width="28.5703125" style="588" bestFit="1" customWidth="1"/>
    <col min="2562" max="2816" width="9.140625" style="588"/>
    <col min="2817" max="2817" width="28.5703125" style="588" bestFit="1" customWidth="1"/>
    <col min="2818" max="3072" width="9.140625" style="588"/>
    <col min="3073" max="3073" width="28.5703125" style="588" bestFit="1" customWidth="1"/>
    <col min="3074" max="3328" width="9.140625" style="588"/>
    <col min="3329" max="3329" width="28.5703125" style="588" bestFit="1" customWidth="1"/>
    <col min="3330" max="3584" width="9.140625" style="588"/>
    <col min="3585" max="3585" width="28.5703125" style="588" bestFit="1" customWidth="1"/>
    <col min="3586" max="3840" width="9.140625" style="588"/>
    <col min="3841" max="3841" width="28.5703125" style="588" bestFit="1" customWidth="1"/>
    <col min="3842" max="4096" width="9.140625" style="588"/>
    <col min="4097" max="4097" width="28.5703125" style="588" bestFit="1" customWidth="1"/>
    <col min="4098" max="4352" width="9.140625" style="588"/>
    <col min="4353" max="4353" width="28.5703125" style="588" bestFit="1" customWidth="1"/>
    <col min="4354" max="4608" width="9.140625" style="588"/>
    <col min="4609" max="4609" width="28.5703125" style="588" bestFit="1" customWidth="1"/>
    <col min="4610" max="4864" width="9.140625" style="588"/>
    <col min="4865" max="4865" width="28.5703125" style="588" bestFit="1" customWidth="1"/>
    <col min="4866" max="5120" width="9.140625" style="588"/>
    <col min="5121" max="5121" width="28.5703125" style="588" bestFit="1" customWidth="1"/>
    <col min="5122" max="5376" width="9.140625" style="588"/>
    <col min="5377" max="5377" width="28.5703125" style="588" bestFit="1" customWidth="1"/>
    <col min="5378" max="5632" width="9.140625" style="588"/>
    <col min="5633" max="5633" width="28.5703125" style="588" bestFit="1" customWidth="1"/>
    <col min="5634" max="5888" width="9.140625" style="588"/>
    <col min="5889" max="5889" width="28.5703125" style="588" bestFit="1" customWidth="1"/>
    <col min="5890" max="6144" width="9.140625" style="588"/>
    <col min="6145" max="6145" width="28.5703125" style="588" bestFit="1" customWidth="1"/>
    <col min="6146" max="6400" width="9.140625" style="588"/>
    <col min="6401" max="6401" width="28.5703125" style="588" bestFit="1" customWidth="1"/>
    <col min="6402" max="6656" width="9.140625" style="588"/>
    <col min="6657" max="6657" width="28.5703125" style="588" bestFit="1" customWidth="1"/>
    <col min="6658" max="6912" width="9.140625" style="588"/>
    <col min="6913" max="6913" width="28.5703125" style="588" bestFit="1" customWidth="1"/>
    <col min="6914" max="7168" width="9.140625" style="588"/>
    <col min="7169" max="7169" width="28.5703125" style="588" bestFit="1" customWidth="1"/>
    <col min="7170" max="7424" width="9.140625" style="588"/>
    <col min="7425" max="7425" width="28.5703125" style="588" bestFit="1" customWidth="1"/>
    <col min="7426" max="7680" width="9.140625" style="588"/>
    <col min="7681" max="7681" width="28.5703125" style="588" bestFit="1" customWidth="1"/>
    <col min="7682" max="7936" width="9.140625" style="588"/>
    <col min="7937" max="7937" width="28.5703125" style="588" bestFit="1" customWidth="1"/>
    <col min="7938" max="8192" width="9.140625" style="588"/>
    <col min="8193" max="8193" width="28.5703125" style="588" bestFit="1" customWidth="1"/>
    <col min="8194" max="8448" width="9.140625" style="588"/>
    <col min="8449" max="8449" width="28.5703125" style="588" bestFit="1" customWidth="1"/>
    <col min="8450" max="8704" width="9.140625" style="588"/>
    <col min="8705" max="8705" width="28.5703125" style="588" bestFit="1" customWidth="1"/>
    <col min="8706" max="8960" width="9.140625" style="588"/>
    <col min="8961" max="8961" width="28.5703125" style="588" bestFit="1" customWidth="1"/>
    <col min="8962" max="9216" width="9.140625" style="588"/>
    <col min="9217" max="9217" width="28.5703125" style="588" bestFit="1" customWidth="1"/>
    <col min="9218" max="9472" width="9.140625" style="588"/>
    <col min="9473" max="9473" width="28.5703125" style="588" bestFit="1" customWidth="1"/>
    <col min="9474" max="9728" width="9.140625" style="588"/>
    <col min="9729" max="9729" width="28.5703125" style="588" bestFit="1" customWidth="1"/>
    <col min="9730" max="9984" width="9.140625" style="588"/>
    <col min="9985" max="9985" width="28.5703125" style="588" bestFit="1" customWidth="1"/>
    <col min="9986" max="10240" width="9.140625" style="588"/>
    <col min="10241" max="10241" width="28.5703125" style="588" bestFit="1" customWidth="1"/>
    <col min="10242" max="10496" width="9.140625" style="588"/>
    <col min="10497" max="10497" width="28.5703125" style="588" bestFit="1" customWidth="1"/>
    <col min="10498" max="10752" width="9.140625" style="588"/>
    <col min="10753" max="10753" width="28.5703125" style="588" bestFit="1" customWidth="1"/>
    <col min="10754" max="11008" width="9.140625" style="588"/>
    <col min="11009" max="11009" width="28.5703125" style="588" bestFit="1" customWidth="1"/>
    <col min="11010" max="11264" width="9.140625" style="588"/>
    <col min="11265" max="11265" width="28.5703125" style="588" bestFit="1" customWidth="1"/>
    <col min="11266" max="11520" width="9.140625" style="588"/>
    <col min="11521" max="11521" width="28.5703125" style="588" bestFit="1" customWidth="1"/>
    <col min="11522" max="11776" width="9.140625" style="588"/>
    <col min="11777" max="11777" width="28.5703125" style="588" bestFit="1" customWidth="1"/>
    <col min="11778" max="12032" width="9.140625" style="588"/>
    <col min="12033" max="12033" width="28.5703125" style="588" bestFit="1" customWidth="1"/>
    <col min="12034" max="12288" width="9.140625" style="588"/>
    <col min="12289" max="12289" width="28.5703125" style="588" bestFit="1" customWidth="1"/>
    <col min="12290" max="12544" width="9.140625" style="588"/>
    <col min="12545" max="12545" width="28.5703125" style="588" bestFit="1" customWidth="1"/>
    <col min="12546" max="12800" width="9.140625" style="588"/>
    <col min="12801" max="12801" width="28.5703125" style="588" bestFit="1" customWidth="1"/>
    <col min="12802" max="13056" width="9.140625" style="588"/>
    <col min="13057" max="13057" width="28.5703125" style="588" bestFit="1" customWidth="1"/>
    <col min="13058" max="13312" width="9.140625" style="588"/>
    <col min="13313" max="13313" width="28.5703125" style="588" bestFit="1" customWidth="1"/>
    <col min="13314" max="13568" width="9.140625" style="588"/>
    <col min="13569" max="13569" width="28.5703125" style="588" bestFit="1" customWidth="1"/>
    <col min="13570" max="13824" width="9.140625" style="588"/>
    <col min="13825" max="13825" width="28.5703125" style="588" bestFit="1" customWidth="1"/>
    <col min="13826" max="14080" width="9.140625" style="588"/>
    <col min="14081" max="14081" width="28.5703125" style="588" bestFit="1" customWidth="1"/>
    <col min="14082" max="14336" width="9.140625" style="588"/>
    <col min="14337" max="14337" width="28.5703125" style="588" bestFit="1" customWidth="1"/>
    <col min="14338" max="14592" width="9.140625" style="588"/>
    <col min="14593" max="14593" width="28.5703125" style="588" bestFit="1" customWidth="1"/>
    <col min="14594" max="14848" width="9.140625" style="588"/>
    <col min="14849" max="14849" width="28.5703125" style="588" bestFit="1" customWidth="1"/>
    <col min="14850" max="15104" width="9.140625" style="588"/>
    <col min="15105" max="15105" width="28.5703125" style="588" bestFit="1" customWidth="1"/>
    <col min="15106" max="15360" width="9.140625" style="588"/>
    <col min="15361" max="15361" width="28.5703125" style="588" bestFit="1" customWidth="1"/>
    <col min="15362" max="15616" width="9.140625" style="588"/>
    <col min="15617" max="15617" width="28.5703125" style="588" bestFit="1" customWidth="1"/>
    <col min="15618" max="15872" width="9.140625" style="588"/>
    <col min="15873" max="15873" width="28.5703125" style="588" bestFit="1" customWidth="1"/>
    <col min="15874" max="16128" width="9.140625" style="588"/>
    <col min="16129" max="16129" width="28.5703125" style="588" bestFit="1" customWidth="1"/>
    <col min="16130" max="16384" width="9.140625" style="588"/>
  </cols>
  <sheetData>
    <row r="1" spans="1:1">
      <c r="A1" s="740" t="s">
        <v>856</v>
      </c>
    </row>
    <row r="2" spans="1:1">
      <c r="A2" s="740" t="s">
        <v>861</v>
      </c>
    </row>
    <row r="3" spans="1:1">
      <c r="A3" s="740" t="s">
        <v>862</v>
      </c>
    </row>
    <row r="4" spans="1:1">
      <c r="A4" s="740" t="s">
        <v>863</v>
      </c>
    </row>
    <row r="5" spans="1:1">
      <c r="A5" s="740" t="s">
        <v>864</v>
      </c>
    </row>
    <row r="6" spans="1:1">
      <c r="A6" s="740" t="s">
        <v>857</v>
      </c>
    </row>
    <row r="7" spans="1:1">
      <c r="A7" s="740" t="s">
        <v>865</v>
      </c>
    </row>
    <row r="8" spans="1:1">
      <c r="A8" s="740" t="s">
        <v>866</v>
      </c>
    </row>
    <row r="9" spans="1:1">
      <c r="A9" s="740" t="s">
        <v>867</v>
      </c>
    </row>
    <row r="10" spans="1:1">
      <c r="A10" s="740" t="s">
        <v>858</v>
      </c>
    </row>
    <row r="11" spans="1:1">
      <c r="A11" s="740" t="s">
        <v>868</v>
      </c>
    </row>
    <row r="12" spans="1:1">
      <c r="A12" s="740" t="s">
        <v>859</v>
      </c>
    </row>
    <row r="13" spans="1:1">
      <c r="A13" s="740" t="s">
        <v>860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"/>
  <sheetViews>
    <sheetView workbookViewId="0"/>
  </sheetViews>
  <sheetFormatPr defaultRowHeight="12.75"/>
  <sheetData>
    <row r="1" spans="1:2">
      <c r="B1" t="s">
        <v>296</v>
      </c>
    </row>
  </sheetData>
  <phoneticPr fontId="17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>
  <Link>
    <GUID>f1407228-1b85-425b-b615-9e006e8aed02</GUID>
    <SOURCE_ALTADDRESS>$B$5:$J$35</SOURCE_ALTADDRESS>
    <SOURCETYPE>Table</SOURCETYPE>
    <SOURCE_OBJECTNAME>Linking_Range_10</SOURCE_OBJECTNAME>
    <OBJECTTYPE>Native</OBJECTTYPE>
    <SOURCE_SHEETCODE>Sheet16</SOURCE_SHEETCODE>
    <SOURCE_SHEETNAME>QoQ Comp</SOURCE_SHEETNAME>
    <SOURCEAPPLICATION>EXCEL_SOURCE</SOURCEAPPLICATION>
    <UPDATEDAT>11/20/2014 9:05:55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/MSResearch/Content/ExternalAssets/2014-11/Images/lQ89ZDjTUCoejECCYqVhw--.png</TARGET_BINARYFULLNAME>
    <TARGET_STORYFULLNAME>/MSResearch/Content/ExternalAssets/2014-11/Sections/20141120_090549_Linking_Range_1.xml</TARGET_STORYFULLNAME>
    <TARGET_UUID>e9f85b48-7122-11e4-b96b-b695013ce2f8</TARGET_UUID>
  </Link>
  <Link>
    <GUID>ff1fea76-75b5-4bac-88a1-a76f7cd25efb</GUID>
    <SOURCE_ALTADDRESS>$C$9:$L$28</SOURCE_ALTADDRESS>
    <SOURCETYPE>Table</SOURCETYPE>
    <SOURCE_OBJECTNAME>Linking_Range_26</SOURCE_OBJECTNAME>
    <OBJECTTYPE>Native</OBJECTTYPE>
    <SOURCE_SHEETCODE>Sheet18</SOURCE_SHEETCODE>
    <SOURCE_SHEETNAME>Snapshot</SOURCE_SHEETNAME>
    <SOURCEAPPLICATION>EXCEL_SOURCE</SOURCEAPPLICATION>
    <UPDATEDAT>11/21/2014 12:06:28 AM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/MSResearch/Content/ExternalAssets/2014-11/Images/5nPA96scwOOjrryFWGZkA--.png</TARGET_BINARYFULLNAME>
    <TARGET_STORYFULLNAME>/MSResearch/Content/ExternalAssets/2014-11/Sections/20141120_090647_Linking_Range_26.xml</TARGET_STORYFULLNAME>
    <TARGET_UUID>0e417a7a-7123-11e4-b96b-b695013ce2f8</TARGET_UUID>
    <LINKSTATUS>Unknown</LINKSTATUS>
  </Link>
  <Link>
    <GUID>6ef0e9a3-ddc3-45a4-a555-97bc27ca5eb9</GUID>
    <SOURCE_ALTADDRESS>$B$7:$BP$43</SOURCE_ALTADDRESS>
    <SOURCETYPE>Table</SOURCETYPE>
    <SOURCE_OBJECTNAME>Linking_Range_22</SOURCE_OBJECTNAME>
    <OBJECTTYPE>Native</OBJECTTYPE>
    <SOURCE_SHEETCODE>Sheet2</SOURCE_SHEETCODE>
    <SOURCE_SHEETNAME>BS</SOURCE_SHEETNAME>
    <SOURCEAPPLICATION>EXCEL_SOURCE</SOURCEAPPLICATION>
    <UPDATEDAT>1/12/2015 7:56:12 AM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/MSResearch/Content/ExternalAssets/2015-01/Images/cLjdkTOi7U6EfSRO3Qszg--.png</TARGET_BINARYFULLNAME>
    <TARGET_STORYFULLNAME>/MSResearch/Content/ExternalAssets/2015-01/Sections/20150112_075610_Linking_Range_22.xml</TARGET_STORYFULLNAME>
    <TARGET_UUID>618030c2-9a5a-11e4-9edc-4fa5ec7c1f73</TARGET_UUID>
  </Link>
  <Link>
    <GUID>7d4d7b25-5abb-410d-9cf2-714750a454bd</GUID>
    <SOURCE_ALTADDRESS>$B$7:$BP$49</SOURCE_ALTADDRESS>
    <SOURCETYPE>Table</SOURCETYPE>
    <SOURCE_OBJECTNAME>Linking_Range_23</SOURCE_OBJECTNAME>
    <OBJECTTYPE>Native</OBJECTTYPE>
    <SOURCE_SHEETCODE>Sheet3</SOURCE_SHEETCODE>
    <SOURCE_SHEETNAME>CFS</SOURCE_SHEETNAME>
    <SOURCEAPPLICATION>EXCEL_SOURCE</SOURCEAPPLICATION>
    <UPDATEDAT>1/12/2015 7:56:48 AM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/MSResearch/Content/ExternalAssets/2015-01/Images/Jpd6dyCr7keaHH2QSIgbjQ--.png</TARGET_BINARYFULLNAME>
    <TARGET_STORYFULLNAME>/MSResearch/Content/ExternalAssets/2015-01/Sections/20150112_075646_Linking_Range_23.xml</TARGET_STORYFULLNAME>
    <TARGET_UUID>7770a966-9a5a-11e4-9edc-4fa5ec7c1f73</TARGET_UUID>
  </Link>
  <Link>
    <GUID>f51a814a-f656-4179-89bd-83e763801393</GUID>
    <SOURCE_ALTADDRESS>$C$9:$L$19</SOURCE_ALTADDRESS>
    <SOURCETYPE>Table</SOURCETYPE>
    <SOURCE_OBJECTNAME>Linking_Range_29</SOURCE_OBJECTNAME>
    <OBJECTTYPE>Native</OBJECTTYPE>
    <SOURCE_SHEETCODE>Sheet18</SOURCE_SHEETCODE>
    <SOURCE_SHEETNAME>Snapshot</SOURCE_SHEETNAME>
    <SOURCEAPPLICATION>EXCEL_SOURCE</SOURCEAPPLICATION>
    <UPDATEDAT>2/19/2015 7:41:22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/MSResearch/Content/ExternalAssets/2015-02/Images/Y5NDRFg4fESW94Lr5Fz8Hw--.png</TARGET_BINARYFULLNAME>
    <TARGET_STORYFULLNAME>/MSResearch/Content/ExternalAssets/2015-02/Sections/20150219_074118_Linking_Range_29.xml</TARGET_STORYFULLNAME>
    <TARGET_UUID>2ee0fa90-b899-11e4-8ffc-fa1973025087</TARGET_UUID>
  </Link>
  <Link>
    <GUID>0c3d8047-ef8c-48bd-8df3-056776437fb5</GUID>
    <SOURCE_ALTADDRESS>$C$21:$I$28</SOURCE_ALTADDRESS>
    <SOURCETYPE>Table</SOURCETYPE>
    <SOURCE_OBJECTNAME>Linking_Range_30</SOURCE_OBJECTNAME>
    <OBJECTTYPE>Native</OBJECTTYPE>
    <SOURCE_SHEETCODE>Sheet18</SOURCE_SHEETCODE>
    <SOURCE_SHEETNAME>Snapshot</SOURCE_SHEETNAME>
    <SOURCEAPPLICATION>EXCEL_SOURCE</SOURCEAPPLICATION>
    <UPDATEDAT>2/19/2015 7:41:48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/MSResearch/Content/ExternalAssets/2015-02/Images/P78xUt8N2kO_dlnUpDRqJw--.png</TARGET_BINARYFULLNAME>
    <TARGET_STORYFULLNAME>/MSResearch/Content/ExternalAssets/2015-02/Sections/20150219_074144_Linking_Range_3.xml</TARGET_STORYFULLNAME>
    <TARGET_UUID>3eb4bf74-b899-11e4-8ffc-fa1973025087</TARGET_UUID>
  </Link>
  <Link>
    <GUID>b14d9b71-025b-44e4-bdb7-9de9c13a4b8c</GUID>
    <SOURCE_ALTADDRESS>$B$7:$BQ$43</SOURCE_ALTADDRESS>
    <SOURCETYPE>Table</SOURCETYPE>
    <SOURCE_OBJECTNAME>Linking_Range_16</SOURCE_OBJECTNAME>
    <OBJECTTYPE>Native</OBJECTTYPE>
    <SOURCE_SHEETCODE>Sheet2</SOURCE_SHEETCODE>
    <SOURCE_SHEETNAME>BS</SOURCE_SHEETNAME>
    <SOURCEAPPLICATION>EXCEL_SOURCE</SOURCEAPPLICATION>
    <UPDATEDAT>2/19/2015 7:46:04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/MSResearch/Content/ExternalAssets/2014-11/Images/D2R-UvFOi2bZXORnUHnzA--.png</TARGET_BINARYFULLNAME>
    <TARGET_STORYFULLNAME>/MSResearch/Content/ExternalAssets/2014-11/Sections/20141120_092354_Linking_Range_16.xml</TARGET_STORYFULLNAME>
    <TARGET_UUID>70e002d0-7125-11e4-b96b-b695013ce2f8</TARGET_UUID>
    <LINKSTATUS>Unknown</LINKSTATUS>
    <TRANSPARENTBACKGROUND>False</TRANSPARENTBACKGROUND>
    <TRANSPARENTPLOTAREA>False</TRANSPARENTPLOTAREA>
  </Link>
  <Link>
    <GUID>866089b2-8e7d-4338-99a8-dc67b936a122</GUID>
    <SOURCE_ALTADDRESS>$B$5:$L$35</SOURCE_ALTADDRESS>
    <SOURCETYPE>Table</SOURCETYPE>
    <SOURCE_OBJECTNAME>Linking_Range_31</SOURCE_OBJECTNAME>
    <OBJECTTYPE>Native</OBJECTTYPE>
    <SOURCE_SHEETCODE>Sheet16</SOURCE_SHEETCODE>
    <SOURCE_SHEETNAME>QoQ Comp</SOURCE_SHEETNAME>
    <SOURCEAPPLICATION>EXCEL_SOURCE</SOURCEAPPLICATION>
    <UPDATEDAT>2/19/2015 8:34:15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/MSResearch/Content/ExternalAssets/2015-02/Images/xr9J3lLikKbFKVKg-NMOw--.png</TARGET_BINARYFULLNAME>
    <TARGET_STORYFULLNAME>/MSResearch/Content/ExternalAssets/2015-02/Sections/20150219_074202_Linking_Range_31.xml</TARGET_STORYFULLNAME>
    <TARGET_UUID>491fa38e-b899-11e4-8ffc-fa1973025087</TARGET_UUID>
    <TRANSPARENTBACKGROUND>False</TRANSPARENTBACKGROUND>
    <TRANSPARENTPLOTAREA>False</TRANSPARENTPLOTAREA>
  </Link>
  <Link>
    <GUID>be3c4339-43f7-4b91-8ce6-c873fd09cd9a</GUID>
    <SOURCE_ALTADDRESS>$C$21:$J$28</SOURCE_ALTADDRESS>
    <SOURCETYPE>Table</SOURCETYPE>
    <SOURCE_OBJECTNAME>Linking_Range_32</SOURCE_OBJECTNAME>
    <OBJECTTYPE>Native</OBJECTTYPE>
    <SOURCE_SHEETCODE>Sheet18</SOURCE_SHEETCODE>
    <SOURCE_SHEETNAME>Snapshot</SOURCE_SHEETNAME>
    <SOURCEAPPLICATION>EXCEL_SOURCE</SOURCEAPPLICATION>
    <UPDATEDAT>2/19/2015 8:34:48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/MSResearch/Content/ExternalAssets/2015-02/Images/GBPhZOrDEEmYYB_HYdMPpQ--.png</TARGET_BINARYFULLNAME>
    <TARGET_STORYFULLNAME>/MSResearch/Content/ExternalAssets/2015-02/Sections/20150219_083446_Linking_Range_32.xml</TARGET_STORYFULLNAME>
    <TARGET_UUID>a715adba-b8a0-11e4-8ffc-fa1973025087</TARGET_UUID>
  </Link>
  <Link>
    <GUID>609b0d8e-a4fd-4a5a-b773-54791b18c327</GUID>
    <SOURCE_ALTADDRESS>$B$7:$BP$127</SOURCE_ALTADDRESS>
    <SOURCETYPE>Table</SOURCETYPE>
    <SOURCE_OBJECTNAME>Linking_Range_15</SOURCE_OBJECTNAME>
    <OBJECTTYPE>Native</OBJECTTYPE>
    <SOURCE_SHEETCODE>Sheet1</SOURCE_SHEETCODE>
    <SOURCE_SHEETNAME>IS</SOURCE_SHEETNAME>
    <SOURCEAPPLICATION>EXCEL_SOURCE</SOURCEAPPLICATION>
    <UPDATEDAT>4/26/2015 9:07:04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/MSResearch/Content/ExternalAssets/2015-01/Images/c3vlKgrRpkKevc7P8FJ63A--.png</TARGET_BINARYFULLNAME>
    <TARGET_STORYFULLNAME>/MSResearch/Content/ExternalAssets/2015-01/Sections/20150112_075520_Linking_Range_15.xml</TARGET_STORYFULLNAME>
    <TARGET_UUID>43b5f82e-9a5a-11e4-9edc-4fa5ec7c1f73</TARGET_UUID>
    <LINKSTATUS>Unknown</LINKSTATUS>
  </Link>
  <Link>
    <GUID>696fe13d-1610-46b0-b218-f4c371f786c6</GUID>
    <SOURCE_ALTADDRESS>$B$7:$BQ$127</SOURCE_ALTADDRESS>
    <SOURCETYPE>Table</SOURCETYPE>
    <SOURCE_OBJECTNAME>Linking_Range_27</SOURCE_OBJECTNAME>
    <OBJECTTYPE>Native</OBJECTTYPE>
    <SOURCE_SHEETCODE>Sheet1</SOURCE_SHEETCODE>
    <SOURCE_SHEETNAME>IS</SOURCE_SHEETNAME>
    <SOURCEAPPLICATION>EXCEL_SOURCE</SOURCEAPPLICATION>
    <UPDATEDAT>4/26/2015 9:07:09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/MSResearch/Content/ExternalAssets/2014-11/Images/Ly36XhRySECyoVGNLkYc2A--.png</TARGET_BINARYFULLNAME>
    <TARGET_STORYFULLNAME>/MSResearch/Content/ExternalAssets/2014-11/Sections/20141120_091609_Linking_Range_27.xml</TARGET_STORYFULLNAME>
    <TARGET_UUID>5b9a172c-7124-11e4-b96b-b695013ce2f8</TARGET_UUID>
    <LINKSTATUS>Unknown</LINKSTATUS>
    <TRANSPARENTBACKGROUND>False</TRANSPARENTBACKGROUND>
    <TRANSPARENTPLOTAREA>False</TRANSPARENTPLOTAREA>
    <EXTRACTSOURCEMODE>CopyToClipboard</EXTRACTSOURCEMODE>
  </Link>
  <Link>
    <GUID>520a460f-2a38-4c31-9cc6-adde22387292</GUID>
    <SOURCE_ALTADDRESS>$B$7:$BC$43</SOURCE_ALTADDRESS>
    <SOURCETYPE>Table</SOURCETYPE>
    <SOURCE_OBJECTNAME>Linking_Range_33</SOURCE_OBJECTNAME>
    <OBJECTTYPE>Native</OBJECTTYPE>
    <SOURCE_SHEETCODE>Sheet2</SOURCE_SHEETCODE>
    <SOURCE_SHEETNAME>BS</SOURCE_SHEETNAME>
    <SOURCEAPPLICATION>EXCEL_SOURCE</SOURCEAPPLICATION>
    <UPDATEDAT>4/26/2015 9:08:10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EXTRACTSOURCEMODE>CopyToClipboard</EXTRACTSOURCEMODE>
    <TARGET_BINARYFULLNAME>/MSResearch/Content/ExternalAssets/2015-04/Images/WyIv8WT46Em-VNAkd8TxwA--.png</TARGET_BINARYFULLNAME>
    <TARGET_STORYFULLNAME>/MSResearch/Content/ExternalAssets/2015-04/Sections/20150426_090806_Linking_Range_33.xml</TARGET_STORYFULLNAME>
    <TARGET_UUID>dcbd5492-ec79-11e4-aeba-9bba02fefb2a</TARGET_UUID>
  </Link>
  <Link>
    <GUID>94482fb9-09ef-4942-8aaa-c98e2042aa78</GUID>
    <SOURCE_ALTADDRESS>$B$7:$BQ$49</SOURCE_ALTADDRESS>
    <SOURCETYPE>Table</SOURCETYPE>
    <SOURCE_OBJECTNAME>Linking_Range_17</SOURCE_OBJECTNAME>
    <OBJECTTYPE>Native</OBJECTTYPE>
    <SOURCE_SHEETCODE>Sheet3</SOURCE_SHEETCODE>
    <SOURCE_SHEETNAME>CFS</SOURCE_SHEETNAME>
    <SOURCEAPPLICATION>EXCEL_SOURCE</SOURCEAPPLICATION>
    <UPDATEDAT>4/26/2015 9:09:08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/MSResearch/Content/ExternalAssets/2014-11/Images/xlX35Dh6kU6pNJEKaCbLVQ--.png</TARGET_BINARYFULLNAME>
    <TARGET_STORYFULLNAME>/MSResearch/Content/ExternalAssets/2014-11/Sections/20141120_092613_Linking_Range_17.xml</TARGET_STORYFULLNAME>
    <TARGET_UUID>c373fc86-7125-11e4-b96b-b695013ce2f8</TARGET_UUID>
    <TRANSPARENTBACKGROUND>False</TRANSPARENTBACKGROUND>
    <TRANSPARENTPLOTAREA>False</TRANSPARENTPLOTAREA>
    <EXTRACTSOURCEMODE>CopyToClipboard</EXTRACTSOURCEMODE>
  </Link>
  <Link>
    <GUID>06e8a647-4ca2-428a-96db-9031b198041e</GUID>
    <SOURCE_ALTADDRESS>$D$5:$R$14</SOURCE_ALTADDRESS>
    <SOURCETYPE>Table</SOURCETYPE>
    <SOURCE_OBJECTNAME>Linking_Range_28</SOURCE_OBJECTNAME>
    <OBJECTTYPE>Native</OBJECTTYPE>
    <SOURCE_SHEETCODE>Sheet22</SOURCE_SHEETCODE>
    <SOURCE_SHEETNAME>MS vs. Cons.</SOURCE_SHEETNAME>
    <SOURCEAPPLICATION>EXCEL_SOURCE</SOURCEAPPLICATION>
    <UPDATEDAT>5/15/2015 12:27:53 PM</UPDATEDAT>
    <SOURCE_ISOUTOFDATE>False</SOURCE_ISOUTOFDATE>
    <SOURCE_WORKBOOKNAME>MRVL WIP.xls</SOURCE_WORKBOOKNAME>
    <SOURCE_WORKBOOKPATH>\\MSAD\ROOT\NA\NY\LIB\ER\SEMI CAP\Joe Files\Companies\MRVL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/MSResearch/Content/ExternalAssets/2015-02/Images/ClAz_bPixkmyTgNxLXdOlQ--.png</TARGET_BINARYFULLNAME>
    <TARGET_STORYFULLNAME>/MSResearch/Content/ExternalAssets/2015-02/Sections/20150211_101621_Linking_Range_28.xml</TARGET_STORYFULLNAME>
    <TARGET_UUID>848ef85a-b265-11e4-9343-7c9184ca9b36</TARGET_UUID>
    <TRANSPARENTBACKGROUND>False</TRANSPARENTBACKGROUND>
    <TRANSPARENTPLOTAREA>False</TRANSPARENTPLOTAREA>
    <EXTRACTSOURCEMODE>CopyToClipboard</EXTRACTSOURCEMODE>
  </Link>
  <Link>
    <GUID>94032ce2-7d14-4375-a948-c25f94777fb5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5/15/2015 4:34:43 PM</UPDATEDAT>
    <SOURCE_ISOUTOFDATE>False</SOURCE_ISOUTOFDATE>
    <SOURCE_WORKBOOKNAME>MRVL WIP.xls</SOURCE_WORKBOOKNAME>
    <SOURCE_WORKBOOKPATH>\\MSAD\ROOT\NA\NY\LIB\ER\SEMI CAP\Joe Files\Companies\MRVL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/MSResearch/Content/ExternalAssets/2014-11/Images/y82BkQh1IEKelQMbz5PGQ--.png</TARGET_BINARYFULLNAME>
    <TARGET_STORYFULLNAME>/MSResearch/Content/ExternalAssets/2014-11/Sections/20141120_085718_MWA_Risk_Reward.xml</TARGET_STORYFULLNAME>
    <TARGET_UUID>b991e038-7121-11e4-b96b-b695013ce2f8</TARGET_UUID>
    <HIDEGRIDLINES>False</HIDEGRIDLINES>
    <LINKSTATUS>Unknown</LINKSTATUS>
    <EXTRACTSOURCEMODE>CopyToClipboard</EXTRACTSOURCEMODE>
  </Link>
</lk:Links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1C6E48B5-F648-499F-A748-450928B73AF4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26A7FC1D-37ED-48FB-A4FA-C0B7C745A34F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100</vt:i4>
      </vt:variant>
    </vt:vector>
  </HeadingPairs>
  <TitlesOfParts>
    <vt:vector size="107" baseType="lpstr">
      <vt:lpstr>ImportantDisclosures</vt:lpstr>
      <vt:lpstr>IS</vt:lpstr>
      <vt:lpstr>BS</vt:lpstr>
      <vt:lpstr>CFS</vt:lpstr>
      <vt:lpstr>BU-Segment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Linking_2</vt:lpstr>
      <vt:lpstr>Linking_26</vt:lpstr>
      <vt:lpstr>Linking_27</vt:lpstr>
      <vt:lpstr>Linking_29</vt:lpstr>
      <vt:lpstr>Linking_3</vt:lpstr>
      <vt:lpstr>Linking_30</vt:lpstr>
      <vt:lpstr>Linking_31</vt:lpstr>
      <vt:lpstr>Linking_4</vt:lpstr>
      <vt:lpstr>Linking_6</vt:lpstr>
      <vt:lpstr>Linking_7</vt:lpstr>
      <vt:lpstr>Linking_8</vt:lpstr>
      <vt:lpstr>Linking_9</vt:lpstr>
      <vt:lpstr>Linking_Range_1</vt:lpstr>
      <vt:lpstr>Linking_Range_14</vt:lpstr>
      <vt:lpstr>Linking_Range_15</vt:lpstr>
      <vt:lpstr>Linking_Range_16</vt:lpstr>
      <vt:lpstr>Linking_Range_17</vt:lpstr>
      <vt:lpstr>Linking_Range_2</vt:lpstr>
      <vt:lpstr>Linking_Range_22</vt:lpstr>
      <vt:lpstr>Linking_Range_23</vt:lpstr>
      <vt:lpstr>Linking_Range_24</vt:lpstr>
      <vt:lpstr>Linking_Range_27</vt:lpstr>
      <vt:lpstr>Linking_Range_3</vt:lpstr>
      <vt:lpstr>Linking_Range_33</vt:lpstr>
      <vt:lpstr>Linking_Range_6</vt:lpstr>
      <vt:lpstr>Linking_Range_7</vt:lpstr>
      <vt:lpstr>Linking_Range_8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BS!Print_Area</vt:lpstr>
      <vt:lpstr>'BU-Segment'!Print_Area</vt:lpstr>
      <vt:lpstr>IS!Print_Area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2011-02-07T15:41:23Z</dcterms:created>
  <dc:creator>curtain</dc:creator>
  <cp:lastModifiedBy>Capitena, Cindy (Research)</cp:lastModifiedBy>
  <cp:lastPrinted>2018-03-08T23:42:33Z</cp:lastPrinted>
  <dcterms:modified xsi:type="dcterms:W3CDTF">2018-03-09T02:31:33Z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33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755191</vt:lpwstr>
  </property>
  <property fmtid="{D5CDD505-2E9C-101B-9397-08002B2CF9AE}" name="ERModPubCompanyName" pid="6">
    <vt:lpwstr>Marvell Technology Group Ltd</vt:lpwstr>
  </property>
  <property fmtid="{D5CDD505-2E9C-101B-9397-08002B2CF9AE}" name="MSDH34TAG" pid="7">
    <vt:lpwstr>.TEZUF76X5TAHATHESADREYAK-00-INB160+*94600-06=d710f182/-2341/-11e8/-9b95/-96f032c946f3,MD=20180308215108/-0500,ZZ=000Z-2c22.</vt:lpwstr>
  </property>
</Properties>
</file>